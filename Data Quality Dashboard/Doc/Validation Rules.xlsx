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pimcloudshare\ils-share\Analytics\Docs 20230508\DQ\"/>
    </mc:Choice>
  </mc:AlternateContent>
  <bookViews>
    <workbookView xWindow="0" yWindow="0" windowWidth="20490" windowHeight="7620" activeTab="1"/>
  </bookViews>
  <sheets>
    <sheet name="Rules" sheetId="2" r:id="rId1"/>
    <sheet name="RMS Rule Description" sheetId="1" r:id="rId2"/>
    <sheet name="Changes" sheetId="6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B2" i="2" l="1"/>
</calcChain>
</file>

<file path=xl/comments1.xml><?xml version="1.0" encoding="utf-8"?>
<comments xmlns="http://schemas.openxmlformats.org/spreadsheetml/2006/main">
  <authors>
    <author>Patel, Trupt</author>
  </authors>
  <commentList>
    <comment ref="A5" authorId="0" shapeId="0">
      <text>
        <r>
          <rPr>
            <b/>
            <sz val="9"/>
            <color indexed="81"/>
            <rFont val="Tahoma"/>
            <family val="2"/>
          </rPr>
          <t>Patel, Trupt:</t>
        </r>
        <r>
          <rPr>
            <sz val="9"/>
            <color indexed="81"/>
            <rFont val="Tahoma"/>
            <family val="2"/>
          </rPr>
          <t xml:space="preserve">
- Column Value should not be NULL
- Single / Multiple Attributes
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>Patel, Trupt:</t>
        </r>
        <r>
          <rPr>
            <sz val="9"/>
            <color indexed="81"/>
            <rFont val="Tahoma"/>
            <family val="2"/>
          </rPr>
          <t xml:space="preserve">
- Key Attibute Name for Single Attribute Rule 
- Combination of Attribute Names for Multiple Attributes Rule
</t>
        </r>
      </text>
    </comment>
    <comment ref="D5" authorId="0" shapeId="0">
      <text>
        <r>
          <rPr>
            <b/>
            <sz val="9"/>
            <color indexed="81"/>
            <rFont val="Tahoma"/>
            <family val="2"/>
          </rPr>
          <t>Patel, Trupt:</t>
        </r>
        <r>
          <rPr>
            <sz val="9"/>
            <color indexed="81"/>
            <rFont val="Tahoma"/>
            <family val="2"/>
          </rPr>
          <t xml:space="preserve">
- Column Name</t>
        </r>
      </text>
    </comment>
    <comment ref="E5" authorId="0" shapeId="0">
      <text>
        <r>
          <rPr>
            <b/>
            <sz val="9"/>
            <color indexed="81"/>
            <rFont val="Tahoma"/>
            <family val="2"/>
          </rPr>
          <t>Patel, Trupt:</t>
        </r>
        <r>
          <rPr>
            <sz val="9"/>
            <color indexed="81"/>
            <rFont val="Tahoma"/>
            <family val="2"/>
          </rPr>
          <t xml:space="preserve">
- Should not be NULL
- can be 
Text,
Range,
Value (float),
Number (int),
List, 
Date</t>
        </r>
      </text>
    </comment>
    <comment ref="G5" authorId="0" shapeId="0">
      <text>
        <r>
          <rPr>
            <b/>
            <sz val="9"/>
            <color indexed="81"/>
            <rFont val="Tahoma"/>
            <family val="2"/>
          </rPr>
          <t>Patel, Trupt:</t>
        </r>
        <r>
          <rPr>
            <sz val="9"/>
            <color indexed="81"/>
            <rFont val="Tahoma"/>
            <family val="2"/>
          </rPr>
          <t xml:space="preserve">
- if Attribute Name is not NULL then should not be NULL.
- Depeding of Attribute Value Type, Attribute Operator will Change.
- Range - Between, not Between
- List - in, not in
- Value - &lt;=, =&gt;, =, &gt;, &lt;
- Date - &lt;=, =&gt;, =, &gt;, &lt;
- Text - Like, Not Like
</t>
        </r>
      </text>
    </comment>
  </commentList>
</comments>
</file>

<file path=xl/comments2.xml><?xml version="1.0" encoding="utf-8"?>
<comments xmlns="http://schemas.openxmlformats.org/spreadsheetml/2006/main">
  <authors>
    <author>Patel, Trupt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>Patel, Trupt:</t>
        </r>
        <r>
          <rPr>
            <sz val="9"/>
            <color indexed="81"/>
            <rFont val="Tahoma"/>
            <family val="2"/>
          </rPr>
          <t xml:space="preserve">
- Column Value should not be NULL
- Single / Multiple Attributes
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Patel, Trupt:</t>
        </r>
        <r>
          <rPr>
            <sz val="9"/>
            <color indexed="81"/>
            <rFont val="Tahoma"/>
            <family val="2"/>
          </rPr>
          <t xml:space="preserve">
- Key Attibute Name for Single Attribute Rule 
- Combination of Attribute Names for Multiple Attributes Rule
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Patel, Trupt:</t>
        </r>
        <r>
          <rPr>
            <sz val="9"/>
            <color indexed="81"/>
            <rFont val="Tahoma"/>
            <family val="2"/>
          </rPr>
          <t xml:space="preserve">
- Column Name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Patel, Trupt:</t>
        </r>
        <r>
          <rPr>
            <sz val="9"/>
            <color indexed="81"/>
            <rFont val="Tahoma"/>
            <family val="2"/>
          </rPr>
          <t xml:space="preserve">
- Should not be NULL
- can be 
Text,
Range,
Value (float),
Number (int),
List, 
Date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Patel, Trupt:</t>
        </r>
        <r>
          <rPr>
            <sz val="9"/>
            <color indexed="81"/>
            <rFont val="Tahoma"/>
            <family val="2"/>
          </rPr>
          <t xml:space="preserve">
- if Attribute Name is not NULL then should not be NULL.
- Depeding of Attribute Value Type, Attribute Operator will Change.
- Range - Between, not Between
- List - in, not in
- Value - &lt;=, =&gt;, =, &gt;, &lt;
- Date - &lt;=, =&gt;, =, &gt;, &lt;
- Text - Like, Not Like
</t>
        </r>
      </text>
    </comment>
  </commentList>
</comments>
</file>

<file path=xl/sharedStrings.xml><?xml version="1.0" encoding="utf-8"?>
<sst xmlns="http://schemas.openxmlformats.org/spreadsheetml/2006/main" count="962" uniqueCount="183">
  <si>
    <t>Rule Category</t>
  </si>
  <si>
    <t>Rule Description</t>
  </si>
  <si>
    <t>Construction</t>
  </si>
  <si>
    <t>Construction scheme not intended for U.S.</t>
  </si>
  <si>
    <t>Use of a construction that is only valid for California hospitals</t>
  </si>
  <si>
    <t>Invalid AIR Construction Code</t>
  </si>
  <si>
    <t>Construction / Occupancy</t>
  </si>
  <si>
    <t>Steel construction not typical; rare for a one-story single family occupancy building</t>
  </si>
  <si>
    <t>Reinforced concrete construction not typical for a one- story building with a commercial occupancy of Retail/ Wholesale Trade or Personal/Repair/Professional/ Technical/Business Services in a central business district</t>
  </si>
  <si>
    <t>Steel construction not typical for a one-story building with a commercial occupancy of Retail/Wholesale Trade or Personal/Repair/Professional/Technical/ Business Services in a central business district</t>
  </si>
  <si>
    <t>Industrial construction class used for non-industrial occupancy</t>
  </si>
  <si>
    <t>Builders risk construction class used for non-builders risk occupancy</t>
  </si>
  <si>
    <t>Construction Class (Transport Infrastructure) is not appropriate for the given occupancy</t>
  </si>
  <si>
    <t>Construction Class (Vehicle) is not appropriate for the given occupancy</t>
  </si>
  <si>
    <t>Construction Class (Tower) is not appropriate for the given occupancy</t>
  </si>
  <si>
    <t>Construction Class (Retaining Structure) is not appropriate for the given occupancy</t>
  </si>
  <si>
    <t>Construction Class (Equipment) is not appropriate for the given occupancy</t>
  </si>
  <si>
    <t>Construction Class (Energy/Power) is not appropriate for the given occupancy</t>
  </si>
  <si>
    <t>flagg location if AIR Construction Code not in AIR Construction Codes list</t>
  </si>
  <si>
    <t>Construction Class (Port/Harbor Facility) is not appropriate for the given occupancy</t>
  </si>
  <si>
    <t>Construction Code (151-160) having  302 Occupancy Code Type is flagg</t>
  </si>
  <si>
    <t>Construction Class (Industrial Facility) is not appropriate for the given occupancy</t>
  </si>
  <si>
    <t>Construction Code (131-141) having 1 stories with Occupancy Code (311 - 319) is flagg</t>
  </si>
  <si>
    <t>Construction Class (Golf Country Club) is not appropriate for the given occupancy</t>
  </si>
  <si>
    <t>Construction Class (Manufactured Housing) is not appropriate for the given occupancy</t>
  </si>
  <si>
    <t>Constuction Code (151 - 160) having 1 stories with Occupancy Code (311 - 319) is flagg</t>
  </si>
  <si>
    <t>Wood Construction suspicious for Parking Structures</t>
  </si>
  <si>
    <t>Masonry Construction suspicious for Parking Structures</t>
  </si>
  <si>
    <t>Steel Construction suspicious for Single Family Dwelling</t>
  </si>
  <si>
    <t>Concrete Construction suspicious for Single Family Dwelling</t>
  </si>
  <si>
    <t>Construction / Roof Details</t>
  </si>
  <si>
    <t>New construction with old roof age</t>
  </si>
  <si>
    <t>All mid to very high-rise steel/concrete construction with gable or hip roofs</t>
  </si>
  <si>
    <t>Wood, manufactured housing or light metal construction with concrete roofs</t>
  </si>
  <si>
    <t>Toe nailing (roof sheathing attachment) with mid to very high-rise steel/concrete construction</t>
  </si>
  <si>
    <t>Construction / Stories</t>
  </si>
  <si>
    <t>Unreinforced masonry Wall with Frame with more than 25 stories</t>
  </si>
  <si>
    <t>Masonry construction with more than 7 stories</t>
  </si>
  <si>
    <t>Tilt-up construction with more than 3 stories</t>
  </si>
  <si>
    <t>Light Metal Construction conflicts with number of Stories</t>
  </si>
  <si>
    <t>Manufactured Housing Construction conflicts with number of stories</t>
  </si>
  <si>
    <t>Wood Construction conflicts with number of Stories</t>
  </si>
  <si>
    <t>Construction / Year Built</t>
  </si>
  <si>
    <t>Ductile concrete construction not in use prior to 1970</t>
  </si>
  <si>
    <t>Unreinforced masonry constructed after 1994 conflicts with Florida building code</t>
  </si>
  <si>
    <t>Precast concrete construction not in practice before 1940</t>
  </si>
  <si>
    <t>Adobe construction discontinued after 1910</t>
  </si>
  <si>
    <t>Unreinforced Masonry construction not allowed after 1940 in CA</t>
  </si>
  <si>
    <t>Floor Area</t>
  </si>
  <si>
    <t>Unrealistic Floor Area</t>
  </si>
  <si>
    <t>GeoCode</t>
  </si>
  <si>
    <t>ZIP code does not reside in the designated county (valid county code)</t>
  </si>
  <si>
    <t>table containing valid county, area, country, lat long info</t>
  </si>
  <si>
    <t>Coordinate level geocoding match, but coordinate placed at zip centroid</t>
  </si>
  <si>
    <t>Lat Long does not reside with other Geo Code Information such as Country, Area and SubArea</t>
  </si>
  <si>
    <t>Campus with non-geocoded primary location</t>
  </si>
  <si>
    <t>GeoCode / Occupancy</t>
  </si>
  <si>
    <t>Address contains an apartment designation but Occupancy Type is not multi-family dwelling</t>
  </si>
  <si>
    <t>Occupancy</t>
  </si>
  <si>
    <t>Invalid AIR Occupancy Code</t>
  </si>
  <si>
    <t>table of AIR Occupancy Code</t>
  </si>
  <si>
    <t>Occupancy / Stories</t>
  </si>
  <si>
    <t>Single-family dwelling with more than 4 stories</t>
  </si>
  <si>
    <t>Stories</t>
  </si>
  <si>
    <t>Unrealistic number of stories</t>
  </si>
  <si>
    <t>Stories / Floor Area</t>
  </si>
  <si>
    <t>Conflict between # Stories and Floor Area</t>
  </si>
  <si>
    <t>TIV</t>
  </si>
  <si>
    <t>TIV is 0</t>
  </si>
  <si>
    <t>Year Built</t>
  </si>
  <si>
    <t>Unrealistic Year Built</t>
  </si>
  <si>
    <t>Campus with secondary locations away (1-10 miles) from primary building and contributing at least 10% TIV of campus</t>
  </si>
  <si>
    <t>Campus with secondary locations away (&gt;10 miles) from primary building</t>
  </si>
  <si>
    <t>and contributing at least 10% TIV of campus</t>
  </si>
  <si>
    <t>Campus with high resolution geocoded secondary location (0 distance radius) and contributing at least 10% TIV of campus</t>
  </si>
  <si>
    <t>Campus with non-geocoded secondary location and contributing at least 10% TIV of campus</t>
  </si>
  <si>
    <t>Invalid partially constructed mobile home (EQ)</t>
  </si>
  <si>
    <t>Invalid partially constructed mobile home (HU)</t>
  </si>
  <si>
    <t>EIFS cladding with masonry structure</t>
  </si>
  <si>
    <t>Wood cladding with steel, concrete or masonry structure</t>
  </si>
  <si>
    <t>Masonry or concrete cladding with wood structure</t>
  </si>
  <si>
    <t>Bolted foundation with non-wood construction</t>
  </si>
  <si>
    <t>Pounding with low-rise structures</t>
  </si>
  <si>
    <t>No foundation with concrete/steel/masonry construction</t>
  </si>
  <si>
    <t>Wood shutter with mid to very high-rise steel/concrete construction</t>
  </si>
  <si>
    <t>Crippled walls with non-wood structures</t>
  </si>
  <si>
    <t>Base isolation with wood structures</t>
  </si>
  <si>
    <t>No deductibles throughout Policy</t>
  </si>
  <si>
    <t>Policy deductible between 1 and 100 (likely to be incorrect entry of a % deductible)</t>
  </si>
  <si>
    <t>Location deductible is greater than TIV or coverage deductible is greater than it's respective coverage value</t>
  </si>
  <si>
    <t>Deductible between 1 and 100 (likely to be incorrect entry of a % deductible)</t>
  </si>
  <si>
    <t>Invalid Location in coverage information table</t>
  </si>
  <si>
    <t>Only maximum deductible available throughout Policy</t>
  </si>
  <si>
    <t>Campus with secondary locations having coverage or site level deductible/limit</t>
  </si>
  <si>
    <t>RuleSID</t>
  </si>
  <si>
    <t>Rule Type</t>
  </si>
  <si>
    <t>Validation Type</t>
  </si>
  <si>
    <t>Attribute Name1</t>
  </si>
  <si>
    <t>Attribute Value Type1</t>
  </si>
  <si>
    <t>Attribute Value1</t>
  </si>
  <si>
    <t>Attribute Operator1</t>
  </si>
  <si>
    <t>Attribute Min Value1</t>
  </si>
  <si>
    <t>Attribute Max Value1</t>
  </si>
  <si>
    <t>Attribute Name2</t>
  </si>
  <si>
    <t>Attribute Value Type2</t>
  </si>
  <si>
    <t>Attribute Value2</t>
  </si>
  <si>
    <t>Attribute Operator2</t>
  </si>
  <si>
    <t>Attribute Min Value2</t>
  </si>
  <si>
    <t>Attribute Max Value2</t>
  </si>
  <si>
    <t>Attribute Name3</t>
  </si>
  <si>
    <t>Attribute Value Type3</t>
  </si>
  <si>
    <t>Attribute Value3</t>
  </si>
  <si>
    <t>Attribute Operator3</t>
  </si>
  <si>
    <t>Attribute Min Value3</t>
  </si>
  <si>
    <t>Attribute Max Value3</t>
  </si>
  <si>
    <t>Attribute Name4</t>
  </si>
  <si>
    <t>Attribute Value Type4</t>
  </si>
  <si>
    <t>Attribute Value4</t>
  </si>
  <si>
    <t>Attribute Operator4</t>
  </si>
  <si>
    <t>Attribute Min Value4</t>
  </si>
  <si>
    <t>Attribute Max Value4</t>
  </si>
  <si>
    <t>Flag Mesasage</t>
  </si>
  <si>
    <t>Comment</t>
  </si>
  <si>
    <t>Range</t>
  </si>
  <si>
    <t>Value</t>
  </si>
  <si>
    <t>Text</t>
  </si>
  <si>
    <t>Multiple Attributes</t>
  </si>
  <si>
    <t>CountryCode</t>
  </si>
  <si>
    <t>US</t>
  </si>
  <si>
    <t>AreaCode</t>
  </si>
  <si>
    <t>INT</t>
  </si>
  <si>
    <t>HI</t>
  </si>
  <si>
    <t>CA</t>
  </si>
  <si>
    <t>Resasonability Info File Path:</t>
  </si>
  <si>
    <t>='</t>
  </si>
  <si>
    <t>&lt;='</t>
  </si>
  <si>
    <t>&gt;='</t>
  </si>
  <si>
    <t>ConstructionCode</t>
  </si>
  <si>
    <t>OccupancyCode</t>
  </si>
  <si>
    <t>Yearbuilt</t>
  </si>
  <si>
    <t>TotalReplacementvalue</t>
  </si>
  <si>
    <t>"Homes with a light Moment-Resisting Frame (MRF)(117,132,134-135,139-140,154,156) are not often found outside of California(CA)" has incorrect Rule operator. It should be &lt;&gt;</t>
  </si>
  <si>
    <t>Replace "Then" to "Than" in rule description</t>
  </si>
  <si>
    <t>each rule can only have one column as it goes to query with AND operator</t>
  </si>
  <si>
    <t>Check the Description "Mobile home(191-194) Construction Conflicts with number of Stories not more then three"</t>
  </si>
  <si>
    <t>Capitalization of rule description</t>
  </si>
  <si>
    <t>&lt;&gt;'</t>
  </si>
  <si>
    <t>Spaces between words in description</t>
  </si>
  <si>
    <t>Construction of a Mobile Home (191-194) with more than 3 stories</t>
  </si>
  <si>
    <t>Reinforced Concrete Construction buildings (131-135,139-140) built before 1960 to have more than 20 stories</t>
  </si>
  <si>
    <t>Wood Construction (101-104) with more than 5 stories</t>
  </si>
  <si>
    <t>Unreinforced Masonry Wall (114-115) with frame with more than 5 stories</t>
  </si>
  <si>
    <t>Adobe (112) Construction with more than 3 stories</t>
  </si>
  <si>
    <t>Tilt-Up (136) Construction with more than 4 stories</t>
  </si>
  <si>
    <t>Light Metal (152) Construction with more than 5 stories</t>
  </si>
  <si>
    <t>Masonry Bearing Walls (114) or Joisted Masonry (119) Construction with more than 7 stories</t>
  </si>
  <si>
    <t>Single Family (301-303) home to have 4 stories or more</t>
  </si>
  <si>
    <t>Industrial (321-330) housing with more than 9 stories</t>
  </si>
  <si>
    <t>Merchant (335-336) house with more than 4 stories</t>
  </si>
  <si>
    <t>Restaurant (331) with more than 4 stories</t>
  </si>
  <si>
    <t>Homes with a Light Wood Frame (102) Construction are not often found outside of Hawaii (HI)</t>
  </si>
  <si>
    <t>Homes with Moment-Resisting Frame (MRF) (117,132,134-135,139-140,154,156) are not often found outside of California (CA)</t>
  </si>
  <si>
    <t>Industrial Occupancy (321-330) made of Wood Frame(101-104)</t>
  </si>
  <si>
    <t>Construction / Yearbuilt</t>
  </si>
  <si>
    <t>Yearbuilt before 1945 having Concrete Tilt-Up Construction (136)</t>
  </si>
  <si>
    <t>Yearbuilt before 1950 having Concrete Light Metal Construction (152)</t>
  </si>
  <si>
    <t>Yearbuilt before 1950 having Concrete Reinforced Masonry Construction (116-119)</t>
  </si>
  <si>
    <t>Yearbuilt before 1950 having Concrete Reinforced Concrete Shear Wall Construction (132-133)</t>
  </si>
  <si>
    <t>Yearbuilt before 1950 having Concrete Pre-Cast Concrete Shear Wall Construction (137-138)</t>
  </si>
  <si>
    <t>Construction / Height / Yearbuilt</t>
  </si>
  <si>
    <t>Construction / Height</t>
  </si>
  <si>
    <t>Occupancy / Height</t>
  </si>
  <si>
    <t>Geography / Construction</t>
  </si>
  <si>
    <t>Adobe (112) Construction in US</t>
  </si>
  <si>
    <t>not'</t>
  </si>
  <si>
    <t>Commerical Parking (318) Structures with Wood Frame (101-104)</t>
  </si>
  <si>
    <t>Commerical Parking (318) Structures with Mobile Home (191-194)</t>
  </si>
  <si>
    <t>Construction / TIV</t>
  </si>
  <si>
    <t>Mobile Home (191-194) having TIV value less than 25000</t>
  </si>
  <si>
    <t>Family Home (301-303) not having Wood (101-104), Masonry (111-115), Light Metal Steel (152), or Mobile Home (191-194) as Construction</t>
  </si>
  <si>
    <t>List'</t>
  </si>
  <si>
    <t>101,102,103,104,152'</t>
  </si>
  <si>
    <t>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</si>
</sst>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212529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6" fillId="0" borderId="0" xfId="1"/>
    <xf numFmtId="0" fontId="4" fillId="0" borderId="0" xfId="0" applyFont="1" applyAlignment="1">
      <alignment horizontal="left" vertical="center"/>
    </xf>
    <xf numFmtId="1" fontId="0" fillId="0" borderId="0" xfId="0" applyNumberFormat="1"/>
    <xf numFmtId="0" fontId="0" fillId="0" borderId="0" xfId="0" quotePrefix="1"/>
    <xf numFmtId="0" fontId="0" fillId="0" borderId="0" xfId="0" applyAlignment="1"/>
    <xf numFmtId="0" fontId="1" fillId="0" borderId="0" xfId="0" applyFont="1" applyAlignment="1"/>
    <xf numFmtId="0" fontId="0" fillId="0" borderId="0" xfId="0" applyFont="1" applyAlignment="1"/>
    <xf numFmtId="0" fontId="0" fillId="2" borderId="0" xfId="0" applyFill="1" applyAlignment="1"/>
    <xf numFmtId="0" fontId="0" fillId="2" borderId="0" xfId="0" applyFill="1"/>
    <xf numFmtId="0" fontId="0" fillId="0" borderId="0" xfId="0" applyFill="1" applyAlignment="1"/>
    <xf numFmtId="0" fontId="1" fillId="2" borderId="0" xfId="0" applyFont="1" applyFill="1" applyAlignment="1"/>
    <xf numFmtId="0" fontId="0" fillId="0" borderId="0" xfId="0" quotePrefix="1" applyAlignment="1"/>
    <xf numFmtId="3" fontId="0" fillId="0" borderId="0" xfId="0" applyNumberFormat="1" applyAlignment="1"/>
    <xf numFmtId="0" fontId="5" fillId="0" borderId="0" xfId="0" applyFont="1" applyAlignment="1">
      <alignment horizontal="left" vertical="center"/>
    </xf>
    <xf numFmtId="0" fontId="4" fillId="0" borderId="0" xfId="0" applyFont="1" applyAlignment="1"/>
    <xf numFmtId="1" fontId="0" fillId="0" borderId="0" xfId="0" applyNumberFormat="1" applyAlignment="1"/>
    <xf numFmtId="3" fontId="0" fillId="0" borderId="0" xfId="0" quotePrefix="1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2:AC93"/>
  <sheetViews>
    <sheetView topLeftCell="L1" zoomScale="84" zoomScaleNormal="84" workbookViewId="0">
      <selection activeCell="O34" sqref="O34"/>
    </sheetView>
  </sheetViews>
  <sheetFormatPr defaultRowHeight="15" x14ac:dyDescent="0.25"/>
  <cols>
    <col min="1" max="1" width="24.140625" customWidth="1"/>
    <col min="2" max="2" width="104.28515625" bestFit="1" customWidth="1"/>
    <col min="3" max="3" width="122.140625" bestFit="1" customWidth="1"/>
    <col min="4" max="4" width="38.85546875" customWidth="1"/>
    <col min="5" max="5" width="30.5703125" customWidth="1"/>
    <col min="6" max="6" width="20.7109375" hidden="1" customWidth="1"/>
    <col min="7" max="7" width="15.85546875" customWidth="1"/>
    <col min="8" max="8" width="18.85546875" bestFit="1" customWidth="1"/>
    <col min="9" max="9" width="20" bestFit="1" customWidth="1"/>
    <col min="10" max="10" width="20.28515625" bestFit="1" customWidth="1"/>
    <col min="11" max="11" width="27.28515625" customWidth="1"/>
    <col min="12" max="12" width="20.7109375" bestFit="1" customWidth="1"/>
    <col min="13" max="13" width="15.85546875" customWidth="1"/>
    <col min="14" max="14" width="18.85546875" bestFit="1" customWidth="1"/>
    <col min="15" max="15" width="20" bestFit="1" customWidth="1"/>
    <col min="16" max="16" width="20.28515625" bestFit="1" customWidth="1"/>
    <col min="17" max="17" width="16" customWidth="1"/>
    <col min="18" max="18" width="20.7109375" bestFit="1" customWidth="1"/>
    <col min="19" max="19" width="15.85546875" customWidth="1"/>
    <col min="20" max="20" width="18.85546875" bestFit="1" customWidth="1"/>
    <col min="21" max="21" width="20" customWidth="1"/>
    <col min="22" max="22" width="20.28515625" bestFit="1" customWidth="1"/>
    <col min="23" max="23" width="16" customWidth="1"/>
    <col min="24" max="24" width="20.7109375" bestFit="1" customWidth="1"/>
    <col min="25" max="25" width="15.85546875" customWidth="1"/>
    <col min="26" max="26" width="18.85546875" bestFit="1" customWidth="1"/>
    <col min="27" max="27" width="20" bestFit="1" customWidth="1"/>
    <col min="28" max="28" width="20.28515625" bestFit="1" customWidth="1"/>
  </cols>
  <sheetData>
    <row r="2" spans="1:29" x14ac:dyDescent="0.25">
      <c r="A2" s="1" t="s">
        <v>133</v>
      </c>
      <c r="B2" s="7" t="str">
        <f>HYPERLINK("https://docs.air-worldwide.com/Touchstone/10.0/ts-tsre_all/help_ts_data-quality_reasonability-rules.html")</f>
        <v>https://docs.air-worldwide.com/Touchstone/10.0/ts-tsre_all/help_ts_data-quality_reasonability-rules.html</v>
      </c>
      <c r="C2" s="7" t="str">
        <f>HYPERLINK("https://docs.air-worldwide.com/Touchstone/10.0/ts-tsre_all/help_ts_data-quality_reasonability-rules.html")</f>
        <v>https://docs.air-worldwide.com/Touchstone/10.0/ts-tsre_all/help_ts_data-quality_reasonability-rules.html</v>
      </c>
    </row>
    <row r="5" spans="1:29" x14ac:dyDescent="0.25">
      <c r="A5" s="12" t="s">
        <v>95</v>
      </c>
      <c r="B5" s="12" t="s">
        <v>96</v>
      </c>
      <c r="C5" s="12" t="s">
        <v>1</v>
      </c>
      <c r="D5" s="12" t="s">
        <v>97</v>
      </c>
      <c r="E5" s="12" t="s">
        <v>98</v>
      </c>
      <c r="F5" s="12" t="s">
        <v>99</v>
      </c>
      <c r="G5" s="12" t="s">
        <v>100</v>
      </c>
      <c r="H5" s="12" t="s">
        <v>101</v>
      </c>
      <c r="I5" s="12" t="s">
        <v>102</v>
      </c>
      <c r="J5" s="12" t="s">
        <v>103</v>
      </c>
      <c r="K5" s="12" t="s">
        <v>104</v>
      </c>
      <c r="L5" s="12" t="s">
        <v>105</v>
      </c>
      <c r="M5" s="12" t="s">
        <v>106</v>
      </c>
      <c r="N5" s="12" t="s">
        <v>107</v>
      </c>
      <c r="O5" s="12" t="s">
        <v>108</v>
      </c>
      <c r="P5" s="12" t="s">
        <v>109</v>
      </c>
      <c r="Q5" s="12" t="s">
        <v>110</v>
      </c>
      <c r="R5" s="12" t="s">
        <v>111</v>
      </c>
      <c r="S5" s="12" t="s">
        <v>112</v>
      </c>
      <c r="T5" s="12" t="s">
        <v>113</v>
      </c>
      <c r="U5" s="12" t="s">
        <v>114</v>
      </c>
      <c r="V5" s="12" t="s">
        <v>115</v>
      </c>
      <c r="W5" s="12" t="s">
        <v>116</v>
      </c>
      <c r="X5" s="12" t="s">
        <v>117</v>
      </c>
      <c r="Y5" s="12" t="s">
        <v>118</v>
      </c>
      <c r="Z5" s="12" t="s">
        <v>119</v>
      </c>
      <c r="AA5" s="12" t="s">
        <v>120</v>
      </c>
      <c r="AB5" s="12" t="s">
        <v>121</v>
      </c>
      <c r="AC5" s="12" t="s">
        <v>122</v>
      </c>
    </row>
    <row r="6" spans="1:29" x14ac:dyDescent="0.25">
      <c r="A6" s="11" t="s">
        <v>126</v>
      </c>
      <c r="B6" s="13" t="s">
        <v>163</v>
      </c>
      <c r="C6" s="13" t="s">
        <v>164</v>
      </c>
      <c r="D6" s="11" t="s">
        <v>137</v>
      </c>
      <c r="E6" s="11" t="s">
        <v>130</v>
      </c>
      <c r="F6" s="11">
        <v>136</v>
      </c>
      <c r="G6" s="18" t="s">
        <v>134</v>
      </c>
      <c r="H6" s="11"/>
      <c r="I6" s="11"/>
      <c r="J6" s="11" t="s">
        <v>139</v>
      </c>
      <c r="K6" s="11" t="s">
        <v>130</v>
      </c>
      <c r="L6" s="11">
        <v>1945</v>
      </c>
      <c r="M6" s="18" t="s">
        <v>135</v>
      </c>
      <c r="N6" s="11"/>
      <c r="O6" s="11"/>
      <c r="P6" s="11"/>
      <c r="Q6" s="11"/>
      <c r="R6" s="11"/>
      <c r="S6" s="18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1" t="s">
        <v>126</v>
      </c>
      <c r="B7" s="13" t="s">
        <v>163</v>
      </c>
      <c r="C7" s="13" t="s">
        <v>165</v>
      </c>
      <c r="D7" s="11" t="s">
        <v>137</v>
      </c>
      <c r="E7" s="11" t="s">
        <v>130</v>
      </c>
      <c r="F7" s="11">
        <v>152</v>
      </c>
      <c r="G7" s="18" t="s">
        <v>134</v>
      </c>
      <c r="H7" s="11"/>
      <c r="I7" s="11"/>
      <c r="J7" s="11" t="s">
        <v>139</v>
      </c>
      <c r="K7" s="11" t="s">
        <v>130</v>
      </c>
      <c r="L7" s="11">
        <v>1950</v>
      </c>
      <c r="M7" s="18" t="s">
        <v>135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 x14ac:dyDescent="0.25">
      <c r="A8" s="11" t="s">
        <v>126</v>
      </c>
      <c r="B8" s="13" t="s">
        <v>163</v>
      </c>
      <c r="C8" s="13" t="s">
        <v>166</v>
      </c>
      <c r="D8" s="11" t="s">
        <v>137</v>
      </c>
      <c r="E8" s="11" t="s">
        <v>130</v>
      </c>
      <c r="F8" s="11">
        <v>116</v>
      </c>
      <c r="G8" s="18" t="s">
        <v>134</v>
      </c>
      <c r="H8" s="11"/>
      <c r="I8" s="11"/>
      <c r="J8" s="11" t="s">
        <v>139</v>
      </c>
      <c r="K8" s="11" t="s">
        <v>130</v>
      </c>
      <c r="L8" s="11">
        <v>1950</v>
      </c>
      <c r="M8" s="18" t="s">
        <v>135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spans="1:29" x14ac:dyDescent="0.25">
      <c r="A9" s="11" t="s">
        <v>126</v>
      </c>
      <c r="B9" s="13" t="s">
        <v>163</v>
      </c>
      <c r="C9" s="13" t="s">
        <v>166</v>
      </c>
      <c r="D9" s="11" t="s">
        <v>137</v>
      </c>
      <c r="E9" s="11" t="s">
        <v>130</v>
      </c>
      <c r="F9" s="19">
        <v>117</v>
      </c>
      <c r="G9" s="18" t="s">
        <v>134</v>
      </c>
      <c r="H9" s="11"/>
      <c r="I9" s="11"/>
      <c r="J9" s="11" t="s">
        <v>139</v>
      </c>
      <c r="K9" s="11" t="s">
        <v>130</v>
      </c>
      <c r="L9" s="11">
        <v>1950</v>
      </c>
      <c r="M9" s="18" t="s">
        <v>135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spans="1:29" x14ac:dyDescent="0.25">
      <c r="A10" s="11" t="s">
        <v>126</v>
      </c>
      <c r="B10" s="13" t="s">
        <v>163</v>
      </c>
      <c r="C10" s="13" t="s">
        <v>166</v>
      </c>
      <c r="D10" s="11" t="s">
        <v>137</v>
      </c>
      <c r="E10" s="11" t="s">
        <v>130</v>
      </c>
      <c r="F10" s="11">
        <v>118</v>
      </c>
      <c r="G10" s="18" t="s">
        <v>134</v>
      </c>
      <c r="H10" s="11"/>
      <c r="I10" s="11"/>
      <c r="J10" s="11" t="s">
        <v>139</v>
      </c>
      <c r="K10" s="11" t="s">
        <v>130</v>
      </c>
      <c r="L10" s="11">
        <v>1950</v>
      </c>
      <c r="M10" s="18" t="s">
        <v>135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spans="1:29" x14ac:dyDescent="0.25">
      <c r="A11" s="11" t="s">
        <v>126</v>
      </c>
      <c r="B11" s="13" t="s">
        <v>163</v>
      </c>
      <c r="C11" s="13" t="s">
        <v>166</v>
      </c>
      <c r="D11" s="11" t="s">
        <v>137</v>
      </c>
      <c r="E11" s="11" t="s">
        <v>130</v>
      </c>
      <c r="F11" s="11">
        <v>119</v>
      </c>
      <c r="G11" s="18" t="s">
        <v>134</v>
      </c>
      <c r="H11" s="11"/>
      <c r="I11" s="11"/>
      <c r="J11" s="11" t="s">
        <v>139</v>
      </c>
      <c r="K11" s="11" t="s">
        <v>130</v>
      </c>
      <c r="L11" s="11">
        <v>1950</v>
      </c>
      <c r="M11" s="18" t="s">
        <v>135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spans="1:29" x14ac:dyDescent="0.25">
      <c r="A12" s="11" t="s">
        <v>126</v>
      </c>
      <c r="B12" s="13" t="s">
        <v>163</v>
      </c>
      <c r="C12" s="13" t="s">
        <v>167</v>
      </c>
      <c r="D12" s="11" t="s">
        <v>137</v>
      </c>
      <c r="E12" s="11" t="s">
        <v>130</v>
      </c>
      <c r="F12" s="11">
        <v>132</v>
      </c>
      <c r="G12" s="18" t="s">
        <v>134</v>
      </c>
      <c r="H12" s="11"/>
      <c r="I12" s="11"/>
      <c r="J12" s="11" t="s">
        <v>139</v>
      </c>
      <c r="K12" s="11" t="s">
        <v>130</v>
      </c>
      <c r="L12" s="11">
        <v>1950</v>
      </c>
      <c r="M12" s="18" t="s">
        <v>135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1:29" x14ac:dyDescent="0.25">
      <c r="A13" s="11" t="s">
        <v>126</v>
      </c>
      <c r="B13" s="13" t="s">
        <v>163</v>
      </c>
      <c r="C13" s="13" t="s">
        <v>167</v>
      </c>
      <c r="D13" s="11" t="s">
        <v>137</v>
      </c>
      <c r="E13" s="11" t="s">
        <v>130</v>
      </c>
      <c r="F13" s="11">
        <v>133</v>
      </c>
      <c r="G13" s="18" t="s">
        <v>134</v>
      </c>
      <c r="H13" s="11"/>
      <c r="I13" s="11"/>
      <c r="J13" s="11" t="s">
        <v>139</v>
      </c>
      <c r="K13" s="11" t="s">
        <v>130</v>
      </c>
      <c r="L13" s="11">
        <v>1950</v>
      </c>
      <c r="M13" s="18" t="s">
        <v>135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spans="1:29" x14ac:dyDescent="0.25">
      <c r="A14" s="11" t="s">
        <v>126</v>
      </c>
      <c r="B14" s="13" t="s">
        <v>163</v>
      </c>
      <c r="C14" s="13" t="s">
        <v>168</v>
      </c>
      <c r="D14" s="11" t="s">
        <v>137</v>
      </c>
      <c r="E14" s="11" t="s">
        <v>130</v>
      </c>
      <c r="F14" s="11">
        <v>137</v>
      </c>
      <c r="G14" s="18" t="s">
        <v>134</v>
      </c>
      <c r="H14" s="11"/>
      <c r="I14" s="11"/>
      <c r="J14" s="11" t="s">
        <v>139</v>
      </c>
      <c r="K14" s="11" t="s">
        <v>130</v>
      </c>
      <c r="L14" s="11">
        <v>1950</v>
      </c>
      <c r="M14" s="18" t="s">
        <v>135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spans="1:29" x14ac:dyDescent="0.25">
      <c r="A15" s="11" t="s">
        <v>126</v>
      </c>
      <c r="B15" s="13" t="s">
        <v>163</v>
      </c>
      <c r="C15" s="13" t="s">
        <v>168</v>
      </c>
      <c r="D15" s="11" t="s">
        <v>137</v>
      </c>
      <c r="E15" s="11" t="s">
        <v>130</v>
      </c>
      <c r="F15" s="11">
        <v>138</v>
      </c>
      <c r="G15" s="18" t="s">
        <v>134</v>
      </c>
      <c r="H15" s="11"/>
      <c r="I15" s="11"/>
      <c r="J15" s="11" t="s">
        <v>139</v>
      </c>
      <c r="K15" s="11" t="s">
        <v>130</v>
      </c>
      <c r="L15" s="11">
        <v>1950</v>
      </c>
      <c r="M15" s="18" t="s">
        <v>135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spans="1:29" x14ac:dyDescent="0.25">
      <c r="A16" s="11" t="s">
        <v>126</v>
      </c>
      <c r="B16" s="13" t="s">
        <v>169</v>
      </c>
      <c r="C16" s="13" t="s">
        <v>149</v>
      </c>
      <c r="D16" s="11" t="s">
        <v>137</v>
      </c>
      <c r="E16" s="11" t="s">
        <v>130</v>
      </c>
      <c r="F16" s="11">
        <v>131</v>
      </c>
      <c r="G16" s="18" t="s">
        <v>134</v>
      </c>
      <c r="H16" s="11"/>
      <c r="I16" s="11"/>
      <c r="J16" s="11" t="s">
        <v>63</v>
      </c>
      <c r="K16" s="11" t="s">
        <v>130</v>
      </c>
      <c r="L16" s="11">
        <v>20</v>
      </c>
      <c r="M16" s="18" t="s">
        <v>136</v>
      </c>
      <c r="N16" s="11"/>
      <c r="O16" s="11"/>
      <c r="P16" s="11" t="s">
        <v>139</v>
      </c>
      <c r="Q16" s="11" t="s">
        <v>130</v>
      </c>
      <c r="R16" s="11">
        <v>1960</v>
      </c>
      <c r="S16" s="18" t="s">
        <v>135</v>
      </c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spans="1:29" x14ac:dyDescent="0.25">
      <c r="A17" s="11" t="s">
        <v>126</v>
      </c>
      <c r="B17" s="13" t="s">
        <v>169</v>
      </c>
      <c r="C17" s="13" t="s">
        <v>149</v>
      </c>
      <c r="D17" s="11" t="s">
        <v>137</v>
      </c>
      <c r="E17" s="11" t="s">
        <v>130</v>
      </c>
      <c r="F17" s="11">
        <v>132</v>
      </c>
      <c r="G17" s="18" t="s">
        <v>134</v>
      </c>
      <c r="H17" s="11"/>
      <c r="I17" s="11"/>
      <c r="J17" s="11" t="s">
        <v>63</v>
      </c>
      <c r="K17" s="11" t="s">
        <v>130</v>
      </c>
      <c r="L17" s="11">
        <v>20</v>
      </c>
      <c r="M17" s="18" t="s">
        <v>136</v>
      </c>
      <c r="N17" s="11"/>
      <c r="O17" s="11"/>
      <c r="P17" s="11" t="s">
        <v>139</v>
      </c>
      <c r="Q17" s="11" t="s">
        <v>130</v>
      </c>
      <c r="R17" s="11">
        <v>1960</v>
      </c>
      <c r="S17" s="18" t="s">
        <v>135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1:29" x14ac:dyDescent="0.25">
      <c r="A18" s="11" t="s">
        <v>126</v>
      </c>
      <c r="B18" s="13" t="s">
        <v>169</v>
      </c>
      <c r="C18" s="13" t="s">
        <v>149</v>
      </c>
      <c r="D18" s="11" t="s">
        <v>137</v>
      </c>
      <c r="E18" s="11" t="s">
        <v>130</v>
      </c>
      <c r="F18" s="11">
        <v>133</v>
      </c>
      <c r="G18" s="18" t="s">
        <v>134</v>
      </c>
      <c r="H18" s="11"/>
      <c r="I18" s="11"/>
      <c r="J18" s="11" t="s">
        <v>63</v>
      </c>
      <c r="K18" s="11" t="s">
        <v>130</v>
      </c>
      <c r="L18" s="11">
        <v>20</v>
      </c>
      <c r="M18" s="18" t="s">
        <v>136</v>
      </c>
      <c r="N18" s="11"/>
      <c r="O18" s="11"/>
      <c r="P18" s="11" t="s">
        <v>139</v>
      </c>
      <c r="Q18" s="11" t="s">
        <v>130</v>
      </c>
      <c r="R18" s="11">
        <v>1960</v>
      </c>
      <c r="S18" s="18" t="s">
        <v>135</v>
      </c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spans="1:29" x14ac:dyDescent="0.25">
      <c r="A19" s="11" t="s">
        <v>126</v>
      </c>
      <c r="B19" s="13" t="s">
        <v>169</v>
      </c>
      <c r="C19" s="13" t="s">
        <v>149</v>
      </c>
      <c r="D19" s="11" t="s">
        <v>137</v>
      </c>
      <c r="E19" s="11" t="s">
        <v>130</v>
      </c>
      <c r="F19" s="11">
        <v>134</v>
      </c>
      <c r="G19" s="18" t="s">
        <v>134</v>
      </c>
      <c r="H19" s="11"/>
      <c r="I19" s="11"/>
      <c r="J19" s="11" t="s">
        <v>63</v>
      </c>
      <c r="K19" s="11" t="s">
        <v>130</v>
      </c>
      <c r="L19" s="11">
        <v>20</v>
      </c>
      <c r="M19" s="18" t="s">
        <v>136</v>
      </c>
      <c r="N19" s="11"/>
      <c r="O19" s="11"/>
      <c r="P19" s="11" t="s">
        <v>139</v>
      </c>
      <c r="Q19" s="11" t="s">
        <v>130</v>
      </c>
      <c r="R19" s="11">
        <v>1960</v>
      </c>
      <c r="S19" s="18" t="s">
        <v>135</v>
      </c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spans="1:29" x14ac:dyDescent="0.25">
      <c r="A20" s="11" t="s">
        <v>126</v>
      </c>
      <c r="B20" s="13" t="s">
        <v>169</v>
      </c>
      <c r="C20" s="13" t="s">
        <v>149</v>
      </c>
      <c r="D20" s="11" t="s">
        <v>137</v>
      </c>
      <c r="E20" s="11" t="s">
        <v>130</v>
      </c>
      <c r="F20" s="11">
        <v>135</v>
      </c>
      <c r="G20" s="18" t="s">
        <v>134</v>
      </c>
      <c r="H20" s="11"/>
      <c r="I20" s="11"/>
      <c r="J20" s="11" t="s">
        <v>63</v>
      </c>
      <c r="K20" s="11" t="s">
        <v>130</v>
      </c>
      <c r="L20" s="11">
        <v>20</v>
      </c>
      <c r="M20" s="18" t="s">
        <v>136</v>
      </c>
      <c r="N20" s="11"/>
      <c r="O20" s="11"/>
      <c r="P20" s="11" t="s">
        <v>139</v>
      </c>
      <c r="Q20" s="11" t="s">
        <v>130</v>
      </c>
      <c r="R20" s="11">
        <v>1960</v>
      </c>
      <c r="S20" s="18" t="s">
        <v>135</v>
      </c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spans="1:29" x14ac:dyDescent="0.25">
      <c r="A21" s="11" t="s">
        <v>126</v>
      </c>
      <c r="B21" s="13" t="s">
        <v>169</v>
      </c>
      <c r="C21" s="13" t="s">
        <v>149</v>
      </c>
      <c r="D21" s="11" t="s">
        <v>137</v>
      </c>
      <c r="E21" s="11" t="s">
        <v>130</v>
      </c>
      <c r="F21" s="11">
        <v>139</v>
      </c>
      <c r="G21" s="18" t="s">
        <v>134</v>
      </c>
      <c r="H21" s="11"/>
      <c r="I21" s="11"/>
      <c r="J21" s="11" t="s">
        <v>63</v>
      </c>
      <c r="K21" s="11" t="s">
        <v>130</v>
      </c>
      <c r="L21" s="11">
        <v>20</v>
      </c>
      <c r="M21" s="18" t="s">
        <v>136</v>
      </c>
      <c r="N21" s="11"/>
      <c r="O21" s="11"/>
      <c r="P21" s="11" t="s">
        <v>139</v>
      </c>
      <c r="Q21" s="11" t="s">
        <v>130</v>
      </c>
      <c r="R21" s="11">
        <v>1960</v>
      </c>
      <c r="S21" s="18" t="s">
        <v>135</v>
      </c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spans="1:29" x14ac:dyDescent="0.25">
      <c r="A22" s="11" t="s">
        <v>126</v>
      </c>
      <c r="B22" s="13" t="s">
        <v>169</v>
      </c>
      <c r="C22" s="13" t="s">
        <v>149</v>
      </c>
      <c r="D22" s="11" t="s">
        <v>137</v>
      </c>
      <c r="E22" s="11" t="s">
        <v>130</v>
      </c>
      <c r="F22" s="11">
        <v>140</v>
      </c>
      <c r="G22" s="18" t="s">
        <v>134</v>
      </c>
      <c r="H22" s="11"/>
      <c r="I22" s="11"/>
      <c r="J22" s="11" t="s">
        <v>63</v>
      </c>
      <c r="K22" s="11" t="s">
        <v>130</v>
      </c>
      <c r="L22" s="11">
        <v>20</v>
      </c>
      <c r="M22" s="18" t="s">
        <v>136</v>
      </c>
      <c r="N22" s="11"/>
      <c r="O22" s="11"/>
      <c r="P22" s="11" t="s">
        <v>139</v>
      </c>
      <c r="Q22" s="11" t="s">
        <v>130</v>
      </c>
      <c r="R22" s="11">
        <v>1960</v>
      </c>
      <c r="S22" s="18" t="s">
        <v>135</v>
      </c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spans="1:29" x14ac:dyDescent="0.25">
      <c r="A23" s="11" t="s">
        <v>126</v>
      </c>
      <c r="B23" s="13" t="s">
        <v>170</v>
      </c>
      <c r="C23" s="13" t="s">
        <v>150</v>
      </c>
      <c r="D23" s="11" t="s">
        <v>137</v>
      </c>
      <c r="E23" s="11" t="s">
        <v>130</v>
      </c>
      <c r="F23" s="11">
        <v>101</v>
      </c>
      <c r="G23" s="18" t="s">
        <v>134</v>
      </c>
      <c r="H23" s="11"/>
      <c r="I23" s="11"/>
      <c r="J23" s="11" t="s">
        <v>63</v>
      </c>
      <c r="K23" s="11" t="s">
        <v>130</v>
      </c>
      <c r="L23" s="11">
        <v>5</v>
      </c>
      <c r="M23" s="18" t="s">
        <v>136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spans="1:29" x14ac:dyDescent="0.25">
      <c r="A24" s="11" t="s">
        <v>126</v>
      </c>
      <c r="B24" s="13" t="s">
        <v>170</v>
      </c>
      <c r="C24" s="13" t="s">
        <v>150</v>
      </c>
      <c r="D24" s="11" t="s">
        <v>137</v>
      </c>
      <c r="E24" s="11" t="s">
        <v>130</v>
      </c>
      <c r="F24" s="11">
        <v>102</v>
      </c>
      <c r="G24" s="18" t="s">
        <v>134</v>
      </c>
      <c r="H24" s="11"/>
      <c r="I24" s="11"/>
      <c r="J24" s="11" t="s">
        <v>63</v>
      </c>
      <c r="K24" s="11" t="s">
        <v>130</v>
      </c>
      <c r="L24" s="11">
        <v>5</v>
      </c>
      <c r="M24" s="18" t="s">
        <v>136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spans="1:29" x14ac:dyDescent="0.25">
      <c r="A25" s="11" t="s">
        <v>126</v>
      </c>
      <c r="B25" s="13" t="s">
        <v>170</v>
      </c>
      <c r="C25" s="13" t="s">
        <v>150</v>
      </c>
      <c r="D25" s="11" t="s">
        <v>137</v>
      </c>
      <c r="E25" s="11" t="s">
        <v>130</v>
      </c>
      <c r="F25" s="11">
        <v>103</v>
      </c>
      <c r="G25" s="18" t="s">
        <v>134</v>
      </c>
      <c r="H25" s="11"/>
      <c r="I25" s="11"/>
      <c r="J25" s="11" t="s">
        <v>63</v>
      </c>
      <c r="K25" s="11" t="s">
        <v>130</v>
      </c>
      <c r="L25" s="11">
        <v>5</v>
      </c>
      <c r="M25" s="18" t="s">
        <v>136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spans="1:29" x14ac:dyDescent="0.25">
      <c r="A26" s="11" t="s">
        <v>126</v>
      </c>
      <c r="B26" s="13" t="s">
        <v>170</v>
      </c>
      <c r="C26" s="13" t="s">
        <v>150</v>
      </c>
      <c r="D26" s="11" t="s">
        <v>137</v>
      </c>
      <c r="E26" s="11" t="s">
        <v>130</v>
      </c>
      <c r="F26" s="11">
        <v>104</v>
      </c>
      <c r="G26" s="18" t="s">
        <v>134</v>
      </c>
      <c r="H26" s="11"/>
      <c r="I26" s="11"/>
      <c r="J26" s="11" t="s">
        <v>63</v>
      </c>
      <c r="K26" s="11" t="s">
        <v>130</v>
      </c>
      <c r="L26" s="11">
        <v>5</v>
      </c>
      <c r="M26" s="18" t="s">
        <v>136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spans="1:29" x14ac:dyDescent="0.25">
      <c r="A27" s="11" t="s">
        <v>126</v>
      </c>
      <c r="B27" s="13" t="s">
        <v>170</v>
      </c>
      <c r="C27" s="13" t="s">
        <v>148</v>
      </c>
      <c r="D27" s="11" t="s">
        <v>137</v>
      </c>
      <c r="E27" s="11" t="s">
        <v>130</v>
      </c>
      <c r="F27" s="11">
        <v>191</v>
      </c>
      <c r="G27" s="18" t="s">
        <v>134</v>
      </c>
      <c r="H27" s="11"/>
      <c r="I27" s="11"/>
      <c r="J27" s="11" t="s">
        <v>63</v>
      </c>
      <c r="K27" s="11" t="s">
        <v>130</v>
      </c>
      <c r="L27" s="11">
        <v>3</v>
      </c>
      <c r="M27" s="18" t="s">
        <v>136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spans="1:29" x14ac:dyDescent="0.25">
      <c r="A28" s="11" t="s">
        <v>126</v>
      </c>
      <c r="B28" s="13" t="s">
        <v>170</v>
      </c>
      <c r="C28" s="13" t="s">
        <v>148</v>
      </c>
      <c r="D28" s="11" t="s">
        <v>137</v>
      </c>
      <c r="E28" s="11" t="s">
        <v>130</v>
      </c>
      <c r="F28" s="11">
        <v>192</v>
      </c>
      <c r="G28" s="18" t="s">
        <v>134</v>
      </c>
      <c r="H28" s="11"/>
      <c r="I28" s="11"/>
      <c r="J28" s="11" t="s">
        <v>63</v>
      </c>
      <c r="K28" s="11" t="s">
        <v>130</v>
      </c>
      <c r="L28" s="11">
        <v>3</v>
      </c>
      <c r="M28" s="18" t="s">
        <v>136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spans="1:29" x14ac:dyDescent="0.25">
      <c r="A29" s="11" t="s">
        <v>126</v>
      </c>
      <c r="B29" s="13" t="s">
        <v>170</v>
      </c>
      <c r="C29" s="13" t="s">
        <v>148</v>
      </c>
      <c r="D29" s="11" t="s">
        <v>137</v>
      </c>
      <c r="E29" s="11" t="s">
        <v>130</v>
      </c>
      <c r="F29" s="11">
        <v>193</v>
      </c>
      <c r="G29" s="18" t="s">
        <v>134</v>
      </c>
      <c r="H29" s="11"/>
      <c r="I29" s="11"/>
      <c r="J29" s="11" t="s">
        <v>63</v>
      </c>
      <c r="K29" s="11" t="s">
        <v>130</v>
      </c>
      <c r="L29" s="11">
        <v>3</v>
      </c>
      <c r="M29" s="18" t="s">
        <v>136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spans="1:29" x14ac:dyDescent="0.25">
      <c r="A30" s="11" t="s">
        <v>126</v>
      </c>
      <c r="B30" s="13" t="s">
        <v>170</v>
      </c>
      <c r="C30" s="13" t="s">
        <v>148</v>
      </c>
      <c r="D30" s="11" t="s">
        <v>137</v>
      </c>
      <c r="E30" s="11" t="s">
        <v>130</v>
      </c>
      <c r="F30" s="11">
        <v>194</v>
      </c>
      <c r="G30" s="18" t="s">
        <v>134</v>
      </c>
      <c r="H30" s="11"/>
      <c r="I30" s="11"/>
      <c r="J30" s="11" t="s">
        <v>63</v>
      </c>
      <c r="K30" s="11" t="s">
        <v>130</v>
      </c>
      <c r="L30" s="11">
        <v>3</v>
      </c>
      <c r="M30" s="18" t="s">
        <v>136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spans="1:29" x14ac:dyDescent="0.25">
      <c r="A31" s="11" t="s">
        <v>126</v>
      </c>
      <c r="B31" s="13" t="s">
        <v>170</v>
      </c>
      <c r="C31" s="13" t="s">
        <v>151</v>
      </c>
      <c r="D31" s="11" t="s">
        <v>137</v>
      </c>
      <c r="E31" s="11" t="s">
        <v>130</v>
      </c>
      <c r="F31" s="11">
        <v>114</v>
      </c>
      <c r="G31" s="18" t="s">
        <v>134</v>
      </c>
      <c r="H31" s="11"/>
      <c r="I31" s="11"/>
      <c r="J31" s="11" t="s">
        <v>63</v>
      </c>
      <c r="K31" s="11" t="s">
        <v>130</v>
      </c>
      <c r="L31" s="11">
        <v>5</v>
      </c>
      <c r="M31" s="18" t="s">
        <v>136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spans="1:29" x14ac:dyDescent="0.25">
      <c r="A32" s="11" t="s">
        <v>126</v>
      </c>
      <c r="B32" s="13" t="s">
        <v>170</v>
      </c>
      <c r="C32" s="13" t="s">
        <v>151</v>
      </c>
      <c r="D32" s="11" t="s">
        <v>137</v>
      </c>
      <c r="E32" s="11" t="s">
        <v>130</v>
      </c>
      <c r="F32" s="11">
        <v>115</v>
      </c>
      <c r="G32" s="18" t="s">
        <v>134</v>
      </c>
      <c r="H32" s="11"/>
      <c r="I32" s="11"/>
      <c r="J32" s="11" t="s">
        <v>63</v>
      </c>
      <c r="K32" s="11" t="s">
        <v>130</v>
      </c>
      <c r="L32" s="11">
        <v>5</v>
      </c>
      <c r="M32" s="18" t="s">
        <v>136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29" x14ac:dyDescent="0.25">
      <c r="A33" s="11" t="s">
        <v>126</v>
      </c>
      <c r="B33" s="13" t="s">
        <v>170</v>
      </c>
      <c r="C33" s="13" t="s">
        <v>152</v>
      </c>
      <c r="D33" s="11" t="s">
        <v>137</v>
      </c>
      <c r="E33" s="11" t="s">
        <v>130</v>
      </c>
      <c r="F33" s="11">
        <v>112</v>
      </c>
      <c r="G33" s="18" t="s">
        <v>134</v>
      </c>
      <c r="H33" s="11"/>
      <c r="I33" s="11"/>
      <c r="J33" s="11" t="s">
        <v>63</v>
      </c>
      <c r="K33" s="11" t="s">
        <v>130</v>
      </c>
      <c r="L33" s="11">
        <v>3</v>
      </c>
      <c r="M33" s="18" t="s">
        <v>136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 x14ac:dyDescent="0.25">
      <c r="A34" s="11" t="s">
        <v>126</v>
      </c>
      <c r="B34" s="13" t="s">
        <v>170</v>
      </c>
      <c r="C34" s="13" t="s">
        <v>153</v>
      </c>
      <c r="D34" s="11" t="s">
        <v>137</v>
      </c>
      <c r="E34" s="11" t="s">
        <v>130</v>
      </c>
      <c r="F34" s="11">
        <v>136</v>
      </c>
      <c r="G34" s="18" t="s">
        <v>134</v>
      </c>
      <c r="H34" s="11"/>
      <c r="I34" s="11"/>
      <c r="J34" s="11" t="s">
        <v>63</v>
      </c>
      <c r="K34" s="11" t="s">
        <v>130</v>
      </c>
      <c r="L34" s="11">
        <v>4</v>
      </c>
      <c r="M34" s="18" t="s">
        <v>136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spans="1:29" x14ac:dyDescent="0.25">
      <c r="A35" s="11" t="s">
        <v>126</v>
      </c>
      <c r="B35" s="13" t="s">
        <v>170</v>
      </c>
      <c r="C35" s="13" t="s">
        <v>154</v>
      </c>
      <c r="D35" s="11" t="s">
        <v>137</v>
      </c>
      <c r="E35" s="11" t="s">
        <v>130</v>
      </c>
      <c r="F35" s="11">
        <v>152</v>
      </c>
      <c r="G35" s="18" t="s">
        <v>134</v>
      </c>
      <c r="H35" s="11"/>
      <c r="I35" s="11"/>
      <c r="J35" s="11" t="s">
        <v>63</v>
      </c>
      <c r="K35" s="11" t="s">
        <v>130</v>
      </c>
      <c r="L35" s="11">
        <v>5</v>
      </c>
      <c r="M35" s="18" t="s">
        <v>136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spans="1:29" x14ac:dyDescent="0.25">
      <c r="A36" s="11" t="s">
        <v>126</v>
      </c>
      <c r="B36" s="13" t="s">
        <v>170</v>
      </c>
      <c r="C36" s="13" t="s">
        <v>155</v>
      </c>
      <c r="D36" s="11" t="s">
        <v>137</v>
      </c>
      <c r="E36" s="11" t="s">
        <v>130</v>
      </c>
      <c r="F36" s="11">
        <v>114</v>
      </c>
      <c r="G36" s="18" t="s">
        <v>134</v>
      </c>
      <c r="H36" s="11"/>
      <c r="I36" s="11"/>
      <c r="J36" s="11" t="s">
        <v>63</v>
      </c>
      <c r="K36" s="11" t="s">
        <v>130</v>
      </c>
      <c r="L36" s="11">
        <v>7</v>
      </c>
      <c r="M36" s="18" t="s">
        <v>136</v>
      </c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spans="1:29" x14ac:dyDescent="0.25">
      <c r="A37" s="11" t="s">
        <v>126</v>
      </c>
      <c r="B37" s="13" t="s">
        <v>170</v>
      </c>
      <c r="C37" s="13" t="s">
        <v>155</v>
      </c>
      <c r="D37" s="11" t="s">
        <v>137</v>
      </c>
      <c r="E37" s="11" t="s">
        <v>130</v>
      </c>
      <c r="F37" s="11">
        <v>119</v>
      </c>
      <c r="G37" s="18" t="s">
        <v>134</v>
      </c>
      <c r="H37" s="11"/>
      <c r="I37" s="11"/>
      <c r="J37" s="11" t="s">
        <v>63</v>
      </c>
      <c r="K37" s="11" t="s">
        <v>130</v>
      </c>
      <c r="L37" s="11">
        <v>7</v>
      </c>
      <c r="M37" s="18" t="s">
        <v>136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spans="1:29" x14ac:dyDescent="0.25">
      <c r="A38" s="11" t="s">
        <v>126</v>
      </c>
      <c r="B38" s="20" t="s">
        <v>171</v>
      </c>
      <c r="C38" s="13" t="s">
        <v>156</v>
      </c>
      <c r="D38" s="11" t="s">
        <v>138</v>
      </c>
      <c r="E38" s="11" t="s">
        <v>130</v>
      </c>
      <c r="F38" s="11">
        <v>301</v>
      </c>
      <c r="G38" s="18" t="s">
        <v>134</v>
      </c>
      <c r="H38" s="11"/>
      <c r="I38" s="11"/>
      <c r="J38" s="11" t="s">
        <v>63</v>
      </c>
      <c r="K38" s="11" t="s">
        <v>130</v>
      </c>
      <c r="L38" s="11">
        <v>4</v>
      </c>
      <c r="M38" s="18" t="s">
        <v>136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spans="1:29" x14ac:dyDescent="0.25">
      <c r="A39" s="11" t="s">
        <v>126</v>
      </c>
      <c r="B39" s="20" t="s">
        <v>171</v>
      </c>
      <c r="C39" s="13" t="s">
        <v>156</v>
      </c>
      <c r="D39" s="11" t="s">
        <v>138</v>
      </c>
      <c r="E39" s="11" t="s">
        <v>130</v>
      </c>
      <c r="F39" s="11">
        <v>302</v>
      </c>
      <c r="G39" s="18" t="s">
        <v>134</v>
      </c>
      <c r="H39" s="11"/>
      <c r="I39" s="11"/>
      <c r="J39" s="11" t="s">
        <v>63</v>
      </c>
      <c r="K39" s="11" t="s">
        <v>130</v>
      </c>
      <c r="L39" s="11">
        <v>4</v>
      </c>
      <c r="M39" s="18" t="s">
        <v>136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spans="1:29" x14ac:dyDescent="0.25">
      <c r="A40" s="11" t="s">
        <v>126</v>
      </c>
      <c r="B40" s="20" t="s">
        <v>171</v>
      </c>
      <c r="C40" s="13" t="s">
        <v>156</v>
      </c>
      <c r="D40" s="11" t="s">
        <v>138</v>
      </c>
      <c r="E40" s="11" t="s">
        <v>130</v>
      </c>
      <c r="F40" s="11">
        <v>303</v>
      </c>
      <c r="G40" s="18" t="s">
        <v>134</v>
      </c>
      <c r="H40" s="11"/>
      <c r="I40" s="11"/>
      <c r="J40" s="11" t="s">
        <v>63</v>
      </c>
      <c r="K40" s="11" t="s">
        <v>130</v>
      </c>
      <c r="L40" s="11">
        <v>4</v>
      </c>
      <c r="M40" s="18" t="s">
        <v>136</v>
      </c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spans="1:29" x14ac:dyDescent="0.25">
      <c r="A41" s="11" t="s">
        <v>126</v>
      </c>
      <c r="B41" s="20" t="s">
        <v>171</v>
      </c>
      <c r="C41" s="13" t="s">
        <v>157</v>
      </c>
      <c r="D41" s="11" t="s">
        <v>138</v>
      </c>
      <c r="E41" s="11" t="s">
        <v>130</v>
      </c>
      <c r="F41" s="11">
        <v>321</v>
      </c>
      <c r="G41" s="18" t="s">
        <v>134</v>
      </c>
      <c r="H41" s="11"/>
      <c r="I41" s="11"/>
      <c r="J41" s="11" t="s">
        <v>63</v>
      </c>
      <c r="K41" s="11" t="s">
        <v>130</v>
      </c>
      <c r="L41" s="11">
        <v>9</v>
      </c>
      <c r="M41" s="18" t="s">
        <v>136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spans="1:29" x14ac:dyDescent="0.25">
      <c r="A42" s="11" t="s">
        <v>126</v>
      </c>
      <c r="B42" s="20" t="s">
        <v>171</v>
      </c>
      <c r="C42" s="13" t="s">
        <v>157</v>
      </c>
      <c r="D42" s="11" t="s">
        <v>138</v>
      </c>
      <c r="E42" s="11" t="s">
        <v>130</v>
      </c>
      <c r="F42" s="11">
        <v>322</v>
      </c>
      <c r="G42" s="18" t="s">
        <v>134</v>
      </c>
      <c r="H42" s="11"/>
      <c r="I42" s="11"/>
      <c r="J42" s="11" t="s">
        <v>63</v>
      </c>
      <c r="K42" s="11" t="s">
        <v>130</v>
      </c>
      <c r="L42" s="11">
        <v>9</v>
      </c>
      <c r="M42" s="18" t="s">
        <v>136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spans="1:29" x14ac:dyDescent="0.25">
      <c r="A43" s="11" t="s">
        <v>126</v>
      </c>
      <c r="B43" s="20" t="s">
        <v>171</v>
      </c>
      <c r="C43" s="13" t="s">
        <v>157</v>
      </c>
      <c r="D43" s="11" t="s">
        <v>138</v>
      </c>
      <c r="E43" s="11" t="s">
        <v>130</v>
      </c>
      <c r="F43" s="11">
        <v>323</v>
      </c>
      <c r="G43" s="18" t="s">
        <v>134</v>
      </c>
      <c r="H43" s="11"/>
      <c r="I43" s="11"/>
      <c r="J43" s="11" t="s">
        <v>63</v>
      </c>
      <c r="K43" s="11" t="s">
        <v>130</v>
      </c>
      <c r="L43" s="11">
        <v>9</v>
      </c>
      <c r="M43" s="18" t="s">
        <v>136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spans="1:29" x14ac:dyDescent="0.25">
      <c r="A44" s="11" t="s">
        <v>126</v>
      </c>
      <c r="B44" s="20" t="s">
        <v>171</v>
      </c>
      <c r="C44" s="13" t="s">
        <v>157</v>
      </c>
      <c r="D44" s="11" t="s">
        <v>138</v>
      </c>
      <c r="E44" s="11" t="s">
        <v>130</v>
      </c>
      <c r="F44" s="11">
        <v>324</v>
      </c>
      <c r="G44" s="18" t="s">
        <v>134</v>
      </c>
      <c r="H44" s="11"/>
      <c r="I44" s="11"/>
      <c r="J44" s="11" t="s">
        <v>63</v>
      </c>
      <c r="K44" s="11" t="s">
        <v>130</v>
      </c>
      <c r="L44" s="11">
        <v>9</v>
      </c>
      <c r="M44" s="18" t="s">
        <v>136</v>
      </c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spans="1:29" x14ac:dyDescent="0.25">
      <c r="A45" s="11" t="s">
        <v>126</v>
      </c>
      <c r="B45" s="20" t="s">
        <v>171</v>
      </c>
      <c r="C45" s="13" t="s">
        <v>157</v>
      </c>
      <c r="D45" s="11" t="s">
        <v>138</v>
      </c>
      <c r="E45" s="11" t="s">
        <v>130</v>
      </c>
      <c r="F45" s="11">
        <v>325</v>
      </c>
      <c r="G45" s="18" t="s">
        <v>134</v>
      </c>
      <c r="H45" s="11"/>
      <c r="I45" s="11"/>
      <c r="J45" s="11" t="s">
        <v>63</v>
      </c>
      <c r="K45" s="11" t="s">
        <v>130</v>
      </c>
      <c r="L45" s="11">
        <v>9</v>
      </c>
      <c r="M45" s="18" t="s">
        <v>136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spans="1:29" x14ac:dyDescent="0.25">
      <c r="A46" s="11" t="s">
        <v>126</v>
      </c>
      <c r="B46" s="20" t="s">
        <v>171</v>
      </c>
      <c r="C46" s="13" t="s">
        <v>157</v>
      </c>
      <c r="D46" s="11" t="s">
        <v>138</v>
      </c>
      <c r="E46" s="11" t="s">
        <v>130</v>
      </c>
      <c r="F46" s="11">
        <v>326</v>
      </c>
      <c r="G46" s="18" t="s">
        <v>134</v>
      </c>
      <c r="H46" s="11"/>
      <c r="I46" s="11"/>
      <c r="J46" s="11" t="s">
        <v>63</v>
      </c>
      <c r="K46" s="11" t="s">
        <v>130</v>
      </c>
      <c r="L46" s="11">
        <v>9</v>
      </c>
      <c r="M46" s="18" t="s">
        <v>136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spans="1:29" x14ac:dyDescent="0.25">
      <c r="A47" s="11" t="s">
        <v>126</v>
      </c>
      <c r="B47" s="20" t="s">
        <v>171</v>
      </c>
      <c r="C47" s="13" t="s">
        <v>157</v>
      </c>
      <c r="D47" s="11" t="s">
        <v>138</v>
      </c>
      <c r="E47" s="11" t="s">
        <v>130</v>
      </c>
      <c r="F47" s="11">
        <v>327</v>
      </c>
      <c r="G47" s="18" t="s">
        <v>134</v>
      </c>
      <c r="H47" s="11"/>
      <c r="I47" s="11"/>
      <c r="J47" s="11" t="s">
        <v>63</v>
      </c>
      <c r="K47" s="11" t="s">
        <v>130</v>
      </c>
      <c r="L47" s="11">
        <v>9</v>
      </c>
      <c r="M47" s="18" t="s">
        <v>136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spans="1:29" x14ac:dyDescent="0.25">
      <c r="A48" s="11" t="s">
        <v>126</v>
      </c>
      <c r="B48" s="20" t="s">
        <v>171</v>
      </c>
      <c r="C48" s="13" t="s">
        <v>157</v>
      </c>
      <c r="D48" s="11" t="s">
        <v>138</v>
      </c>
      <c r="E48" s="11" t="s">
        <v>130</v>
      </c>
      <c r="F48" s="11">
        <v>328</v>
      </c>
      <c r="G48" s="18" t="s">
        <v>134</v>
      </c>
      <c r="H48" s="11"/>
      <c r="I48" s="11"/>
      <c r="J48" s="11" t="s">
        <v>63</v>
      </c>
      <c r="K48" s="11" t="s">
        <v>130</v>
      </c>
      <c r="L48" s="11">
        <v>9</v>
      </c>
      <c r="M48" s="18" t="s">
        <v>136</v>
      </c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spans="1:29" x14ac:dyDescent="0.25">
      <c r="A49" s="11" t="s">
        <v>126</v>
      </c>
      <c r="B49" s="20" t="s">
        <v>171</v>
      </c>
      <c r="C49" s="13" t="s">
        <v>157</v>
      </c>
      <c r="D49" s="11" t="s">
        <v>138</v>
      </c>
      <c r="E49" s="11" t="s">
        <v>130</v>
      </c>
      <c r="F49" s="11">
        <v>329</v>
      </c>
      <c r="G49" s="18" t="s">
        <v>134</v>
      </c>
      <c r="H49" s="11"/>
      <c r="I49" s="11"/>
      <c r="J49" s="11" t="s">
        <v>63</v>
      </c>
      <c r="K49" s="11" t="s">
        <v>130</v>
      </c>
      <c r="L49" s="11">
        <v>9</v>
      </c>
      <c r="M49" s="18" t="s">
        <v>136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spans="1:29" x14ac:dyDescent="0.25">
      <c r="A50" s="11" t="s">
        <v>126</v>
      </c>
      <c r="B50" s="20" t="s">
        <v>171</v>
      </c>
      <c r="C50" s="13" t="s">
        <v>157</v>
      </c>
      <c r="D50" s="11" t="s">
        <v>138</v>
      </c>
      <c r="E50" s="11" t="s">
        <v>130</v>
      </c>
      <c r="F50" s="11">
        <v>330</v>
      </c>
      <c r="G50" s="18" t="s">
        <v>134</v>
      </c>
      <c r="H50" s="11"/>
      <c r="I50" s="11"/>
      <c r="J50" s="11" t="s">
        <v>63</v>
      </c>
      <c r="K50" s="11" t="s">
        <v>130</v>
      </c>
      <c r="L50" s="11">
        <v>9</v>
      </c>
      <c r="M50" s="18" t="s">
        <v>136</v>
      </c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spans="1:29" x14ac:dyDescent="0.25">
      <c r="A51" s="11" t="s">
        <v>126</v>
      </c>
      <c r="B51" s="20" t="s">
        <v>171</v>
      </c>
      <c r="C51" s="13" t="s">
        <v>158</v>
      </c>
      <c r="D51" s="11" t="s">
        <v>138</v>
      </c>
      <c r="E51" s="11" t="s">
        <v>130</v>
      </c>
      <c r="F51" s="11">
        <v>335</v>
      </c>
      <c r="G51" s="18" t="s">
        <v>134</v>
      </c>
      <c r="H51" s="11"/>
      <c r="I51" s="11"/>
      <c r="J51" s="11" t="s">
        <v>63</v>
      </c>
      <c r="K51" s="11" t="s">
        <v>130</v>
      </c>
      <c r="L51" s="11">
        <v>4</v>
      </c>
      <c r="M51" s="18" t="s">
        <v>136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spans="1:29" x14ac:dyDescent="0.25">
      <c r="A52" s="11" t="s">
        <v>126</v>
      </c>
      <c r="B52" s="20" t="s">
        <v>171</v>
      </c>
      <c r="C52" s="13" t="s">
        <v>158</v>
      </c>
      <c r="D52" s="11" t="s">
        <v>138</v>
      </c>
      <c r="E52" s="11" t="s">
        <v>130</v>
      </c>
      <c r="F52" s="11">
        <v>336</v>
      </c>
      <c r="G52" s="18" t="s">
        <v>134</v>
      </c>
      <c r="H52" s="11"/>
      <c r="I52" s="11"/>
      <c r="J52" s="11" t="s">
        <v>63</v>
      </c>
      <c r="K52" s="11" t="s">
        <v>130</v>
      </c>
      <c r="L52" s="11">
        <v>4</v>
      </c>
      <c r="M52" s="18" t="s">
        <v>136</v>
      </c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spans="1:29" x14ac:dyDescent="0.25">
      <c r="A53" s="11" t="s">
        <v>126</v>
      </c>
      <c r="B53" s="20" t="s">
        <v>171</v>
      </c>
      <c r="C53" s="13" t="s">
        <v>159</v>
      </c>
      <c r="D53" s="11" t="s">
        <v>138</v>
      </c>
      <c r="E53" s="11" t="s">
        <v>130</v>
      </c>
      <c r="F53" s="11">
        <v>331</v>
      </c>
      <c r="G53" s="18" t="s">
        <v>134</v>
      </c>
      <c r="H53" s="11"/>
      <c r="I53" s="11"/>
      <c r="J53" s="11" t="s">
        <v>63</v>
      </c>
      <c r="K53" s="11" t="s">
        <v>130</v>
      </c>
      <c r="L53" s="11">
        <v>4</v>
      </c>
      <c r="M53" s="18" t="s">
        <v>136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spans="1:29" x14ac:dyDescent="0.25">
      <c r="A54" s="11" t="s">
        <v>126</v>
      </c>
      <c r="B54" s="20" t="s">
        <v>172</v>
      </c>
      <c r="C54" s="13" t="s">
        <v>160</v>
      </c>
      <c r="D54" s="11" t="s">
        <v>137</v>
      </c>
      <c r="E54" s="11" t="s">
        <v>130</v>
      </c>
      <c r="F54" s="11">
        <v>102</v>
      </c>
      <c r="G54" s="18" t="s">
        <v>134</v>
      </c>
      <c r="H54" s="11"/>
      <c r="I54" s="11"/>
      <c r="J54" s="11" t="s">
        <v>129</v>
      </c>
      <c r="K54" s="11" t="s">
        <v>125</v>
      </c>
      <c r="L54" s="11" t="s">
        <v>131</v>
      </c>
      <c r="M54" s="18" t="s">
        <v>146</v>
      </c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 spans="1:29" x14ac:dyDescent="0.25">
      <c r="A55" s="11" t="s">
        <v>126</v>
      </c>
      <c r="B55" s="20" t="s">
        <v>172</v>
      </c>
      <c r="C55" s="13" t="s">
        <v>161</v>
      </c>
      <c r="D55" s="11" t="s">
        <v>137</v>
      </c>
      <c r="E55" s="11" t="s">
        <v>130</v>
      </c>
      <c r="F55" s="11">
        <v>117</v>
      </c>
      <c r="G55" s="18" t="s">
        <v>134</v>
      </c>
      <c r="H55" s="11"/>
      <c r="I55" s="11"/>
      <c r="J55" s="11" t="s">
        <v>129</v>
      </c>
      <c r="K55" s="11" t="s">
        <v>125</v>
      </c>
      <c r="L55" s="11" t="s">
        <v>132</v>
      </c>
      <c r="M55" s="18" t="s">
        <v>146</v>
      </c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spans="1:29" x14ac:dyDescent="0.25">
      <c r="A56" s="11" t="s">
        <v>126</v>
      </c>
      <c r="B56" s="20" t="s">
        <v>172</v>
      </c>
      <c r="C56" s="13" t="s">
        <v>161</v>
      </c>
      <c r="D56" s="11" t="s">
        <v>137</v>
      </c>
      <c r="E56" s="11" t="s">
        <v>130</v>
      </c>
      <c r="F56" s="11">
        <v>132</v>
      </c>
      <c r="G56" s="18" t="s">
        <v>134</v>
      </c>
      <c r="H56" s="11"/>
      <c r="I56" s="11"/>
      <c r="J56" s="11" t="s">
        <v>129</v>
      </c>
      <c r="K56" s="11" t="s">
        <v>125</v>
      </c>
      <c r="L56" s="11" t="s">
        <v>132</v>
      </c>
      <c r="M56" s="18" t="s">
        <v>146</v>
      </c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spans="1:29" x14ac:dyDescent="0.25">
      <c r="A57" s="11" t="s">
        <v>126</v>
      </c>
      <c r="B57" s="20" t="s">
        <v>172</v>
      </c>
      <c r="C57" s="13" t="s">
        <v>161</v>
      </c>
      <c r="D57" s="11" t="s">
        <v>137</v>
      </c>
      <c r="E57" s="11" t="s">
        <v>130</v>
      </c>
      <c r="F57" s="11">
        <v>134</v>
      </c>
      <c r="G57" s="18" t="s">
        <v>134</v>
      </c>
      <c r="H57" s="11"/>
      <c r="I57" s="11"/>
      <c r="J57" s="11" t="s">
        <v>129</v>
      </c>
      <c r="K57" s="11" t="s">
        <v>125</v>
      </c>
      <c r="L57" s="11" t="s">
        <v>132</v>
      </c>
      <c r="M57" s="18" t="s">
        <v>146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spans="1:29" x14ac:dyDescent="0.25">
      <c r="A58" s="11" t="s">
        <v>126</v>
      </c>
      <c r="B58" s="20" t="s">
        <v>172</v>
      </c>
      <c r="C58" s="13" t="s">
        <v>161</v>
      </c>
      <c r="D58" s="11" t="s">
        <v>137</v>
      </c>
      <c r="E58" s="11" t="s">
        <v>130</v>
      </c>
      <c r="F58" s="11">
        <v>135</v>
      </c>
      <c r="G58" s="18" t="s">
        <v>134</v>
      </c>
      <c r="H58" s="11"/>
      <c r="I58" s="11"/>
      <c r="J58" s="11" t="s">
        <v>129</v>
      </c>
      <c r="K58" s="11" t="s">
        <v>125</v>
      </c>
      <c r="L58" s="11" t="s">
        <v>132</v>
      </c>
      <c r="M58" s="18" t="s">
        <v>146</v>
      </c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spans="1:29" x14ac:dyDescent="0.25">
      <c r="A59" s="11" t="s">
        <v>126</v>
      </c>
      <c r="B59" s="20" t="s">
        <v>172</v>
      </c>
      <c r="C59" s="13" t="s">
        <v>161</v>
      </c>
      <c r="D59" s="11" t="s">
        <v>137</v>
      </c>
      <c r="E59" s="11" t="s">
        <v>130</v>
      </c>
      <c r="F59" s="11">
        <v>139</v>
      </c>
      <c r="G59" s="18" t="s">
        <v>134</v>
      </c>
      <c r="H59" s="11"/>
      <c r="I59" s="11"/>
      <c r="J59" s="11" t="s">
        <v>129</v>
      </c>
      <c r="K59" s="11" t="s">
        <v>125</v>
      </c>
      <c r="L59" s="11" t="s">
        <v>132</v>
      </c>
      <c r="M59" s="18" t="s">
        <v>146</v>
      </c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spans="1:29" x14ac:dyDescent="0.25">
      <c r="A60" s="11" t="s">
        <v>126</v>
      </c>
      <c r="B60" s="20" t="s">
        <v>172</v>
      </c>
      <c r="C60" s="13" t="s">
        <v>161</v>
      </c>
      <c r="D60" s="11" t="s">
        <v>137</v>
      </c>
      <c r="E60" s="11" t="s">
        <v>130</v>
      </c>
      <c r="F60" s="11">
        <v>140</v>
      </c>
      <c r="G60" s="18" t="s">
        <v>134</v>
      </c>
      <c r="H60" s="11"/>
      <c r="I60" s="11"/>
      <c r="J60" s="11" t="s">
        <v>129</v>
      </c>
      <c r="K60" s="11" t="s">
        <v>125</v>
      </c>
      <c r="L60" s="11" t="s">
        <v>132</v>
      </c>
      <c r="M60" s="18" t="s">
        <v>146</v>
      </c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spans="1:29" x14ac:dyDescent="0.25">
      <c r="A61" s="11" t="s">
        <v>126</v>
      </c>
      <c r="B61" s="20" t="s">
        <v>172</v>
      </c>
      <c r="C61" s="13" t="s">
        <v>161</v>
      </c>
      <c r="D61" s="11" t="s">
        <v>137</v>
      </c>
      <c r="E61" s="11" t="s">
        <v>130</v>
      </c>
      <c r="F61" s="11">
        <v>154</v>
      </c>
      <c r="G61" s="18" t="s">
        <v>134</v>
      </c>
      <c r="H61" s="11"/>
      <c r="I61" s="11"/>
      <c r="J61" s="11" t="s">
        <v>129</v>
      </c>
      <c r="K61" s="11" t="s">
        <v>125</v>
      </c>
      <c r="L61" s="11" t="s">
        <v>132</v>
      </c>
      <c r="M61" s="18" t="s">
        <v>146</v>
      </c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spans="1:29" x14ac:dyDescent="0.25">
      <c r="A62" s="11" t="s">
        <v>126</v>
      </c>
      <c r="B62" s="20" t="s">
        <v>172</v>
      </c>
      <c r="C62" s="13" t="s">
        <v>161</v>
      </c>
      <c r="D62" s="11" t="s">
        <v>137</v>
      </c>
      <c r="E62" s="11" t="s">
        <v>130</v>
      </c>
      <c r="F62" s="11">
        <v>155</v>
      </c>
      <c r="G62" s="18" t="s">
        <v>134</v>
      </c>
      <c r="H62" s="11"/>
      <c r="I62" s="11"/>
      <c r="J62" s="11" t="s">
        <v>129</v>
      </c>
      <c r="K62" s="11" t="s">
        <v>125</v>
      </c>
      <c r="L62" s="11" t="s">
        <v>132</v>
      </c>
      <c r="M62" s="18" t="s">
        <v>146</v>
      </c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spans="1:29" x14ac:dyDescent="0.25">
      <c r="A63" s="11" t="s">
        <v>126</v>
      </c>
      <c r="B63" s="20" t="s">
        <v>172</v>
      </c>
      <c r="C63" s="13" t="s">
        <v>161</v>
      </c>
      <c r="D63" s="11" t="s">
        <v>137</v>
      </c>
      <c r="E63" s="11" t="s">
        <v>130</v>
      </c>
      <c r="F63" s="11">
        <v>156</v>
      </c>
      <c r="G63" s="18" t="s">
        <v>134</v>
      </c>
      <c r="H63" s="11"/>
      <c r="I63" s="11"/>
      <c r="J63" s="11" t="s">
        <v>129</v>
      </c>
      <c r="K63" s="11" t="s">
        <v>125</v>
      </c>
      <c r="L63" s="11" t="s">
        <v>132</v>
      </c>
      <c r="M63" s="18" t="s">
        <v>146</v>
      </c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spans="1:29" x14ac:dyDescent="0.25">
      <c r="A64" s="11" t="s">
        <v>126</v>
      </c>
      <c r="B64" s="20" t="s">
        <v>172</v>
      </c>
      <c r="C64" s="13" t="s">
        <v>173</v>
      </c>
      <c r="D64" s="11" t="s">
        <v>137</v>
      </c>
      <c r="E64" s="11" t="s">
        <v>130</v>
      </c>
      <c r="F64" s="11">
        <v>112</v>
      </c>
      <c r="G64" s="18" t="s">
        <v>134</v>
      </c>
      <c r="H64" s="11"/>
      <c r="I64" s="11"/>
      <c r="J64" t="s">
        <v>127</v>
      </c>
      <c r="K64" s="11" t="s">
        <v>125</v>
      </c>
      <c r="L64" s="11" t="s">
        <v>128</v>
      </c>
      <c r="M64" s="18" t="s">
        <v>134</v>
      </c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 spans="1:29" x14ac:dyDescent="0.25">
      <c r="A65" s="11" t="s">
        <v>126</v>
      </c>
      <c r="B65" s="20" t="s">
        <v>6</v>
      </c>
      <c r="C65" s="13" t="s">
        <v>179</v>
      </c>
      <c r="D65" s="11" t="s">
        <v>138</v>
      </c>
      <c r="E65" s="11" t="s">
        <v>130</v>
      </c>
      <c r="F65" s="11">
        <v>301</v>
      </c>
      <c r="G65" s="18" t="s">
        <v>134</v>
      </c>
      <c r="H65" s="11"/>
      <c r="I65" s="11"/>
      <c r="J65" s="11" t="s">
        <v>137</v>
      </c>
      <c r="K65" s="11" t="s">
        <v>123</v>
      </c>
      <c r="L65" s="11"/>
      <c r="M65" s="18" t="s">
        <v>174</v>
      </c>
      <c r="N65" s="11">
        <v>111</v>
      </c>
      <c r="O65" s="11">
        <v>115</v>
      </c>
      <c r="P65" s="11" t="s">
        <v>137</v>
      </c>
      <c r="Q65" s="18" t="s">
        <v>180</v>
      </c>
      <c r="R65" s="23" t="s">
        <v>181</v>
      </c>
      <c r="S65" s="18" t="s">
        <v>174</v>
      </c>
      <c r="T65" s="11"/>
      <c r="U65" s="11"/>
      <c r="V65" s="11" t="s">
        <v>137</v>
      </c>
      <c r="W65" s="11" t="s">
        <v>123</v>
      </c>
      <c r="X65" s="11"/>
      <c r="Y65" s="18" t="s">
        <v>174</v>
      </c>
      <c r="Z65" s="11">
        <v>191</v>
      </c>
      <c r="AA65" s="11">
        <v>194</v>
      </c>
      <c r="AB65" s="11"/>
      <c r="AC65" s="11"/>
    </row>
    <row r="66" spans="1:29" x14ac:dyDescent="0.25">
      <c r="A66" s="11" t="s">
        <v>126</v>
      </c>
      <c r="B66" s="20" t="s">
        <v>6</v>
      </c>
      <c r="C66" s="13" t="s">
        <v>179</v>
      </c>
      <c r="D66" s="11" t="s">
        <v>138</v>
      </c>
      <c r="E66" s="11" t="s">
        <v>130</v>
      </c>
      <c r="F66" s="11">
        <v>302</v>
      </c>
      <c r="G66" s="18" t="s">
        <v>134</v>
      </c>
      <c r="H66" s="11"/>
      <c r="I66" s="11"/>
      <c r="J66" s="11" t="s">
        <v>137</v>
      </c>
      <c r="K66" s="11" t="s">
        <v>123</v>
      </c>
      <c r="L66" s="11"/>
      <c r="M66" s="18" t="s">
        <v>174</v>
      </c>
      <c r="N66" s="11">
        <v>111</v>
      </c>
      <c r="O66" s="11">
        <v>115</v>
      </c>
      <c r="P66" s="11" t="s">
        <v>137</v>
      </c>
      <c r="Q66" s="18" t="s">
        <v>180</v>
      </c>
      <c r="R66" s="23" t="s">
        <v>181</v>
      </c>
      <c r="S66" s="18" t="s">
        <v>174</v>
      </c>
      <c r="T66" s="11"/>
      <c r="U66" s="11"/>
      <c r="V66" s="11" t="s">
        <v>137</v>
      </c>
      <c r="W66" s="11" t="s">
        <v>123</v>
      </c>
      <c r="X66" s="11"/>
      <c r="Y66" s="18" t="s">
        <v>174</v>
      </c>
      <c r="Z66" s="11">
        <v>191</v>
      </c>
      <c r="AA66" s="11">
        <v>194</v>
      </c>
      <c r="AB66" s="11"/>
      <c r="AC66" s="11"/>
    </row>
    <row r="67" spans="1:29" x14ac:dyDescent="0.25">
      <c r="A67" s="11" t="s">
        <v>126</v>
      </c>
      <c r="B67" s="20" t="s">
        <v>6</v>
      </c>
      <c r="C67" s="13" t="s">
        <v>179</v>
      </c>
      <c r="D67" s="11" t="s">
        <v>138</v>
      </c>
      <c r="E67" s="11" t="s">
        <v>130</v>
      </c>
      <c r="F67" s="11">
        <v>303</v>
      </c>
      <c r="G67" s="18" t="s">
        <v>134</v>
      </c>
      <c r="H67" s="11"/>
      <c r="I67" s="11"/>
      <c r="J67" s="11" t="s">
        <v>137</v>
      </c>
      <c r="K67" s="11" t="s">
        <v>123</v>
      </c>
      <c r="L67" s="11"/>
      <c r="M67" s="18" t="s">
        <v>174</v>
      </c>
      <c r="N67" s="11">
        <v>111</v>
      </c>
      <c r="O67" s="11">
        <v>115</v>
      </c>
      <c r="P67" s="11" t="s">
        <v>137</v>
      </c>
      <c r="Q67" s="18" t="s">
        <v>180</v>
      </c>
      <c r="R67" s="23" t="s">
        <v>181</v>
      </c>
      <c r="S67" s="18" t="s">
        <v>174</v>
      </c>
      <c r="T67" s="11"/>
      <c r="U67" s="11"/>
      <c r="V67" s="11" t="s">
        <v>137</v>
      </c>
      <c r="W67" s="11" t="s">
        <v>123</v>
      </c>
      <c r="X67" s="11"/>
      <c r="Y67" s="18" t="s">
        <v>174</v>
      </c>
      <c r="Z67" s="11">
        <v>191</v>
      </c>
      <c r="AA67" s="11">
        <v>194</v>
      </c>
      <c r="AB67" s="11"/>
      <c r="AC67" s="11"/>
    </row>
    <row r="68" spans="1:29" x14ac:dyDescent="0.25">
      <c r="A68" s="11" t="s">
        <v>126</v>
      </c>
      <c r="B68" s="20" t="s">
        <v>6</v>
      </c>
      <c r="C68" s="13" t="s">
        <v>162</v>
      </c>
      <c r="D68" s="11" t="s">
        <v>138</v>
      </c>
      <c r="E68" s="11" t="s">
        <v>130</v>
      </c>
      <c r="F68" s="11">
        <v>321</v>
      </c>
      <c r="G68" s="18" t="s">
        <v>134</v>
      </c>
      <c r="H68" s="11"/>
      <c r="I68" s="11"/>
      <c r="J68" s="11" t="s">
        <v>137</v>
      </c>
      <c r="K68" s="11" t="s">
        <v>123</v>
      </c>
      <c r="L68" s="11"/>
      <c r="M68" s="18" t="s">
        <v>182</v>
      </c>
      <c r="N68" s="11">
        <v>101</v>
      </c>
      <c r="O68" s="11">
        <v>104</v>
      </c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spans="1:29" x14ac:dyDescent="0.25">
      <c r="A69" s="11" t="s">
        <v>126</v>
      </c>
      <c r="B69" s="20" t="s">
        <v>6</v>
      </c>
      <c r="C69" s="13" t="s">
        <v>162</v>
      </c>
      <c r="D69" s="11" t="s">
        <v>138</v>
      </c>
      <c r="E69" s="11" t="s">
        <v>130</v>
      </c>
      <c r="F69" s="11">
        <v>322</v>
      </c>
      <c r="G69" s="18" t="s">
        <v>134</v>
      </c>
      <c r="H69" s="11"/>
      <c r="I69" s="11"/>
      <c r="J69" s="11" t="s">
        <v>137</v>
      </c>
      <c r="K69" s="11" t="s">
        <v>123</v>
      </c>
      <c r="L69" s="11"/>
      <c r="M69" s="18" t="s">
        <v>182</v>
      </c>
      <c r="N69" s="11">
        <v>101</v>
      </c>
      <c r="O69" s="11">
        <v>104</v>
      </c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spans="1:29" x14ac:dyDescent="0.25">
      <c r="A70" s="11" t="s">
        <v>126</v>
      </c>
      <c r="B70" s="20" t="s">
        <v>6</v>
      </c>
      <c r="C70" s="13" t="s">
        <v>162</v>
      </c>
      <c r="D70" s="11" t="s">
        <v>138</v>
      </c>
      <c r="E70" s="11" t="s">
        <v>130</v>
      </c>
      <c r="F70" s="11">
        <v>323</v>
      </c>
      <c r="G70" s="18" t="s">
        <v>134</v>
      </c>
      <c r="H70" s="11"/>
      <c r="I70" s="11"/>
      <c r="J70" s="11" t="s">
        <v>137</v>
      </c>
      <c r="K70" s="11" t="s">
        <v>123</v>
      </c>
      <c r="L70" s="11"/>
      <c r="M70" s="18" t="s">
        <v>182</v>
      </c>
      <c r="N70" s="11">
        <v>101</v>
      </c>
      <c r="O70" s="11">
        <v>104</v>
      </c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spans="1:29" x14ac:dyDescent="0.25">
      <c r="A71" s="11" t="s">
        <v>126</v>
      </c>
      <c r="B71" s="20" t="s">
        <v>6</v>
      </c>
      <c r="C71" s="13" t="s">
        <v>162</v>
      </c>
      <c r="D71" s="11" t="s">
        <v>138</v>
      </c>
      <c r="E71" s="11" t="s">
        <v>130</v>
      </c>
      <c r="F71" s="11">
        <v>324</v>
      </c>
      <c r="G71" s="18" t="s">
        <v>134</v>
      </c>
      <c r="H71" s="11"/>
      <c r="I71" s="11"/>
      <c r="J71" s="11" t="s">
        <v>137</v>
      </c>
      <c r="K71" s="11" t="s">
        <v>123</v>
      </c>
      <c r="L71" s="11"/>
      <c r="M71" s="18" t="s">
        <v>182</v>
      </c>
      <c r="N71" s="11">
        <v>101</v>
      </c>
      <c r="O71" s="11">
        <v>104</v>
      </c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spans="1:29" x14ac:dyDescent="0.25">
      <c r="A72" s="11" t="s">
        <v>126</v>
      </c>
      <c r="B72" s="20" t="s">
        <v>6</v>
      </c>
      <c r="C72" s="13" t="s">
        <v>162</v>
      </c>
      <c r="D72" s="11" t="s">
        <v>138</v>
      </c>
      <c r="E72" s="11" t="s">
        <v>130</v>
      </c>
      <c r="F72" s="11">
        <v>325</v>
      </c>
      <c r="G72" s="18" t="s">
        <v>134</v>
      </c>
      <c r="H72" s="11"/>
      <c r="I72" s="11"/>
      <c r="J72" s="11" t="s">
        <v>137</v>
      </c>
      <c r="K72" s="11" t="s">
        <v>123</v>
      </c>
      <c r="L72" s="11"/>
      <c r="M72" s="18" t="s">
        <v>182</v>
      </c>
      <c r="N72" s="11">
        <v>101</v>
      </c>
      <c r="O72" s="11">
        <v>104</v>
      </c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 spans="1:29" x14ac:dyDescent="0.25">
      <c r="A73" s="11" t="s">
        <v>126</v>
      </c>
      <c r="B73" s="20" t="s">
        <v>6</v>
      </c>
      <c r="C73" s="13" t="s">
        <v>162</v>
      </c>
      <c r="D73" s="11" t="s">
        <v>138</v>
      </c>
      <c r="E73" s="11" t="s">
        <v>130</v>
      </c>
      <c r="F73" s="11">
        <v>326</v>
      </c>
      <c r="G73" s="18" t="s">
        <v>134</v>
      </c>
      <c r="H73" s="11"/>
      <c r="I73" s="11"/>
      <c r="J73" s="11" t="s">
        <v>137</v>
      </c>
      <c r="K73" s="11" t="s">
        <v>123</v>
      </c>
      <c r="L73" s="11"/>
      <c r="M73" s="18" t="s">
        <v>182</v>
      </c>
      <c r="N73" s="11">
        <v>101</v>
      </c>
      <c r="O73" s="11">
        <v>104</v>
      </c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 spans="1:29" x14ac:dyDescent="0.25">
      <c r="A74" s="11" t="s">
        <v>126</v>
      </c>
      <c r="B74" s="20" t="s">
        <v>6</v>
      </c>
      <c r="C74" s="13" t="s">
        <v>162</v>
      </c>
      <c r="D74" s="11" t="s">
        <v>138</v>
      </c>
      <c r="E74" s="11" t="s">
        <v>130</v>
      </c>
      <c r="F74" s="11">
        <v>327</v>
      </c>
      <c r="G74" s="18" t="s">
        <v>134</v>
      </c>
      <c r="H74" s="11"/>
      <c r="I74" s="11"/>
      <c r="J74" s="11" t="s">
        <v>137</v>
      </c>
      <c r="K74" s="11" t="s">
        <v>123</v>
      </c>
      <c r="L74" s="11"/>
      <c r="M74" s="18" t="s">
        <v>182</v>
      </c>
      <c r="N74" s="11">
        <v>101</v>
      </c>
      <c r="O74" s="11">
        <v>104</v>
      </c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 spans="1:29" x14ac:dyDescent="0.25">
      <c r="A75" s="11" t="s">
        <v>126</v>
      </c>
      <c r="B75" s="20" t="s">
        <v>6</v>
      </c>
      <c r="C75" s="13" t="s">
        <v>162</v>
      </c>
      <c r="D75" s="11" t="s">
        <v>138</v>
      </c>
      <c r="E75" s="11" t="s">
        <v>130</v>
      </c>
      <c r="F75" s="11">
        <v>328</v>
      </c>
      <c r="G75" s="18" t="s">
        <v>134</v>
      </c>
      <c r="H75" s="11"/>
      <c r="I75" s="11"/>
      <c r="J75" s="11" t="s">
        <v>137</v>
      </c>
      <c r="K75" s="11" t="s">
        <v>123</v>
      </c>
      <c r="L75" s="11"/>
      <c r="M75" s="18" t="s">
        <v>182</v>
      </c>
      <c r="N75" s="11">
        <v>101</v>
      </c>
      <c r="O75" s="11">
        <v>104</v>
      </c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 spans="1:29" x14ac:dyDescent="0.25">
      <c r="A76" s="11" t="s">
        <v>126</v>
      </c>
      <c r="B76" s="20" t="s">
        <v>6</v>
      </c>
      <c r="C76" s="13" t="s">
        <v>162</v>
      </c>
      <c r="D76" s="11" t="s">
        <v>138</v>
      </c>
      <c r="E76" s="11" t="s">
        <v>130</v>
      </c>
      <c r="F76" s="11">
        <v>329</v>
      </c>
      <c r="G76" s="18" t="s">
        <v>134</v>
      </c>
      <c r="H76" s="11"/>
      <c r="I76" s="11"/>
      <c r="J76" s="11" t="s">
        <v>137</v>
      </c>
      <c r="K76" s="11" t="s">
        <v>123</v>
      </c>
      <c r="L76" s="11"/>
      <c r="M76" s="18" t="s">
        <v>182</v>
      </c>
      <c r="N76" s="11">
        <v>101</v>
      </c>
      <c r="O76" s="11">
        <v>104</v>
      </c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 spans="1:29" x14ac:dyDescent="0.25">
      <c r="A77" s="11" t="s">
        <v>126</v>
      </c>
      <c r="B77" s="20" t="s">
        <v>6</v>
      </c>
      <c r="C77" s="13" t="s">
        <v>162</v>
      </c>
      <c r="D77" s="11" t="s">
        <v>138</v>
      </c>
      <c r="E77" s="11" t="s">
        <v>130</v>
      </c>
      <c r="F77" s="11">
        <v>330</v>
      </c>
      <c r="G77" s="18" t="s">
        <v>134</v>
      </c>
      <c r="H77" s="11"/>
      <c r="I77" s="11"/>
      <c r="J77" s="11" t="s">
        <v>137</v>
      </c>
      <c r="K77" s="11" t="s">
        <v>123</v>
      </c>
      <c r="L77" s="11"/>
      <c r="M77" s="18" t="s">
        <v>182</v>
      </c>
      <c r="N77" s="11">
        <v>101</v>
      </c>
      <c r="O77" s="11">
        <v>104</v>
      </c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spans="1:29" x14ac:dyDescent="0.25">
      <c r="A78" s="11" t="s">
        <v>126</v>
      </c>
      <c r="B78" s="20" t="s">
        <v>6</v>
      </c>
      <c r="C78" s="13" t="s">
        <v>175</v>
      </c>
      <c r="D78" s="11" t="s">
        <v>138</v>
      </c>
      <c r="E78" s="11" t="s">
        <v>130</v>
      </c>
      <c r="F78" s="11">
        <v>318</v>
      </c>
      <c r="G78" s="18" t="s">
        <v>134</v>
      </c>
      <c r="H78" s="11"/>
      <c r="I78" s="11"/>
      <c r="J78" s="11" t="s">
        <v>137</v>
      </c>
      <c r="K78" s="11" t="s">
        <v>123</v>
      </c>
      <c r="L78" s="11"/>
      <c r="M78" s="18" t="s">
        <v>182</v>
      </c>
      <c r="N78" s="11">
        <v>101</v>
      </c>
      <c r="O78" s="11">
        <v>104</v>
      </c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 spans="1:29" x14ac:dyDescent="0.25">
      <c r="A79" s="11" t="s">
        <v>126</v>
      </c>
      <c r="B79" s="20" t="s">
        <v>6</v>
      </c>
      <c r="C79" s="13" t="s">
        <v>176</v>
      </c>
      <c r="D79" s="11" t="s">
        <v>138</v>
      </c>
      <c r="E79" s="11" t="s">
        <v>130</v>
      </c>
      <c r="F79" s="11">
        <v>318</v>
      </c>
      <c r="G79" s="18" t="s">
        <v>134</v>
      </c>
      <c r="H79" s="11"/>
      <c r="I79" s="11"/>
      <c r="J79" s="21" t="s">
        <v>137</v>
      </c>
      <c r="K79" s="11" t="s">
        <v>123</v>
      </c>
      <c r="L79" s="11"/>
      <c r="M79" s="18" t="s">
        <v>182</v>
      </c>
      <c r="N79" s="11">
        <v>191</v>
      </c>
      <c r="O79" s="11">
        <v>194</v>
      </c>
      <c r="P79" s="2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 spans="1:29" x14ac:dyDescent="0.25">
      <c r="A80" s="11" t="s">
        <v>126</v>
      </c>
      <c r="B80" s="20" t="s">
        <v>177</v>
      </c>
      <c r="C80" s="13" t="s">
        <v>178</v>
      </c>
      <c r="D80" s="11" t="s">
        <v>137</v>
      </c>
      <c r="E80" s="11" t="s">
        <v>130</v>
      </c>
      <c r="F80" s="11">
        <v>191</v>
      </c>
      <c r="G80" s="18" t="s">
        <v>134</v>
      </c>
      <c r="H80" s="11"/>
      <c r="I80" s="11"/>
      <c r="J80" s="11" t="s">
        <v>140</v>
      </c>
      <c r="K80" s="11" t="s">
        <v>124</v>
      </c>
      <c r="L80" s="22">
        <v>25000</v>
      </c>
      <c r="M80" s="18" t="s">
        <v>135</v>
      </c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spans="1:29" x14ac:dyDescent="0.25">
      <c r="A81" s="11" t="s">
        <v>126</v>
      </c>
      <c r="B81" s="20" t="s">
        <v>177</v>
      </c>
      <c r="C81" s="13" t="s">
        <v>178</v>
      </c>
      <c r="D81" s="11" t="s">
        <v>137</v>
      </c>
      <c r="E81" s="11" t="s">
        <v>130</v>
      </c>
      <c r="F81" s="11">
        <v>192</v>
      </c>
      <c r="G81" s="18" t="s">
        <v>134</v>
      </c>
      <c r="H81" s="11"/>
      <c r="I81" s="11"/>
      <c r="J81" s="8" t="s">
        <v>140</v>
      </c>
      <c r="K81" s="11" t="s">
        <v>124</v>
      </c>
      <c r="L81" s="22">
        <v>25000</v>
      </c>
      <c r="M81" s="18" t="s">
        <v>135</v>
      </c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spans="1:29" x14ac:dyDescent="0.25">
      <c r="A82" s="11" t="s">
        <v>126</v>
      </c>
      <c r="B82" s="20" t="s">
        <v>177</v>
      </c>
      <c r="C82" s="13" t="s">
        <v>178</v>
      </c>
      <c r="D82" s="11" t="s">
        <v>137</v>
      </c>
      <c r="E82" s="11" t="s">
        <v>130</v>
      </c>
      <c r="F82" s="11">
        <v>193</v>
      </c>
      <c r="G82" s="18" t="s">
        <v>134</v>
      </c>
      <c r="H82" s="11"/>
      <c r="I82" s="11"/>
      <c r="J82" s="8" t="s">
        <v>140</v>
      </c>
      <c r="K82" s="11" t="s">
        <v>124</v>
      </c>
      <c r="L82" s="22">
        <v>25000</v>
      </c>
      <c r="M82" s="18" t="s">
        <v>135</v>
      </c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spans="1:29" x14ac:dyDescent="0.25">
      <c r="A83" s="11" t="s">
        <v>126</v>
      </c>
      <c r="B83" s="20" t="s">
        <v>177</v>
      </c>
      <c r="C83" s="13" t="s">
        <v>178</v>
      </c>
      <c r="D83" s="11" t="s">
        <v>137</v>
      </c>
      <c r="E83" s="11" t="s">
        <v>130</v>
      </c>
      <c r="F83" s="11">
        <v>194</v>
      </c>
      <c r="G83" s="18" t="s">
        <v>134</v>
      </c>
      <c r="H83" s="11"/>
      <c r="I83" s="11"/>
      <c r="J83" s="8" t="s">
        <v>140</v>
      </c>
      <c r="K83" s="11" t="s">
        <v>124</v>
      </c>
      <c r="L83" s="22">
        <v>25000</v>
      </c>
      <c r="M83" s="18" t="s">
        <v>135</v>
      </c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spans="1:29" x14ac:dyDescent="0.25">
      <c r="B84" t="s">
        <v>126</v>
      </c>
      <c r="C84" s="6"/>
      <c r="D84" s="13"/>
      <c r="H84" s="10"/>
    </row>
    <row r="85" spans="1:29" x14ac:dyDescent="0.25">
      <c r="B85" t="s">
        <v>126</v>
      </c>
      <c r="C85" s="6"/>
      <c r="D85" s="13"/>
      <c r="H85" s="10"/>
    </row>
    <row r="86" spans="1:29" x14ac:dyDescent="0.25">
      <c r="B86" t="s">
        <v>126</v>
      </c>
      <c r="C86" s="6"/>
      <c r="D86" s="13"/>
      <c r="H86" s="10"/>
    </row>
    <row r="87" spans="1:29" x14ac:dyDescent="0.25">
      <c r="B87" t="s">
        <v>126</v>
      </c>
      <c r="C87" s="6"/>
      <c r="D87" s="13"/>
      <c r="H87" s="10"/>
    </row>
    <row r="88" spans="1:29" x14ac:dyDescent="0.25">
      <c r="B88" t="s">
        <v>126</v>
      </c>
      <c r="C88" s="6"/>
      <c r="D88" s="13"/>
      <c r="H88" s="10"/>
      <c r="K88" s="5"/>
      <c r="Q88" s="5"/>
    </row>
    <row r="89" spans="1:29" x14ac:dyDescent="0.25">
      <c r="B89" t="s">
        <v>126</v>
      </c>
      <c r="C89" s="6"/>
      <c r="D89" s="4"/>
      <c r="H89" s="10"/>
      <c r="M89" s="9"/>
      <c r="N89" s="10"/>
    </row>
    <row r="90" spans="1:29" x14ac:dyDescent="0.25">
      <c r="B90" t="s">
        <v>126</v>
      </c>
      <c r="C90" s="6"/>
      <c r="D90" s="4"/>
      <c r="H90" s="10"/>
      <c r="K90" s="8"/>
      <c r="M90" s="9"/>
      <c r="N90" s="10"/>
    </row>
    <row r="91" spans="1:29" x14ac:dyDescent="0.25">
      <c r="B91" t="s">
        <v>126</v>
      </c>
      <c r="C91" s="6"/>
      <c r="D91" s="4"/>
      <c r="H91" s="10"/>
      <c r="K91" s="8"/>
      <c r="M91" s="9"/>
      <c r="N91" s="10"/>
    </row>
    <row r="92" spans="1:29" x14ac:dyDescent="0.25">
      <c r="B92" t="s">
        <v>126</v>
      </c>
      <c r="C92" s="6"/>
      <c r="D92" s="4"/>
      <c r="H92" s="10"/>
      <c r="K92" s="8"/>
      <c r="M92" s="9"/>
      <c r="N92" s="10"/>
    </row>
    <row r="93" spans="1:29" x14ac:dyDescent="0.25">
      <c r="C93" s="6"/>
      <c r="D93" s="4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G75"/>
  <sheetViews>
    <sheetView tabSelected="1" zoomScale="85" zoomScaleNormal="85" workbookViewId="0">
      <selection activeCell="B25" sqref="B25"/>
    </sheetView>
  </sheetViews>
  <sheetFormatPr defaultRowHeight="15" x14ac:dyDescent="0.25"/>
  <cols>
    <col min="1" max="1" width="60.85546875" customWidth="1"/>
    <col min="2" max="2" width="140.85546875" style="2" customWidth="1"/>
    <col min="3" max="3" width="8.7109375" style="2" customWidth="1"/>
    <col min="4" max="4" width="7.85546875" customWidth="1"/>
    <col min="5" max="5" width="9.7109375" bestFit="1" customWidth="1"/>
    <col min="6" max="6" width="15" bestFit="1" customWidth="1"/>
    <col min="7" max="7" width="15.7109375" bestFit="1" customWidth="1"/>
    <col min="8" max="8" width="16" bestFit="1" customWidth="1"/>
    <col min="9" max="9" width="20.7109375" bestFit="1" customWidth="1"/>
    <col min="10" max="10" width="15.85546875" bestFit="1" customWidth="1"/>
    <col min="11" max="11" width="18.85546875" bestFit="1" customWidth="1"/>
    <col min="12" max="12" width="20" bestFit="1" customWidth="1"/>
    <col min="13" max="13" width="20.28515625" bestFit="1" customWidth="1"/>
    <col min="14" max="14" width="16" bestFit="1" customWidth="1"/>
    <col min="15" max="15" width="20.7109375" bestFit="1" customWidth="1"/>
    <col min="16" max="16" width="15.85546875" bestFit="1" customWidth="1"/>
    <col min="17" max="17" width="18.85546875" bestFit="1" customWidth="1"/>
    <col min="18" max="18" width="20" bestFit="1" customWidth="1"/>
    <col min="19" max="19" width="20.28515625" bestFit="1" customWidth="1"/>
    <col min="20" max="20" width="16" bestFit="1" customWidth="1"/>
    <col min="21" max="21" width="20.7109375" bestFit="1" customWidth="1"/>
    <col min="22" max="22" width="15.85546875" bestFit="1" customWidth="1"/>
    <col min="23" max="23" width="18.85546875" bestFit="1" customWidth="1"/>
    <col min="24" max="24" width="20" bestFit="1" customWidth="1"/>
    <col min="25" max="25" width="20.28515625" bestFit="1" customWidth="1"/>
    <col min="26" max="26" width="16" bestFit="1" customWidth="1"/>
    <col min="27" max="27" width="20.7109375" bestFit="1" customWidth="1"/>
    <col min="28" max="28" width="15.85546875" bestFit="1" customWidth="1"/>
    <col min="29" max="29" width="18.85546875" bestFit="1" customWidth="1"/>
    <col min="30" max="30" width="20" bestFit="1" customWidth="1"/>
    <col min="31" max="31" width="20.28515625" bestFit="1" customWidth="1"/>
    <col min="32" max="32" width="14" bestFit="1" customWidth="1"/>
    <col min="33" max="33" width="9.7109375" bestFit="1" customWidth="1"/>
  </cols>
  <sheetData>
    <row r="1" spans="1:33" x14ac:dyDescent="0.25">
      <c r="A1" s="12" t="s">
        <v>0</v>
      </c>
      <c r="B1" s="12" t="s">
        <v>1</v>
      </c>
      <c r="C1" s="12"/>
      <c r="D1" s="12" t="s">
        <v>94</v>
      </c>
      <c r="E1" s="12" t="s">
        <v>95</v>
      </c>
      <c r="F1" s="12" t="s">
        <v>96</v>
      </c>
      <c r="G1" s="12" t="s">
        <v>1</v>
      </c>
      <c r="H1" s="12" t="s">
        <v>97</v>
      </c>
      <c r="I1" s="12" t="s">
        <v>98</v>
      </c>
      <c r="J1" s="12" t="s">
        <v>99</v>
      </c>
      <c r="K1" s="12" t="s">
        <v>100</v>
      </c>
      <c r="L1" s="12" t="s">
        <v>101</v>
      </c>
      <c r="M1" s="12" t="s">
        <v>102</v>
      </c>
      <c r="N1" s="12" t="s">
        <v>103</v>
      </c>
      <c r="O1" s="12" t="s">
        <v>104</v>
      </c>
      <c r="P1" s="12" t="s">
        <v>105</v>
      </c>
      <c r="Q1" s="12" t="s">
        <v>106</v>
      </c>
      <c r="R1" s="12" t="s">
        <v>107</v>
      </c>
      <c r="S1" s="12" t="s">
        <v>108</v>
      </c>
      <c r="T1" s="12" t="s">
        <v>109</v>
      </c>
      <c r="U1" s="12" t="s">
        <v>110</v>
      </c>
      <c r="V1" s="12" t="s">
        <v>111</v>
      </c>
      <c r="W1" s="12" t="s">
        <v>112</v>
      </c>
      <c r="X1" s="12" t="s">
        <v>113</v>
      </c>
      <c r="Y1" s="12" t="s">
        <v>114</v>
      </c>
      <c r="Z1" s="12" t="s">
        <v>115</v>
      </c>
      <c r="AA1" s="12" t="s">
        <v>116</v>
      </c>
      <c r="AB1" s="12" t="s">
        <v>117</v>
      </c>
      <c r="AC1" s="12" t="s">
        <v>118</v>
      </c>
      <c r="AD1" s="12" t="s">
        <v>119</v>
      </c>
      <c r="AE1" s="12" t="s">
        <v>120</v>
      </c>
      <c r="AF1" s="12" t="s">
        <v>121</v>
      </c>
      <c r="AG1" s="12" t="s">
        <v>122</v>
      </c>
    </row>
    <row r="2" spans="1:33" s="15" customFormat="1" x14ac:dyDescent="0.25">
      <c r="A2" s="14" t="s">
        <v>2</v>
      </c>
      <c r="B2" s="14" t="s">
        <v>3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15" customFormat="1" x14ac:dyDescent="0.25">
      <c r="A3" s="14" t="s">
        <v>2</v>
      </c>
      <c r="B3" s="14" t="s">
        <v>4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s="15" customFormat="1" x14ac:dyDescent="0.25">
      <c r="A4" s="14" t="s">
        <v>2</v>
      </c>
      <c r="B4" s="14" t="s">
        <v>5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spans="1:33" x14ac:dyDescent="0.25">
      <c r="A5" s="11" t="s">
        <v>6</v>
      </c>
      <c r="B5" s="11" t="s">
        <v>7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spans="1:33" s="15" customFormat="1" x14ac:dyDescent="0.25">
      <c r="A6" s="14" t="s">
        <v>6</v>
      </c>
      <c r="B6" s="14" t="s">
        <v>8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 spans="1:33" s="15" customFormat="1" x14ac:dyDescent="0.25">
      <c r="A7" s="14" t="s">
        <v>6</v>
      </c>
      <c r="B7" s="14" t="s">
        <v>9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 spans="1:33" x14ac:dyDescent="0.25">
      <c r="A8" s="11" t="s">
        <v>6</v>
      </c>
      <c r="B8" s="11" t="s">
        <v>10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3" x14ac:dyDescent="0.25">
      <c r="A9" s="11" t="s">
        <v>6</v>
      </c>
      <c r="B9" s="14" t="s">
        <v>11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spans="1:33" x14ac:dyDescent="0.25">
      <c r="A10" s="11" t="s">
        <v>6</v>
      </c>
      <c r="B10" s="14" t="s">
        <v>12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spans="1:33" x14ac:dyDescent="0.25">
      <c r="A11" s="11" t="s">
        <v>6</v>
      </c>
      <c r="B11" s="14" t="s">
        <v>13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spans="1:33" x14ac:dyDescent="0.25">
      <c r="A12" s="11" t="s">
        <v>6</v>
      </c>
      <c r="B12" s="14" t="s">
        <v>14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spans="1:33" x14ac:dyDescent="0.25">
      <c r="A13" s="11" t="s">
        <v>6</v>
      </c>
      <c r="B13" s="14" t="s">
        <v>15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spans="1:33" x14ac:dyDescent="0.25">
      <c r="A14" s="11" t="s">
        <v>6</v>
      </c>
      <c r="B14" s="14" t="s">
        <v>16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spans="1:33" x14ac:dyDescent="0.25">
      <c r="A15" s="11" t="s">
        <v>6</v>
      </c>
      <c r="B15" s="14" t="s">
        <v>17</v>
      </c>
      <c r="C15" s="11" t="s">
        <v>18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spans="1:33" x14ac:dyDescent="0.25">
      <c r="A16" s="11" t="s">
        <v>6</v>
      </c>
      <c r="B16" s="14" t="s">
        <v>19</v>
      </c>
      <c r="C16" s="11" t="s">
        <v>20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x14ac:dyDescent="0.25">
      <c r="A17" s="11" t="s">
        <v>6</v>
      </c>
      <c r="B17" s="14" t="s">
        <v>21</v>
      </c>
      <c r="C17" s="11" t="s">
        <v>22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spans="1:33" x14ac:dyDescent="0.25">
      <c r="A18" s="11" t="s">
        <v>6</v>
      </c>
      <c r="B18" s="14" t="s">
        <v>23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spans="1:33" x14ac:dyDescent="0.25">
      <c r="A19" s="11" t="s">
        <v>6</v>
      </c>
      <c r="B19" s="14" t="s">
        <v>24</v>
      </c>
      <c r="C19" s="11" t="s">
        <v>25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spans="1:33" x14ac:dyDescent="0.25">
      <c r="A20" s="11" t="s">
        <v>6</v>
      </c>
      <c r="B20" s="11" t="s">
        <v>26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spans="1:33" s="15" customFormat="1" x14ac:dyDescent="0.25">
      <c r="A21" s="14" t="s">
        <v>6</v>
      </c>
      <c r="B21" s="14" t="s">
        <v>27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x14ac:dyDescent="0.25">
      <c r="A22" s="11" t="s">
        <v>6</v>
      </c>
      <c r="B22" s="11" t="s">
        <v>28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spans="1:33" x14ac:dyDescent="0.25">
      <c r="A23" s="11" t="s">
        <v>6</v>
      </c>
      <c r="B23" s="11" t="s">
        <v>29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 spans="1:33" s="15" customFormat="1" x14ac:dyDescent="0.25">
      <c r="A24" s="14" t="s">
        <v>30</v>
      </c>
      <c r="B24" s="14" t="s">
        <v>31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s="15" customFormat="1" x14ac:dyDescent="0.25">
      <c r="A25" s="14" t="s">
        <v>30</v>
      </c>
      <c r="B25" s="14" t="s">
        <v>32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 s="15" customFormat="1" x14ac:dyDescent="0.25">
      <c r="A26" s="14" t="s">
        <v>30</v>
      </c>
      <c r="B26" s="14" t="s">
        <v>33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s="15" customFormat="1" x14ac:dyDescent="0.25">
      <c r="A27" s="14" t="s">
        <v>30</v>
      </c>
      <c r="B27" s="14" t="s">
        <v>34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s="3" customFormat="1" x14ac:dyDescent="0.25">
      <c r="A28" s="16" t="s">
        <v>35</v>
      </c>
      <c r="B28" s="16" t="s">
        <v>36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</row>
    <row r="29" spans="1:33" s="3" customFormat="1" x14ac:dyDescent="0.25">
      <c r="A29" s="16" t="s">
        <v>35</v>
      </c>
      <c r="B29" s="16" t="s">
        <v>37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 spans="1:33" s="3" customFormat="1" x14ac:dyDescent="0.25">
      <c r="A30" s="16" t="s">
        <v>35</v>
      </c>
      <c r="B30" s="16" t="s">
        <v>38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 spans="1:33" s="3" customFormat="1" x14ac:dyDescent="0.25">
      <c r="A31" s="16" t="s">
        <v>35</v>
      </c>
      <c r="B31" s="16" t="s">
        <v>39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</row>
    <row r="32" spans="1:33" x14ac:dyDescent="0.25">
      <c r="A32" s="11" t="s">
        <v>35</v>
      </c>
      <c r="B32" s="11" t="s">
        <v>40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33" x14ac:dyDescent="0.25">
      <c r="A33" s="11" t="s">
        <v>35</v>
      </c>
      <c r="B33" s="11" t="s">
        <v>41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</row>
    <row r="34" spans="1:33" s="15" customFormat="1" x14ac:dyDescent="0.25">
      <c r="A34" s="17" t="s">
        <v>42</v>
      </c>
      <c r="B34" s="14" t="s">
        <v>43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1:33" s="15" customFormat="1" x14ac:dyDescent="0.25">
      <c r="A35" s="14" t="s">
        <v>42</v>
      </c>
      <c r="B35" s="14" t="s">
        <v>44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spans="1:33" s="15" customFormat="1" x14ac:dyDescent="0.25">
      <c r="A36" s="14" t="s">
        <v>42</v>
      </c>
      <c r="B36" s="14" t="s">
        <v>45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spans="1:33" s="15" customFormat="1" x14ac:dyDescent="0.25">
      <c r="A37" s="14" t="s">
        <v>42</v>
      </c>
      <c r="B37" s="14" t="s">
        <v>46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1:33" s="15" customFormat="1" x14ac:dyDescent="0.25">
      <c r="A38" s="14" t="s">
        <v>42</v>
      </c>
      <c r="B38" s="14" t="s">
        <v>47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spans="1:33" s="15" customFormat="1" x14ac:dyDescent="0.25">
      <c r="A39" s="14" t="s">
        <v>48</v>
      </c>
      <c r="B39" s="14" t="s">
        <v>49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spans="1:33" s="15" customFormat="1" x14ac:dyDescent="0.25">
      <c r="A40" s="14" t="s">
        <v>50</v>
      </c>
      <c r="B40" s="14" t="s">
        <v>51</v>
      </c>
      <c r="C40" s="14" t="s">
        <v>52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 spans="1:33" s="15" customFormat="1" x14ac:dyDescent="0.25">
      <c r="A41" s="14" t="s">
        <v>50</v>
      </c>
      <c r="B41" s="14" t="s">
        <v>53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spans="1:33" s="15" customFormat="1" x14ac:dyDescent="0.25">
      <c r="A42" s="14" t="s">
        <v>50</v>
      </c>
      <c r="B42" s="14" t="s">
        <v>54</v>
      </c>
      <c r="C42" s="14" t="s">
        <v>52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spans="1:33" s="15" customFormat="1" x14ac:dyDescent="0.25">
      <c r="A43" s="14" t="s">
        <v>50</v>
      </c>
      <c r="B43" s="14" t="s">
        <v>55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spans="1:33" x14ac:dyDescent="0.25">
      <c r="A44" s="12" t="s">
        <v>56</v>
      </c>
      <c r="B44" s="11" t="s">
        <v>57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</row>
    <row r="45" spans="1:33" x14ac:dyDescent="0.25">
      <c r="A45" s="11" t="s">
        <v>58</v>
      </c>
      <c r="B45" s="11" t="s">
        <v>59</v>
      </c>
      <c r="C45" s="11" t="s">
        <v>60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</row>
    <row r="46" spans="1:33" x14ac:dyDescent="0.25">
      <c r="A46" s="11" t="s">
        <v>61</v>
      </c>
      <c r="B46" s="11" t="s">
        <v>62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</row>
    <row r="47" spans="1:33" x14ac:dyDescent="0.25">
      <c r="A47" s="11" t="s">
        <v>63</v>
      </c>
      <c r="B47" s="11" t="s">
        <v>64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</row>
    <row r="48" spans="1:33" x14ac:dyDescent="0.25">
      <c r="A48" s="11" t="s">
        <v>65</v>
      </c>
      <c r="B48" s="11" t="s">
        <v>66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</row>
    <row r="49" spans="1:33" s="15" customFormat="1" x14ac:dyDescent="0.25">
      <c r="A49" s="14" t="s">
        <v>67</v>
      </c>
      <c r="B49" s="14" t="s">
        <v>68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spans="1:33" s="15" customFormat="1" x14ac:dyDescent="0.25">
      <c r="A50" s="14" t="s">
        <v>69</v>
      </c>
      <c r="B50" s="14" t="s">
        <v>70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 spans="1:33" x14ac:dyDescent="0.25">
      <c r="A51" s="11"/>
      <c r="B51" s="14" t="s">
        <v>71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</row>
    <row r="52" spans="1:33" x14ac:dyDescent="0.25">
      <c r="A52" s="11"/>
      <c r="B52" s="14" t="s">
        <v>72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</row>
    <row r="53" spans="1:33" x14ac:dyDescent="0.25">
      <c r="A53" s="11"/>
      <c r="B53" s="14" t="s">
        <v>73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</row>
    <row r="54" spans="1:33" x14ac:dyDescent="0.25">
      <c r="A54" s="11"/>
      <c r="B54" s="14" t="s">
        <v>74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</row>
    <row r="55" spans="1:33" x14ac:dyDescent="0.25">
      <c r="A55" s="11"/>
      <c r="B55" s="14" t="s">
        <v>75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</row>
    <row r="56" spans="1:33" x14ac:dyDescent="0.25">
      <c r="A56" s="11"/>
      <c r="B56" s="14" t="s">
        <v>76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</row>
    <row r="57" spans="1:33" x14ac:dyDescent="0.25">
      <c r="A57" s="11"/>
      <c r="B57" s="14" t="s">
        <v>77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</row>
    <row r="58" spans="1:33" x14ac:dyDescent="0.25">
      <c r="A58" s="11"/>
      <c r="B58" s="14" t="s">
        <v>78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</row>
    <row r="59" spans="1:33" x14ac:dyDescent="0.25">
      <c r="A59" s="11"/>
      <c r="B59" s="14" t="s">
        <v>79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</row>
    <row r="60" spans="1:33" x14ac:dyDescent="0.25">
      <c r="A60" s="11"/>
      <c r="B60" s="11" t="s">
        <v>80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</row>
    <row r="61" spans="1:33" x14ac:dyDescent="0.25">
      <c r="A61" s="11"/>
      <c r="B61" s="14" t="s">
        <v>81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</row>
    <row r="62" spans="1:33" x14ac:dyDescent="0.25">
      <c r="A62" s="11"/>
      <c r="B62" s="14" t="s">
        <v>82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</row>
    <row r="63" spans="1:33" x14ac:dyDescent="0.25">
      <c r="A63" s="11"/>
      <c r="B63" s="14" t="s">
        <v>83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</row>
    <row r="64" spans="1:33" x14ac:dyDescent="0.25">
      <c r="A64" s="11"/>
      <c r="B64" s="14" t="s">
        <v>84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</row>
    <row r="65" spans="1:33" x14ac:dyDescent="0.25">
      <c r="A65" s="11"/>
      <c r="B65" s="14" t="s">
        <v>85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</row>
    <row r="66" spans="1:33" x14ac:dyDescent="0.25">
      <c r="A66" s="11"/>
      <c r="B66" s="14" t="s">
        <v>86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</row>
    <row r="67" spans="1:33" x14ac:dyDescent="0.25">
      <c r="A67" s="11"/>
      <c r="B67" s="14" t="s">
        <v>87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</row>
    <row r="68" spans="1:33" x14ac:dyDescent="0.25">
      <c r="A68" s="11"/>
      <c r="B68" s="14" t="s">
        <v>88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</row>
    <row r="69" spans="1:33" x14ac:dyDescent="0.25">
      <c r="A69" s="11"/>
      <c r="B69" s="16" t="s">
        <v>89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</row>
    <row r="70" spans="1:33" x14ac:dyDescent="0.25">
      <c r="A70" s="11"/>
      <c r="B70" s="14" t="s">
        <v>90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</row>
    <row r="71" spans="1:33" x14ac:dyDescent="0.25">
      <c r="A71" s="11"/>
      <c r="B71" s="14" t="s">
        <v>91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</row>
    <row r="72" spans="1:33" x14ac:dyDescent="0.25">
      <c r="A72" s="11"/>
      <c r="B72" s="14" t="s">
        <v>92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</row>
    <row r="73" spans="1:33" x14ac:dyDescent="0.25">
      <c r="A73" s="11"/>
      <c r="B73" s="14" t="s">
        <v>93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</row>
    <row r="74" spans="1:33" x14ac:dyDescent="0.25">
      <c r="A74" s="11"/>
      <c r="B74" s="14" t="s">
        <v>92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</row>
    <row r="75" spans="1:33" x14ac:dyDescent="0.25">
      <c r="A75" s="11"/>
      <c r="B75" s="14" t="s">
        <v>93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3:C8"/>
  <sheetViews>
    <sheetView workbookViewId="0">
      <selection activeCell="G38" sqref="G38"/>
    </sheetView>
  </sheetViews>
  <sheetFormatPr defaultRowHeight="15" x14ac:dyDescent="0.25"/>
  <sheetData>
    <row r="3" spans="2:3" x14ac:dyDescent="0.25">
      <c r="B3">
        <v>1</v>
      </c>
      <c r="C3" s="4" t="s">
        <v>141</v>
      </c>
    </row>
    <row r="4" spans="2:3" x14ac:dyDescent="0.25">
      <c r="B4">
        <v>2</v>
      </c>
      <c r="C4" t="s">
        <v>142</v>
      </c>
    </row>
    <row r="5" spans="2:3" x14ac:dyDescent="0.25">
      <c r="B5">
        <v>3</v>
      </c>
      <c r="C5" t="s">
        <v>143</v>
      </c>
    </row>
    <row r="6" spans="2:3" x14ac:dyDescent="0.25">
      <c r="B6">
        <v>4</v>
      </c>
      <c r="C6" t="s">
        <v>144</v>
      </c>
    </row>
    <row r="7" spans="2:3" x14ac:dyDescent="0.25">
      <c r="B7">
        <v>5</v>
      </c>
      <c r="C7" t="s">
        <v>145</v>
      </c>
    </row>
    <row r="8" spans="2:3" x14ac:dyDescent="0.25">
      <c r="B8">
        <v>6</v>
      </c>
      <c r="C8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Rules</vt:lpstr>
      <vt:lpstr>RMS Rule Description</vt:lpstr>
      <vt:lpstr>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Ankita</dc:creator>
  <cp:lastModifiedBy>Patel, Trupt</cp:lastModifiedBy>
  <dcterms:created xsi:type="dcterms:W3CDTF">2023-01-10T11:44:25Z</dcterms:created>
  <dcterms:modified xsi:type="dcterms:W3CDTF">2023-05-09T05:28:55Z</dcterms:modified>
</cp:coreProperties>
</file>