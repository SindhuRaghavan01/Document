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pimcloudshare\ils-share\Analytics\Docs 20230508\DQ\"/>
    </mc:Choice>
  </mc:AlternateContent>
  <bookViews>
    <workbookView xWindow="0" yWindow="0" windowWidth="28800" windowHeight="12000" activeTab="2"/>
  </bookViews>
  <sheets>
    <sheet name="ReadMe" sheetId="3" r:id="rId1"/>
    <sheet name="Deal Level Completeness Score" sheetId="1" r:id="rId2"/>
    <sheet name="ExposureWise Score" sheetId="2" r:id="rId3"/>
  </sheets>
  <definedNames>
    <definedName name="_xlnm._FilterDatabase" localSheetId="1" hidden="1">'Deal Level Completeness Score'!$A$6:$Q$30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3" l="1"/>
  <c r="C29" i="3"/>
  <c r="C26" i="3"/>
  <c r="C25" i="3"/>
  <c r="C24" i="3"/>
  <c r="I5" i="1"/>
  <c r="H5" i="1"/>
  <c r="G5" i="1"/>
  <c r="F5" i="1"/>
  <c r="E5" i="1"/>
</calcChain>
</file>

<file path=xl/sharedStrings.xml><?xml version="1.0" encoding="utf-8"?>
<sst xmlns="http://schemas.openxmlformats.org/spreadsheetml/2006/main" count="163" uniqueCount="99">
  <si>
    <t>Target Score</t>
  </si>
  <si>
    <t>dealYear</t>
  </si>
  <si>
    <t>dealName</t>
  </si>
  <si>
    <t>score</t>
  </si>
  <si>
    <t>geoScore</t>
  </si>
  <si>
    <t>ConScore</t>
  </si>
  <si>
    <t>OccScore</t>
  </si>
  <si>
    <t>yearBuiltScore</t>
  </si>
  <si>
    <t>StoriesScore</t>
  </si>
  <si>
    <t>RoofAgeScore</t>
  </si>
  <si>
    <t>Sum of score*TIV</t>
  </si>
  <si>
    <t>Sum of geoScore*TIV</t>
  </si>
  <si>
    <t>Sum of ConScore*TIV</t>
  </si>
  <si>
    <t>Sum of OccScore*TIV</t>
  </si>
  <si>
    <t>Sum of yearBuiltScore*TIV</t>
  </si>
  <si>
    <t>Sum of StoriesScore*TIV</t>
  </si>
  <si>
    <t>Sum of RoofAgeScore*TIV</t>
  </si>
  <si>
    <t>Sum of TIV</t>
  </si>
  <si>
    <t>Amrisc Apex</t>
  </si>
  <si>
    <t>Progressive Homes Insurance Company</t>
  </si>
  <si>
    <t>American Family Mutual Insurance Company</t>
  </si>
  <si>
    <t>Central Mutual Insurance Company</t>
  </si>
  <si>
    <t>American Modern Insurance Group</t>
  </si>
  <si>
    <t>Aspen Speciality</t>
  </si>
  <si>
    <t>Quincy Mutual group</t>
  </si>
  <si>
    <t>ERIE Insurance Group</t>
  </si>
  <si>
    <t>West Bend Mutual</t>
  </si>
  <si>
    <t>Celina Insurance Group</t>
  </si>
  <si>
    <t>Starr</t>
  </si>
  <si>
    <t>Slide Insurance Company</t>
  </si>
  <si>
    <t>American Integrity Insurance Company of Florida</t>
  </si>
  <si>
    <t>Florida Peninsula Insurance Company</t>
  </si>
  <si>
    <t>Heritage Property &amp; Casualty Company</t>
  </si>
  <si>
    <t>Louisiana Citizens Property Insurance Corp.</t>
  </si>
  <si>
    <t>Bankers Insurance Group</t>
  </si>
  <si>
    <t>Palomar Specialty Insurance Company</t>
  </si>
  <si>
    <t>exposureDbName</t>
  </si>
  <si>
    <t>exposureSetName</t>
  </si>
  <si>
    <t>TIV</t>
  </si>
  <si>
    <t>locCount</t>
  </si>
  <si>
    <t>conCount</t>
  </si>
  <si>
    <t>floorArea</t>
  </si>
  <si>
    <t>score*TIV</t>
  </si>
  <si>
    <t>geoScore*TIV</t>
  </si>
  <si>
    <t>ConScore*TIV</t>
  </si>
  <si>
    <t>OccScore*TIV</t>
  </si>
  <si>
    <t>yearBuiltScore*TIV</t>
  </si>
  <si>
    <t>StoriesScore*TIV</t>
  </si>
  <si>
    <t>RoofAgeScore*TIV</t>
  </si>
  <si>
    <t>Completeness Scoring Methodology</t>
  </si>
  <si>
    <t xml:space="preserve">The completeness scoring methodology evaluates six primary attributes for completeness: </t>
  </si>
  <si>
    <t>GeoMatchLevelCode,ConstructionCode,OccupancyCode,YearBuiltRange,Stories</t>
  </si>
  <si>
    <t>ConstructionCode</t>
  </si>
  <si>
    <t>OccupancyCode</t>
  </si>
  <si>
    <t>YearBuiltRange</t>
  </si>
  <si>
    <t>Stories</t>
  </si>
  <si>
    <t>RoofAge</t>
  </si>
  <si>
    <t xml:space="preserve"> Of these attributes, all except for GeoMatchLevel Code are binary and are treated as either 1 (if the value is known or not null) or 0 (if the value is unknown or null).  </t>
  </si>
  <si>
    <t>The attributes are divided into two tiers:</t>
  </si>
  <si>
    <t>Tier 1</t>
  </si>
  <si>
    <t>Construction, Occupancy, YearBuilt</t>
  </si>
  <si>
    <t>Tier 2</t>
  </si>
  <si>
    <t>RoofAge, Stories</t>
  </si>
  <si>
    <t>Specific weights are assigned to both the tiers and the attributes within each tier.</t>
  </si>
  <si>
    <t>Tier</t>
  </si>
  <si>
    <t>Tier Weights</t>
  </si>
  <si>
    <t>RANK</t>
  </si>
  <si>
    <t>GeoMatchLevelCode</t>
  </si>
  <si>
    <t>Score</t>
  </si>
  <si>
    <t>NONE</t>
  </si>
  <si>
    <t>COUN</t>
  </si>
  <si>
    <t>AREA</t>
  </si>
  <si>
    <t>Tier1</t>
  </si>
  <si>
    <t>Weight</t>
  </si>
  <si>
    <t>CRES</t>
  </si>
  <si>
    <t>Construction</t>
  </si>
  <si>
    <t>CNTY</t>
  </si>
  <si>
    <t>Occupancy</t>
  </si>
  <si>
    <t>CITY</t>
  </si>
  <si>
    <t>YearBuilt</t>
  </si>
  <si>
    <t>POST</t>
  </si>
  <si>
    <t>SUB2</t>
  </si>
  <si>
    <t>Tier2</t>
  </si>
  <si>
    <t>RLXA</t>
  </si>
  <si>
    <t>ZIP9</t>
  </si>
  <si>
    <t>ADDR</t>
  </si>
  <si>
    <t>POINT</t>
  </si>
  <si>
    <t>USER</t>
  </si>
  <si>
    <t>DISAG</t>
  </si>
  <si>
    <t>To calculate the completeness score, the GeoMatchLevel Code score is multiplied by the weighted sum.</t>
  </si>
  <si>
    <t>Function =GeoMatchLevel Score* Weighted Sum</t>
  </si>
  <si>
    <t xml:space="preserve"> The weighted sum is determined by calculating the product sum of the tier weights and the tier-specific weights sum.</t>
  </si>
  <si>
    <t>Weighted Sum = Weight1 * Tier1 Weighted Sum + Weight2 * Tier2 Weighted Sum</t>
  </si>
  <si>
    <t xml:space="preserve"> The tier-specific weighted sum is calculated by adding up the products of the attribute values (0 or 1) and their corresponding weights.</t>
  </si>
  <si>
    <t>Tier Weighted Sum  = Sum(Uniform Weights to all attributes present in Tier * Presence of attribute (0 or 1))</t>
  </si>
  <si>
    <r>
      <rPr>
        <b/>
        <sz val="11"/>
        <color theme="1"/>
        <rFont val="Calibri"/>
        <family val="2"/>
        <scheme val="minor"/>
      </rPr>
      <t xml:space="preserve">Assumption: </t>
    </r>
    <r>
      <rPr>
        <sz val="11"/>
        <color theme="1"/>
        <rFont val="Calibri"/>
        <family val="2"/>
        <scheme val="minor"/>
      </rPr>
      <t>if Tier 1 do not have data then set score equal to 0.</t>
    </r>
  </si>
  <si>
    <t xml:space="preserve">To obtain a single completeness score for a deal, the TIV Weighted Score is used. </t>
  </si>
  <si>
    <t xml:space="preserve">For each location, the score for each attribute is multiplied by the TIV (Total Insured Value) and summed up. </t>
  </si>
  <si>
    <t>Once the TIV Weighted Score is calculated for each location, the scores for all locations are added up and divided by the total TIV across all locations to obtain a single completeness score for the entire deal.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</si>
</sst>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Segoe U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9" fontId="0" fillId="0" borderId="0" xfId="0" applyNumberFormat="1"/>
    <xf numFmtId="0" fontId="2" fillId="0" borderId="0" xfId="0" applyFont="1"/>
    <xf numFmtId="9" fontId="2" fillId="0" borderId="0" xfId="0" applyNumberFormat="1" applyFont="1"/>
    <xf numFmtId="10" fontId="2" fillId="0" borderId="0" xfId="2" applyNumberFormat="1" applyFont="1"/>
    <xf numFmtId="0" fontId="0" fillId="0" borderId="1" xfId="0" applyBorder="1"/>
    <xf numFmtId="10" fontId="0" fillId="0" borderId="1" xfId="2" applyNumberFormat="1" applyFont="1" applyBorder="1"/>
    <xf numFmtId="164" fontId="0" fillId="0" borderId="1" xfId="0" applyNumberFormat="1" applyBorder="1"/>
    <xf numFmtId="164" fontId="0" fillId="0" borderId="1" xfId="1" applyNumberFormat="1" applyFont="1" applyBorder="1"/>
    <xf numFmtId="164" fontId="0" fillId="0" borderId="0" xfId="0" applyNumberFormat="1"/>
    <xf numFmtId="164" fontId="0" fillId="0" borderId="0" xfId="1" applyNumberFormat="1" applyFont="1"/>
    <xf numFmtId="10" fontId="0" fillId="0" borderId="0" xfId="2" applyNumberFormat="1" applyFont="1"/>
    <xf numFmtId="0" fontId="3" fillId="0" borderId="0" xfId="0" applyFont="1" applyBorder="1"/>
    <xf numFmtId="0" fontId="0" fillId="0" borderId="0" xfId="0" applyFont="1" applyBorder="1"/>
    <xf numFmtId="0" fontId="0" fillId="0" borderId="0" xfId="0" applyFont="1" applyFill="1" applyBorder="1"/>
    <xf numFmtId="0" fontId="2" fillId="0" borderId="1" xfId="0" applyFont="1" applyBorder="1"/>
    <xf numFmtId="0" fontId="2" fillId="0" borderId="1" xfId="2" applyNumberFormat="1" applyFont="1" applyBorder="1"/>
    <xf numFmtId="9" fontId="0" fillId="0" borderId="1" xfId="0" applyNumberFormat="1" applyBorder="1"/>
    <xf numFmtId="10" fontId="0" fillId="0" borderId="1" xfId="0" applyNumberFormat="1" applyBorder="1"/>
    <xf numFmtId="0" fontId="0" fillId="0" borderId="0" xfId="0" applyBorder="1"/>
    <xf numFmtId="0" fontId="4" fillId="0" borderId="0" xfId="0" applyFont="1" applyAlignment="1">
      <alignment vertical="center"/>
    </xf>
    <xf numFmtId="0" fontId="5" fillId="0" borderId="0" xfId="0" applyFont="1"/>
    <xf numFmtId="164" fontId="2" fillId="0" borderId="1" xfId="1" applyNumberFormat="1" applyFont="1" applyBorder="1"/>
    <xf numFmtId="10" fontId="2" fillId="0" borderId="1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3"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Analytics\Documentation\Data%20Quality\Scoring\Completeness%20Scor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tel, Trupt" refreshedDate="45044.758460648147" createdVersion="6" refreshedVersion="6" minRefreshableVersion="3" recordCount="104">
  <cacheSource type="worksheet">
    <worksheetSource ref="A1:V105" sheet="Split Score" r:id="rId2"/>
  </cacheSource>
  <cacheFields count="22">
    <cacheField name="dealYear" numFmtId="0">
      <sharedItems containsSemiMixedTypes="0" containsString="0" containsNumber="1" containsInteger="1" minValue="2021" maxValue="2023" count="3">
        <n v="2023"/>
        <n v="2022"/>
        <n v="2021"/>
      </sharedItems>
    </cacheField>
    <cacheField name="dealName" numFmtId="0">
      <sharedItems count="18">
        <s v="Aspen Speciality"/>
        <s v="Starr"/>
        <s v="American Family Mutual Insurance Company"/>
        <s v="Amrisc Apex"/>
        <s v="Central Mutual Insurance Company"/>
        <s v="Celina Insurance Group"/>
        <s v="ERIE Insurance Group"/>
        <s v="Palomar Specialty Insurance Company"/>
        <s v="Heritage Property &amp; Casualty Company"/>
        <s v="Slide Insurance Company"/>
        <s v="American Integrity Insurance Company of Florida"/>
        <s v="Quincy Mutual group"/>
        <s v="West Bend Mutual"/>
        <s v="Progressive Homes Insurance Company"/>
        <s v="American Modern Insurance Group"/>
        <s v="Florida Peninsula Insurance Company"/>
        <s v="Louisiana Citizens Property Insurance Corp."/>
        <s v="Bankers Insurance Group"/>
      </sharedItems>
    </cacheField>
    <cacheField name="exposureDbName" numFmtId="0">
      <sharedItems/>
    </cacheField>
    <cacheField name="exposureSetName" numFmtId="0">
      <sharedItems/>
    </cacheField>
    <cacheField name="TIV" numFmtId="164">
      <sharedItems containsSemiMixedTypes="0" containsString="0" containsNumber="1" minValue="1798014.28574141" maxValue="14209715731032.699"/>
    </cacheField>
    <cacheField name="locCount" numFmtId="164">
      <sharedItems containsSemiMixedTypes="0" containsString="0" containsNumber="1" containsInteger="1" minValue="2" maxValue="2993826"/>
    </cacheField>
    <cacheField name="conCount" numFmtId="164">
      <sharedItems containsSemiMixedTypes="0" containsString="0" containsNumber="1" containsInteger="1" minValue="2" maxValue="2766230"/>
    </cacheField>
    <cacheField name="floorArea" numFmtId="164">
      <sharedItems containsSemiMixedTypes="0" containsString="0" containsNumber="1" minValue="0" maxValue="39898480210.0709"/>
    </cacheField>
    <cacheField name="score" numFmtId="10">
      <sharedItems containsSemiMixedTypes="0" containsString="0" containsNumber="1" minValue="0.30902726605243203" maxValue="0.99989745132805496"/>
    </cacheField>
    <cacheField name="geoScore" numFmtId="10">
      <sharedItems containsSemiMixedTypes="0" containsString="0" containsNumber="1" minValue="0.66229589809776201" maxValue="1"/>
    </cacheField>
    <cacheField name="ConScore" numFmtId="10">
      <sharedItems containsSemiMixedTypes="0" containsString="0" containsNumber="1" minValue="0.23329999999839801" maxValue="0.233300000000177"/>
    </cacheField>
    <cacheField name="OccScore" numFmtId="10">
      <sharedItems containsSemiMixedTypes="0" containsString="0" containsNumber="1" minValue="0.23329999999839801" maxValue="0.233300000000177"/>
    </cacheField>
    <cacheField name="yearBuiltScore" numFmtId="10">
      <sharedItems containsSemiMixedTypes="0" containsString="0" containsNumber="1" minValue="0" maxValue="0.233300000000007"/>
    </cacheField>
    <cacheField name="StoriesScore" numFmtId="10">
      <sharedItems containsSemiMixedTypes="0" containsString="0" containsNumber="1" minValue="0" maxValue="0.15000000000000199"/>
    </cacheField>
    <cacheField name="RoofAgeScore" numFmtId="10">
      <sharedItems containsSemiMixedTypes="0" containsString="0" containsNumber="1" minValue="0" maxValue="0.15000000000000099"/>
    </cacheField>
    <cacheField name="score*TIV" numFmtId="164">
      <sharedItems containsSemiMixedTypes="0" containsString="0" containsNumber="1" minValue="1694917.469973637" maxValue="6237061705931.6143"/>
    </cacheField>
    <cacheField name="geoScore*TIV" numFmtId="164">
      <sharedItems containsSemiMixedTypes="0" containsString="0" containsNumber="1" minValue="1798014.28574141" maxValue="12156126888890.256"/>
    </cacheField>
    <cacheField name="ConScore*TIV" numFmtId="164">
      <sharedItems containsSemiMixedTypes="0" containsString="0" containsNumber="1" minValue="419476.73286347097" maxValue="3315126680050.3125"/>
    </cacheField>
    <cacheField name="OccScore*TIV" numFmtId="164">
      <sharedItems containsSemiMixedTypes="0" containsString="0" containsNumber="1" minValue="419476.73286347097" maxValue="3315126680050.3125"/>
    </cacheField>
    <cacheField name="yearBuiltScore*TIV" numFmtId="164">
      <sharedItems containsSemiMixedTypes="0" containsString="0" containsNumber="1" minValue="0" maxValue="1647564763222.5247"/>
    </cacheField>
    <cacheField name="StoriesScore*TIV" numFmtId="164">
      <sharedItems containsSemiMixedTypes="0" containsString="0" containsNumber="1" minValue="0" maxValue="1008639786636.109"/>
    </cacheField>
    <cacheField name="RoofAgeScore*TIV" numFmtId="164">
      <sharedItems containsSemiMixedTypes="0" containsString="0" containsNumber="1" minValue="0" maxValue="163090053786.902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4">
  <r>
    <x v="0"/>
    <x v="0"/>
    <s v="AIRExp_Aspen_USProp_2023Rnwl_4Reins_wBUDetails_TS9"/>
    <s v="Binding DUA - All Perils"/>
    <n v="3472444562"/>
    <n v="14336"/>
    <n v="11092"/>
    <n v="14972755"/>
    <n v="0.79382232709365197"/>
    <n v="0.94633311182579005"/>
    <n v="0.23329999999999701"/>
    <n v="0.23329999999999701"/>
    <n v="0.22257411135887001"/>
    <n v="0.14979469482168201"/>
    <n v="0"/>
    <n v="2756504022.9105372"/>
    <n v="3286089268.0000024"/>
    <n v="810121316.31458962"/>
    <n v="810121316.31458962"/>
    <n v="772876262.63009059"/>
    <n v="520153773.44999921"/>
    <n v="0"/>
  </r>
  <r>
    <x v="0"/>
    <x v="0"/>
    <s v="AIRExp_Aspen_USProp_2023Rnwl_4Reins_wBUDetails_TS9"/>
    <s v="ProgDH - All Perils"/>
    <n v="102019263437"/>
    <n v="138537"/>
    <n v="138537"/>
    <n v="0"/>
    <n v="0.79486772518134696"/>
    <n v="0.96901059162270498"/>
    <n v="0.23330000000000001"/>
    <n v="0.23330000000000001"/>
    <n v="0.22052688841857701"/>
    <n v="0.13149482021779299"/>
    <n v="0"/>
    <n v="81091819852.844757"/>
    <n v="98857746819.999969"/>
    <n v="23801094159.8521"/>
    <n v="23801094159.8521"/>
    <n v="22497990724.516712"/>
    <n v="13415004704.399977"/>
    <n v="0"/>
  </r>
  <r>
    <x v="0"/>
    <x v="0"/>
    <s v="AIRExp_Aspen_USProp_2023Rnwl_4Reins_wBUDetails_TS9"/>
    <s v="ProgDental - All Perils"/>
    <n v="27414804102"/>
    <n v="37624"/>
    <n v="28768"/>
    <n v="83012850"/>
    <n v="0.65431163237086898"/>
    <n v="0.93486445545201802"/>
    <n v="0.23330000000000001"/>
    <n v="0.23330000000000001"/>
    <n v="0.23330000000000001"/>
    <n v="0"/>
    <n v="0"/>
    <n v="17937825223.107216"/>
    <n v="25629125908.13998"/>
    <n v="6395873796.9966002"/>
    <n v="6395873796.9966002"/>
    <n v="6395873796.9966002"/>
    <n v="0"/>
    <n v="0"/>
  </r>
  <r>
    <x v="0"/>
    <x v="0"/>
    <s v="AIRExp_Aspen_USProp_2023Rnwl_4Reins_wBUDetails_TS9"/>
    <s v="ProgNorthshore - All Perils"/>
    <n v="45743087315.460503"/>
    <n v="3879"/>
    <n v="157"/>
    <n v="0"/>
    <n v="0.73921929505453399"/>
    <n v="0.90759385092952205"/>
    <n v="0.23330000000000101"/>
    <n v="0.23330000000000101"/>
    <n v="0.22143717110758801"/>
    <n v="0.12809736831021001"/>
    <n v="0"/>
    <n v="33814172758.952709"/>
    <n v="41516144770.044174"/>
    <n v="10671862270.696981"/>
    <n v="10671862270.696981"/>
    <n v="10129219852.862967"/>
    <n v="5859569103.4946394"/>
    <n v="0"/>
  </r>
  <r>
    <x v="0"/>
    <x v="0"/>
    <s v="AIRExp_Aspen_USProp_2023Rnwl_4Reins_wBUDetails_TS9"/>
    <s v="ProgJEM - All Perils"/>
    <n v="525634142377.82098"/>
    <n v="165890"/>
    <n v="3134"/>
    <n v="3810329826.15207"/>
    <n v="0.77076770450832199"/>
    <n v="0.92785565667574499"/>
    <n v="0.233300000000003"/>
    <n v="0.233300000000003"/>
    <n v="0.22382765661825299"/>
    <n v="0.139206388300913"/>
    <n v="0"/>
    <n v="405141821331.7536"/>
    <n v="487712612347.1651"/>
    <n v="122630445416.74721"/>
    <n v="122630445416.74721"/>
    <n v="117651458326.97282"/>
    <n v="73171630528.064346"/>
    <n v="0"/>
  </r>
  <r>
    <x v="0"/>
    <x v="0"/>
    <s v="AIRExp_Aspen_USProp_2023Rnwl_4Reins_wBUDetails_TS9"/>
    <s v="ProgTRU - All Perils"/>
    <n v="32907219828.929798"/>
    <n v="1922"/>
    <n v="501"/>
    <n v="0"/>
    <n v="0.84989999999999899"/>
    <n v="1"/>
    <n v="0.23330000000000001"/>
    <n v="0.23330000000000001"/>
    <n v="0.23330000000000001"/>
    <n v="0.15"/>
    <n v="0"/>
    <n v="27967846132.607403"/>
    <n v="32907219828.929798"/>
    <n v="7677254386.0893221"/>
    <n v="7677254386.0893221"/>
    <n v="7677254386.0893221"/>
    <n v="4936082974.3394699"/>
    <n v="0"/>
  </r>
  <r>
    <x v="0"/>
    <x v="0"/>
    <s v="AIRExp_Aspen_USProp_2023Rnwl_4Reins_wBUDetails_TS9"/>
    <s v="ProgWKFC Cons AAIC - All Perils"/>
    <n v="65892426559"/>
    <n v="11648"/>
    <n v="2804"/>
    <n v="293612471"/>
    <n v="0.84966868733119505"/>
    <n v="0.99972783542910004"/>
    <n v="0.23330000000000001"/>
    <n v="0.23330000000000001"/>
    <n v="0.23330000000000001"/>
    <n v="0.15000000000000099"/>
    <n v="0"/>
    <n v="55986731579.452705"/>
    <n v="65874492975.000015"/>
    <n v="15372703116.214701"/>
    <n v="15372703116.214701"/>
    <n v="15372703116.214701"/>
    <n v="9883863983.8500652"/>
    <n v="0"/>
  </r>
  <r>
    <x v="0"/>
    <x v="0"/>
    <s v="AIRExp_Aspen_USProp_2023Rnwl_4Reins_wBUDetails_TS9"/>
    <s v="ProgWKFC Cons ASIC - All Perils"/>
    <n v="64166883442"/>
    <n v="27841"/>
    <n v="4228"/>
    <n v="417316235"/>
    <n v="0.84979922188105395"/>
    <n v="0.99988142355695198"/>
    <n v="0.23330000000000001"/>
    <n v="0.23330000000000001"/>
    <n v="0.23330000000000001"/>
    <n v="0.15"/>
    <n v="0"/>
    <n v="54528967619.543884"/>
    <n v="64159274761.199974"/>
    <n v="14970133907.0186"/>
    <n v="14970133907.0186"/>
    <n v="14970133907.0186"/>
    <n v="9625032516.2999992"/>
    <n v="0"/>
  </r>
  <r>
    <x v="0"/>
    <x v="0"/>
    <s v="AIRExp_Aspen_USProp_2023Rnwl_4Reins_wBUDetails_TS9"/>
    <s v="ProgWKFC Main AAIC - All Perils"/>
    <n v="27562856221"/>
    <n v="5557"/>
    <n v="2450"/>
    <n v="119949074"/>
    <n v="0.84990000000000199"/>
    <n v="1"/>
    <n v="0.23329999999999801"/>
    <n v="0.23329999999999801"/>
    <n v="0.23329999999999801"/>
    <n v="0.149999999999999"/>
    <n v="0"/>
    <n v="23425671502.227955"/>
    <n v="27562856221"/>
    <n v="6430414356.3592453"/>
    <n v="6430414356.3592453"/>
    <n v="6430414356.3592453"/>
    <n v="4134428433.1499724"/>
    <n v="0"/>
  </r>
  <r>
    <x v="0"/>
    <x v="0"/>
    <s v="AIRExp_Aspen_USProp_2023Rnwl_4Reins_wBUDetails_TS9"/>
    <s v="ProgWKFC Main ASIC - All Perils"/>
    <n v="14566602276"/>
    <n v="5454"/>
    <n v="1528"/>
    <n v="88916876"/>
    <n v="0.84990000000000698"/>
    <n v="1"/>
    <n v="0.23329999999999801"/>
    <n v="0.23329999999999801"/>
    <n v="0.23329999999999801"/>
    <n v="0.15000000000000099"/>
    <n v="0"/>
    <n v="12380155274.372501"/>
    <n v="14566602276"/>
    <n v="3398388310.9907708"/>
    <n v="3398388310.9907708"/>
    <n v="3398388310.9907708"/>
    <n v="2184990341.4000144"/>
    <n v="0"/>
  </r>
  <r>
    <x v="0"/>
    <x v="0"/>
    <s v="AIRExp_Aspen_USProp_2023Rnwl_4Reins_wBUDetails_TS9"/>
    <s v="OpenMarket - All Perils"/>
    <n v="8296096458642.8604"/>
    <n v="2631927"/>
    <n v="3023"/>
    <n v="39898480210.0709"/>
    <n v="0.74228431727151201"/>
    <n v="0.94138119085215899"/>
    <n v="0.23329999999999801"/>
    <n v="0.23329999999999801"/>
    <n v="0.19859517924313599"/>
    <n v="0.121580045707558"/>
    <n v="0"/>
    <n v="6158062295822.3242"/>
    <n v="7809789163661.5947"/>
    <n v="1935479303801.3628"/>
    <n v="1935479303801.3628"/>
    <n v="1647564763222.5247"/>
    <n v="1008639786636.109"/>
    <n v="0"/>
  </r>
  <r>
    <x v="0"/>
    <x v="1"/>
    <s v="CV_Starr_2Q_2022_Corporate_Cat_v9_MKT_AIRExp"/>
    <s v="Chubb Starr EQ"/>
    <n v="4043884137418.98"/>
    <n v="101421"/>
    <n v="1118"/>
    <n v="827442404"/>
    <n v="0.47994614380497602"/>
    <n v="0.92938095320270797"/>
    <n v="0.23329999999999401"/>
    <n v="0.23329999999999401"/>
    <n v="3.5122147447154702E-2"/>
    <n v="1.5472748361331E-2"/>
    <n v="0"/>
    <n v="1940846597748.3511"/>
    <n v="3758308894275.7622"/>
    <n v="943438169259.82385"/>
    <n v="943438169259.82385"/>
    <n v="142029894933.63943"/>
    <n v="62570001660.661942"/>
    <n v="0"/>
  </r>
  <r>
    <x v="0"/>
    <x v="1"/>
    <s v="CV_Starr_2Q_2022_Corporate_Cat_v9_MKT_AIRExp"/>
    <s v="International Tech EQ"/>
    <n v="14209715731032.699"/>
    <n v="2159137"/>
    <n v="2014"/>
    <n v="581622964"/>
    <n v="0.43892937930562897"/>
    <n v="0.85547994900013402"/>
    <n v="0.23330000000002701"/>
    <n v="0.23330000000002701"/>
    <n v="3.0998069946904599E-2"/>
    <n v="1.16917669199015E-2"/>
    <n v="0"/>
    <n v="6237061705931.6143"/>
    <n v="12156126888890.256"/>
    <n v="3315126680050.3125"/>
    <n v="3315126680050.3125"/>
    <n v="440473762156.18225"/>
    <n v="166136684325.29208"/>
    <n v="0"/>
  </r>
  <r>
    <x v="0"/>
    <x v="1"/>
    <s v="CV_Starr_2Q_2022_Corporate_Cat_v9_MKT_AIRExp"/>
    <s v="Chubb Starr WS"/>
    <n v="4033057073430.8799"/>
    <n v="110191"/>
    <n v="1171"/>
    <n v="802296444"/>
    <n v="0.47779310240141698"/>
    <n v="0.92492941254121097"/>
    <n v="0.23329999999999701"/>
    <n v="0.23329999999999701"/>
    <n v="3.4800719728171697E-2"/>
    <n v="1.5495239072953E-2"/>
    <n v="0"/>
    <n v="1926966851276.5195"/>
    <n v="3730293109673.5991"/>
    <n v="940912215231.41223"/>
    <n v="940912215231.41223"/>
    <n v="140353288860.18845"/>
    <n v="62493183547.675652"/>
    <n v="0"/>
  </r>
  <r>
    <x v="0"/>
    <x v="1"/>
    <s v="CV_Starr_2Q_2022_Corporate_Cat_v9_MKT_AIRExp"/>
    <s v="International Tech WS"/>
    <n v="13409909788933"/>
    <n v="1276384"/>
    <n v="1790"/>
    <n v="467766564"/>
    <n v="0.42538442466137499"/>
    <n v="0.84044167171823403"/>
    <n v="0.233300000000049"/>
    <n v="0.233300000000049"/>
    <n v="2.5588220752346499E-2"/>
    <n v="1.03535081072362E-2"/>
    <n v="0"/>
    <n v="5704366760326.2051"/>
    <n v="11270247000601.561"/>
    <n v="3128531953758.7261"/>
    <n v="3128531953758.7261"/>
    <n v="343135731948.26984"/>
    <n v="138839609717.0239"/>
    <n v="0"/>
  </r>
  <r>
    <x v="0"/>
    <x v="1"/>
    <s v="CV_Starr_2Q_2022_Corporate_Cat_v9_MKT_AIRExp"/>
    <s v="E&amp;P Offshore WS"/>
    <n v="6596726114"/>
    <n v="552"/>
    <n v="8"/>
    <n v="552"/>
    <n v="0.66062041625878898"/>
    <n v="0.95421971523737004"/>
    <n v="0.23330000000000001"/>
    <n v="0.23330000000000001"/>
    <n v="0.225637645228983"/>
    <n v="0"/>
    <n v="0"/>
    <n v="4357931951.3759031"/>
    <n v="6294726114.0000029"/>
    <n v="1539016202.3961999"/>
    <n v="1539016202.3961999"/>
    <n v="1488469746.5834997"/>
    <n v="0"/>
    <n v="0"/>
  </r>
  <r>
    <x v="0"/>
    <x v="1"/>
    <s v="CV_Starr_2Q_2022_Corporate_Cat_v9_MKT_AIRExp"/>
    <s v="Inland Marine EQ"/>
    <n v="31523038377.700199"/>
    <n v="6031"/>
    <n v="614"/>
    <n v="21319610"/>
    <n v="0.47847830067542302"/>
    <n v="0.90457273947246797"/>
    <n v="0.23329999999999801"/>
    <n v="0.23329999999999801"/>
    <n v="2.7868888956152301E-2"/>
    <n v="1.8164680368678202E-2"/>
    <n v="1.7810188899134299E-2"/>
    <n v="15083089835.088135"/>
    <n v="28514881181.812012"/>
    <n v="7354324853.5173941"/>
    <n v="7354324853.5173941"/>
    <n v="878512056.10865426"/>
    <n v="572605916.38050032"/>
    <n v="561431268.18150055"/>
  </r>
  <r>
    <x v="0"/>
    <x v="1"/>
    <s v="CV_Starr_2Q_2022_Corporate_Cat_v9_MKT_AIRExp"/>
    <s v="Inland Marine WS"/>
    <n v="22454278761.009899"/>
    <n v="6420"/>
    <n v="719"/>
    <n v="24270097"/>
    <n v="0.504079565290529"/>
    <n v="0.895786967476632"/>
    <n v="0.23329999999999901"/>
    <n v="0.23329999999999901"/>
    <n v="4.2241162058685201E-2"/>
    <n v="2.76433151793909E-2"/>
    <n v="2.71589125966686E-2"/>
    <n v="11318743076.762228"/>
    <n v="20114250278.200005"/>
    <n v="5238583234.9435873"/>
    <n v="5238583234.9435873"/>
    <n v="948494828.0547123"/>
    <n v="620710704.91649961"/>
    <n v="609833794.29149997"/>
  </r>
  <r>
    <x v="0"/>
    <x v="1"/>
    <s v="CV_Starr_2Q_2022_Corporate_Cat_v9_MKT_AIRExp"/>
    <s v="Property Pool EQ"/>
    <n v="8399604221950.3799"/>
    <n v="1293425"/>
    <n v="9299"/>
    <n v="26934594332"/>
    <n v="0.68194021130999405"/>
    <n v="0.914001997722798"/>
    <n v="0.233300000000046"/>
    <n v="0.233300000000046"/>
    <n v="0.171320332110729"/>
    <n v="0.101349453719469"/>
    <n v="0"/>
    <n v="5728027878037.1602"/>
    <n v="7677255038943.4951"/>
    <n v="1959627664981.4099"/>
    <n v="1959627664981.4099"/>
    <n v="1439022984903.2205"/>
    <n v="851295299354.4165"/>
    <n v="0"/>
  </r>
  <r>
    <x v="0"/>
    <x v="1"/>
    <s v="CV_Starr_2Q_2022_Corporate_Cat_v9_MKT_AIRExp"/>
    <s v="Property Pool WS"/>
    <n v="8965151329223.5098"/>
    <n v="1382112"/>
    <n v="9818"/>
    <n v="28122525679"/>
    <n v="0.68084270083925402"/>
    <n v="0.91808570280283097"/>
    <n v="0.233300000000009"/>
    <n v="0.233300000000009"/>
    <n v="0.16999604401808299"/>
    <n v="9.8901928421885693E-2"/>
    <n v="0"/>
    <n v="6103857844421.1631"/>
    <n v="8230777258823.9004"/>
    <n v="2091569805107.9255"/>
    <n v="2091569805107.9255"/>
    <n v="1524040259991.4551"/>
    <n v="886670755054.23694"/>
    <n v="0"/>
  </r>
  <r>
    <x v="0"/>
    <x v="1"/>
    <s v="CV_Starr_2Q_2022_Corporate_Cat_v9_MKT_AIRExp"/>
    <s v="Global Construction EQ"/>
    <n v="2707696388497.8398"/>
    <n v="17739"/>
    <n v="4554"/>
    <n v="201910671"/>
    <n v="0.48673304953007202"/>
    <n v="0.95032409831267595"/>
    <n v="0.233300000000005"/>
    <n v="0.233300000000005"/>
    <n v="3.6283302529236797E-2"/>
    <n v="1.3829950079648601E-2"/>
    <n v="0"/>
    <n v="1317925320375.1162"/>
    <n v="2573189128903.6987"/>
    <n v="631705567436.55957"/>
    <n v="631705567436.55957"/>
    <n v="98244167221.189011"/>
    <n v="37447305883.769928"/>
    <n v="0"/>
  </r>
  <r>
    <x v="0"/>
    <x v="1"/>
    <s v="CV_Starr_2Q_2022_Corporate_Cat_v9_MKT_AIRExp"/>
    <s v="Global Construction WS"/>
    <n v="2578989387886.9102"/>
    <n v="16678"/>
    <n v="4243"/>
    <n v="209265134"/>
    <n v="0.48438113133747501"/>
    <n v="0.94909525852462195"/>
    <n v="0.233300000000007"/>
    <n v="0.233300000000007"/>
    <n v="3.4418343869170802E-2"/>
    <n v="1.42295473894301E-2"/>
    <n v="0"/>
    <n v="1249213797412.0037"/>
    <n v="2447706599828.7837"/>
    <n v="601678224194.03418"/>
    <n v="601678224194.03418"/>
    <n v="88764543587.233994"/>
    <n v="36697851711.774117"/>
    <n v="0"/>
  </r>
  <r>
    <x v="0"/>
    <x v="1"/>
    <s v="CV_Starr_2Q_2022_Corporate_Cat_v9_MKT_AIRExp"/>
    <s v="Starr China WS"/>
    <n v="270048090816.69501"/>
    <n v="1000"/>
    <n v="1000"/>
    <n v="0"/>
    <n v="0.45932588274651898"/>
    <n v="0.98441037879665305"/>
    <n v="0.23330000000000001"/>
    <n v="0.23330000000000001"/>
    <n v="0"/>
    <n v="0"/>
    <n v="0"/>
    <n v="124040077698.39056"/>
    <n v="265838143374.17569"/>
    <n v="63002219587.53495"/>
    <n v="63002219587.53495"/>
    <n v="0"/>
    <n v="0"/>
    <n v="0"/>
  </r>
  <r>
    <x v="0"/>
    <x v="1"/>
    <s v="CV_Starr_2Q_2022_Corporate_Cat_v9_MKT_AIRExp"/>
    <s v="Starr China EQ"/>
    <n v="235890131847.285"/>
    <n v="659"/>
    <n v="659"/>
    <n v="0"/>
    <n v="0.45827255763818397"/>
    <n v="0.98215293107197499"/>
    <n v="0.23330000000000001"/>
    <n v="0.23330000000000001"/>
    <n v="0"/>
    <n v="0"/>
    <n v="0"/>
    <n v="108101974043.26373"/>
    <n v="231680184404.76559"/>
    <n v="55033167759.971596"/>
    <n v="55033167759.971596"/>
    <n v="0"/>
    <n v="0"/>
    <n v="0"/>
  </r>
  <r>
    <x v="0"/>
    <x v="2"/>
    <s v="AmericanFamily_202206_AIRv9_HU_Prop_MKT_AIRExp"/>
    <s v="HUM_202206_HU"/>
    <n v="35896748936.599998"/>
    <n v="226168"/>
    <n v="219309"/>
    <n v="288298930"/>
    <n v="0.75158083542401199"/>
    <n v="0.99121541250666101"/>
    <n v="0.233300000000004"/>
    <n v="0.233300000000004"/>
    <n v="0.20850917695969401"/>
    <n v="6.3276434271296395E-2"/>
    <n v="1.9586800212236601E-2"/>
    <n v="26979308554.775841"/>
    <n v="35581410804.840012"/>
    <n v="8374711526.9089231"/>
    <n v="8374711526.9089231"/>
    <n v="7484801576.2992373"/>
    <n v="2271418274.6399984"/>
    <n v="703102449.69000089"/>
  </r>
  <r>
    <x v="0"/>
    <x v="2"/>
    <s v="AmericanFamily_202206_AIRv9_HU_Prop_MKT_AIRExp"/>
    <s v="Homesite_202206_HU"/>
    <n v="717812989625"/>
    <n v="1662698"/>
    <n v="1654688"/>
    <n v="1844954677"/>
    <n v="0.97812163502326999"/>
    <n v="0.99543737071474403"/>
    <n v="0.23329999999991399"/>
    <n v="0.23329999999991399"/>
    <n v="0.226944025145911"/>
    <n v="0.144570839751054"/>
    <n v="0.144372855954503"/>
    <n v="702108415052.94653"/>
    <n v="714537875057.19983"/>
    <n v="167465770479.45078"/>
    <n v="167465770479.45078"/>
    <n v="162903369167.51755"/>
    <n v="103774826694.30086"/>
    <n v="103632711353.40128"/>
  </r>
  <r>
    <x v="0"/>
    <x v="2"/>
    <s v="AmericanFamily_202206_AIRv9_HU_Prop_MKT_AIRExp"/>
    <s v="AmFam_202206_HU_Prop"/>
    <n v="1201766035462.71"/>
    <n v="2150342"/>
    <n v="1976539"/>
    <n v="1513011122"/>
    <n v="0.85363934111422002"/>
    <n v="0.99212022542254596"/>
    <n v="0.23329999999998"/>
    <n v="0.23329999999998"/>
    <n v="0.230300131942443"/>
    <n v="0.14770349274933001"/>
    <n v="1.6034570764459299E-2"/>
    <n v="1025874766685.8361"/>
    <n v="1192296390008.4231"/>
    <n v="280372016073.42621"/>
    <n v="280372016073.42621"/>
    <n v="276766876531.00873"/>
    <n v="177505040905.35745"/>
    <n v="19269802537.950527"/>
  </r>
  <r>
    <x v="0"/>
    <x v="2"/>
    <s v="AmericanFamily_202206_AIRv9_HU_Prop_MKT_AIRExp"/>
    <s v="MSA_202206_HU_Prop"/>
    <n v="141104489472.53"/>
    <n v="277126"/>
    <n v="221759"/>
    <n v="159478036"/>
    <n v="0.61586221640427996"/>
    <n v="0.93443715801883898"/>
    <n v="0.23329999999999801"/>
    <n v="0.23329999999999801"/>
    <n v="0.18554728844878601"/>
    <n v="1.4133043650522801E-3"/>
    <n v="0"/>
    <n v="86900923631.146713"/>
    <n v="131853278126.41011"/>
    <n v="32919677393.940968"/>
    <n v="32919677393.940968"/>
    <n v="26181555409.578213"/>
    <n v="199423590.90000015"/>
    <n v="0"/>
  </r>
  <r>
    <x v="1"/>
    <x v="2"/>
    <s v="AmericanFamily_202106_AIRv8_HU_Prop_MKT_AIRExp"/>
    <s v="MSA_202106_HU_Prop"/>
    <n v="113764862457.3"/>
    <n v="297098"/>
    <n v="220251"/>
    <n v="218047326"/>
    <n v="0.69578506420799402"/>
    <n v="0.95914951660595504"/>
    <n v="0.23329999999999701"/>
    <n v="0.23329999999999701"/>
    <n v="0.22435538643518099"/>
    <n v="3.4155008982307E-2"/>
    <n v="0"/>
    <n v="79155892129.466095"/>
    <n v="109117512832.66226"/>
    <n v="26541342411.28775"/>
    <n v="26541342411.28775"/>
    <n v="25523759679.352757"/>
    <n v="3885639899.1000018"/>
    <n v="0"/>
  </r>
  <r>
    <x v="1"/>
    <x v="2"/>
    <s v="AmericanFamily_202106_AIRv8_HU_Prop_MKT_AIRExp"/>
    <s v="Homesite_202106_HU"/>
    <n v="592171615990"/>
    <n v="1590140"/>
    <n v="1590140"/>
    <n v="1653422578"/>
    <n v="0.97296579485549795"/>
    <n v="0.99468542983314301"/>
    <n v="0.233299999999693"/>
    <n v="0.233299999999693"/>
    <n v="0.22452176877243801"/>
    <n v="0.143406122234565"/>
    <n v="0.14345659380537801"/>
    <n v="576162727042.57507"/>
    <n v="589024478386"/>
    <n v="138153638010.28522"/>
    <n v="138153638010.28522"/>
    <n v="132955418638.90773"/>
    <n v="84921035146.501831"/>
    <n v="84950922978.151718"/>
  </r>
  <r>
    <x v="1"/>
    <x v="2"/>
    <s v="AmericanFamily_202106_AIRv8_HU_Prop_MKT_AIRExp"/>
    <s v="AmFam_202106_HU_Prop"/>
    <n v="1090360398187.89"/>
    <n v="2171778"/>
    <n v="2014869"/>
    <n v="1234974785"/>
    <n v="0.84976343356710005"/>
    <n v="0.99379419067635999"/>
    <n v="0.23330000000002599"/>
    <n v="0.23330000000002599"/>
    <n v="0.23026352547670201"/>
    <n v="0.14784147354469601"/>
    <n v="1.04171949188335E-2"/>
    <n v="926548395789.73181"/>
    <n v="1083593829462.6877"/>
    <n v="254381080897.26306"/>
    <n v="254381080897.26306"/>
    <n v="251070229326.92416"/>
    <n v="161200487962.87915"/>
    <n v="11358496799.700159"/>
  </r>
  <r>
    <x v="1"/>
    <x v="2"/>
    <s v="AmericanFamily_202106_AIRv8_HU_Prop_MKT_AIRExp"/>
    <s v="MSA_202106_AMIC_HU_Prop"/>
    <n v="19925848972"/>
    <n v="3042"/>
    <n v="205"/>
    <n v="0"/>
    <n v="0.37530116668200603"/>
    <n v="0.80433169027434104"/>
    <n v="0.23330000000000001"/>
    <n v="0.23330000000000001"/>
    <n v="0"/>
    <n v="0"/>
    <n v="0"/>
    <n v="7478194366.3210506"/>
    <n v="16026991783.800001"/>
    <n v="4648700565.1675997"/>
    <n v="4648700565.1675997"/>
    <n v="0"/>
    <n v="0"/>
    <n v="0"/>
  </r>
  <r>
    <x v="1"/>
    <x v="2"/>
    <s v="AmericanFamily_202106_AIRv8_HU_Prop_MKT_AIRExp"/>
    <s v="HUM_202106_HU_Direct"/>
    <n v="9497767308"/>
    <n v="38992"/>
    <n v="38992"/>
    <n v="65352468"/>
    <n v="0.72401102384779503"/>
    <n v="0.98800338286830602"/>
    <n v="0.23330000000000001"/>
    <n v="0.23330000000000001"/>
    <n v="0.15363680079880501"/>
    <n v="0.108100768612766"/>
    <n v="4.6174138803190797E-3"/>
    <n v="6876488232.9331961"/>
    <n v="9383826230.0000038"/>
    <n v="2215829112.9563999"/>
    <n v="2215829112.9563999"/>
    <n v="1459206583.9325986"/>
    <n v="1026715946.1000015"/>
    <n v="43855122.599999979"/>
  </r>
  <r>
    <x v="1"/>
    <x v="3"/>
    <s v="ApexOne_2021_AIRExp"/>
    <s v="ApexOne"/>
    <n v="195788925937"/>
    <n v="86204"/>
    <n v="3978"/>
    <n v="3363249117"/>
    <n v="0.99989295390843003"/>
    <n v="1"/>
    <n v="0.23330000000000001"/>
    <n v="0.23330000000000001"/>
    <n v="0.23330000000000001"/>
    <n v="0.14999295390843301"/>
    <n v="0.15"/>
    <n v="195767967497.70575"/>
    <n v="195788925937"/>
    <n v="45677556421.102104"/>
    <n v="45677556421.102104"/>
    <n v="45677556421.102104"/>
    <n v="29366959343.850044"/>
    <n v="29368338890.549999"/>
  </r>
  <r>
    <x v="0"/>
    <x v="4"/>
    <s v="AIRExp_CentralMutual_20220831_v9_Proforma_ForRe"/>
    <s v="TS_PEF"/>
    <n v="174354061313.952"/>
    <n v="401416"/>
    <n v="401416"/>
    <n v="849667687"/>
    <n v="0.83158881441168397"/>
    <n v="0.99516459775997301"/>
    <n v="0.23330000000000001"/>
    <n v="0.23330000000000001"/>
    <n v="0.22635967945732299"/>
    <n v="0.14212265422484899"/>
    <n v="0"/>
    <n v="144990887135.9314"/>
    <n v="173510989295.31671"/>
    <n v="40676802504.544998"/>
    <n v="40676802504.544998"/>
    <n v="39466729431.108612"/>
    <n v="24779661968.820919"/>
    <n v="0"/>
  </r>
  <r>
    <x v="0"/>
    <x v="4"/>
    <s v="AIRExp_CentralMutual_20220831_v9_Proforma_ForRe"/>
    <s v="TS_PES"/>
    <n v="38578366174.517799"/>
    <n v="292972"/>
    <n v="292972"/>
    <n v="144880412"/>
    <n v="0.80544741085182303"/>
    <n v="0.99163156245831896"/>
    <n v="0.23329999999999801"/>
    <n v="0.23329999999999801"/>
    <n v="0.21472148012598199"/>
    <n v="0.12873474713085101"/>
    <n v="0"/>
    <n v="31072845150.158909"/>
    <n v="38255525526.72625"/>
    <n v="9000332828.514925"/>
    <n v="9000332828.514925"/>
    <n v="8283603885.8345795"/>
    <n v="4966376214.1979246"/>
    <n v="0"/>
  </r>
  <r>
    <x v="0"/>
    <x v="4"/>
    <s v="AIRExp_CentralMutual_20220831_v9_Proforma_ForRe"/>
    <s v="TS_PWA"/>
    <n v="173930098034.673"/>
    <n v="400764"/>
    <n v="400764"/>
    <n v="847933743"/>
    <n v="0.91269487653450299"/>
    <n v="0.99515629668987204"/>
    <n v="0.23330000000000001"/>
    <n v="0.23330000000000001"/>
    <n v="0.22635395113991"/>
    <n v="0.14211580345029501"/>
    <n v="8.1247253298302902E-2"/>
    <n v="158745109351.38989"/>
    <n v="173087632243.09158"/>
    <n v="40577891871.489212"/>
    <n v="40577891871.489212"/>
    <n v="39369764912.300133"/>
    <n v="24718215626.386131"/>
    <n v="14131342731.221733"/>
  </r>
  <r>
    <x v="0"/>
    <x v="5"/>
    <s v="AIRExp_Celina_Jun2022_ForRe_TSv9"/>
    <s v="ForRe_Celina EQ"/>
    <n v="3542313299"/>
    <n v="5556"/>
    <n v="4410"/>
    <n v="5556"/>
    <n v="0.68547204449520305"/>
    <n v="0.96438562341856804"/>
    <n v="0.23330000000000001"/>
    <n v="0.23330000000000001"/>
    <n v="0.23330000000000001"/>
    <n v="1.12955359034153E-2"/>
    <n v="0"/>
    <n v="2428156739.3080773"/>
    <n v="3416156019.1999993"/>
    <n v="826421692.65670002"/>
    <n v="826421692.65670002"/>
    <n v="826421692.65670002"/>
    <n v="40012327.049999997"/>
    <n v="0"/>
  </r>
  <r>
    <x v="0"/>
    <x v="5"/>
    <s v="AIRExp_Celina_Jun2022_ForRe_TSv9"/>
    <s v="Celina WIND"/>
    <n v="37892497020"/>
    <n v="176298"/>
    <n v="106119"/>
    <n v="176298"/>
    <n v="0.67955992100856"/>
    <n v="0.95943000633637998"/>
    <n v="0.23329999999999801"/>
    <n v="0.23329999999999801"/>
    <n v="0.23329982897386101"/>
    <n v="8.3651362638544804E-3"/>
    <n v="0"/>
    <n v="25750222281.728294"/>
    <n v="36355198655.999863"/>
    <n v="8840319554.7659245"/>
    <n v="8840319554.7659245"/>
    <n v="8840313074.1585369"/>
    <n v="316975900.94999981"/>
    <n v="0"/>
  </r>
  <r>
    <x v="0"/>
    <x v="3"/>
    <s v="ApexOne_20230930P_RI_CEDEv9"/>
    <s v="ApexOne_20230930P"/>
    <n v="305318007467.75702"/>
    <n v="72525"/>
    <n v="7197"/>
    <n v="2517081958"/>
    <n v="0.99989745132805496"/>
    <n v="0.99999757799271305"/>
    <n v="0.23330000000000201"/>
    <n v="0.23330000000000201"/>
    <n v="0.23330000000000201"/>
    <n v="0.149999873093139"/>
    <n v="0.15"/>
    <n v="305286697511.57031"/>
    <n v="305317267985.31812"/>
    <n v="71230691142.228333"/>
    <n v="71230691142.228333"/>
    <n v="71230691142.228333"/>
    <n v="45797662373.213615"/>
    <n v="45797701120.163551"/>
  </r>
  <r>
    <x v="0"/>
    <x v="3"/>
    <s v="ApexOne_20220930_RI_CEDEv9"/>
    <s v="ApexOne_20220930"/>
    <n v="300501888005"/>
    <n v="72525"/>
    <n v="7197"/>
    <n v="2517081958"/>
    <n v="0.99989704704857296"/>
    <n v="0.99999717570692903"/>
    <n v="0.23330000000000001"/>
    <n v="0.23330000000000001"/>
    <n v="0.23330000000000001"/>
    <n v="0.149999871059213"/>
    <n v="0.15000000000000099"/>
    <n v="300470950448.72046"/>
    <n v="300501039299.59991"/>
    <n v="70107090471.566498"/>
    <n v="70107090471.566498"/>
    <n v="70107090471.566498"/>
    <n v="45075244453.800064"/>
    <n v="45075283200.750298"/>
  </r>
  <r>
    <x v="0"/>
    <x v="6"/>
    <s v="AIRExp_Erie_20220331_xAddress_re"/>
    <s v="ES_Erie_20220331_Auto_HUSCS"/>
    <n v="60896870639"/>
    <n v="570924"/>
    <n v="178466"/>
    <n v="570924"/>
    <n v="0.30902726605243203"/>
    <n v="0.66229589809776201"/>
    <n v="0.23330000000001799"/>
    <n v="0.23330000000001799"/>
    <n v="0"/>
    <n v="0"/>
    <n v="0"/>
    <n v="18818793444.718788"/>
    <n v="40331747631.199738"/>
    <n v="14207239920.079796"/>
    <n v="14207239920.079796"/>
    <n v="0"/>
    <n v="0"/>
    <n v="0"/>
  </r>
  <r>
    <x v="0"/>
    <x v="6"/>
    <s v="AIRExp_Erie_20220331_xAddress_re"/>
    <s v="ES_Erie_20220331_Prop_EQFF"/>
    <n v="104126338297"/>
    <n v="181518"/>
    <n v="161644"/>
    <n v="204043253"/>
    <n v="0.71579662757961005"/>
    <n v="0.95977168493477405"/>
    <n v="0.23330000000000001"/>
    <n v="0.23330000000000001"/>
    <n v="0.220351132093837"/>
    <n v="5.7687627096006902E-2"/>
    <n v="0"/>
    <n v="74533281795.206192"/>
    <n v="99937511153.399979"/>
    <n v="24292674724.690102"/>
    <n v="24292674724.690102"/>
    <n v="22944356524.529804"/>
    <n v="6006801374.5499983"/>
    <n v="0"/>
  </r>
  <r>
    <x v="0"/>
    <x v="6"/>
    <s v="AIRExp_Erie_20220331_xAddress_re"/>
    <s v="ES_Erie_20220331_Prop_HU"/>
    <n v="1569332516592"/>
    <n v="2993826"/>
    <n v="2766230"/>
    <n v="3717703884"/>
    <n v="0.72032515348043702"/>
    <n v="0.962349504417639"/>
    <n v="0.23330000000000101"/>
    <n v="0.23330000000000101"/>
    <n v="0.220064551303079"/>
    <n v="6.0660238723326598E-2"/>
    <n v="0"/>
    <n v="1130429685875.9729"/>
    <n v="1510246369608.7974"/>
    <n v="366125276120.91516"/>
    <n v="366125276120.91516"/>
    <n v="345354456109.15027"/>
    <n v="95196085092.749619"/>
    <n v="0"/>
  </r>
  <r>
    <x v="0"/>
    <x v="6"/>
    <s v="AIRExp_Erie_20220331_xAddress_re"/>
    <s v="ES_Erie_20220331_Prop_ST"/>
    <n v="1567912811000"/>
    <n v="2936835"/>
    <n v="2716614"/>
    <n v="3717703884"/>
    <n v="0.72120559505715098"/>
    <n v="0.96240998535408795"/>
    <n v="0.23329999999999701"/>
    <n v="0.23329999999999701"/>
    <n v="0.22005771574118699"/>
    <n v="6.1532444900501998E-2"/>
    <n v="0"/>
    <n v="1130787491854.9854"/>
    <n v="1508974945470.9968"/>
    <n v="365794058806.29529"/>
    <n v="365794058806.29529"/>
    <n v="345031311670.00342"/>
    <n v="96477508651.648697"/>
    <n v="0"/>
  </r>
  <r>
    <x v="1"/>
    <x v="6"/>
    <s v="AIRExp_Erie_20210331_re"/>
    <s v="ES_Erie_20210331_Auto_HUSCS"/>
    <n v="59573953672"/>
    <n v="540487"/>
    <n v="173172"/>
    <n v="540487"/>
    <n v="0.30972506830934199"/>
    <n v="0.66379140229174804"/>
    <n v="0.23330000000002499"/>
    <n v="0.23330000000002499"/>
    <n v="0"/>
    <n v="0"/>
    <n v="0"/>
    <n v="18451546870.517776"/>
    <n v="39544678248.000511"/>
    <n v="13898603391.679089"/>
    <n v="13898603391.679089"/>
    <n v="0"/>
    <n v="0"/>
    <n v="0"/>
  </r>
  <r>
    <x v="1"/>
    <x v="6"/>
    <s v="AIRExp_Erie_20210331_re"/>
    <s v="ES_Erie_20210331_Prop_EQFF"/>
    <n v="93420487557"/>
    <n v="182866"/>
    <n v="163952"/>
    <n v="201250631"/>
    <n v="0.717391174361522"/>
    <n v="0.96228179669207903"/>
    <n v="0.23329999999999901"/>
    <n v="0.23329999999999901"/>
    <n v="0.220060982948485"/>
    <n v="5.77604711488756E-2"/>
    <n v="0"/>
    <n v="67019033277.942184"/>
    <n v="89896834614.199966"/>
    <n v="21794999747.048008"/>
    <n v="21794999747.048008"/>
    <n v="20558204319.320133"/>
    <n v="5396011376.2499905"/>
    <n v="0"/>
  </r>
  <r>
    <x v="1"/>
    <x v="6"/>
    <s v="AIRExp_Erie_20210331_re"/>
    <s v="ES_Erie_20210331_Prop_HU"/>
    <n v="1440618510099"/>
    <n v="2915122"/>
    <n v="2701650"/>
    <n v="3703025325"/>
    <n v="0.72080411882670403"/>
    <n v="0.96647427798197705"/>
    <n v="0.233299999999972"/>
    <n v="0.233299999999972"/>
    <n v="0.219837538729899"/>
    <n v="5.8379031710532298E-2"/>
    <n v="0"/>
    <n v="1038403755737.3489"/>
    <n v="1392320734395.4026"/>
    <n v="336096298406.05634"/>
    <n v="336096298406.05634"/>
    <n v="316702027508.89832"/>
    <n v="84101913683.849319"/>
    <n v="0"/>
  </r>
  <r>
    <x v="1"/>
    <x v="6"/>
    <s v="AIRExp_Erie_20210331_re"/>
    <s v="ES_Erie_20210331_Prop_ST"/>
    <n v="1439320575660"/>
    <n v="2860002"/>
    <n v="2653350"/>
    <n v="3703025325"/>
    <n v="0.72187662722074997"/>
    <n v="0.96653856996318299"/>
    <n v="0.23329999999997"/>
    <n v="0.23329999999997"/>
    <n v="0.219825398701881"/>
    <n v="5.9448464212403601E-2"/>
    <n v="0"/>
    <n v="1039011882646.869"/>
    <n v="1391158850917.0017"/>
    <n v="335793490301.43481"/>
    <n v="335793490301.43481"/>
    <n v="316399219404.2804"/>
    <n v="85565397732.299652"/>
    <n v="0"/>
  </r>
  <r>
    <x v="1"/>
    <x v="7"/>
    <s v="PLMR_20220930P_Wind_RI_CEDEv8"/>
    <s v="PLMR_20220930P_HU"/>
    <n v="1254746854098.97"/>
    <n v="557912"/>
    <n v="64308"/>
    <n v="7040226673.4985199"/>
    <n v="0.776902284565404"/>
    <n v="0.92941832334538599"/>
    <n v="0.23329999999999701"/>
    <n v="0.23329999999999701"/>
    <n v="0.21376004231787901"/>
    <n v="0.12188229564256001"/>
    <n v="3.1096695406563998E-2"/>
    <n v="974815697500.74341"/>
    <n v="1166184717359.5623"/>
    <n v="292732441061.28595"/>
    <n v="292732441061.28595"/>
    <n v="268214740630.42139"/>
    <n v="152931427027.86276"/>
    <n v="39018480734.260063"/>
  </r>
  <r>
    <x v="1"/>
    <x v="7"/>
    <s v="PLMR_20220930P_Wind_RI_CEDEv8"/>
    <s v="PLMR_20220930P_SCS"/>
    <n v="1233548286836.55"/>
    <n v="526120"/>
    <n v="32516"/>
    <n v="6974349029.4985199"/>
    <n v="0.77639249062245896"/>
    <n v="0.92910237139247198"/>
    <n v="0.23329999999999801"/>
    <n v="0.23329999999999801"/>
    <n v="0.21342424751223699"/>
    <n v="0.12139909198248"/>
    <n v="3.1613410005592799E-2"/>
    <n v="957717626720.09656"/>
    <n v="1146092638526.96"/>
    <n v="287786815318.96466"/>
    <n v="287786815318.96466"/>
    <n v="263269114888.09976"/>
    <n v="149751641938.50098"/>
    <n v="38996667753.460449"/>
  </r>
  <r>
    <x v="1"/>
    <x v="8"/>
    <s v="HRTG_20220831Proj_TSv9_SCS_WNT_MKT_AIRExp"/>
    <s v="HRTG_202208P_TSv9_CRES_FL_SevTH"/>
    <n v="21561450776.626999"/>
    <n v="25198"/>
    <n v="2351"/>
    <n v="233117570"/>
    <n v="0.96627923006483496"/>
    <n v="0.96652507572735602"/>
    <n v="0.233300000000003"/>
    <n v="0.233300000000003"/>
    <n v="0.23297366620047599"/>
    <n v="0.14979018401230901"/>
    <n v="0.14979018401230901"/>
    <n v="20834382055.519974"/>
    <n v="20839682844.67107"/>
    <n v="5030286466.1871433"/>
    <n v="5030286466.1871433"/>
    <n v="5023250236.0318928"/>
    <n v="3229693679.4033012"/>
    <n v="3229693679.4033012"/>
  </r>
  <r>
    <x v="1"/>
    <x v="8"/>
    <s v="HRTG_20220831Proj_TSv9_SCS_WNT_MKT_AIRExp"/>
    <s v="HRTG_202208P_TSv9_NBIC_CRES_SevTH"/>
    <n v="1404095891.0929401"/>
    <n v="516"/>
    <n v="157"/>
    <n v="9670280"/>
    <n v="0.949349962869522"/>
    <n v="0.94944490736025999"/>
    <n v="0.23330000000000001"/>
    <n v="0.23330000000000001"/>
    <n v="0.23330000000000001"/>
    <n v="0.15"/>
    <n v="0.15"/>
    <n v="1332978382.074331"/>
    <n v="1333111693.2436583"/>
    <n v="327575571.39198291"/>
    <n v="327575571.39198291"/>
    <n v="327575571.39198291"/>
    <n v="210614383.663941"/>
    <n v="210614383.663941"/>
  </r>
  <r>
    <x v="1"/>
    <x v="8"/>
    <s v="HRTG_20220831Proj_TSv9_SCS_WNT_MKT_AIRExp"/>
    <s v="HRTG_202208P_TSv9_NBIC_PRES_SevTH"/>
    <n v="203369910090.616"/>
    <n v="215444"/>
    <n v="215444"/>
    <n v="406941338"/>
    <n v="0.95137565001610402"/>
    <n v="0.98339971711307395"/>
    <n v="0.23329999999999601"/>
    <n v="0.23329999999999601"/>
    <n v="0.23329999999999601"/>
    <n v="0.149999999999994"/>
    <n v="0.117600794655516"/>
    <n v="193481180406.17642"/>
    <n v="199993912052.42307"/>
    <n v="47446200024.1399"/>
    <n v="47446200024.1399"/>
    <n v="47446200024.1399"/>
    <n v="30505486513.591179"/>
    <n v="23916463035.677284"/>
  </r>
  <r>
    <x v="1"/>
    <x v="8"/>
    <s v="HRTG_20220831Proj_TSv9_SCS_WNT_MKT_AIRExp"/>
    <s v="HRTG_202208P_TSv9_PRES_FL_SevTH"/>
    <n v="73475571163.656799"/>
    <n v="196223"/>
    <n v="196223"/>
    <n v="356619661"/>
    <n v="0.97700720035824395"/>
    <n v="0.97710491084935003"/>
    <n v="0.23330000000000101"/>
    <n v="0.23330000000000101"/>
    <n v="0.23330000000000101"/>
    <n v="0.15000000000000099"/>
    <n v="0.15000000000000099"/>
    <n v="71786162077.327255"/>
    <n v="71793341411.469955"/>
    <n v="17141850752.481205"/>
    <n v="17141850752.481205"/>
    <n v="17141850752.481205"/>
    <n v="11021335674.548594"/>
    <n v="11021335674.548594"/>
  </r>
  <r>
    <x v="1"/>
    <x v="8"/>
    <s v="HRTG_20220831Proj_TSv9_SCS_WNT_MKT_AIRExp"/>
    <s v="HRTG_202208P_TSv9_PRES_xFL_SevTH"/>
    <n v="38192415738.028397"/>
    <n v="67360"/>
    <n v="67360"/>
    <n v="149171529"/>
    <n v="0.95279677005271401"/>
    <n v="0.95298076402370202"/>
    <n v="0.23330000000000001"/>
    <n v="0.23330000000000001"/>
    <n v="0.23330000000000001"/>
    <n v="0.14977826026353699"/>
    <n v="0.14977826026353699"/>
    <n v="36389610355.703896"/>
    <n v="36396637529.937164"/>
    <n v="8910290591.6820259"/>
    <n v="8910290591.6820259"/>
    <n v="8910290591.6820259"/>
    <n v="5720393584.503624"/>
    <n v="5720393584.503624"/>
  </r>
  <r>
    <x v="1"/>
    <x v="9"/>
    <s v="Slide_202208P_TSv9_MKT_AIRExp"/>
    <s v="Slide_20220831P_TSv9_FL_HU_MKT_Set"/>
    <n v="54377636771.814301"/>
    <n v="135650"/>
    <n v="135650"/>
    <n v="270931306"/>
    <n v="0.99944548760444196"/>
    <n v="0.99956559391904798"/>
    <n v="0.23330000000000101"/>
    <n v="0.23330000000000101"/>
    <n v="0.23330000000000101"/>
    <n v="0.14999986240452001"/>
    <n v="0.14997998784026301"/>
    <n v="54347483698.183174"/>
    <n v="54354014795.732826"/>
    <n v="12686302658.86433"/>
    <n v="12686302658.86433"/>
    <n v="12686302658.86433"/>
    <n v="8156638033.6551132"/>
    <n v="8155557301.8189478"/>
  </r>
  <r>
    <x v="1"/>
    <x v="9"/>
    <s v="Slide_202208P_TSv9_MKT_AIRExp"/>
    <s v="Slide_20220831P_TSv9_SC_HU_MKT_Set"/>
    <n v="3093077771.8431401"/>
    <n v="5698"/>
    <n v="5698"/>
    <n v="12656099"/>
    <n v="0.99984687492537905"/>
    <n v="0.99994686961234203"/>
    <n v="0.23330000000000001"/>
    <n v="0.23330000000000001"/>
    <n v="0.23330000000000001"/>
    <n v="0.15"/>
    <n v="0.15"/>
    <n v="3092604144.0785184"/>
    <n v="3092913435.4220657"/>
    <n v="721615044.17100465"/>
    <n v="721615044.17100465"/>
    <n v="721615044.17100465"/>
    <n v="463961665.77647102"/>
    <n v="463961665.77647102"/>
  </r>
  <r>
    <x v="1"/>
    <x v="10"/>
    <s v="AIRExp_AIIC_Proj_20220930_re"/>
    <s v="ES_AIIC_Proj20220930_FHCF_Applicable"/>
    <n v="117921126163"/>
    <n v="272775"/>
    <n v="272773"/>
    <n v="473584791"/>
    <n v="0.99646879173616199"/>
    <n v="0.99716773477605403"/>
    <n v="0.23329999999999501"/>
    <n v="0.23329999999999501"/>
    <n v="0.23323252240223699"/>
    <n v="0.15"/>
    <n v="0.149468119566944"/>
    <n v="117504722107.81213"/>
    <n v="117587142258.2"/>
    <n v="27510998733.827312"/>
    <n v="27510998733.827312"/>
    <n v="27503041699.508911"/>
    <n v="17688168924.450001"/>
    <n v="17625448984.799973"/>
  </r>
  <r>
    <x v="1"/>
    <x v="10"/>
    <s v="AIRExp_AIIC_Proj_20220930_re"/>
    <s v="ES_AIIC_Proj20220930_NonFHCF_Applicable"/>
    <n v="114485633"/>
    <n v="1165"/>
    <n v="1165"/>
    <n v="0"/>
    <n v="0.96472294869173603"/>
    <n v="0.96496120172563504"/>
    <n v="0.23330000000000001"/>
    <n v="0.23330000000000001"/>
    <n v="0.23330000000000001"/>
    <n v="0.15"/>
    <n v="0.14983737304400499"/>
    <n v="110446917.45059992"/>
    <n v="110474194.00000001"/>
    <n v="26709498.1789"/>
    <n v="26709498.1789"/>
    <n v="26709498.1789"/>
    <n v="17172844.949999999"/>
    <n v="17154226.500000048"/>
  </r>
  <r>
    <x v="1"/>
    <x v="10"/>
    <s v="AIRExp_AIIC_Proj_20220930_re"/>
    <s v="ES_AIIC_Proj20220930_SevStorm"/>
    <n v="118035611796"/>
    <n v="273940"/>
    <n v="273938"/>
    <n v="473584791"/>
    <n v="0.99643800066488297"/>
    <n v="0.99713649687024797"/>
    <n v="0.23329999999999501"/>
    <n v="0.23329999999999501"/>
    <n v="0.23323258785041301"/>
    <n v="0.15"/>
    <n v="0.14946847771494301"/>
    <n v="117615169025.26251"/>
    <n v="117697616452.19995"/>
    <n v="27537708232.00621"/>
    <n v="27537708232.00621"/>
    <n v="27529751197.687817"/>
    <n v="17705341769.399998"/>
    <n v="17642603211.300091"/>
  </r>
  <r>
    <x v="0"/>
    <x v="11"/>
    <s v="AIRExp_QuincyMutual_2023_HU_SCS_WT_ForRe"/>
    <s v="ES_Quincy_Aug2022_HU"/>
    <n v="79587225731"/>
    <n v="106672"/>
    <n v="97014"/>
    <n v="217881859"/>
    <n v="0.71975789303005899"/>
    <n v="0.97811424090485"/>
    <n v="0.23329999999999801"/>
    <n v="0.23329999999999801"/>
    <n v="0.23125383931096499"/>
    <n v="3.8418245245593799E-2"/>
    <n v="0"/>
    <n v="57283533904.252258"/>
    <n v="77845398881.600006"/>
    <n v="18567699763.042141"/>
    <n v="18567699763.042141"/>
    <n v="18404851510.402172"/>
    <n v="3057601556.5499911"/>
    <n v="0"/>
  </r>
  <r>
    <x v="0"/>
    <x v="12"/>
    <s v="AIRExp_WestBend_20220630_forRe_TS9"/>
    <s v="ES_WBMIC_Auto_AllPerils"/>
    <n v="6717635237"/>
    <n v="489398"/>
    <n v="489398"/>
    <n v="489398"/>
    <n v="0.43626922174528199"/>
    <n v="0.93499618891260206"/>
    <n v="0.23329999999939099"/>
    <n v="0.23329999999939099"/>
    <n v="0"/>
    <n v="0"/>
    <n v="0"/>
    <n v="2930697496.8146729"/>
    <n v="6280963345.1000042"/>
    <n v="1567224300.7880089"/>
    <n v="1567224300.7880089"/>
    <n v="0"/>
    <n v="0"/>
    <n v="0"/>
  </r>
  <r>
    <x v="0"/>
    <x v="12"/>
    <s v="AIRExp_WestBend_20220630_forRe_TS9"/>
    <s v="ES_WBMIC_NonAuto_EQ"/>
    <n v="42888187514.599998"/>
    <n v="153735"/>
    <n v="153735"/>
    <n v="153735"/>
    <n v="0.66045943260597495"/>
    <n v="0.93386529403616103"/>
    <n v="0.23330000000000001"/>
    <n v="0.23330000000000001"/>
    <n v="0.19432402463845899"/>
    <n v="0"/>
    <n v="4.4802671974325803E-2"/>
    <n v="28325907991.391373"/>
    <n v="40051789843.999939"/>
    <n v="10005814147.156179"/>
    <n v="10005814147.156179"/>
    <n v="8334205207.2859793"/>
    <n v="0"/>
    <n v="1921505396.7899992"/>
  </r>
  <r>
    <x v="0"/>
    <x v="12"/>
    <s v="AIRExp_WestBend_20220630_forRe_TS9"/>
    <s v="ES_WBMIC_NonAuto_WindFire"/>
    <n v="305240726151.20001"/>
    <n v="494919"/>
    <n v="494919"/>
    <n v="494919"/>
    <n v="0.70986285055218001"/>
    <n v="0.93402247769092095"/>
    <n v="0.23330000000000201"/>
    <n v="0.23330000000000201"/>
    <n v="0.22745947079582099"/>
    <n v="0"/>
    <n v="6.5284057571528206E-2"/>
    <n v="216679051970.3082"/>
    <n v="285101699331.91974"/>
    <n v="71212661411.075577"/>
    <n v="71212661411.075577"/>
    <n v="69429894035.684067"/>
    <n v="0"/>
    <n v="19927353139.230019"/>
  </r>
  <r>
    <x v="1"/>
    <x v="13"/>
    <s v="WRe_PGRHome_Proj20220831_MixShift_Renewal_v9_TSE"/>
    <s v="HU_Coastal-Proj20220831"/>
    <n v="279527656"/>
    <n v="2540"/>
    <n v="2540"/>
    <n v="3940765"/>
    <n v="0.89147894438700803"/>
    <n v="1"/>
    <n v="0.23329999999999801"/>
    <n v="0.23329999999999801"/>
    <n v="0.23329999999999801"/>
    <n v="0.15"/>
    <n v="4.1578944387003103E-2"/>
    <n v="249193019.6978547"/>
    <n v="279527656"/>
    <n v="65213802.144799441"/>
    <n v="65213802.144799441"/>
    <n v="65213802.144799441"/>
    <n v="41929148.399999999"/>
    <n v="11622464.863453334"/>
  </r>
  <r>
    <x v="1"/>
    <x v="13"/>
    <s v="WRe_PGRHome_Proj20220831_MixShift_Renewal_v9_TSE"/>
    <s v="WF_FF_xWind-Proj20220831"/>
    <n v="18398982133.000401"/>
    <n v="41254"/>
    <n v="41254"/>
    <n v="69224664"/>
    <n v="0.89606312858582005"/>
    <n v="1"/>
    <n v="0.23329999999999801"/>
    <n v="0.23329999999999801"/>
    <n v="0.23302434885243301"/>
    <n v="0.14982277037233199"/>
    <n v="4.6616009361056303E-2"/>
    <n v="16486649492.890944"/>
    <n v="18398982133.000401"/>
    <n v="4292482531.6289568"/>
    <n v="4292482531.6289568"/>
    <n v="4287410831.0899673"/>
    <n v="2756586475.1971583"/>
    <n v="857687123.34585428"/>
  </r>
  <r>
    <x v="1"/>
    <x v="13"/>
    <s v="WRe_PGRHome_Proj20220831_MixShift_Renewal_v9_TSE"/>
    <s v="WT_WF_FF-Proj20220831"/>
    <n v="916154407630.12097"/>
    <n v="2130972"/>
    <n v="2130972"/>
    <n v="3046956258"/>
    <n v="0.93824410302799499"/>
    <n v="1"/>
    <n v="0.23330000000016701"/>
    <n v="0.23330000000016701"/>
    <n v="0.22763445708122501"/>
    <n v="0.14635736892506199"/>
    <n v="9.7652277021008704E-2"/>
    <n v="859576470422.06689"/>
    <n v="916154407630.12097"/>
    <n v="213738823300.26022"/>
    <n v="213738823300.26022"/>
    <n v="208548311183.45389"/>
    <n v="134085948629.84325"/>
    <n v="89464564007.914703"/>
  </r>
  <r>
    <x v="0"/>
    <x v="13"/>
    <s v="AJGRe_PGRHome_Proj20230831_v3_xEQSH_AggRenewal_v10_TSE"/>
    <s v="HU_CH6-Proj20230831"/>
    <n v="410374001.28068101"/>
    <n v="2063"/>
    <n v="2063"/>
    <n v="3166334"/>
    <n v="0.88817034704162501"/>
    <n v="1"/>
    <n v="0.23330000000000001"/>
    <n v="0.23330000000000001"/>
    <n v="0.23330000000000001"/>
    <n v="0.15"/>
    <n v="3.8270347041629897E-2"/>
    <n v="364482019.1343227"/>
    <n v="410374001.28068101"/>
    <n v="95740254.498782888"/>
    <n v="95740254.498782888"/>
    <n v="95740254.498782888"/>
    <n v="61556100.192102149"/>
    <n v="15705155.445873935"/>
  </r>
  <r>
    <x v="0"/>
    <x v="13"/>
    <s v="AJGRe_PGRHome_Proj20230831_v3_xEQSH_AggRenewal_v10_TSE"/>
    <s v="HU-Proj20230831"/>
    <n v="994975880805.61597"/>
    <n v="2236272"/>
    <n v="2236272"/>
    <n v="3136712614"/>
    <n v="0.93905919357801204"/>
    <n v="1"/>
    <n v="0.23329999999839801"/>
    <n v="0.23329999999839801"/>
    <n v="0.227434830142143"/>
    <n v="0.14622902066332899"/>
    <n v="9.8795342773095707E-2"/>
    <n v="934341248258.89392"/>
    <n v="994975880805.61597"/>
    <n v="232127872990.35626"/>
    <n v="232127872990.35626"/>
    <n v="226292170446.55438"/>
    <n v="145494348633.83838"/>
    <n v="98298983195.153641"/>
  </r>
  <r>
    <x v="0"/>
    <x v="13"/>
    <s v="AJGRe_PGRHome_Proj20230831_v3_xEQSH_AggRenewal_v10_TSE"/>
    <s v="WF_FF_xWind-Proj20230831"/>
    <n v="20311215079.756199"/>
    <n v="41588"/>
    <n v="41588"/>
    <n v="71384531"/>
    <n v="0.90337205024306799"/>
    <n v="1"/>
    <n v="0.23330000000000201"/>
    <n v="0.23330000000000201"/>
    <n v="0.233088517067356"/>
    <n v="0.14986402726148099"/>
    <n v="5.3819505914227003E-2"/>
    <n v="18348584009.527279"/>
    <n v="20311215079.756199"/>
    <n v="4738606478.1071615"/>
    <n v="4738606478.1071615"/>
    <n v="4734311002.7764912"/>
    <n v="3043920490.4263868"/>
    <n v="1093139560.1100755"/>
  </r>
  <r>
    <x v="0"/>
    <x v="13"/>
    <s v="AJGRe_PGRHome_Proj20230831_v3_xEQSH_AggRenewal_v10_TSE"/>
    <s v="WT_CH6-Proj20230831"/>
    <n v="410374001.28068101"/>
    <n v="2063"/>
    <n v="2063"/>
    <n v="3166334"/>
    <n v="0.88817034704162601"/>
    <n v="1"/>
    <n v="0.23330000000000001"/>
    <n v="0.23330000000000001"/>
    <n v="0.23330000000000001"/>
    <n v="0.15"/>
    <n v="3.8270347041629897E-2"/>
    <n v="364482019.13432312"/>
    <n v="410374001.28068101"/>
    <n v="95740254.498782888"/>
    <n v="95740254.498782888"/>
    <n v="95740254.498782888"/>
    <n v="61556100.192102149"/>
    <n v="15705155.445873935"/>
  </r>
  <r>
    <x v="1"/>
    <x v="13"/>
    <s v="PGRHome_2022_AirExp"/>
    <s v="EQ_xWind-Proj20220831"/>
    <n v="1798014.28574141"/>
    <n v="2"/>
    <n v="2"/>
    <n v="4123"/>
    <n v="0.94266073602120404"/>
    <n v="1"/>
    <n v="0.23330000000000001"/>
    <n v="0.23330000000000001"/>
    <n v="0.23330000000000001"/>
    <n v="0.15"/>
    <n v="9.2760736021204299E-2"/>
    <n v="1694917.469973637"/>
    <n v="1798014.28574141"/>
    <n v="419476.73286347097"/>
    <n v="419476.73286347097"/>
    <n v="419476.73286347097"/>
    <n v="269702.1428612115"/>
    <n v="166785.12852201314"/>
  </r>
  <r>
    <x v="1"/>
    <x v="13"/>
    <s v="PGRHome_2022_AirExp"/>
    <s v="EQ-Proj20220831"/>
    <n v="15068112485.9709"/>
    <n v="21583"/>
    <n v="21583"/>
    <n v="41951990"/>
    <n v="0.95102659010475799"/>
    <n v="1"/>
    <n v="0.23330000000000201"/>
    <n v="0.23330000000000201"/>
    <n v="0.23315616697023001"/>
    <n v="0.14990752269839"/>
    <n v="0.101362900436134"/>
    <n v="14330175636.847832"/>
    <n v="15068112485.9709"/>
    <n v="3515390642.9770412"/>
    <n v="3515390642.9770412"/>
    <n v="3513223350.7052388"/>
    <n v="2258823414.5125766"/>
    <n v="1527347585.6759357"/>
  </r>
  <r>
    <x v="1"/>
    <x v="13"/>
    <s v="PGRHome_2022_AirExp"/>
    <s v="HU-Proj20220831"/>
    <n v="933123025917.86597"/>
    <n v="2110751"/>
    <n v="2110751"/>
    <n v="3080420783"/>
    <n v="0.93494098923178504"/>
    <n v="0.99999994375163304"/>
    <n v="0.23330000000017001"/>
    <n v="0.23330000000017001"/>
    <n v="0.22781899227867"/>
    <n v="0.146476017330887"/>
    <n v="9.4046035865849795E-2"/>
    <n v="872414964926.6062"/>
    <n v="933122973431.2196"/>
    <n v="217697601946.79678"/>
    <n v="217697601946.79678"/>
    <n v="212583147436.6315"/>
    <n v="136680144516.19505"/>
    <n v="87756521562.721909"/>
  </r>
  <r>
    <x v="1"/>
    <x v="13"/>
    <s v="PGRHome_2022_AirExp"/>
    <s v="WF_FF_xWind-Proj20220831"/>
    <n v="18976240309"/>
    <n v="41074"/>
    <n v="41074"/>
    <n v="68996847"/>
    <n v="0.89319663624710299"/>
    <n v="1"/>
    <n v="0.23330000000000201"/>
    <n v="0.23330000000000201"/>
    <n v="0.233078462647544"/>
    <n v="0.14985756278239001"/>
    <n v="4.3660610817164401E-2"/>
    <n v="16949514012.615486"/>
    <n v="18976240309"/>
    <n v="4427156864.0897379"/>
    <n v="4427156864.0897379"/>
    <n v="4422952918.0520754"/>
    <n v="2843733123.4796877"/>
    <n v="828514242.90423656"/>
  </r>
  <r>
    <x v="0"/>
    <x v="14"/>
    <s v="AJGRe_AmMod_04302022_2023Renewal_v9_TSE"/>
    <s v="Core TO"/>
    <n v="215954570481.50201"/>
    <n v="1509060"/>
    <n v="1437302"/>
    <n v="1352142326"/>
    <n v="0.83061761353489505"/>
    <n v="0.99139022491649498"/>
    <n v="0.233299999999973"/>
    <n v="0.233299999999973"/>
    <n v="0.22459173189348799"/>
    <n v="0.14657651669584301"/>
    <n v="0"/>
    <n v="179375669965.29849"/>
    <n v="214095250201.40134"/>
    <n v="50382201293.32859"/>
    <n v="50382201293.32859"/>
    <n v="48501610994.75486"/>
    <n v="31653868705.725487"/>
    <n v="0"/>
  </r>
  <r>
    <x v="0"/>
    <x v="14"/>
    <s v="AJGRe_AmMod_04302022_2023Renewal_v9_TSE"/>
    <s v="Craft HU"/>
    <n v="3053790531.1799998"/>
    <n v="23237"/>
    <n v="22871"/>
    <n v="23237"/>
    <n v="0.69194285581944903"/>
    <n v="0.98863102703164596"/>
    <n v="0.23330000000000001"/>
    <n v="0.23330000000000001"/>
    <n v="0.23330000000000001"/>
    <n v="0"/>
    <n v="0"/>
    <n v="2113048541.2190814"/>
    <n v="3019072069.1799989"/>
    <n v="712449330.92429399"/>
    <n v="712449330.92429399"/>
    <n v="712449330.92429399"/>
    <n v="0"/>
    <n v="0"/>
  </r>
  <r>
    <x v="0"/>
    <x v="4"/>
    <s v="AIRExp_CentralMutual_20220831_TSv9_reins"/>
    <s v="TS_PEF"/>
    <n v="160949934806.52499"/>
    <n v="401416"/>
    <n v="401416"/>
    <n v="849667687"/>
    <n v="0.82455225828284695"/>
    <n v="0.98719115207879105"/>
    <n v="0.23329999999999701"/>
    <n v="0.23329999999999701"/>
    <n v="0.22635216637233899"/>
    <n v="0.14165680080494999"/>
    <n v="0"/>
    <n v="132711632215.19717"/>
    <n v="158888351568.65973"/>
    <n v="37549619790.361801"/>
    <n v="37549619790.361801"/>
    <n v="36431366420.943657"/>
    <n v="22799652854.4576"/>
    <n v="0"/>
  </r>
  <r>
    <x v="0"/>
    <x v="4"/>
    <s v="AIRExp_CentralMutual_20220831_TSv9_reins"/>
    <s v="TS_PES"/>
    <n v="36690509878.126701"/>
    <n v="292972"/>
    <n v="292972"/>
    <n v="144880412"/>
    <n v="0.79954672798918003"/>
    <n v="0.98600032489067702"/>
    <n v="0.23329999999999801"/>
    <n v="0.23329999999999801"/>
    <n v="0.21432014355175699"/>
    <n v="0.12762149532949499"/>
    <n v="0"/>
    <n v="29335777121.310894"/>
    <n v="36176854660.237518"/>
    <n v="8559895954.5668859"/>
    <n v="8559895954.5668859"/>
    <n v="7863515344.0672722"/>
    <n v="4682497735.0481367"/>
    <n v="0"/>
  </r>
  <r>
    <x v="0"/>
    <x v="4"/>
    <s v="AIRExp_CentralMutual_20220831_TSv9_reins"/>
    <s v="TS_PWA"/>
    <n v="160519610611.55399"/>
    <n v="400764"/>
    <n v="400764"/>
    <n v="847933743"/>
    <n v="0.90973803837915002"/>
    <n v="0.987180332577274"/>
    <n v="0.23329999999999901"/>
    <n v="0.23329999999999901"/>
    <n v="0.22634374585413899"/>
    <n v="0.14164819736720199"/>
    <n v="8.5585914009576103E-2"/>
    <n v="146030795679.14011"/>
    <n v="158461802588.68839"/>
    <n v="37449225155.675385"/>
    <n v="37449225155.675385"/>
    <n v="36332609948.866928"/>
    <n v="22737313485.211811"/>
    <n v="13738217590.651098"/>
  </r>
  <r>
    <x v="1"/>
    <x v="4"/>
    <s v="AIRExp_CentralMutual_202108_MKT_v8"/>
    <s v="TS_PEF"/>
    <n v="155714116489.45999"/>
    <n v="413849"/>
    <n v="413849"/>
    <n v="846280433"/>
    <n v="0.82749510202458398"/>
    <n v="0.99018013559762796"/>
    <n v="0.23329999999999801"/>
    <n v="0.23329999999999801"/>
    <n v="0.22756156556136001"/>
    <n v="0.14097861737558301"/>
    <n v="0"/>
    <n v="128852668711.11365"/>
    <n v="154185024979.99832"/>
    <n v="36328103376.990707"/>
    <n v="36328103376.990707"/>
    <n v="35434548128.345497"/>
    <n v="21952360848.54454"/>
    <n v="0"/>
  </r>
  <r>
    <x v="1"/>
    <x v="4"/>
    <s v="AIRExp_CentralMutual_202108_MKT_v8"/>
    <s v="TS_PES"/>
    <n v="35924452107.807899"/>
    <n v="300165"/>
    <n v="300165"/>
    <n v="152556724"/>
    <n v="0.801110252793236"/>
    <n v="0.98912909530564297"/>
    <n v="0.23329999999999701"/>
    <n v="0.23329999999999701"/>
    <n v="0.21534280934609401"/>
    <n v="0.12567316072069701"/>
    <n v="0"/>
    <n v="28779446909.544487"/>
    <n v="35533920812.746925"/>
    <n v="8381174676.7514753"/>
    <n v="8381174676.7514753"/>
    <n v="7736072441.114562"/>
    <n v="4514739443.5475245"/>
    <n v="0"/>
  </r>
  <r>
    <x v="1"/>
    <x v="4"/>
    <s v="AIRExp_CentralMutual_202108_MKT_v8"/>
    <s v="TS_PWA"/>
    <n v="155284673481.42599"/>
    <n v="413141"/>
    <n v="413141"/>
    <n v="844398178"/>
    <n v="0.91715694770095901"/>
    <n v="0.99017352994438501"/>
    <n v="0.23329999999999701"/>
    <n v="0.23329999999999701"/>
    <n v="0.22754569580105799"/>
    <n v="0.14096843990374999"/>
    <n v="8.99442596284976E-2"/>
    <n v="142420417154.96472"/>
    <n v="153758773287.36481"/>
    <n v="36227914323.216217"/>
    <n v="36227914323.216217"/>
    <n v="35334359074.571175"/>
    <n v="21890238161.639839"/>
    <n v="13966964987.939856"/>
  </r>
  <r>
    <x v="1"/>
    <x v="15"/>
    <s v="FLPen_20220301_TSv9_MKT_AIRExp"/>
    <s v="FLPen_20220301_SCS"/>
    <n v="71120097859"/>
    <n v="154883"/>
    <n v="154883"/>
    <n v="260821045"/>
    <n v="0.97923630450655597"/>
    <n v="0.98230111575921097"/>
    <n v="0.23329999999999601"/>
    <n v="0.23329999999999601"/>
    <n v="0.23329886040060799"/>
    <n v="0.15"/>
    <n v="0.146998934388094"/>
    <n v="69643381803.591782"/>
    <n v="69861351479.799973"/>
    <n v="16592318830.504416"/>
    <n v="16592318830.504416"/>
    <n v="16592237782.084419"/>
    <n v="10668014678.85"/>
    <n v="10454578598.849966"/>
  </r>
  <r>
    <x v="2"/>
    <x v="15"/>
    <s v="FLPen_20210301_HU_xNR_TSv8_MKT_AIRExp"/>
    <s v="FLPen_20210301_HU"/>
    <n v="56697284586"/>
    <n v="133264"/>
    <n v="133264"/>
    <n v="220186218"/>
    <n v="0.98069010676307"/>
    <n v="0.98506626387167295"/>
    <n v="0.23330000000000001"/>
    <n v="0.23330000000000001"/>
    <n v="0.23329922229608899"/>
    <n v="0.15"/>
    <n v="0.14567998915576799"/>
    <n v="55602466073.820503"/>
    <n v="55850582298.800011"/>
    <n v="13227476493.913801"/>
    <n v="13227476493.913801"/>
    <n v="13227432400.213833"/>
    <n v="8504592687.8999996"/>
    <n v="8259659803.649972"/>
  </r>
  <r>
    <x v="1"/>
    <x v="16"/>
    <s v="AIRExp_LACPIC_20211231_TS9_Scaled_ForRe"/>
    <s v="LACPIC_20211231_SCS_ScaleFactor_TS9"/>
    <n v="15332564644.799999"/>
    <n v="39012"/>
    <n v="37715"/>
    <n v="77576199"/>
    <n v="0.93229060657464002"/>
    <n v="0.96947144677268704"/>
    <n v="0.233300000000005"/>
    <n v="0.233300000000005"/>
    <n v="0.233300000000005"/>
    <n v="0.149841100438418"/>
    <n v="0.11133087120238699"/>
    <n v="14294405993.045471"/>
    <n v="14864483628.930006"/>
    <n v="3577087331.6319165"/>
    <n v="3577087331.6319165"/>
    <n v="3577087331.6319165"/>
    <n v="2297448358.9200134"/>
    <n v="1706987779.6725011"/>
  </r>
  <r>
    <x v="0"/>
    <x v="2"/>
    <s v="AmericanFamily_202206_AIRv9_OWWT_Prop_MKT_AIRExp"/>
    <s v="AmFam_202206_WT_Prop"/>
    <n v="1201840351152.71"/>
    <n v="2150624"/>
    <n v="1976596"/>
    <n v="1513427417"/>
    <n v="0.83822046372871095"/>
    <n v="0.99210414955864601"/>
    <n v="0.23329999999998"/>
    <n v="0.23329999999998"/>
    <n v="0.230300317439015"/>
    <n v="0.14770363475365"/>
    <n v="0"/>
    <n v="1007407176471.1013"/>
    <n v="1192350799485.6238"/>
    <n v="280389353923.9032"/>
    <n v="280389353923.9032"/>
    <n v="276784214381.48633"/>
    <n v="177516188258.85834"/>
    <n v="0"/>
  </r>
  <r>
    <x v="0"/>
    <x v="2"/>
    <s v="AmericanFamily_202206_AIRv9_OWWT_Prop_MKT_AIRExp"/>
    <s v="Connect_202206_OWWT_Prop"/>
    <n v="234431905524.79999"/>
    <n v="322723"/>
    <n v="322723"/>
    <n v="566442504"/>
    <n v="0.94195329219664903"/>
    <n v="1"/>
    <n v="0.23329999999999301"/>
    <n v="0.23329999999999301"/>
    <n v="0.22744727927296199"/>
    <n v="0.14598846896421899"/>
    <n v="0.101917543959487"/>
    <n v="220823905205.01913"/>
    <n v="234431905524.79999"/>
    <n v="54692963558.934196"/>
    <n v="54692963558.934196"/>
    <n v="53320899086.391823"/>
    <n v="34224354963.929981"/>
    <n v="23892724036.830109"/>
  </r>
  <r>
    <x v="0"/>
    <x v="2"/>
    <s v="AmericanFamily_202206_AIRv9_OWWT_Prop_MKT_AIRExp"/>
    <s v="Homesite_202206_OWWT"/>
    <n v="1131311461999"/>
    <n v="2681491"/>
    <n v="2673481"/>
    <n v="2842206905"/>
    <n v="0.97692394713771002"/>
    <n v="0.99586207641481095"/>
    <n v="0.233300000000177"/>
    <n v="0.233300000000177"/>
    <n v="0.22582032258016599"/>
    <n v="0.14433359873569199"/>
    <n v="0.14416017097424799"/>
    <n v="1105205258898.1965"/>
    <n v="1126630181618.1997"/>
    <n v="263934964084.56696"/>
    <n v="263934964084.56696"/>
    <n v="255473119287.25339"/>
    <n v="163286254601.25272"/>
    <n v="163090053786.90231"/>
  </r>
  <r>
    <x v="0"/>
    <x v="2"/>
    <s v="AmericanFamily_202206_AIRv9_OWWT_Prop_MKT_AIRExp"/>
    <s v="HUM_202206_OWWT"/>
    <n v="35896748936.599998"/>
    <n v="226168"/>
    <n v="219309"/>
    <n v="288298930"/>
    <n v="0.751580835424005"/>
    <n v="0.99121541250666101"/>
    <n v="0.233300000000005"/>
    <n v="0.233300000000005"/>
    <n v="0.20850917695969401"/>
    <n v="6.3276434271296395E-2"/>
    <n v="1.9586800212236501E-2"/>
    <n v="26979308554.775589"/>
    <n v="35581410804.840012"/>
    <n v="8374711526.9089594"/>
    <n v="8374711526.9089594"/>
    <n v="7484801576.2992373"/>
    <n v="2271418274.6399984"/>
    <n v="703102449.6899972"/>
  </r>
  <r>
    <x v="0"/>
    <x v="2"/>
    <s v="AmericanFamily_202206_AIRv9_OWWT_Prop_MKT_AIRExp"/>
    <s v="MSA_202206_WT_Prop"/>
    <n v="142804795930.78"/>
    <n v="281111"/>
    <n v="224333"/>
    <n v="167876588"/>
    <n v="0.61655457779443101"/>
    <n v="0.93475804225695702"/>
    <n v="0.23329999999999801"/>
    <n v="0.23329999999999801"/>
    <n v="0.186107887418372"/>
    <n v="1.41582254631002E-3"/>
    <n v="0"/>
    <n v="88046950662.121948"/>
    <n v="133487931469.16017"/>
    <n v="33316358890.650688"/>
    <n v="33316358890.650688"/>
    <n v="26577098883.889191"/>
    <n v="202186249.79999971"/>
    <n v="0"/>
  </r>
  <r>
    <x v="1"/>
    <x v="17"/>
    <s v="Bankers_20211231_Inforce_TSv9_Renewal_AIRExp_MKT"/>
    <s v="Bankers_202112_HUBR_Set"/>
    <n v="3634153636"/>
    <n v="9759"/>
    <n v="6537"/>
    <n v="21477636"/>
    <n v="0.42456142931457602"/>
    <n v="0.90990447774233796"/>
    <n v="0.23330000000000201"/>
    <n v="0.23330000000000201"/>
    <n v="0"/>
    <n v="0"/>
    <n v="0"/>
    <n v="1542921462.0489235"/>
    <n v="3306732666.1999984"/>
    <n v="847848043.27880728"/>
    <n v="847848043.27880728"/>
    <n v="0"/>
    <n v="0"/>
    <n v="0"/>
  </r>
  <r>
    <x v="1"/>
    <x v="17"/>
    <s v="Bankers_20211231_Inforce_TSv9_Renewal_AIRExp_MKT"/>
    <s v="BIG_202112_FFxBR_Set"/>
    <n v="30376758854"/>
    <n v="69016"/>
    <n v="63119"/>
    <n v="169142838"/>
    <n v="0.89504828552960802"/>
    <n v="0.93672193316480401"/>
    <n v="0.233300000000005"/>
    <n v="0.233300000000005"/>
    <n v="0.23206016111905001"/>
    <n v="0.14914759410395401"/>
    <n v="0.109264042441215"/>
    <n v="27188665932.21904"/>
    <n v="28454576276.999958"/>
    <n v="7086897840.6383524"/>
    <n v="7086897840.6383524"/>
    <n v="7049235553.9337692"/>
    <n v="4530620499.750083"/>
    <n v="3319087468.6500096"/>
  </r>
  <r>
    <x v="1"/>
    <x v="17"/>
    <s v="Bankers_20211231_Inforce_TSv9_Renewal_AIRExp_MKT"/>
    <s v="BIG_202112_HUxBR_FHCF_WS_Set"/>
    <n v="15706227382"/>
    <n v="31911"/>
    <n v="31593"/>
    <n v="71763342"/>
    <n v="0.90782933492056095"/>
    <n v="0.91956435678195803"/>
    <n v="0.233300000000007"/>
    <n v="0.233300000000007"/>
    <n v="0.233300000000007"/>
    <n v="0.149970075681539"/>
    <n v="0.138220421938369"/>
    <n v="14258573958.312162"/>
    <n v="14442886880.000006"/>
    <n v="3664262848.2207098"/>
    <n v="3664262848.2207098"/>
    <n v="3664262848.2207098"/>
    <n v="2355464109.1500001"/>
    <n v="2170921375.800005"/>
  </r>
  <r>
    <x v="1"/>
    <x v="17"/>
    <s v="Bankers_20211231_Inforce_TSv9_Renewal_AIRExp_MKT"/>
    <s v="BIG_202112_HUxBR_xFHCF_WS_Set"/>
    <n v="12690506774"/>
    <n v="31328"/>
    <n v="27033"/>
    <n v="80773190"/>
    <n v="0.88438328415470402"/>
    <n v="0.95195958804031799"/>
    <n v="0.233300000000009"/>
    <n v="0.233300000000009"/>
    <n v="0.230753599704766"/>
    <n v="0.14827941287225199"/>
    <n v="8.4491722296448094E-2"/>
    <n v="11223272058.377638"/>
    <n v="12080849600.599905"/>
    <n v="2960695230.3743143"/>
    <n v="2960695230.3743143"/>
    <n v="2928380120.1782174"/>
    <n v="1881740893.5000567"/>
    <n v="1072242774.1500014"/>
  </r>
  <r>
    <x v="1"/>
    <x v="17"/>
    <s v="Bankers_20211231_Inforce_TSv9_Renewal_AIRExp_MKT"/>
    <s v="BIG_202112_OWxBR_HLTD_Set"/>
    <n v="28396734156"/>
    <n v="63239"/>
    <n v="58569"/>
    <n v="152536532"/>
    <n v="0.89735128964840305"/>
    <n v="0.93404179279523603"/>
    <n v="0.233300000000004"/>
    <n v="0.233300000000004"/>
    <n v="0.232162013144946"/>
    <n v="0.149214518098194"/>
    <n v="0.114209054186773"/>
    <n v="25481846016.689457"/>
    <n v="26523736480.599953"/>
    <n v="6624958078.5949135"/>
    <n v="6624958078.5949135"/>
    <n v="6592642968.3988094"/>
    <n v="4237205002.6500659"/>
    <n v="3243164149.9499917"/>
  </r>
  <r>
    <x v="1"/>
    <x v="17"/>
    <s v="Bankers_20211231_Inforce_TSv9_Renewal_AIRExp_MKT"/>
    <s v="Bankers_202112_EQBR_Set"/>
    <n v="94018753"/>
    <n v="138"/>
    <n v="128"/>
    <n v="530753"/>
    <n v="0.43042393186942202"/>
    <n v="0.92246877811706396"/>
    <n v="0.23330000000000001"/>
    <n v="0.23330000000000001"/>
    <n v="0"/>
    <n v="0"/>
    <n v="0"/>
    <n v="40467921.335720018"/>
    <n v="86729364.200000048"/>
    <n v="21934575.074900001"/>
    <n v="21934575.074900001"/>
    <n v="0"/>
    <n v="0"/>
    <n v="0"/>
  </r>
  <r>
    <x v="1"/>
    <x v="8"/>
    <s v="HRTG_20220831Proj_TSv9_HU_MKT_AIRExp"/>
    <s v="HRTG_202208P_TSv9_CRES_FL_HU_8831"/>
    <n v="21561450776.626999"/>
    <n v="25198"/>
    <n v="2351"/>
    <n v="233117570"/>
    <n v="0.96627923006480698"/>
    <n v="0.96652507572736002"/>
    <n v="0.23329999999999801"/>
    <n v="0.23329999999999801"/>
    <n v="0.232973666200471"/>
    <n v="0.14979018401230701"/>
    <n v="0.14979018401230701"/>
    <n v="20834382055.519371"/>
    <n v="20839682844.671154"/>
    <n v="5030286466.1870356"/>
    <n v="5030286466.1870356"/>
    <n v="5023250236.031785"/>
    <n v="3229693679.4032578"/>
    <n v="3229693679.4032578"/>
  </r>
  <r>
    <x v="1"/>
    <x v="8"/>
    <s v="HRTG_20220831Proj_TSv9_HU_MKT_AIRExp"/>
    <s v="HRTG_202208P_TSv9_NBIC_CRES_HU_8831"/>
    <n v="1404095891.0929301"/>
    <n v="516"/>
    <n v="157"/>
    <n v="9670280"/>
    <n v="0.949349962869522"/>
    <n v="0.94944490736025999"/>
    <n v="0.23330000000000001"/>
    <n v="0.23330000000000001"/>
    <n v="0.23330000000000001"/>
    <n v="0.15"/>
    <n v="0.15"/>
    <n v="1332978382.0743215"/>
    <n v="1333111693.2436488"/>
    <n v="327575571.39198059"/>
    <n v="327575571.39198059"/>
    <n v="327575571.39198059"/>
    <n v="210614383.66393951"/>
    <n v="210614383.66393951"/>
  </r>
  <r>
    <x v="1"/>
    <x v="8"/>
    <s v="HRTG_20220831Proj_TSv9_HU_MKT_AIRExp"/>
    <s v="HRTG_202208P_TSv9_NBIC_PRES_HU_8831"/>
    <n v="203369910090.61301"/>
    <n v="215444"/>
    <n v="215444"/>
    <n v="406941338"/>
    <n v="0.95137565001611801"/>
    <n v="0.98339971711307395"/>
    <n v="0.23329999999999601"/>
    <n v="0.23329999999999601"/>
    <n v="0.23329999999999601"/>
    <n v="0.15000000000000199"/>
    <n v="0.117600794655516"/>
    <n v="193481180406.17642"/>
    <n v="199993912052.4201"/>
    <n v="47446200024.139206"/>
    <n v="47446200024.139206"/>
    <n v="47446200024.139206"/>
    <n v="30505486513.592358"/>
    <n v="23916463035.676929"/>
  </r>
  <r>
    <x v="1"/>
    <x v="8"/>
    <s v="HRTG_20220831Proj_TSv9_HU_MKT_AIRExp"/>
    <s v="HRTG_202208P_TSv9_PRES_FL_HU_8831"/>
    <n v="73475571163.657593"/>
    <n v="196223"/>
    <n v="196223"/>
    <n v="356619661"/>
    <n v="0.97700720035825395"/>
    <n v="0.97710491084935003"/>
    <n v="0.23330000000000201"/>
    <n v="0.23330000000000201"/>
    <n v="0.23330000000000201"/>
    <n v="0.15"/>
    <n v="0.15"/>
    <n v="71786162077.328766"/>
    <n v="71793341411.470718"/>
    <n v="17141850752.481464"/>
    <n v="17141850752.481464"/>
    <n v="17141850752.481464"/>
    <n v="11021335674.548639"/>
    <n v="11021335674.548639"/>
  </r>
  <r>
    <x v="1"/>
    <x v="8"/>
    <s v="HRTG_20220831Proj_TSv9_HU_MKT_AIRExp"/>
    <s v="HRTG_202208P_TSv9_PRES_xFL_HU_8831"/>
    <n v="38192415738.028603"/>
    <n v="67360"/>
    <n v="67360"/>
    <n v="149171529"/>
    <n v="0.95279677005272001"/>
    <n v="0.95298076402370202"/>
    <n v="0.23330000000000001"/>
    <n v="0.23330000000000001"/>
    <n v="0.23330000000000001"/>
    <n v="0.14977826026353599"/>
    <n v="0.14977826026353599"/>
    <n v="36389610355.704323"/>
    <n v="36396637529.937363"/>
    <n v="8910290591.6820736"/>
    <n v="8910290591.6820736"/>
    <n v="8910290591.6820736"/>
    <n v="5720393584.5036163"/>
    <n v="5720393584.5036163"/>
  </r>
  <r>
    <x v="1"/>
    <x v="8"/>
    <s v="HRTG_20220831Proj_TSv9_HU_MKT_AIRExp"/>
    <s v="HRTG_202208P_TSv9_Zephyr_HU_8831"/>
    <n v="37239914463.599503"/>
    <n v="65727"/>
    <n v="65727"/>
    <n v="128771822"/>
    <n v="0.75936157354688805"/>
    <n v="0.893471671428265"/>
    <n v="0.23330000000000201"/>
    <n v="0.23330000000000201"/>
    <n v="0.23330000000000201"/>
    <n v="0.15"/>
    <n v="0"/>
    <n v="28278560045.830433"/>
    <n v="33272808619.637867"/>
    <n v="8688072044.3578396"/>
    <n v="8688072044.3578396"/>
    <n v="8688072044.3578396"/>
    <n v="5585987169.539925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X2:AG26" firstHeaderRow="0" firstDataRow="1" firstDataCol="2"/>
  <pivotFields count="22"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2"/>
        <item x="10"/>
        <item x="14"/>
        <item x="3"/>
        <item x="0"/>
        <item x="17"/>
        <item x="5"/>
        <item x="4"/>
        <item x="6"/>
        <item x="15"/>
        <item x="8"/>
        <item x="16"/>
        <item x="7"/>
        <item x="13"/>
        <item x="11"/>
        <item x="9"/>
        <item x="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4">
    <i>
      <x/>
      <x v="9"/>
    </i>
    <i>
      <x v="1"/>
      <x/>
    </i>
    <i r="1">
      <x v="1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>
      <x v="2"/>
      <x/>
    </i>
    <i r="1">
      <x v="2"/>
    </i>
    <i r="1">
      <x v="3"/>
    </i>
    <i r="1">
      <x v="4"/>
    </i>
    <i r="1">
      <x v="6"/>
    </i>
    <i r="1">
      <x v="7"/>
    </i>
    <i r="1">
      <x v="8"/>
    </i>
    <i r="1">
      <x v="13"/>
    </i>
    <i r="1">
      <x v="14"/>
    </i>
    <i r="1">
      <x v="16"/>
    </i>
    <i r="1">
      <x v="17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score*TIV" fld="15" baseField="1" baseItem="9"/>
    <dataField name="Sum of geoScore*TIV" fld="16" baseField="1" baseItem="9"/>
    <dataField name="Sum of ConScore*TIV" fld="17" baseField="1" baseItem="9"/>
    <dataField name="Sum of OccScore*TIV" fld="18" baseField="1" baseItem="9"/>
    <dataField name="Sum of yearBuiltScore*TIV" fld="19" baseField="1" baseItem="9"/>
    <dataField name="Sum of StoriesScore*TIV" fld="20" baseField="1" baseItem="9"/>
    <dataField name="Sum of RoofAgeScore*TIV" fld="21" baseField="1" baseItem="9"/>
    <dataField name="Sum of TIV" fld="4" baseField="0" baseItem="0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L19" sqref="L19"/>
    </sheetView>
  </sheetViews>
  <sheetFormatPr defaultRowHeight="15" x14ac:dyDescent="0.25"/>
  <cols>
    <col min="3" max="3" width="32.42578125" bestFit="1" customWidth="1"/>
  </cols>
  <sheetData>
    <row r="1" spans="1:3" x14ac:dyDescent="0.25">
      <c r="A1" s="2" t="s">
        <v>49</v>
      </c>
    </row>
    <row r="3" spans="1:3" ht="15.75" x14ac:dyDescent="0.25">
      <c r="B3" s="12" t="s">
        <v>50</v>
      </c>
    </row>
    <row r="4" spans="1:3" x14ac:dyDescent="0.25">
      <c r="B4" s="13" t="s">
        <v>51</v>
      </c>
    </row>
    <row r="5" spans="1:3" x14ac:dyDescent="0.25">
      <c r="B5" s="13" t="s">
        <v>52</v>
      </c>
    </row>
    <row r="6" spans="1:3" x14ac:dyDescent="0.25">
      <c r="B6" s="13" t="s">
        <v>53</v>
      </c>
    </row>
    <row r="7" spans="1:3" x14ac:dyDescent="0.25">
      <c r="B7" s="13" t="s">
        <v>54</v>
      </c>
    </row>
    <row r="8" spans="1:3" x14ac:dyDescent="0.25">
      <c r="B8" s="13" t="s">
        <v>55</v>
      </c>
    </row>
    <row r="9" spans="1:3" x14ac:dyDescent="0.25">
      <c r="B9" s="14" t="s">
        <v>56</v>
      </c>
    </row>
    <row r="11" spans="1:3" x14ac:dyDescent="0.25">
      <c r="B11" t="s">
        <v>57</v>
      </c>
    </row>
    <row r="12" spans="1:3" x14ac:dyDescent="0.25">
      <c r="B12" s="14"/>
    </row>
    <row r="13" spans="1:3" x14ac:dyDescent="0.25">
      <c r="B13" t="s">
        <v>58</v>
      </c>
    </row>
    <row r="14" spans="1:3" x14ac:dyDescent="0.25">
      <c r="B14" s="5" t="s">
        <v>59</v>
      </c>
      <c r="C14" s="5" t="s">
        <v>60</v>
      </c>
    </row>
    <row r="15" spans="1:3" x14ac:dyDescent="0.25">
      <c r="B15" s="5" t="s">
        <v>61</v>
      </c>
      <c r="C15" s="5" t="s">
        <v>62</v>
      </c>
    </row>
    <row r="18" spans="2:8" x14ac:dyDescent="0.25">
      <c r="B18" t="s">
        <v>63</v>
      </c>
    </row>
    <row r="19" spans="2:8" x14ac:dyDescent="0.25">
      <c r="B19" s="15" t="s">
        <v>64</v>
      </c>
      <c r="C19" s="15" t="s">
        <v>65</v>
      </c>
      <c r="F19" s="15" t="s">
        <v>66</v>
      </c>
      <c r="G19" s="15" t="s">
        <v>67</v>
      </c>
      <c r="H19" s="16" t="s">
        <v>68</v>
      </c>
    </row>
    <row r="20" spans="2:8" x14ac:dyDescent="0.25">
      <c r="B20" s="5" t="s">
        <v>59</v>
      </c>
      <c r="C20" s="17">
        <v>0.7</v>
      </c>
      <c r="F20" s="5">
        <v>1</v>
      </c>
      <c r="G20" s="5" t="s">
        <v>69</v>
      </c>
      <c r="H20" s="6">
        <v>0</v>
      </c>
    </row>
    <row r="21" spans="2:8" x14ac:dyDescent="0.25">
      <c r="B21" s="5" t="s">
        <v>61</v>
      </c>
      <c r="C21" s="17">
        <v>0.3</v>
      </c>
      <c r="F21" s="5">
        <v>2</v>
      </c>
      <c r="G21" s="5" t="s">
        <v>70</v>
      </c>
      <c r="H21" s="6">
        <v>0</v>
      </c>
    </row>
    <row r="22" spans="2:8" x14ac:dyDescent="0.25">
      <c r="F22" s="5">
        <v>3</v>
      </c>
      <c r="G22" s="5" t="s">
        <v>71</v>
      </c>
      <c r="H22" s="6">
        <v>0</v>
      </c>
    </row>
    <row r="23" spans="2:8" x14ac:dyDescent="0.25">
      <c r="B23" s="15" t="s">
        <v>72</v>
      </c>
      <c r="C23" s="15" t="s">
        <v>73</v>
      </c>
      <c r="F23" s="5">
        <v>4</v>
      </c>
      <c r="G23" s="5" t="s">
        <v>74</v>
      </c>
      <c r="H23" s="6">
        <v>0.2</v>
      </c>
    </row>
    <row r="24" spans="2:8" x14ac:dyDescent="0.25">
      <c r="B24" s="5" t="s">
        <v>75</v>
      </c>
      <c r="C24" s="18">
        <f>100%/3</f>
        <v>0.33333333333333331</v>
      </c>
      <c r="F24" s="5">
        <v>5</v>
      </c>
      <c r="G24" s="5" t="s">
        <v>76</v>
      </c>
      <c r="H24" s="6">
        <v>0.2</v>
      </c>
    </row>
    <row r="25" spans="2:8" x14ac:dyDescent="0.25">
      <c r="B25" s="5" t="s">
        <v>77</v>
      </c>
      <c r="C25" s="18">
        <f t="shared" ref="C25:C26" si="0">100%/3</f>
        <v>0.33333333333333331</v>
      </c>
      <c r="F25" s="5">
        <v>6</v>
      </c>
      <c r="G25" s="5" t="s">
        <v>78</v>
      </c>
      <c r="H25" s="6">
        <v>0.4</v>
      </c>
    </row>
    <row r="26" spans="2:8" x14ac:dyDescent="0.25">
      <c r="B26" s="5" t="s">
        <v>79</v>
      </c>
      <c r="C26" s="18">
        <f t="shared" si="0"/>
        <v>0.33333333333333331</v>
      </c>
      <c r="F26" s="5">
        <v>7</v>
      </c>
      <c r="G26" s="5" t="s">
        <v>80</v>
      </c>
      <c r="H26" s="6">
        <v>0.6</v>
      </c>
    </row>
    <row r="27" spans="2:8" x14ac:dyDescent="0.25">
      <c r="B27" s="19"/>
      <c r="F27" s="5">
        <v>8</v>
      </c>
      <c r="G27" s="5" t="s">
        <v>81</v>
      </c>
      <c r="H27" s="6">
        <v>0.7</v>
      </c>
    </row>
    <row r="28" spans="2:8" x14ac:dyDescent="0.25">
      <c r="B28" s="15" t="s">
        <v>82</v>
      </c>
      <c r="C28" s="15" t="s">
        <v>73</v>
      </c>
      <c r="F28" s="5">
        <v>9</v>
      </c>
      <c r="G28" s="5" t="s">
        <v>83</v>
      </c>
      <c r="H28" s="6">
        <v>0.8</v>
      </c>
    </row>
    <row r="29" spans="2:8" x14ac:dyDescent="0.25">
      <c r="B29" s="5" t="s">
        <v>56</v>
      </c>
      <c r="C29" s="18">
        <f>100%/2</f>
        <v>0.5</v>
      </c>
      <c r="F29" s="5">
        <v>10</v>
      </c>
      <c r="G29" s="5" t="s">
        <v>84</v>
      </c>
      <c r="H29" s="6">
        <v>0.8</v>
      </c>
    </row>
    <row r="30" spans="2:8" x14ac:dyDescent="0.25">
      <c r="B30" s="5" t="s">
        <v>55</v>
      </c>
      <c r="C30" s="18">
        <f>100%/2</f>
        <v>0.5</v>
      </c>
      <c r="F30" s="5">
        <v>11</v>
      </c>
      <c r="G30" s="5" t="s">
        <v>85</v>
      </c>
      <c r="H30" s="6">
        <v>1</v>
      </c>
    </row>
    <row r="31" spans="2:8" x14ac:dyDescent="0.25">
      <c r="F31" s="5">
        <v>12</v>
      </c>
      <c r="G31" s="5" t="s">
        <v>86</v>
      </c>
      <c r="H31" s="6">
        <v>1</v>
      </c>
    </row>
    <row r="32" spans="2:8" x14ac:dyDescent="0.25">
      <c r="F32" s="5">
        <v>13</v>
      </c>
      <c r="G32" s="5" t="s">
        <v>87</v>
      </c>
      <c r="H32" s="6">
        <v>1</v>
      </c>
    </row>
    <row r="33" spans="1:8" x14ac:dyDescent="0.25">
      <c r="F33" s="5">
        <v>0</v>
      </c>
      <c r="G33" s="5" t="s">
        <v>88</v>
      </c>
      <c r="H33" s="6">
        <v>0</v>
      </c>
    </row>
    <row r="35" spans="1:8" ht="15.75" x14ac:dyDescent="0.25">
      <c r="B35" s="20" t="s">
        <v>89</v>
      </c>
    </row>
    <row r="36" spans="1:8" x14ac:dyDescent="0.25">
      <c r="B36" s="2" t="s">
        <v>90</v>
      </c>
    </row>
    <row r="38" spans="1:8" x14ac:dyDescent="0.25">
      <c r="B38" t="s">
        <v>91</v>
      </c>
    </row>
    <row r="39" spans="1:8" x14ac:dyDescent="0.25">
      <c r="B39" s="2" t="s">
        <v>92</v>
      </c>
    </row>
    <row r="41" spans="1:8" x14ac:dyDescent="0.25">
      <c r="B41" t="s">
        <v>93</v>
      </c>
    </row>
    <row r="42" spans="1:8" x14ac:dyDescent="0.25">
      <c r="B42" s="2" t="s">
        <v>94</v>
      </c>
    </row>
    <row r="45" spans="1:8" x14ac:dyDescent="0.25">
      <c r="A45" t="s">
        <v>95</v>
      </c>
    </row>
    <row r="48" spans="1:8" ht="15.75" x14ac:dyDescent="0.25">
      <c r="B48" s="21" t="s">
        <v>96</v>
      </c>
    </row>
    <row r="49" spans="2:2" ht="15.75" x14ac:dyDescent="0.25">
      <c r="B49" s="21" t="s">
        <v>97</v>
      </c>
    </row>
    <row r="50" spans="2:2" ht="15.75" x14ac:dyDescent="0.25">
      <c r="B50" s="21" t="s">
        <v>98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30"/>
  <sheetViews>
    <sheetView workbookViewId="0">
      <selection activeCell="D8" sqref="D8"/>
    </sheetView>
  </sheetViews>
  <sheetFormatPr defaultRowHeight="15" x14ac:dyDescent="0.25"/>
  <cols>
    <col min="1" max="1" width="8.7109375" bestFit="1" customWidth="1"/>
    <col min="2" max="2" width="45.140625" bestFit="1" customWidth="1"/>
    <col min="3" max="3" width="7.140625" bestFit="1" customWidth="1"/>
    <col min="4" max="4" width="9.140625" bestFit="1" customWidth="1"/>
    <col min="5" max="5" width="9.28515625" bestFit="1" customWidth="1"/>
    <col min="6" max="6" width="9" bestFit="1" customWidth="1"/>
    <col min="7" max="7" width="14" bestFit="1" customWidth="1"/>
    <col min="8" max="8" width="12" bestFit="1" customWidth="1"/>
    <col min="9" max="9" width="13.5703125" bestFit="1" customWidth="1"/>
    <col min="10" max="10" width="19" bestFit="1" customWidth="1"/>
    <col min="11" max="11" width="19.85546875" bestFit="1" customWidth="1"/>
    <col min="12" max="12" width="20" bestFit="1" customWidth="1"/>
    <col min="13" max="13" width="19.7109375" bestFit="1" customWidth="1"/>
    <col min="14" max="14" width="24.7109375" bestFit="1" customWidth="1"/>
    <col min="15" max="15" width="22.85546875" bestFit="1" customWidth="1"/>
    <col min="16" max="16" width="24.28515625" bestFit="1" customWidth="1"/>
    <col min="17" max="17" width="19" bestFit="1" customWidth="1"/>
  </cols>
  <sheetData>
    <row r="3" spans="1:17" x14ac:dyDescent="0.25">
      <c r="E3" s="1">
        <v>0.7</v>
      </c>
      <c r="F3" s="1">
        <v>0.3</v>
      </c>
    </row>
    <row r="5" spans="1:17" x14ac:dyDescent="0.25">
      <c r="B5" s="2" t="s">
        <v>0</v>
      </c>
      <c r="C5" s="3">
        <v>1</v>
      </c>
      <c r="D5" s="3">
        <v>1</v>
      </c>
      <c r="E5" s="4">
        <f>$E$3/3</f>
        <v>0.23333333333333331</v>
      </c>
      <c r="F5" s="4">
        <f t="shared" ref="F5:G5" si="0">$E$3/3</f>
        <v>0.23333333333333331</v>
      </c>
      <c r="G5" s="4">
        <f t="shared" si="0"/>
        <v>0.23333333333333331</v>
      </c>
      <c r="H5" s="4">
        <f>$F$3/2</f>
        <v>0.15</v>
      </c>
      <c r="I5" s="4">
        <f t="shared" ref="I5" si="1">$F$3/2</f>
        <v>0.15</v>
      </c>
    </row>
    <row r="6" spans="1:17" x14ac:dyDescent="0.25">
      <c r="A6" s="5" t="s">
        <v>1</v>
      </c>
      <c r="B6" s="5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</row>
    <row r="7" spans="1:17" x14ac:dyDescent="0.25">
      <c r="A7" s="5"/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</row>
    <row r="8" spans="1:17" x14ac:dyDescent="0.25">
      <c r="A8" s="5"/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</row>
    <row r="9" spans="1:17" x14ac:dyDescent="0.25">
      <c r="A9" s="5"/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5"/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5"/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5"/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5"/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5"/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5"/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5"/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5"/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5"/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5"/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5"/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5"/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5"/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5"/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5"/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5"/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5"/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5"/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5"/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5"/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5"/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7"/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"/>
  <sheetViews>
    <sheetView tabSelected="1" workbookViewId="0">
      <selection activeCell="C9" sqref="C9"/>
    </sheetView>
  </sheetViews>
  <sheetFormatPr defaultRowHeight="15" x14ac:dyDescent="0.25"/>
  <cols>
    <col min="1" max="1" width="8.7109375" bestFit="1" customWidth="1"/>
    <col min="2" max="2" width="45.140625" style="2" bestFit="1" customWidth="1"/>
    <col min="3" max="3" width="60.42578125" bestFit="1" customWidth="1"/>
    <col min="4" max="4" width="40.7109375" bestFit="1" customWidth="1"/>
    <col min="5" max="5" width="19" style="10" bestFit="1" customWidth="1"/>
    <col min="6" max="6" width="10.5703125" style="10" bestFit="1" customWidth="1"/>
    <col min="7" max="7" width="10.85546875" style="10" bestFit="1" customWidth="1"/>
    <col min="8" max="8" width="15.28515625" style="10" bestFit="1" customWidth="1"/>
    <col min="9" max="9" width="7.140625" style="11" bestFit="1" customWidth="1"/>
    <col min="10" max="10" width="9.140625" style="11"/>
    <col min="11" max="11" width="9.28515625" style="11" bestFit="1" customWidth="1"/>
    <col min="12" max="12" width="9" style="11" bestFit="1" customWidth="1"/>
    <col min="13" max="13" width="14" style="11" bestFit="1" customWidth="1"/>
    <col min="14" max="14" width="12" style="11" bestFit="1" customWidth="1"/>
    <col min="15" max="15" width="13.5703125" style="11" bestFit="1" customWidth="1"/>
    <col min="16" max="16" width="22.7109375" style="10" bestFit="1" customWidth="1"/>
    <col min="17" max="17" width="23.7109375" style="10" bestFit="1" customWidth="1"/>
    <col min="18" max="21" width="22.7109375" style="10" bestFit="1" customWidth="1"/>
    <col min="22" max="22" width="21" style="10" bestFit="1" customWidth="1"/>
    <col min="23" max="23" width="12" customWidth="1"/>
    <col min="24" max="24" width="8.7109375" customWidth="1"/>
    <col min="25" max="25" width="45.140625" customWidth="1"/>
    <col min="26" max="26" width="19" customWidth="1"/>
    <col min="27" max="27" width="19.85546875" customWidth="1"/>
    <col min="28" max="28" width="20" customWidth="1"/>
    <col min="29" max="29" width="19.7109375" customWidth="1"/>
    <col min="30" max="30" width="24.7109375" customWidth="1"/>
    <col min="31" max="31" width="22.85546875" customWidth="1"/>
    <col min="32" max="32" width="24.28515625" bestFit="1" customWidth="1"/>
    <col min="33" max="33" width="19" customWidth="1"/>
    <col min="34" max="65" width="12" customWidth="1"/>
    <col min="66" max="66" width="11" customWidth="1"/>
    <col min="67" max="81" width="12" customWidth="1"/>
    <col min="82" max="82" width="11" customWidth="1"/>
    <col min="83" max="86" width="12" customWidth="1"/>
    <col min="87" max="87" width="11" customWidth="1"/>
    <col min="88" max="89" width="12" customWidth="1"/>
    <col min="90" max="90" width="11" customWidth="1"/>
    <col min="91" max="99" width="12" customWidth="1"/>
    <col min="100" max="100" width="11" customWidth="1"/>
    <col min="101" max="103" width="12" customWidth="1"/>
    <col min="104" max="104" width="2" customWidth="1"/>
    <col min="105" max="105" width="5.5703125" customWidth="1"/>
    <col min="106" max="106" width="11.28515625" customWidth="1"/>
    <col min="107" max="107" width="22.85546875" bestFit="1" customWidth="1"/>
    <col min="108" max="108" width="13.85546875" bestFit="1" customWidth="1"/>
    <col min="109" max="109" width="22.85546875" bestFit="1" customWidth="1"/>
    <col min="110" max="110" width="13.85546875" bestFit="1" customWidth="1"/>
    <col min="111" max="111" width="22.85546875" bestFit="1" customWidth="1"/>
    <col min="112" max="112" width="13.85546875" bestFit="1" customWidth="1"/>
    <col min="113" max="113" width="21.85546875" bestFit="1" customWidth="1"/>
    <col min="114" max="114" width="13.85546875" bestFit="1" customWidth="1"/>
    <col min="115" max="115" width="22.85546875" bestFit="1" customWidth="1"/>
    <col min="116" max="116" width="13.85546875" bestFit="1" customWidth="1"/>
    <col min="117" max="117" width="22.85546875" bestFit="1" customWidth="1"/>
    <col min="118" max="118" width="13.85546875" bestFit="1" customWidth="1"/>
    <col min="119" max="119" width="22.85546875" bestFit="1" customWidth="1"/>
    <col min="120" max="120" width="13.85546875" bestFit="1" customWidth="1"/>
    <col min="121" max="121" width="22.85546875" bestFit="1" customWidth="1"/>
    <col min="122" max="122" width="13.85546875" bestFit="1" customWidth="1"/>
    <col min="123" max="123" width="22.85546875" customWidth="1"/>
    <col min="124" max="124" width="13.85546875" bestFit="1" customWidth="1"/>
    <col min="125" max="125" width="22.85546875" bestFit="1" customWidth="1"/>
    <col min="126" max="126" width="13.85546875" bestFit="1" customWidth="1"/>
    <col min="127" max="127" width="22.85546875" bestFit="1" customWidth="1"/>
    <col min="128" max="128" width="13.85546875" bestFit="1" customWidth="1"/>
    <col min="129" max="129" width="22.85546875" bestFit="1" customWidth="1"/>
    <col min="130" max="130" width="13.85546875" bestFit="1" customWidth="1"/>
    <col min="131" max="131" width="20.7109375" bestFit="1" customWidth="1"/>
    <col min="132" max="132" width="13.85546875" bestFit="1" customWidth="1"/>
    <col min="133" max="133" width="22.85546875" bestFit="1" customWidth="1"/>
    <col min="134" max="134" width="8.85546875" customWidth="1"/>
    <col min="135" max="135" width="22.85546875" bestFit="1" customWidth="1"/>
    <col min="136" max="136" width="8.85546875" customWidth="1"/>
    <col min="137" max="137" width="22.85546875" bestFit="1" customWidth="1"/>
    <col min="138" max="138" width="8.85546875" customWidth="1"/>
    <col min="139" max="139" width="22.85546875" bestFit="1" customWidth="1"/>
    <col min="140" max="140" width="13.85546875" bestFit="1" customWidth="1"/>
    <col min="141" max="141" width="21.85546875" bestFit="1" customWidth="1"/>
    <col min="142" max="142" width="13.85546875" bestFit="1" customWidth="1"/>
    <col min="143" max="143" width="22.85546875" bestFit="1" customWidth="1"/>
    <col min="144" max="144" width="13.85546875" bestFit="1" customWidth="1"/>
    <col min="145" max="145" width="22.85546875" bestFit="1" customWidth="1"/>
    <col min="146" max="146" width="13.85546875" bestFit="1" customWidth="1"/>
    <col min="147" max="147" width="22.85546875" bestFit="1" customWidth="1"/>
    <col min="148" max="148" width="13.85546875" bestFit="1" customWidth="1"/>
    <col min="149" max="149" width="22.85546875" bestFit="1" customWidth="1"/>
    <col min="150" max="150" width="13.85546875" bestFit="1" customWidth="1"/>
    <col min="151" max="151" width="22.85546875" bestFit="1" customWidth="1"/>
    <col min="152" max="152" width="13.85546875" bestFit="1" customWidth="1"/>
    <col min="153" max="153" width="22.85546875" bestFit="1" customWidth="1"/>
    <col min="154" max="154" width="13.85546875" bestFit="1" customWidth="1"/>
    <col min="155" max="155" width="21.85546875" bestFit="1" customWidth="1"/>
    <col min="156" max="156" width="12.85546875" bestFit="1" customWidth="1"/>
    <col min="157" max="157" width="22.85546875" bestFit="1" customWidth="1"/>
    <col min="158" max="158" width="12.85546875" bestFit="1" customWidth="1"/>
    <col min="159" max="159" width="22.85546875" bestFit="1" customWidth="1"/>
    <col min="160" max="160" width="13.85546875" bestFit="1" customWidth="1"/>
    <col min="161" max="161" width="22.85546875" bestFit="1" customWidth="1"/>
    <col min="162" max="162" width="13.85546875" bestFit="1" customWidth="1"/>
    <col min="163" max="163" width="21.85546875" bestFit="1" customWidth="1"/>
    <col min="164" max="164" width="13.85546875" bestFit="1" customWidth="1"/>
    <col min="165" max="165" width="22.85546875" bestFit="1" customWidth="1"/>
    <col min="166" max="166" width="13.85546875" bestFit="1" customWidth="1"/>
    <col min="167" max="167" width="22.85546875" bestFit="1" customWidth="1"/>
    <col min="168" max="168" width="13.85546875" bestFit="1" customWidth="1"/>
    <col min="169" max="169" width="21.85546875" bestFit="1" customWidth="1"/>
    <col min="170" max="170" width="13.85546875" bestFit="1" customWidth="1"/>
    <col min="171" max="171" width="22.85546875" bestFit="1" customWidth="1"/>
    <col min="172" max="172" width="13.85546875" bestFit="1" customWidth="1"/>
    <col min="173" max="173" width="22.85546875" bestFit="1" customWidth="1"/>
    <col min="174" max="174" width="13.85546875" bestFit="1" customWidth="1"/>
    <col min="175" max="175" width="22.85546875" bestFit="1" customWidth="1"/>
    <col min="176" max="176" width="13.85546875" bestFit="1" customWidth="1"/>
    <col min="177" max="177" width="22.85546875" bestFit="1" customWidth="1"/>
    <col min="178" max="178" width="13.85546875" bestFit="1" customWidth="1"/>
    <col min="179" max="179" width="22.85546875" bestFit="1" customWidth="1"/>
    <col min="180" max="180" width="13.85546875" bestFit="1" customWidth="1"/>
    <col min="181" max="181" width="22.85546875" bestFit="1" customWidth="1"/>
    <col min="182" max="182" width="12.85546875" bestFit="1" customWidth="1"/>
    <col min="183" max="183" width="22.85546875" bestFit="1" customWidth="1"/>
    <col min="184" max="184" width="12.85546875" bestFit="1" customWidth="1"/>
    <col min="185" max="185" width="22.85546875" bestFit="1" customWidth="1"/>
    <col min="186" max="186" width="12.85546875" bestFit="1" customWidth="1"/>
    <col min="187" max="187" width="22.85546875" bestFit="1" customWidth="1"/>
    <col min="188" max="188" width="12.85546875" bestFit="1" customWidth="1"/>
    <col min="189" max="189" width="22.85546875" bestFit="1" customWidth="1"/>
    <col min="190" max="190" width="12.85546875" bestFit="1" customWidth="1"/>
    <col min="191" max="191" width="21.85546875" bestFit="1" customWidth="1"/>
    <col min="192" max="192" width="13.85546875" bestFit="1" customWidth="1"/>
    <col min="193" max="193" width="22.85546875" bestFit="1" customWidth="1"/>
    <col min="194" max="194" width="12.85546875" bestFit="1" customWidth="1"/>
    <col min="195" max="195" width="22.85546875" bestFit="1" customWidth="1"/>
    <col min="196" max="196" width="12.85546875" bestFit="1" customWidth="1"/>
    <col min="197" max="197" width="22.85546875" bestFit="1" customWidth="1"/>
    <col min="198" max="198" width="13.85546875" bestFit="1" customWidth="1"/>
    <col min="199" max="199" width="22.85546875" bestFit="1" customWidth="1"/>
    <col min="200" max="200" width="13.85546875" bestFit="1" customWidth="1"/>
    <col min="201" max="201" width="21.85546875" bestFit="1" customWidth="1"/>
    <col min="202" max="202" width="12" bestFit="1" customWidth="1"/>
    <col min="203" max="203" width="22.85546875" bestFit="1" customWidth="1"/>
    <col min="204" max="204" width="12" bestFit="1" customWidth="1"/>
    <col min="205" max="205" width="22.85546875" bestFit="1" customWidth="1"/>
    <col min="206" max="206" width="13.85546875" bestFit="1" customWidth="1"/>
    <col min="207" max="207" width="21.85546875" bestFit="1" customWidth="1"/>
    <col min="208" max="208" width="13.85546875" bestFit="1" customWidth="1"/>
    <col min="209" max="209" width="22.85546875" bestFit="1" customWidth="1"/>
    <col min="210" max="210" width="13.85546875" bestFit="1" customWidth="1"/>
    <col min="211" max="211" width="21.85546875" bestFit="1" customWidth="1"/>
    <col min="212" max="212" width="13.85546875" bestFit="1" customWidth="1"/>
    <col min="213" max="213" width="22.85546875" bestFit="1" customWidth="1"/>
    <col min="214" max="214" width="13.85546875" bestFit="1" customWidth="1"/>
    <col min="215" max="215" width="22.85546875" bestFit="1" customWidth="1"/>
    <col min="216" max="216" width="13.85546875" bestFit="1" customWidth="1"/>
    <col min="217" max="217" width="22.85546875" bestFit="1" customWidth="1"/>
    <col min="218" max="218" width="13.85546875" bestFit="1" customWidth="1"/>
    <col min="219" max="219" width="22.85546875" bestFit="1" customWidth="1"/>
    <col min="220" max="220" width="13.85546875" bestFit="1" customWidth="1"/>
    <col min="221" max="221" width="21.85546875" bestFit="1" customWidth="1"/>
    <col min="222" max="222" width="13.85546875" bestFit="1" customWidth="1"/>
    <col min="223" max="223" width="22.85546875" bestFit="1" customWidth="1"/>
    <col min="224" max="224" width="13.85546875" bestFit="1" customWidth="1"/>
    <col min="225" max="225" width="22.85546875" bestFit="1" customWidth="1"/>
    <col min="226" max="226" width="7.42578125" customWidth="1"/>
    <col min="227" max="227" width="10.42578125" bestFit="1" customWidth="1"/>
    <col min="228" max="228" width="11.28515625" bestFit="1" customWidth="1"/>
  </cols>
  <sheetData>
    <row r="1" spans="1:33" s="2" customFormat="1" x14ac:dyDescent="0.25">
      <c r="A1" s="15" t="s">
        <v>1</v>
      </c>
      <c r="B1" s="15" t="s">
        <v>2</v>
      </c>
      <c r="C1" s="15" t="s">
        <v>36</v>
      </c>
      <c r="D1" s="15" t="s">
        <v>37</v>
      </c>
      <c r="E1" s="22" t="s">
        <v>38</v>
      </c>
      <c r="F1" s="22" t="s">
        <v>39</v>
      </c>
      <c r="G1" s="22" t="s">
        <v>40</v>
      </c>
      <c r="H1" s="22" t="s">
        <v>41</v>
      </c>
      <c r="I1" s="23" t="s">
        <v>3</v>
      </c>
      <c r="J1" s="23" t="s">
        <v>4</v>
      </c>
      <c r="K1" s="23" t="s">
        <v>5</v>
      </c>
      <c r="L1" s="23" t="s">
        <v>6</v>
      </c>
      <c r="M1" s="23" t="s">
        <v>7</v>
      </c>
      <c r="N1" s="23" t="s">
        <v>8</v>
      </c>
      <c r="O1" s="23" t="s">
        <v>9</v>
      </c>
      <c r="P1" s="22" t="s">
        <v>42</v>
      </c>
      <c r="Q1" s="22" t="s">
        <v>43</v>
      </c>
      <c r="R1" s="22" t="s">
        <v>44</v>
      </c>
      <c r="S1" s="22" t="s">
        <v>45</v>
      </c>
      <c r="T1" s="22" t="s">
        <v>46</v>
      </c>
      <c r="U1" s="22" t="s">
        <v>47</v>
      </c>
      <c r="V1" s="22" t="s">
        <v>48</v>
      </c>
    </row>
    <row r="2" spans="1:33" x14ac:dyDescent="0.25">
      <c r="A2" s="5"/>
      <c r="B2" s="15"/>
      <c r="C2" s="5"/>
      <c r="D2" s="5"/>
      <c r="E2" s="8"/>
      <c r="F2" s="8"/>
      <c r="G2" s="8"/>
      <c r="H2" s="8"/>
      <c r="I2" s="6"/>
      <c r="J2" s="6"/>
      <c r="K2" s="6"/>
      <c r="L2" s="6"/>
      <c r="M2" s="6"/>
      <c r="N2" s="6"/>
      <c r="O2" s="6"/>
      <c r="P2" s="8"/>
      <c r="Q2" s="8"/>
      <c r="R2" s="8"/>
      <c r="S2" s="8"/>
      <c r="T2" s="8"/>
      <c r="U2" s="8"/>
      <c r="V2" s="8"/>
      <c r="X2" t="s">
        <v>1</v>
      </c>
      <c r="Y2" t="s">
        <v>2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</row>
    <row r="3" spans="1:33" x14ac:dyDescent="0.25">
      <c r="A3" s="5"/>
      <c r="B3" s="15"/>
      <c r="C3" s="5"/>
      <c r="D3" s="5"/>
      <c r="E3" s="8"/>
      <c r="F3" s="8"/>
      <c r="G3" s="8"/>
      <c r="H3" s="8"/>
      <c r="I3" s="6"/>
      <c r="J3" s="6"/>
      <c r="K3" s="6"/>
      <c r="L3" s="6"/>
      <c r="M3" s="6"/>
      <c r="N3" s="6"/>
      <c r="O3" s="6"/>
      <c r="P3" s="8"/>
      <c r="Q3" s="8"/>
      <c r="R3" s="8"/>
      <c r="S3" s="8"/>
      <c r="T3" s="8"/>
      <c r="U3" s="8"/>
      <c r="V3" s="8"/>
      <c r="X3">
        <v>2021</v>
      </c>
      <c r="Y3" t="s">
        <v>31</v>
      </c>
      <c r="Z3" s="9">
        <v>55602466073.820503</v>
      </c>
      <c r="AA3" s="9">
        <v>55850582298.800011</v>
      </c>
      <c r="AB3" s="9">
        <v>13227476493.913801</v>
      </c>
      <c r="AC3" s="9">
        <v>13227476493.913801</v>
      </c>
      <c r="AD3" s="9">
        <v>13227432400.213833</v>
      </c>
      <c r="AE3" s="9">
        <v>8504592687.8999996</v>
      </c>
      <c r="AF3" s="9">
        <v>8259659803.649972</v>
      </c>
      <c r="AG3" s="9">
        <v>56697284586</v>
      </c>
    </row>
    <row r="4" spans="1:33" x14ac:dyDescent="0.25">
      <c r="A4" s="5"/>
      <c r="B4" s="15"/>
      <c r="C4" s="5"/>
      <c r="D4" s="5"/>
      <c r="E4" s="8"/>
      <c r="F4" s="8"/>
      <c r="G4" s="8"/>
      <c r="H4" s="8"/>
      <c r="I4" s="6"/>
      <c r="J4" s="6"/>
      <c r="K4" s="6"/>
      <c r="L4" s="6"/>
      <c r="M4" s="6"/>
      <c r="N4" s="6"/>
      <c r="O4" s="6"/>
      <c r="P4" s="8"/>
      <c r="Q4" s="8"/>
      <c r="R4" s="8"/>
      <c r="S4" s="8"/>
      <c r="T4" s="8"/>
      <c r="U4" s="8"/>
      <c r="V4" s="8"/>
      <c r="X4">
        <v>2022</v>
      </c>
      <c r="Y4" t="s">
        <v>20</v>
      </c>
      <c r="Z4" s="9">
        <v>1596221697561.0271</v>
      </c>
      <c r="AA4" s="9">
        <v>1807146638695.1501</v>
      </c>
      <c r="AB4" s="9">
        <v>425940590996.96008</v>
      </c>
      <c r="AC4" s="9">
        <v>425940590996.96008</v>
      </c>
      <c r="AD4" s="9">
        <v>411008614229.11731</v>
      </c>
      <c r="AE4" s="9">
        <v>251033878954.58099</v>
      </c>
      <c r="AF4" s="9">
        <v>96353274900.451889</v>
      </c>
      <c r="AG4" s="9">
        <v>1825720492915.1899</v>
      </c>
    </row>
    <row r="5" spans="1:33" x14ac:dyDescent="0.25">
      <c r="A5" s="5"/>
      <c r="B5" s="15"/>
      <c r="C5" s="5"/>
      <c r="D5" s="5"/>
      <c r="E5" s="8"/>
      <c r="F5" s="8"/>
      <c r="G5" s="8"/>
      <c r="H5" s="8"/>
      <c r="I5" s="6"/>
      <c r="J5" s="6"/>
      <c r="K5" s="6"/>
      <c r="L5" s="6"/>
      <c r="M5" s="6"/>
      <c r="N5" s="6"/>
      <c r="O5" s="6"/>
      <c r="P5" s="8"/>
      <c r="Q5" s="8"/>
      <c r="R5" s="8"/>
      <c r="S5" s="8"/>
      <c r="T5" s="8"/>
      <c r="U5" s="8"/>
      <c r="V5" s="8"/>
      <c r="X5">
        <v>2022</v>
      </c>
      <c r="Y5" t="s">
        <v>30</v>
      </c>
      <c r="Z5" s="9">
        <v>235230338050.52527</v>
      </c>
      <c r="AA5" s="9">
        <v>235395232904.39996</v>
      </c>
      <c r="AB5" s="9">
        <v>55075416464.012421</v>
      </c>
      <c r="AC5" s="9">
        <v>55075416464.012421</v>
      </c>
      <c r="AD5" s="9">
        <v>55059502395.375626</v>
      </c>
      <c r="AE5" s="9">
        <v>35410683538.800003</v>
      </c>
      <c r="AF5" s="9">
        <v>35285206422.600067</v>
      </c>
      <c r="AG5" s="9">
        <v>236071223592</v>
      </c>
    </row>
    <row r="6" spans="1:33" x14ac:dyDescent="0.25">
      <c r="A6" s="5"/>
      <c r="B6" s="15"/>
      <c r="C6" s="5"/>
      <c r="D6" s="5"/>
      <c r="E6" s="8"/>
      <c r="F6" s="8"/>
      <c r="G6" s="8"/>
      <c r="H6" s="8"/>
      <c r="I6" s="6"/>
      <c r="J6" s="6"/>
      <c r="K6" s="6"/>
      <c r="L6" s="6"/>
      <c r="M6" s="6"/>
      <c r="N6" s="6"/>
      <c r="O6" s="6"/>
      <c r="P6" s="8"/>
      <c r="Q6" s="8"/>
      <c r="R6" s="8"/>
      <c r="S6" s="8"/>
      <c r="T6" s="8"/>
      <c r="U6" s="8"/>
      <c r="V6" s="8"/>
      <c r="X6">
        <v>2022</v>
      </c>
      <c r="Y6" t="s">
        <v>18</v>
      </c>
      <c r="Z6" s="9">
        <v>195767967497.70575</v>
      </c>
      <c r="AA6" s="9">
        <v>195788925937</v>
      </c>
      <c r="AB6" s="9">
        <v>45677556421.102104</v>
      </c>
      <c r="AC6" s="9">
        <v>45677556421.102104</v>
      </c>
      <c r="AD6" s="9">
        <v>45677556421.102104</v>
      </c>
      <c r="AE6" s="9">
        <v>29366959343.850044</v>
      </c>
      <c r="AF6" s="9">
        <v>29368338890.549999</v>
      </c>
      <c r="AG6" s="9">
        <v>195788925937</v>
      </c>
    </row>
    <row r="7" spans="1:33" x14ac:dyDescent="0.25">
      <c r="A7" s="5"/>
      <c r="B7" s="15"/>
      <c r="C7" s="5"/>
      <c r="D7" s="5"/>
      <c r="E7" s="8"/>
      <c r="F7" s="8"/>
      <c r="G7" s="8"/>
      <c r="H7" s="8"/>
      <c r="I7" s="6"/>
      <c r="J7" s="6"/>
      <c r="K7" s="6"/>
      <c r="L7" s="6"/>
      <c r="M7" s="6"/>
      <c r="N7" s="6"/>
      <c r="O7" s="6"/>
      <c r="P7" s="8"/>
      <c r="Q7" s="8"/>
      <c r="R7" s="8"/>
      <c r="S7" s="8"/>
      <c r="T7" s="8"/>
      <c r="U7" s="8"/>
      <c r="V7" s="8"/>
      <c r="X7">
        <v>2022</v>
      </c>
      <c r="Y7" t="s">
        <v>34</v>
      </c>
      <c r="Z7" s="9">
        <v>79735747348.982941</v>
      </c>
      <c r="AA7" s="9">
        <v>84895511268.599808</v>
      </c>
      <c r="AB7" s="9">
        <v>21206596616.181999</v>
      </c>
      <c r="AC7" s="9">
        <v>21206596616.181999</v>
      </c>
      <c r="AD7" s="9">
        <v>20234521490.731506</v>
      </c>
      <c r="AE7" s="9">
        <v>13005030505.050207</v>
      </c>
      <c r="AF7" s="9">
        <v>9805415768.5500069</v>
      </c>
      <c r="AG7" s="9">
        <v>90898399555</v>
      </c>
    </row>
    <row r="8" spans="1:33" x14ac:dyDescent="0.25">
      <c r="A8" s="5"/>
      <c r="B8" s="15"/>
      <c r="C8" s="5"/>
      <c r="D8" s="5"/>
      <c r="E8" s="8"/>
      <c r="F8" s="8"/>
      <c r="G8" s="8"/>
      <c r="H8" s="8"/>
      <c r="I8" s="6"/>
      <c r="J8" s="6"/>
      <c r="K8" s="6"/>
      <c r="L8" s="6"/>
      <c r="M8" s="6"/>
      <c r="N8" s="6"/>
      <c r="O8" s="6"/>
      <c r="P8" s="8"/>
      <c r="Q8" s="8"/>
      <c r="R8" s="8"/>
      <c r="S8" s="8"/>
      <c r="T8" s="8"/>
      <c r="U8" s="8"/>
      <c r="V8" s="8"/>
      <c r="X8">
        <v>2022</v>
      </c>
      <c r="Y8" t="s">
        <v>21</v>
      </c>
      <c r="Z8" s="9">
        <v>300052532775.62286</v>
      </c>
      <c r="AA8" s="9">
        <v>343477719080.11005</v>
      </c>
      <c r="AB8" s="9">
        <v>80937192376.958405</v>
      </c>
      <c r="AC8" s="9">
        <v>80937192376.958405</v>
      </c>
      <c r="AD8" s="9">
        <v>78504979644.031235</v>
      </c>
      <c r="AE8" s="9">
        <v>48357338453.731903</v>
      </c>
      <c r="AF8" s="9">
        <v>13966964987.939856</v>
      </c>
      <c r="AG8" s="9">
        <v>346923242078.69385</v>
      </c>
    </row>
    <row r="9" spans="1:33" x14ac:dyDescent="0.25">
      <c r="A9" s="5"/>
      <c r="B9" s="15"/>
      <c r="C9" s="5"/>
      <c r="D9" s="5"/>
      <c r="E9" s="8"/>
      <c r="F9" s="8"/>
      <c r="G9" s="8"/>
      <c r="H9" s="8"/>
      <c r="I9" s="6"/>
      <c r="J9" s="6"/>
      <c r="K9" s="6"/>
      <c r="L9" s="6"/>
      <c r="M9" s="6"/>
      <c r="N9" s="6"/>
      <c r="O9" s="6"/>
      <c r="P9" s="8"/>
      <c r="Q9" s="8"/>
      <c r="R9" s="8"/>
      <c r="S9" s="8"/>
      <c r="T9" s="8"/>
      <c r="U9" s="8"/>
      <c r="V9" s="8"/>
      <c r="X9">
        <v>2022</v>
      </c>
      <c r="Y9" t="s">
        <v>25</v>
      </c>
      <c r="Z9" s="9">
        <v>2162886218532.6777</v>
      </c>
      <c r="AA9" s="9">
        <v>2912921098174.6045</v>
      </c>
      <c r="AB9" s="9">
        <v>707583391846.21826</v>
      </c>
      <c r="AC9" s="9">
        <v>707583391846.21826</v>
      </c>
      <c r="AD9" s="9">
        <v>653659451232.49878</v>
      </c>
      <c r="AE9" s="9">
        <v>175063322792.39896</v>
      </c>
      <c r="AF9" s="9">
        <v>0</v>
      </c>
      <c r="AG9" s="9">
        <v>3032933526988</v>
      </c>
    </row>
    <row r="10" spans="1:33" x14ac:dyDescent="0.25">
      <c r="A10" s="5"/>
      <c r="B10" s="15"/>
      <c r="C10" s="5"/>
      <c r="D10" s="5"/>
      <c r="E10" s="8"/>
      <c r="F10" s="8"/>
      <c r="G10" s="8"/>
      <c r="H10" s="8"/>
      <c r="I10" s="6"/>
      <c r="J10" s="6"/>
      <c r="K10" s="6"/>
      <c r="L10" s="6"/>
      <c r="M10" s="6"/>
      <c r="N10" s="6"/>
      <c r="O10" s="6"/>
      <c r="P10" s="8"/>
      <c r="Q10" s="8"/>
      <c r="R10" s="8"/>
      <c r="S10" s="8"/>
      <c r="T10" s="8"/>
      <c r="U10" s="8"/>
      <c r="V10" s="8"/>
      <c r="X10">
        <v>2022</v>
      </c>
      <c r="Y10" t="s">
        <v>31</v>
      </c>
      <c r="Z10" s="9">
        <v>69643381803.591782</v>
      </c>
      <c r="AA10" s="9">
        <v>69861351479.799973</v>
      </c>
      <c r="AB10" s="9">
        <v>16592318830.504416</v>
      </c>
      <c r="AC10" s="9">
        <v>16592318830.504416</v>
      </c>
      <c r="AD10" s="9">
        <v>16592237782.084419</v>
      </c>
      <c r="AE10" s="9">
        <v>10668014678.85</v>
      </c>
      <c r="AF10" s="9">
        <v>10454578598.849966</v>
      </c>
      <c r="AG10" s="9">
        <v>71120097859</v>
      </c>
    </row>
    <row r="11" spans="1:33" x14ac:dyDescent="0.25">
      <c r="A11" s="5"/>
      <c r="B11" s="15"/>
      <c r="C11" s="5"/>
      <c r="D11" s="5"/>
      <c r="E11" s="8"/>
      <c r="F11" s="8"/>
      <c r="G11" s="8"/>
      <c r="H11" s="8"/>
      <c r="I11" s="6"/>
      <c r="J11" s="6"/>
      <c r="K11" s="6"/>
      <c r="L11" s="6"/>
      <c r="M11" s="6"/>
      <c r="N11" s="6"/>
      <c r="O11" s="6"/>
      <c r="P11" s="8"/>
      <c r="Q11" s="8"/>
      <c r="R11" s="8"/>
      <c r="S11" s="8"/>
      <c r="T11" s="8"/>
      <c r="U11" s="8"/>
      <c r="V11" s="8"/>
      <c r="X11">
        <v>2022</v>
      </c>
      <c r="Y11" t="s">
        <v>32</v>
      </c>
      <c r="Z11" s="9">
        <v>675927186599.43555</v>
      </c>
      <c r="AA11" s="9">
        <v>693986179683.12573</v>
      </c>
      <c r="AB11" s="9">
        <v>166400478856.12186</v>
      </c>
      <c r="AC11" s="9">
        <v>166400478856.12186</v>
      </c>
      <c r="AD11" s="9">
        <v>166386406395.81137</v>
      </c>
      <c r="AE11" s="9">
        <v>106961034840.96239</v>
      </c>
      <c r="AF11" s="9">
        <v>88197000715.59314</v>
      </c>
      <c r="AG11" s="9">
        <v>713246801783.63977</v>
      </c>
    </row>
    <row r="12" spans="1:33" x14ac:dyDescent="0.25">
      <c r="A12" s="5"/>
      <c r="B12" s="15"/>
      <c r="C12" s="5"/>
      <c r="D12" s="5"/>
      <c r="E12" s="8"/>
      <c r="F12" s="8"/>
      <c r="G12" s="8"/>
      <c r="H12" s="8"/>
      <c r="I12" s="6"/>
      <c r="J12" s="6"/>
      <c r="K12" s="6"/>
      <c r="L12" s="6"/>
      <c r="M12" s="6"/>
      <c r="N12" s="6"/>
      <c r="O12" s="6"/>
      <c r="P12" s="8"/>
      <c r="Q12" s="8"/>
      <c r="R12" s="8"/>
      <c r="S12" s="8"/>
      <c r="T12" s="8"/>
      <c r="U12" s="8"/>
      <c r="V12" s="8"/>
      <c r="X12">
        <v>2022</v>
      </c>
      <c r="Y12" t="s">
        <v>33</v>
      </c>
      <c r="Z12" s="9">
        <v>14294405993.045471</v>
      </c>
      <c r="AA12" s="9">
        <v>14864483628.930006</v>
      </c>
      <c r="AB12" s="9">
        <v>3577087331.6319165</v>
      </c>
      <c r="AC12" s="9">
        <v>3577087331.6319165</v>
      </c>
      <c r="AD12" s="9">
        <v>3577087331.6319165</v>
      </c>
      <c r="AE12" s="9">
        <v>2297448358.9200134</v>
      </c>
      <c r="AF12" s="9">
        <v>1706987779.6725011</v>
      </c>
      <c r="AG12" s="9">
        <v>15332564644.799999</v>
      </c>
    </row>
    <row r="13" spans="1:33" x14ac:dyDescent="0.25">
      <c r="A13" s="5"/>
      <c r="B13" s="15"/>
      <c r="C13" s="5"/>
      <c r="D13" s="5"/>
      <c r="E13" s="8"/>
      <c r="F13" s="8"/>
      <c r="G13" s="8"/>
      <c r="H13" s="8"/>
      <c r="I13" s="6"/>
      <c r="J13" s="6"/>
      <c r="K13" s="6"/>
      <c r="L13" s="6"/>
      <c r="M13" s="6"/>
      <c r="N13" s="6"/>
      <c r="O13" s="6"/>
      <c r="P13" s="8"/>
      <c r="Q13" s="8"/>
      <c r="R13" s="8"/>
      <c r="S13" s="8"/>
      <c r="T13" s="8"/>
      <c r="U13" s="8"/>
      <c r="V13" s="8"/>
      <c r="X13">
        <v>2022</v>
      </c>
      <c r="Y13" t="s">
        <v>35</v>
      </c>
      <c r="Z13" s="9">
        <v>1932533324220.8398</v>
      </c>
      <c r="AA13" s="9">
        <v>2312277355886.5225</v>
      </c>
      <c r="AB13" s="9">
        <v>580519256380.25061</v>
      </c>
      <c r="AC13" s="9">
        <v>580519256380.25061</v>
      </c>
      <c r="AD13" s="9">
        <v>531483855518.52112</v>
      </c>
      <c r="AE13" s="9">
        <v>302683068966.36377</v>
      </c>
      <c r="AF13" s="9">
        <v>78015148487.72052</v>
      </c>
      <c r="AG13" s="9">
        <v>2488295140935.52</v>
      </c>
    </row>
    <row r="14" spans="1:33" x14ac:dyDescent="0.25">
      <c r="A14" s="5"/>
      <c r="B14" s="15"/>
      <c r="C14" s="5"/>
      <c r="D14" s="5"/>
      <c r="E14" s="8"/>
      <c r="F14" s="8"/>
      <c r="G14" s="8"/>
      <c r="H14" s="8"/>
      <c r="I14" s="6"/>
      <c r="J14" s="6"/>
      <c r="K14" s="6"/>
      <c r="L14" s="6"/>
      <c r="M14" s="6"/>
      <c r="N14" s="6"/>
      <c r="O14" s="6"/>
      <c r="P14" s="8"/>
      <c r="Q14" s="8"/>
      <c r="R14" s="8"/>
      <c r="S14" s="8"/>
      <c r="T14" s="8"/>
      <c r="U14" s="8"/>
      <c r="V14" s="8"/>
      <c r="X14">
        <v>2022</v>
      </c>
      <c r="Y14" t="s">
        <v>19</v>
      </c>
      <c r="Z14" s="9">
        <v>1780008662428.1951</v>
      </c>
      <c r="AA14" s="9">
        <v>1902002041659.5977</v>
      </c>
      <c r="AB14" s="9">
        <v>443737088564.63037</v>
      </c>
      <c r="AC14" s="9">
        <v>443737088564.63037</v>
      </c>
      <c r="AD14" s="9">
        <v>433420678998.8103</v>
      </c>
      <c r="AE14" s="9">
        <v>278667435009.77057</v>
      </c>
      <c r="AF14" s="9">
        <v>180446423772.55463</v>
      </c>
      <c r="AG14" s="9">
        <v>1902002094146.2441</v>
      </c>
    </row>
    <row r="15" spans="1:33" x14ac:dyDescent="0.25">
      <c r="A15" s="5"/>
      <c r="B15" s="15"/>
      <c r="C15" s="5"/>
      <c r="D15" s="5"/>
      <c r="E15" s="8"/>
      <c r="F15" s="8"/>
      <c r="G15" s="8"/>
      <c r="H15" s="8"/>
      <c r="I15" s="6"/>
      <c r="J15" s="6"/>
      <c r="K15" s="6"/>
      <c r="L15" s="6"/>
      <c r="M15" s="6"/>
      <c r="N15" s="6"/>
      <c r="O15" s="6"/>
      <c r="P15" s="8"/>
      <c r="Q15" s="8"/>
      <c r="R15" s="8"/>
      <c r="S15" s="8"/>
      <c r="T15" s="8"/>
      <c r="U15" s="8"/>
      <c r="V15" s="8"/>
      <c r="X15">
        <v>2022</v>
      </c>
      <c r="Y15" t="s">
        <v>29</v>
      </c>
      <c r="Z15" s="9">
        <v>57440087842.261696</v>
      </c>
      <c r="AA15" s="9">
        <v>57446928231.154892</v>
      </c>
      <c r="AB15" s="9">
        <v>13407917703.035336</v>
      </c>
      <c r="AC15" s="9">
        <v>13407917703.035336</v>
      </c>
      <c r="AD15" s="9">
        <v>13407917703.035336</v>
      </c>
      <c r="AE15" s="9">
        <v>8620599699.4315834</v>
      </c>
      <c r="AF15" s="9">
        <v>8619518967.5954189</v>
      </c>
      <c r="AG15" s="9">
        <v>57470714543.65744</v>
      </c>
    </row>
    <row r="16" spans="1:33" x14ac:dyDescent="0.25">
      <c r="A16" s="5"/>
      <c r="B16" s="15"/>
      <c r="C16" s="5"/>
      <c r="D16" s="5"/>
      <c r="E16" s="8"/>
      <c r="F16" s="8"/>
      <c r="G16" s="8"/>
      <c r="H16" s="8"/>
      <c r="I16" s="6"/>
      <c r="J16" s="6"/>
      <c r="K16" s="6"/>
      <c r="L16" s="6"/>
      <c r="M16" s="6"/>
      <c r="N16" s="6"/>
      <c r="O16" s="6"/>
      <c r="P16" s="8"/>
      <c r="Q16" s="8"/>
      <c r="R16" s="8"/>
      <c r="S16" s="8"/>
      <c r="T16" s="8"/>
      <c r="U16" s="8"/>
      <c r="V16" s="8"/>
      <c r="X16">
        <v>2023</v>
      </c>
      <c r="Y16" t="s">
        <v>20</v>
      </c>
      <c r="Z16" s="9">
        <v>4290326013715.9199</v>
      </c>
      <c r="AA16" s="9">
        <v>4796751182899.4961</v>
      </c>
      <c r="AB16" s="9">
        <v>1129840527458.6909</v>
      </c>
      <c r="AC16" s="9">
        <v>1129840527458.6909</v>
      </c>
      <c r="AD16" s="9">
        <v>1092976735899.7236</v>
      </c>
      <c r="AE16" s="9">
        <v>661251111813.67944</v>
      </c>
      <c r="AF16" s="9">
        <v>311291496614.46423</v>
      </c>
      <c r="AG16" s="9">
        <v>4842865527040.7295</v>
      </c>
    </row>
    <row r="17" spans="1:33" x14ac:dyDescent="0.25">
      <c r="A17" s="5"/>
      <c r="B17" s="15"/>
      <c r="C17" s="5"/>
      <c r="D17" s="5"/>
      <c r="E17" s="8"/>
      <c r="F17" s="8"/>
      <c r="G17" s="8"/>
      <c r="H17" s="8"/>
      <c r="I17" s="6"/>
      <c r="J17" s="6"/>
      <c r="K17" s="6"/>
      <c r="L17" s="6"/>
      <c r="M17" s="6"/>
      <c r="N17" s="6"/>
      <c r="O17" s="6"/>
      <c r="P17" s="8"/>
      <c r="Q17" s="8"/>
      <c r="R17" s="8"/>
      <c r="S17" s="8"/>
      <c r="T17" s="8"/>
      <c r="U17" s="8"/>
      <c r="V17" s="8"/>
      <c r="X17">
        <v>2023</v>
      </c>
      <c r="Y17" t="s">
        <v>22</v>
      </c>
      <c r="Z17" s="9">
        <v>181488718506.51758</v>
      </c>
      <c r="AA17" s="9">
        <v>217114322270.58133</v>
      </c>
      <c r="AB17" s="9">
        <v>51094650624.252884</v>
      </c>
      <c r="AC17" s="9">
        <v>51094650624.252884</v>
      </c>
      <c r="AD17" s="9">
        <v>49214060325.679153</v>
      </c>
      <c r="AE17" s="9">
        <v>31653868705.725487</v>
      </c>
      <c r="AF17" s="9">
        <v>0</v>
      </c>
      <c r="AG17" s="9">
        <v>219008361012.68201</v>
      </c>
    </row>
    <row r="18" spans="1:33" x14ac:dyDescent="0.25">
      <c r="A18" s="5"/>
      <c r="B18" s="15"/>
      <c r="C18" s="5"/>
      <c r="D18" s="5"/>
      <c r="E18" s="8"/>
      <c r="F18" s="8"/>
      <c r="G18" s="8"/>
      <c r="H18" s="8"/>
      <c r="I18" s="6"/>
      <c r="J18" s="6"/>
      <c r="K18" s="6"/>
      <c r="L18" s="6"/>
      <c r="M18" s="6"/>
      <c r="N18" s="6"/>
      <c r="O18" s="6"/>
      <c r="P18" s="8"/>
      <c r="Q18" s="8"/>
      <c r="R18" s="8"/>
      <c r="S18" s="8"/>
      <c r="T18" s="8"/>
      <c r="U18" s="8"/>
      <c r="V18" s="8"/>
      <c r="X18">
        <v>2023</v>
      </c>
      <c r="Y18" t="s">
        <v>18</v>
      </c>
      <c r="Z18" s="9">
        <v>605757647960.29077</v>
      </c>
      <c r="AA18" s="9">
        <v>605818307284.91797</v>
      </c>
      <c r="AB18" s="9">
        <v>141337781613.79483</v>
      </c>
      <c r="AC18" s="9">
        <v>141337781613.79483</v>
      </c>
      <c r="AD18" s="9">
        <v>141337781613.79483</v>
      </c>
      <c r="AE18" s="9">
        <v>90872906827.013672</v>
      </c>
      <c r="AF18" s="9">
        <v>90872984320.913849</v>
      </c>
      <c r="AG18" s="9">
        <v>605819895472.75708</v>
      </c>
    </row>
    <row r="19" spans="1:33" x14ac:dyDescent="0.25">
      <c r="A19" s="5"/>
      <c r="B19" s="15"/>
      <c r="C19" s="5"/>
      <c r="D19" s="5"/>
      <c r="E19" s="8"/>
      <c r="F19" s="8"/>
      <c r="G19" s="8"/>
      <c r="H19" s="8"/>
      <c r="I19" s="6"/>
      <c r="J19" s="6"/>
      <c r="K19" s="6"/>
      <c r="L19" s="6"/>
      <c r="M19" s="6"/>
      <c r="N19" s="6"/>
      <c r="O19" s="6"/>
      <c r="P19" s="8"/>
      <c r="Q19" s="8"/>
      <c r="R19" s="8"/>
      <c r="S19" s="8"/>
      <c r="T19" s="8"/>
      <c r="U19" s="8"/>
      <c r="V19" s="8"/>
      <c r="X19">
        <v>2023</v>
      </c>
      <c r="Y19" t="s">
        <v>23</v>
      </c>
      <c r="Z19" s="9">
        <v>6873093811120.0977</v>
      </c>
      <c r="AA19" s="9">
        <v>8671861328837.0742</v>
      </c>
      <c r="AB19" s="9">
        <v>2147637594838.6431</v>
      </c>
      <c r="AC19" s="9">
        <v>2147637594838.6431</v>
      </c>
      <c r="AD19" s="9">
        <v>1852861076263.1765</v>
      </c>
      <c r="AE19" s="9">
        <v>1132370542994.5576</v>
      </c>
      <c r="AF19" s="9">
        <v>0</v>
      </c>
      <c r="AG19" s="9">
        <v>9205476188764.0723</v>
      </c>
    </row>
    <row r="20" spans="1:33" x14ac:dyDescent="0.25">
      <c r="A20" s="5"/>
      <c r="B20" s="15"/>
      <c r="C20" s="5"/>
      <c r="D20" s="5"/>
      <c r="E20" s="8"/>
      <c r="F20" s="8"/>
      <c r="G20" s="8"/>
      <c r="H20" s="8"/>
      <c r="I20" s="6"/>
      <c r="J20" s="6"/>
      <c r="K20" s="6"/>
      <c r="L20" s="6"/>
      <c r="M20" s="6"/>
      <c r="N20" s="6"/>
      <c r="O20" s="6"/>
      <c r="P20" s="8"/>
      <c r="Q20" s="8"/>
      <c r="R20" s="8"/>
      <c r="S20" s="8"/>
      <c r="T20" s="8"/>
      <c r="U20" s="8"/>
      <c r="V20" s="8"/>
      <c r="X20">
        <v>2023</v>
      </c>
      <c r="Y20" t="s">
        <v>27</v>
      </c>
      <c r="Z20" s="9">
        <v>28178379021.036373</v>
      </c>
      <c r="AA20" s="9">
        <v>39771354675.19986</v>
      </c>
      <c r="AB20" s="9">
        <v>9666741247.4226246</v>
      </c>
      <c r="AC20" s="9">
        <v>9666741247.4226246</v>
      </c>
      <c r="AD20" s="9">
        <v>9666734766.815237</v>
      </c>
      <c r="AE20" s="9">
        <v>356988227.99999982</v>
      </c>
      <c r="AF20" s="9">
        <v>0</v>
      </c>
      <c r="AG20" s="9">
        <v>41434810319</v>
      </c>
    </row>
    <row r="21" spans="1:33" x14ac:dyDescent="0.25">
      <c r="A21" s="5"/>
      <c r="B21" s="15"/>
      <c r="C21" s="5"/>
      <c r="D21" s="5"/>
      <c r="E21" s="8"/>
      <c r="F21" s="8"/>
      <c r="G21" s="8"/>
      <c r="H21" s="8"/>
      <c r="I21" s="6"/>
      <c r="J21" s="6"/>
      <c r="K21" s="6"/>
      <c r="L21" s="6"/>
      <c r="M21" s="6"/>
      <c r="N21" s="6"/>
      <c r="O21" s="6"/>
      <c r="P21" s="8"/>
      <c r="Q21" s="8"/>
      <c r="R21" s="8"/>
      <c r="S21" s="8"/>
      <c r="T21" s="8"/>
      <c r="U21" s="8"/>
      <c r="V21" s="8"/>
      <c r="X21">
        <v>2023</v>
      </c>
      <c r="Y21" t="s">
        <v>21</v>
      </c>
      <c r="Z21" s="9">
        <v>642887046653.12842</v>
      </c>
      <c r="AA21" s="9">
        <v>738381155882.72009</v>
      </c>
      <c r="AB21" s="9">
        <v>173813768105.1532</v>
      </c>
      <c r="AC21" s="9">
        <v>173813768105.1532</v>
      </c>
      <c r="AD21" s="9">
        <v>167747589943.12119</v>
      </c>
      <c r="AE21" s="9">
        <v>104683717884.12253</v>
      </c>
      <c r="AF21" s="9">
        <v>27869560321.872833</v>
      </c>
      <c r="AG21" s="9">
        <v>745022580819.34851</v>
      </c>
    </row>
    <row r="22" spans="1:33" x14ac:dyDescent="0.25">
      <c r="A22" s="5"/>
      <c r="B22" s="15"/>
      <c r="C22" s="5"/>
      <c r="D22" s="5"/>
      <c r="E22" s="8"/>
      <c r="F22" s="8"/>
      <c r="G22" s="8"/>
      <c r="H22" s="8"/>
      <c r="I22" s="6"/>
      <c r="J22" s="6"/>
      <c r="K22" s="6"/>
      <c r="L22" s="6"/>
      <c r="M22" s="6"/>
      <c r="N22" s="6"/>
      <c r="O22" s="6"/>
      <c r="P22" s="8"/>
      <c r="Q22" s="8"/>
      <c r="R22" s="8"/>
      <c r="S22" s="8"/>
      <c r="T22" s="8"/>
      <c r="U22" s="8"/>
      <c r="V22" s="8"/>
      <c r="X22">
        <v>2023</v>
      </c>
      <c r="Y22" t="s">
        <v>25</v>
      </c>
      <c r="Z22" s="9">
        <v>2354569252970.8833</v>
      </c>
      <c r="AA22" s="9">
        <v>3159490573864.3936</v>
      </c>
      <c r="AB22" s="9">
        <v>770419249571.98035</v>
      </c>
      <c r="AC22" s="9">
        <v>770419249571.98035</v>
      </c>
      <c r="AD22" s="9">
        <v>713330124303.68347</v>
      </c>
      <c r="AE22" s="9">
        <v>197680395118.9483</v>
      </c>
      <c r="AF22" s="9">
        <v>0</v>
      </c>
      <c r="AG22" s="9">
        <v>3302268536528</v>
      </c>
    </row>
    <row r="23" spans="1:33" x14ac:dyDescent="0.25">
      <c r="A23" s="5"/>
      <c r="B23" s="15"/>
      <c r="C23" s="5"/>
      <c r="D23" s="5"/>
      <c r="E23" s="8"/>
      <c r="F23" s="8"/>
      <c r="G23" s="8"/>
      <c r="H23" s="8"/>
      <c r="I23" s="6"/>
      <c r="J23" s="6"/>
      <c r="K23" s="6"/>
      <c r="L23" s="6"/>
      <c r="M23" s="6"/>
      <c r="N23" s="6"/>
      <c r="O23" s="6"/>
      <c r="P23" s="8"/>
      <c r="Q23" s="8"/>
      <c r="R23" s="8"/>
      <c r="S23" s="8"/>
      <c r="T23" s="8"/>
      <c r="U23" s="8"/>
      <c r="V23" s="8"/>
      <c r="X23">
        <v>2023</v>
      </c>
      <c r="Y23" t="s">
        <v>19</v>
      </c>
      <c r="Z23" s="9">
        <v>953418796306.6897</v>
      </c>
      <c r="AA23" s="9">
        <v>1016107843887.9335</v>
      </c>
      <c r="AB23" s="9">
        <v>237057959977.46097</v>
      </c>
      <c r="AC23" s="9">
        <v>237057959977.46097</v>
      </c>
      <c r="AD23" s="9">
        <v>231217961958.32843</v>
      </c>
      <c r="AE23" s="9">
        <v>148661381324.64899</v>
      </c>
      <c r="AF23" s="9">
        <v>99423533066.155472</v>
      </c>
      <c r="AG23" s="9">
        <v>1016107843887.9335</v>
      </c>
    </row>
    <row r="24" spans="1:33" x14ac:dyDescent="0.25">
      <c r="A24" s="5"/>
      <c r="B24" s="15"/>
      <c r="C24" s="5"/>
      <c r="D24" s="5"/>
      <c r="E24" s="8"/>
      <c r="F24" s="8"/>
      <c r="G24" s="8"/>
      <c r="H24" s="8"/>
      <c r="I24" s="6"/>
      <c r="J24" s="6"/>
      <c r="K24" s="6"/>
      <c r="L24" s="6"/>
      <c r="M24" s="6"/>
      <c r="N24" s="6"/>
      <c r="O24" s="6"/>
      <c r="P24" s="8"/>
      <c r="Q24" s="8"/>
      <c r="R24" s="8"/>
      <c r="S24" s="8"/>
      <c r="T24" s="8"/>
      <c r="U24" s="8"/>
      <c r="V24" s="8"/>
      <c r="X24">
        <v>2023</v>
      </c>
      <c r="Y24" t="s">
        <v>24</v>
      </c>
      <c r="Z24" s="9">
        <v>57283533904.252258</v>
      </c>
      <c r="AA24" s="9">
        <v>77845398881.600006</v>
      </c>
      <c r="AB24" s="9">
        <v>18567699763.042141</v>
      </c>
      <c r="AC24" s="9">
        <v>18567699763.042141</v>
      </c>
      <c r="AD24" s="9">
        <v>18404851510.402172</v>
      </c>
      <c r="AE24" s="9">
        <v>3057601556.5499911</v>
      </c>
      <c r="AF24" s="9">
        <v>0</v>
      </c>
      <c r="AG24" s="9">
        <v>79587225731</v>
      </c>
    </row>
    <row r="25" spans="1:33" x14ac:dyDescent="0.25">
      <c r="A25" s="5"/>
      <c r="B25" s="15"/>
      <c r="C25" s="5"/>
      <c r="D25" s="5"/>
      <c r="E25" s="8"/>
      <c r="F25" s="8"/>
      <c r="G25" s="8"/>
      <c r="H25" s="8"/>
      <c r="I25" s="6"/>
      <c r="J25" s="6"/>
      <c r="K25" s="6"/>
      <c r="L25" s="6"/>
      <c r="M25" s="6"/>
      <c r="N25" s="6"/>
      <c r="O25" s="6"/>
      <c r="P25" s="8"/>
      <c r="Q25" s="8"/>
      <c r="R25" s="8"/>
      <c r="S25" s="8"/>
      <c r="T25" s="8"/>
      <c r="U25" s="8"/>
      <c r="V25" s="8"/>
      <c r="X25">
        <v>2023</v>
      </c>
      <c r="Y25" t="s">
        <v>28</v>
      </c>
      <c r="Z25" s="9">
        <v>30471168572133.016</v>
      </c>
      <c r="AA25" s="9">
        <v>52396346105294</v>
      </c>
      <c r="AB25" s="9">
        <v>13744757591658.568</v>
      </c>
      <c r="AC25" s="9">
        <v>13744757591658.568</v>
      </c>
      <c r="AD25" s="9">
        <v>4219380110232.125</v>
      </c>
      <c r="AE25" s="9">
        <v>2243344007876.1479</v>
      </c>
      <c r="AF25" s="9">
        <v>1171265062.4730005</v>
      </c>
      <c r="AG25" s="9">
        <v>58914520324290.883</v>
      </c>
    </row>
    <row r="26" spans="1:33" x14ac:dyDescent="0.25">
      <c r="A26" s="5"/>
      <c r="B26" s="15"/>
      <c r="C26" s="5"/>
      <c r="D26" s="5"/>
      <c r="E26" s="8"/>
      <c r="F26" s="8"/>
      <c r="G26" s="8"/>
      <c r="H26" s="8"/>
      <c r="I26" s="6"/>
      <c r="J26" s="6"/>
      <c r="K26" s="6"/>
      <c r="L26" s="6"/>
      <c r="M26" s="6"/>
      <c r="N26" s="6"/>
      <c r="O26" s="6"/>
      <c r="P26" s="8"/>
      <c r="Q26" s="8"/>
      <c r="R26" s="8"/>
      <c r="S26" s="8"/>
      <c r="T26" s="8"/>
      <c r="U26" s="8"/>
      <c r="V26" s="8"/>
      <c r="X26">
        <v>2023</v>
      </c>
      <c r="Y26" t="s">
        <v>26</v>
      </c>
      <c r="Z26" s="9">
        <v>247935657458.51425</v>
      </c>
      <c r="AA26" s="9">
        <v>331434452521.01965</v>
      </c>
      <c r="AB26" s="9">
        <v>82785699859.01976</v>
      </c>
      <c r="AC26" s="9">
        <v>82785699859.01976</v>
      </c>
      <c r="AD26" s="9">
        <v>77764099242.970047</v>
      </c>
      <c r="AE26" s="9">
        <v>0</v>
      </c>
      <c r="AF26" s="9">
        <v>21848858536.02002</v>
      </c>
      <c r="AG26" s="9">
        <v>354846548902.79999</v>
      </c>
    </row>
    <row r="27" spans="1:33" x14ac:dyDescent="0.25">
      <c r="A27" s="5"/>
      <c r="B27" s="15"/>
      <c r="C27" s="5"/>
      <c r="D27" s="5"/>
      <c r="E27" s="8"/>
      <c r="F27" s="8"/>
      <c r="G27" s="8"/>
      <c r="H27" s="8"/>
      <c r="I27" s="6"/>
      <c r="J27" s="6"/>
      <c r="K27" s="6"/>
      <c r="L27" s="6"/>
      <c r="M27" s="6"/>
      <c r="N27" s="6"/>
      <c r="O27" s="6"/>
      <c r="P27" s="8"/>
      <c r="Q27" s="8"/>
      <c r="R27" s="8"/>
      <c r="S27" s="8"/>
      <c r="T27" s="8"/>
      <c r="U27" s="8"/>
      <c r="V27" s="8"/>
    </row>
    <row r="28" spans="1:33" x14ac:dyDescent="0.25">
      <c r="A28" s="5"/>
      <c r="B28" s="15"/>
      <c r="C28" s="5"/>
      <c r="D28" s="5"/>
      <c r="E28" s="8"/>
      <c r="F28" s="8"/>
      <c r="G28" s="8"/>
      <c r="H28" s="8"/>
      <c r="I28" s="6"/>
      <c r="J28" s="6"/>
      <c r="K28" s="6"/>
      <c r="L28" s="6"/>
      <c r="M28" s="6"/>
      <c r="N28" s="6"/>
      <c r="O28" s="6"/>
      <c r="P28" s="8"/>
      <c r="Q28" s="8"/>
      <c r="R28" s="8"/>
      <c r="S28" s="8"/>
      <c r="T28" s="8"/>
      <c r="U28" s="8"/>
      <c r="V28" s="8"/>
    </row>
    <row r="29" spans="1:33" x14ac:dyDescent="0.25">
      <c r="A29" s="5"/>
      <c r="B29" s="15"/>
      <c r="C29" s="5"/>
      <c r="D29" s="5"/>
      <c r="E29" s="8"/>
      <c r="F29" s="8"/>
      <c r="G29" s="8"/>
      <c r="H29" s="8"/>
      <c r="I29" s="6"/>
      <c r="J29" s="6"/>
      <c r="K29" s="6"/>
      <c r="L29" s="6"/>
      <c r="M29" s="6"/>
      <c r="N29" s="6"/>
      <c r="O29" s="6"/>
      <c r="P29" s="8"/>
      <c r="Q29" s="8"/>
      <c r="R29" s="8"/>
      <c r="S29" s="8"/>
      <c r="T29" s="8"/>
      <c r="U29" s="8"/>
      <c r="V29" s="8"/>
      <c r="X29" t="s">
        <v>1</v>
      </c>
      <c r="Y29" t="s">
        <v>2</v>
      </c>
      <c r="Z29" t="s">
        <v>10</v>
      </c>
      <c r="AA29" t="s">
        <v>11</v>
      </c>
      <c r="AB29" t="s">
        <v>12</v>
      </c>
      <c r="AC29" t="s">
        <v>13</v>
      </c>
      <c r="AD29" t="s">
        <v>14</v>
      </c>
      <c r="AE29" t="s">
        <v>15</v>
      </c>
      <c r="AF29" t="s">
        <v>16</v>
      </c>
      <c r="AG29" t="s">
        <v>17</v>
      </c>
    </row>
    <row r="30" spans="1:33" x14ac:dyDescent="0.25">
      <c r="A30" s="5"/>
      <c r="B30" s="15"/>
      <c r="C30" s="5"/>
      <c r="D30" s="5"/>
      <c r="E30" s="8"/>
      <c r="F30" s="8"/>
      <c r="G30" s="8"/>
      <c r="H30" s="8"/>
      <c r="I30" s="6"/>
      <c r="J30" s="6"/>
      <c r="K30" s="6"/>
      <c r="L30" s="6"/>
      <c r="M30" s="6"/>
      <c r="N30" s="6"/>
      <c r="O30" s="6"/>
      <c r="P30" s="8"/>
      <c r="Q30" s="8"/>
      <c r="R30" s="8"/>
      <c r="S30" s="8"/>
      <c r="T30" s="8"/>
      <c r="U30" s="8"/>
      <c r="V30" s="8"/>
      <c r="X30">
        <v>2021</v>
      </c>
      <c r="Y30" t="s">
        <v>31</v>
      </c>
      <c r="Z30" s="9">
        <v>55602466073.820503</v>
      </c>
      <c r="AA30" s="9">
        <v>55850582298.800011</v>
      </c>
      <c r="AB30" s="9">
        <v>13227476493.913801</v>
      </c>
      <c r="AC30" s="9">
        <v>13227476493.913801</v>
      </c>
      <c r="AD30" s="9">
        <v>13227432400.213833</v>
      </c>
      <c r="AE30" s="9">
        <v>8504592687.8999996</v>
      </c>
      <c r="AF30" s="9">
        <v>8259659803.649972</v>
      </c>
      <c r="AG30" s="9">
        <v>56697284586</v>
      </c>
    </row>
    <row r="31" spans="1:33" x14ac:dyDescent="0.25">
      <c r="A31" s="5"/>
      <c r="B31" s="15"/>
      <c r="C31" s="5"/>
      <c r="D31" s="5"/>
      <c r="E31" s="8"/>
      <c r="F31" s="8"/>
      <c r="G31" s="8"/>
      <c r="H31" s="8"/>
      <c r="I31" s="6"/>
      <c r="J31" s="6"/>
      <c r="K31" s="6"/>
      <c r="L31" s="6"/>
      <c r="M31" s="6"/>
      <c r="N31" s="6"/>
      <c r="O31" s="6"/>
      <c r="P31" s="8"/>
      <c r="Q31" s="8"/>
      <c r="R31" s="8"/>
      <c r="S31" s="8"/>
      <c r="T31" s="8"/>
      <c r="U31" s="8"/>
      <c r="V31" s="8"/>
      <c r="X31">
        <v>2022</v>
      </c>
      <c r="Y31" t="s">
        <v>20</v>
      </c>
      <c r="Z31" s="9">
        <v>1596221697561.0271</v>
      </c>
      <c r="AA31" s="9">
        <v>1807146638695.1501</v>
      </c>
      <c r="AB31" s="9">
        <v>425940590996.96008</v>
      </c>
      <c r="AC31" s="9">
        <v>425940590996.96008</v>
      </c>
      <c r="AD31" s="9">
        <v>411008614229.11731</v>
      </c>
      <c r="AE31" s="9">
        <v>251033878954.58099</v>
      </c>
      <c r="AF31" s="9">
        <v>96353274900.451889</v>
      </c>
      <c r="AG31" s="9">
        <v>1825720492915.1899</v>
      </c>
    </row>
    <row r="32" spans="1:33" x14ac:dyDescent="0.25">
      <c r="A32" s="5"/>
      <c r="B32" s="15"/>
      <c r="C32" s="5"/>
      <c r="D32" s="5"/>
      <c r="E32" s="8"/>
      <c r="F32" s="8"/>
      <c r="G32" s="8"/>
      <c r="H32" s="8"/>
      <c r="I32" s="6"/>
      <c r="J32" s="6"/>
      <c r="K32" s="6"/>
      <c r="L32" s="6"/>
      <c r="M32" s="6"/>
      <c r="N32" s="6"/>
      <c r="O32" s="6"/>
      <c r="P32" s="8"/>
      <c r="Q32" s="8"/>
      <c r="R32" s="8"/>
      <c r="S32" s="8"/>
      <c r="T32" s="8"/>
      <c r="U32" s="8"/>
      <c r="V32" s="8"/>
      <c r="X32">
        <v>2022</v>
      </c>
      <c r="Y32" t="s">
        <v>30</v>
      </c>
      <c r="Z32" s="9">
        <v>235230338050.52527</v>
      </c>
      <c r="AA32" s="9">
        <v>235395232904.39996</v>
      </c>
      <c r="AB32" s="9">
        <v>55075416464.012421</v>
      </c>
      <c r="AC32" s="9">
        <v>55075416464.012421</v>
      </c>
      <c r="AD32" s="9">
        <v>55059502395.375626</v>
      </c>
      <c r="AE32" s="9">
        <v>35410683538.800003</v>
      </c>
      <c r="AF32" s="9">
        <v>35285206422.600067</v>
      </c>
      <c r="AG32" s="9">
        <v>236071223592</v>
      </c>
    </row>
    <row r="33" spans="1:33" x14ac:dyDescent="0.25">
      <c r="A33" s="5"/>
      <c r="B33" s="15"/>
      <c r="C33" s="5"/>
      <c r="D33" s="5"/>
      <c r="E33" s="8"/>
      <c r="F33" s="8"/>
      <c r="G33" s="8"/>
      <c r="H33" s="8"/>
      <c r="I33" s="6"/>
      <c r="J33" s="6"/>
      <c r="K33" s="6"/>
      <c r="L33" s="6"/>
      <c r="M33" s="6"/>
      <c r="N33" s="6"/>
      <c r="O33" s="6"/>
      <c r="P33" s="8"/>
      <c r="Q33" s="8"/>
      <c r="R33" s="8"/>
      <c r="S33" s="8"/>
      <c r="T33" s="8"/>
      <c r="U33" s="8"/>
      <c r="V33" s="8"/>
      <c r="X33">
        <v>2022</v>
      </c>
      <c r="Y33" t="s">
        <v>18</v>
      </c>
      <c r="Z33" s="9">
        <v>195767967497.70575</v>
      </c>
      <c r="AA33" s="9">
        <v>195788925937</v>
      </c>
      <c r="AB33" s="9">
        <v>45677556421.102104</v>
      </c>
      <c r="AC33" s="9">
        <v>45677556421.102104</v>
      </c>
      <c r="AD33" s="9">
        <v>45677556421.102104</v>
      </c>
      <c r="AE33" s="9">
        <v>29366959343.850044</v>
      </c>
      <c r="AF33" s="9">
        <v>29368338890.549999</v>
      </c>
      <c r="AG33" s="9">
        <v>195788925937</v>
      </c>
    </row>
    <row r="34" spans="1:33" x14ac:dyDescent="0.25">
      <c r="A34" s="5"/>
      <c r="B34" s="15"/>
      <c r="C34" s="5"/>
      <c r="D34" s="5"/>
      <c r="E34" s="8"/>
      <c r="F34" s="8"/>
      <c r="G34" s="8"/>
      <c r="H34" s="8"/>
      <c r="I34" s="6"/>
      <c r="J34" s="6"/>
      <c r="K34" s="6"/>
      <c r="L34" s="6"/>
      <c r="M34" s="6"/>
      <c r="N34" s="6"/>
      <c r="O34" s="6"/>
      <c r="P34" s="8"/>
      <c r="Q34" s="8"/>
      <c r="R34" s="8"/>
      <c r="S34" s="8"/>
      <c r="T34" s="8"/>
      <c r="U34" s="8"/>
      <c r="V34" s="8"/>
      <c r="X34">
        <v>2022</v>
      </c>
      <c r="Y34" t="s">
        <v>34</v>
      </c>
      <c r="Z34" s="9">
        <v>79735747348.982941</v>
      </c>
      <c r="AA34" s="9">
        <v>84895511268.599808</v>
      </c>
      <c r="AB34" s="9">
        <v>21206596616.181999</v>
      </c>
      <c r="AC34" s="9">
        <v>21206596616.181999</v>
      </c>
      <c r="AD34" s="9">
        <v>20234521490.731506</v>
      </c>
      <c r="AE34" s="9">
        <v>13005030505.050207</v>
      </c>
      <c r="AF34" s="9">
        <v>9805415768.5500069</v>
      </c>
      <c r="AG34" s="9">
        <v>90898399555</v>
      </c>
    </row>
    <row r="35" spans="1:33" x14ac:dyDescent="0.25">
      <c r="A35" s="5"/>
      <c r="B35" s="15"/>
      <c r="C35" s="5"/>
      <c r="D35" s="5"/>
      <c r="E35" s="8"/>
      <c r="F35" s="8"/>
      <c r="G35" s="8"/>
      <c r="H35" s="8"/>
      <c r="I35" s="6"/>
      <c r="J35" s="6"/>
      <c r="K35" s="6"/>
      <c r="L35" s="6"/>
      <c r="M35" s="6"/>
      <c r="N35" s="6"/>
      <c r="O35" s="6"/>
      <c r="P35" s="8"/>
      <c r="Q35" s="8"/>
      <c r="R35" s="8"/>
      <c r="S35" s="8"/>
      <c r="T35" s="8"/>
      <c r="U35" s="8"/>
      <c r="V35" s="8"/>
      <c r="X35">
        <v>2022</v>
      </c>
      <c r="Y35" t="s">
        <v>21</v>
      </c>
      <c r="Z35" s="9">
        <v>300052532775.62286</v>
      </c>
      <c r="AA35" s="9">
        <v>343477719080.11005</v>
      </c>
      <c r="AB35" s="9">
        <v>80937192376.958405</v>
      </c>
      <c r="AC35" s="9">
        <v>80937192376.958405</v>
      </c>
      <c r="AD35" s="9">
        <v>78504979644.031235</v>
      </c>
      <c r="AE35" s="9">
        <v>48357338453.731903</v>
      </c>
      <c r="AF35" s="9">
        <v>13966964987.939856</v>
      </c>
      <c r="AG35" s="9">
        <v>346923242078.69385</v>
      </c>
    </row>
    <row r="36" spans="1:33" x14ac:dyDescent="0.25">
      <c r="A36" s="5"/>
      <c r="B36" s="15"/>
      <c r="C36" s="5"/>
      <c r="D36" s="5"/>
      <c r="E36" s="8"/>
      <c r="F36" s="8"/>
      <c r="G36" s="8"/>
      <c r="H36" s="8"/>
      <c r="I36" s="6"/>
      <c r="J36" s="6"/>
      <c r="K36" s="6"/>
      <c r="L36" s="6"/>
      <c r="M36" s="6"/>
      <c r="N36" s="6"/>
      <c r="O36" s="6"/>
      <c r="P36" s="8"/>
      <c r="Q36" s="8"/>
      <c r="R36" s="8"/>
      <c r="S36" s="8"/>
      <c r="T36" s="8"/>
      <c r="U36" s="8"/>
      <c r="V36" s="8"/>
      <c r="X36">
        <v>2022</v>
      </c>
      <c r="Y36" t="s">
        <v>25</v>
      </c>
      <c r="Z36" s="9">
        <v>2162886218532.6777</v>
      </c>
      <c r="AA36" s="9">
        <v>2912921098174.6045</v>
      </c>
      <c r="AB36" s="9">
        <v>707583391846.21826</v>
      </c>
      <c r="AC36" s="9">
        <v>707583391846.21826</v>
      </c>
      <c r="AD36" s="9">
        <v>653659451232.49878</v>
      </c>
      <c r="AE36" s="9">
        <v>175063322792.39896</v>
      </c>
      <c r="AF36" s="9">
        <v>0</v>
      </c>
      <c r="AG36" s="9">
        <v>3032933526988</v>
      </c>
    </row>
    <row r="37" spans="1:33" x14ac:dyDescent="0.25">
      <c r="A37" s="5"/>
      <c r="B37" s="15"/>
      <c r="C37" s="5"/>
      <c r="D37" s="5"/>
      <c r="E37" s="8"/>
      <c r="F37" s="8"/>
      <c r="G37" s="8"/>
      <c r="H37" s="8"/>
      <c r="I37" s="6"/>
      <c r="J37" s="6"/>
      <c r="K37" s="6"/>
      <c r="L37" s="6"/>
      <c r="M37" s="6"/>
      <c r="N37" s="6"/>
      <c r="O37" s="6"/>
      <c r="P37" s="8"/>
      <c r="Q37" s="8"/>
      <c r="R37" s="8"/>
      <c r="S37" s="8"/>
      <c r="T37" s="8"/>
      <c r="U37" s="8"/>
      <c r="V37" s="8"/>
      <c r="X37">
        <v>2022</v>
      </c>
      <c r="Y37" t="s">
        <v>31</v>
      </c>
      <c r="Z37" s="9">
        <v>69643381803.591782</v>
      </c>
      <c r="AA37" s="9">
        <v>69861351479.799973</v>
      </c>
      <c r="AB37" s="9">
        <v>16592318830.504416</v>
      </c>
      <c r="AC37" s="9">
        <v>16592318830.504416</v>
      </c>
      <c r="AD37" s="9">
        <v>16592237782.084419</v>
      </c>
      <c r="AE37" s="9">
        <v>10668014678.85</v>
      </c>
      <c r="AF37" s="9">
        <v>10454578598.849966</v>
      </c>
      <c r="AG37" s="9">
        <v>71120097859</v>
      </c>
    </row>
    <row r="38" spans="1:33" x14ac:dyDescent="0.25">
      <c r="A38" s="5"/>
      <c r="B38" s="15"/>
      <c r="C38" s="5"/>
      <c r="D38" s="5"/>
      <c r="E38" s="8"/>
      <c r="F38" s="8"/>
      <c r="G38" s="8"/>
      <c r="H38" s="8"/>
      <c r="I38" s="6"/>
      <c r="J38" s="6"/>
      <c r="K38" s="6"/>
      <c r="L38" s="6"/>
      <c r="M38" s="6"/>
      <c r="N38" s="6"/>
      <c r="O38" s="6"/>
      <c r="P38" s="8"/>
      <c r="Q38" s="8"/>
      <c r="R38" s="8"/>
      <c r="S38" s="8"/>
      <c r="T38" s="8"/>
      <c r="U38" s="8"/>
      <c r="V38" s="8"/>
      <c r="X38">
        <v>2022</v>
      </c>
      <c r="Y38" t="s">
        <v>32</v>
      </c>
      <c r="Z38" s="9">
        <v>675927186599.43555</v>
      </c>
      <c r="AA38" s="9">
        <v>693986179683.12573</v>
      </c>
      <c r="AB38" s="9">
        <v>166400478856.12186</v>
      </c>
      <c r="AC38" s="9">
        <v>166400478856.12186</v>
      </c>
      <c r="AD38" s="9">
        <v>166386406395.81137</v>
      </c>
      <c r="AE38" s="9">
        <v>106961034840.96239</v>
      </c>
      <c r="AF38" s="9">
        <v>88197000715.59314</v>
      </c>
      <c r="AG38" s="9">
        <v>713246801783.63977</v>
      </c>
    </row>
    <row r="39" spans="1:33" x14ac:dyDescent="0.25">
      <c r="A39" s="5"/>
      <c r="B39" s="15"/>
      <c r="C39" s="5"/>
      <c r="D39" s="5"/>
      <c r="E39" s="8"/>
      <c r="F39" s="8"/>
      <c r="G39" s="8"/>
      <c r="H39" s="8"/>
      <c r="I39" s="6"/>
      <c r="J39" s="6"/>
      <c r="K39" s="6"/>
      <c r="L39" s="6"/>
      <c r="M39" s="6"/>
      <c r="N39" s="6"/>
      <c r="O39" s="6"/>
      <c r="P39" s="8"/>
      <c r="Q39" s="8"/>
      <c r="R39" s="8"/>
      <c r="S39" s="8"/>
      <c r="T39" s="8"/>
      <c r="U39" s="8"/>
      <c r="V39" s="8"/>
      <c r="X39">
        <v>2022</v>
      </c>
      <c r="Y39" t="s">
        <v>33</v>
      </c>
      <c r="Z39" s="9">
        <v>14294405993.045471</v>
      </c>
      <c r="AA39" s="9">
        <v>14864483628.930006</v>
      </c>
      <c r="AB39" s="9">
        <v>3577087331.6319165</v>
      </c>
      <c r="AC39" s="9">
        <v>3577087331.6319165</v>
      </c>
      <c r="AD39" s="9">
        <v>3577087331.6319165</v>
      </c>
      <c r="AE39" s="9">
        <v>2297448358.9200134</v>
      </c>
      <c r="AF39" s="9">
        <v>1706987779.6725011</v>
      </c>
      <c r="AG39" s="9">
        <v>15332564644.799999</v>
      </c>
    </row>
    <row r="40" spans="1:33" x14ac:dyDescent="0.25">
      <c r="A40" s="5"/>
      <c r="B40" s="15"/>
      <c r="C40" s="5"/>
      <c r="D40" s="5"/>
      <c r="E40" s="8"/>
      <c r="F40" s="8"/>
      <c r="G40" s="8"/>
      <c r="H40" s="8"/>
      <c r="I40" s="6"/>
      <c r="J40" s="6"/>
      <c r="K40" s="6"/>
      <c r="L40" s="6"/>
      <c r="M40" s="6"/>
      <c r="N40" s="6"/>
      <c r="O40" s="6"/>
      <c r="P40" s="8"/>
      <c r="Q40" s="8"/>
      <c r="R40" s="8"/>
      <c r="S40" s="8"/>
      <c r="T40" s="8"/>
      <c r="U40" s="8"/>
      <c r="V40" s="8"/>
      <c r="X40">
        <v>2022</v>
      </c>
      <c r="Y40" t="s">
        <v>35</v>
      </c>
      <c r="Z40" s="9">
        <v>1932533324220.8398</v>
      </c>
      <c r="AA40" s="9">
        <v>2312277355886.5225</v>
      </c>
      <c r="AB40" s="9">
        <v>580519256380.25061</v>
      </c>
      <c r="AC40" s="9">
        <v>580519256380.25061</v>
      </c>
      <c r="AD40" s="9">
        <v>531483855518.52112</v>
      </c>
      <c r="AE40" s="9">
        <v>302683068966.36377</v>
      </c>
      <c r="AF40" s="9">
        <v>78015148487.72052</v>
      </c>
      <c r="AG40" s="9">
        <v>2488295140935.52</v>
      </c>
    </row>
    <row r="41" spans="1:33" x14ac:dyDescent="0.25">
      <c r="A41" s="5"/>
      <c r="B41" s="15"/>
      <c r="C41" s="5"/>
      <c r="D41" s="5"/>
      <c r="E41" s="8"/>
      <c r="F41" s="8"/>
      <c r="G41" s="8"/>
      <c r="H41" s="8"/>
      <c r="I41" s="6"/>
      <c r="J41" s="6"/>
      <c r="K41" s="6"/>
      <c r="L41" s="6"/>
      <c r="M41" s="6"/>
      <c r="N41" s="6"/>
      <c r="O41" s="6"/>
      <c r="P41" s="8"/>
      <c r="Q41" s="8"/>
      <c r="R41" s="8"/>
      <c r="S41" s="8"/>
      <c r="T41" s="8"/>
      <c r="U41" s="8"/>
      <c r="V41" s="8"/>
      <c r="X41">
        <v>2022</v>
      </c>
      <c r="Y41" t="s">
        <v>19</v>
      </c>
      <c r="Z41" s="9">
        <v>1780008662428.1951</v>
      </c>
      <c r="AA41" s="9">
        <v>1902002041659.5977</v>
      </c>
      <c r="AB41" s="9">
        <v>443737088564.63037</v>
      </c>
      <c r="AC41" s="9">
        <v>443737088564.63037</v>
      </c>
      <c r="AD41" s="9">
        <v>433420678998.8103</v>
      </c>
      <c r="AE41" s="9">
        <v>278667435009.77057</v>
      </c>
      <c r="AF41" s="9">
        <v>180446423772.55463</v>
      </c>
      <c r="AG41" s="9">
        <v>1902002094146.2441</v>
      </c>
    </row>
    <row r="42" spans="1:33" x14ac:dyDescent="0.25">
      <c r="A42" s="5"/>
      <c r="B42" s="15"/>
      <c r="C42" s="5"/>
      <c r="D42" s="5"/>
      <c r="E42" s="8"/>
      <c r="F42" s="8"/>
      <c r="G42" s="8"/>
      <c r="H42" s="8"/>
      <c r="I42" s="6"/>
      <c r="J42" s="6"/>
      <c r="K42" s="6"/>
      <c r="L42" s="6"/>
      <c r="M42" s="6"/>
      <c r="N42" s="6"/>
      <c r="O42" s="6"/>
      <c r="P42" s="8"/>
      <c r="Q42" s="8"/>
      <c r="R42" s="8"/>
      <c r="S42" s="8"/>
      <c r="T42" s="8"/>
      <c r="U42" s="8"/>
      <c r="V42" s="8"/>
      <c r="X42">
        <v>2022</v>
      </c>
      <c r="Y42" t="s">
        <v>29</v>
      </c>
      <c r="Z42" s="9">
        <v>57440087842.261696</v>
      </c>
      <c r="AA42" s="9">
        <v>57446928231.154892</v>
      </c>
      <c r="AB42" s="9">
        <v>13407917703.035336</v>
      </c>
      <c r="AC42" s="9">
        <v>13407917703.035336</v>
      </c>
      <c r="AD42" s="9">
        <v>13407917703.035336</v>
      </c>
      <c r="AE42" s="9">
        <v>8620599699.4315834</v>
      </c>
      <c r="AF42" s="9">
        <v>8619518967.5954189</v>
      </c>
      <c r="AG42" s="9">
        <v>57470714543.65744</v>
      </c>
    </row>
    <row r="43" spans="1:33" x14ac:dyDescent="0.25">
      <c r="A43" s="5"/>
      <c r="B43" s="15"/>
      <c r="C43" s="5"/>
      <c r="D43" s="5"/>
      <c r="E43" s="8"/>
      <c r="F43" s="8"/>
      <c r="G43" s="8"/>
      <c r="H43" s="8"/>
      <c r="I43" s="6"/>
      <c r="J43" s="6"/>
      <c r="K43" s="6"/>
      <c r="L43" s="6"/>
      <c r="M43" s="6"/>
      <c r="N43" s="6"/>
      <c r="O43" s="6"/>
      <c r="P43" s="8"/>
      <c r="Q43" s="8"/>
      <c r="R43" s="8"/>
      <c r="S43" s="8"/>
      <c r="T43" s="8"/>
      <c r="U43" s="8"/>
      <c r="V43" s="8"/>
      <c r="X43">
        <v>2023</v>
      </c>
      <c r="Y43" t="s">
        <v>20</v>
      </c>
      <c r="Z43" s="9">
        <v>4290326013715.9199</v>
      </c>
      <c r="AA43" s="9">
        <v>4796751182899.4961</v>
      </c>
      <c r="AB43" s="9">
        <v>1129840527458.6909</v>
      </c>
      <c r="AC43" s="9">
        <v>1129840527458.6909</v>
      </c>
      <c r="AD43" s="9">
        <v>1092976735899.7236</v>
      </c>
      <c r="AE43" s="9">
        <v>661251111813.67944</v>
      </c>
      <c r="AF43" s="9">
        <v>311291496614.46423</v>
      </c>
      <c r="AG43" s="9">
        <v>4842865527040.7295</v>
      </c>
    </row>
    <row r="44" spans="1:33" x14ac:dyDescent="0.25">
      <c r="A44" s="5"/>
      <c r="B44" s="15"/>
      <c r="C44" s="5"/>
      <c r="D44" s="5"/>
      <c r="E44" s="8"/>
      <c r="F44" s="8"/>
      <c r="G44" s="8"/>
      <c r="H44" s="8"/>
      <c r="I44" s="6"/>
      <c r="J44" s="6"/>
      <c r="K44" s="6"/>
      <c r="L44" s="6"/>
      <c r="M44" s="6"/>
      <c r="N44" s="6"/>
      <c r="O44" s="6"/>
      <c r="P44" s="8"/>
      <c r="Q44" s="8"/>
      <c r="R44" s="8"/>
      <c r="S44" s="8"/>
      <c r="T44" s="8"/>
      <c r="U44" s="8"/>
      <c r="V44" s="8"/>
      <c r="X44">
        <v>2023</v>
      </c>
      <c r="Y44" t="s">
        <v>22</v>
      </c>
      <c r="Z44" s="9">
        <v>181488718506.51758</v>
      </c>
      <c r="AA44" s="9">
        <v>217114322270.58133</v>
      </c>
      <c r="AB44" s="9">
        <v>51094650624.252884</v>
      </c>
      <c r="AC44" s="9">
        <v>51094650624.252884</v>
      </c>
      <c r="AD44" s="9">
        <v>49214060325.679153</v>
      </c>
      <c r="AE44" s="9">
        <v>31653868705.725487</v>
      </c>
      <c r="AF44" s="9">
        <v>0</v>
      </c>
      <c r="AG44" s="9">
        <v>219008361012.68201</v>
      </c>
    </row>
    <row r="45" spans="1:33" x14ac:dyDescent="0.25">
      <c r="A45" s="5"/>
      <c r="B45" s="15"/>
      <c r="C45" s="5"/>
      <c r="D45" s="5"/>
      <c r="E45" s="8"/>
      <c r="F45" s="8"/>
      <c r="G45" s="8"/>
      <c r="H45" s="8"/>
      <c r="I45" s="6"/>
      <c r="J45" s="6"/>
      <c r="K45" s="6"/>
      <c r="L45" s="6"/>
      <c r="M45" s="6"/>
      <c r="N45" s="6"/>
      <c r="O45" s="6"/>
      <c r="P45" s="8"/>
      <c r="Q45" s="8"/>
      <c r="R45" s="8"/>
      <c r="S45" s="8"/>
      <c r="T45" s="8"/>
      <c r="U45" s="8"/>
      <c r="V45" s="8"/>
      <c r="X45">
        <v>2023</v>
      </c>
      <c r="Y45" t="s">
        <v>18</v>
      </c>
      <c r="Z45" s="9">
        <v>605757647960.29077</v>
      </c>
      <c r="AA45" s="9">
        <v>605818307284.91797</v>
      </c>
      <c r="AB45" s="9">
        <v>141337781613.79483</v>
      </c>
      <c r="AC45" s="9">
        <v>141337781613.79483</v>
      </c>
      <c r="AD45" s="9">
        <v>141337781613.79483</v>
      </c>
      <c r="AE45" s="9">
        <v>90872906827.013672</v>
      </c>
      <c r="AF45" s="9">
        <v>90872984320.913849</v>
      </c>
      <c r="AG45" s="9">
        <v>605819895472.75708</v>
      </c>
    </row>
    <row r="46" spans="1:33" x14ac:dyDescent="0.25">
      <c r="A46" s="5"/>
      <c r="B46" s="15"/>
      <c r="C46" s="5"/>
      <c r="D46" s="5"/>
      <c r="E46" s="8"/>
      <c r="F46" s="8"/>
      <c r="G46" s="8"/>
      <c r="H46" s="8"/>
      <c r="I46" s="6"/>
      <c r="J46" s="6"/>
      <c r="K46" s="6"/>
      <c r="L46" s="6"/>
      <c r="M46" s="6"/>
      <c r="N46" s="6"/>
      <c r="O46" s="6"/>
      <c r="P46" s="8"/>
      <c r="Q46" s="8"/>
      <c r="R46" s="8"/>
      <c r="S46" s="8"/>
      <c r="T46" s="8"/>
      <c r="U46" s="8"/>
      <c r="V46" s="8"/>
      <c r="X46">
        <v>2023</v>
      </c>
      <c r="Y46" t="s">
        <v>23</v>
      </c>
      <c r="Z46" s="9">
        <v>6873093811120.0977</v>
      </c>
      <c r="AA46" s="9">
        <v>8671861328837.0742</v>
      </c>
      <c r="AB46" s="9">
        <v>2147637594838.6431</v>
      </c>
      <c r="AC46" s="9">
        <v>2147637594838.6431</v>
      </c>
      <c r="AD46" s="9">
        <v>1852861076263.1765</v>
      </c>
      <c r="AE46" s="9">
        <v>1132370542994.5576</v>
      </c>
      <c r="AF46" s="9">
        <v>0</v>
      </c>
      <c r="AG46" s="9">
        <v>9205476188764.0723</v>
      </c>
    </row>
    <row r="47" spans="1:33" x14ac:dyDescent="0.25">
      <c r="A47" s="5"/>
      <c r="B47" s="15"/>
      <c r="C47" s="5"/>
      <c r="D47" s="5"/>
      <c r="E47" s="8"/>
      <c r="F47" s="8"/>
      <c r="G47" s="8"/>
      <c r="H47" s="8"/>
      <c r="I47" s="6"/>
      <c r="J47" s="6"/>
      <c r="K47" s="6"/>
      <c r="L47" s="6"/>
      <c r="M47" s="6"/>
      <c r="N47" s="6"/>
      <c r="O47" s="6"/>
      <c r="P47" s="8"/>
      <c r="Q47" s="8"/>
      <c r="R47" s="8"/>
      <c r="S47" s="8"/>
      <c r="T47" s="8"/>
      <c r="U47" s="8"/>
      <c r="V47" s="8"/>
      <c r="X47">
        <v>2023</v>
      </c>
      <c r="Y47" t="s">
        <v>27</v>
      </c>
      <c r="Z47" s="9">
        <v>28178379021.036373</v>
      </c>
      <c r="AA47" s="9">
        <v>39771354675.19986</v>
      </c>
      <c r="AB47" s="9">
        <v>9666741247.4226246</v>
      </c>
      <c r="AC47" s="9">
        <v>9666741247.4226246</v>
      </c>
      <c r="AD47" s="9">
        <v>9666734766.815237</v>
      </c>
      <c r="AE47" s="9">
        <v>356988227.99999982</v>
      </c>
      <c r="AF47" s="9">
        <v>0</v>
      </c>
      <c r="AG47" s="9">
        <v>41434810319</v>
      </c>
    </row>
    <row r="48" spans="1:33" x14ac:dyDescent="0.25">
      <c r="A48" s="5"/>
      <c r="B48" s="15"/>
      <c r="C48" s="5"/>
      <c r="D48" s="5"/>
      <c r="E48" s="8"/>
      <c r="F48" s="8"/>
      <c r="G48" s="8"/>
      <c r="H48" s="8"/>
      <c r="I48" s="6"/>
      <c r="J48" s="6"/>
      <c r="K48" s="6"/>
      <c r="L48" s="6"/>
      <c r="M48" s="6"/>
      <c r="N48" s="6"/>
      <c r="O48" s="6"/>
      <c r="P48" s="8"/>
      <c r="Q48" s="8"/>
      <c r="R48" s="8"/>
      <c r="S48" s="8"/>
      <c r="T48" s="8"/>
      <c r="U48" s="8"/>
      <c r="V48" s="8"/>
      <c r="X48">
        <v>2023</v>
      </c>
      <c r="Y48" t="s">
        <v>21</v>
      </c>
      <c r="Z48" s="9">
        <v>642887046653.12842</v>
      </c>
      <c r="AA48" s="9">
        <v>738381155882.72009</v>
      </c>
      <c r="AB48" s="9">
        <v>173813768105.1532</v>
      </c>
      <c r="AC48" s="9">
        <v>173813768105.1532</v>
      </c>
      <c r="AD48" s="9">
        <v>167747589943.12119</v>
      </c>
      <c r="AE48" s="9">
        <v>104683717884.12253</v>
      </c>
      <c r="AF48" s="9">
        <v>27869560321.872833</v>
      </c>
      <c r="AG48" s="9">
        <v>745022580819.34851</v>
      </c>
    </row>
    <row r="49" spans="1:33" x14ac:dyDescent="0.25">
      <c r="A49" s="5"/>
      <c r="B49" s="15"/>
      <c r="C49" s="5"/>
      <c r="D49" s="5"/>
      <c r="E49" s="8"/>
      <c r="F49" s="8"/>
      <c r="G49" s="8"/>
      <c r="H49" s="8"/>
      <c r="I49" s="6"/>
      <c r="J49" s="6"/>
      <c r="K49" s="6"/>
      <c r="L49" s="6"/>
      <c r="M49" s="6"/>
      <c r="N49" s="6"/>
      <c r="O49" s="6"/>
      <c r="P49" s="8"/>
      <c r="Q49" s="8"/>
      <c r="R49" s="8"/>
      <c r="S49" s="8"/>
      <c r="T49" s="8"/>
      <c r="U49" s="8"/>
      <c r="V49" s="8"/>
      <c r="X49">
        <v>2023</v>
      </c>
      <c r="Y49" t="s">
        <v>25</v>
      </c>
      <c r="Z49" s="9">
        <v>2354569252970.8833</v>
      </c>
      <c r="AA49" s="9">
        <v>3159490573864.3936</v>
      </c>
      <c r="AB49" s="9">
        <v>770419249571.98035</v>
      </c>
      <c r="AC49" s="9">
        <v>770419249571.98035</v>
      </c>
      <c r="AD49" s="9">
        <v>713330124303.68347</v>
      </c>
      <c r="AE49" s="9">
        <v>197680395118.9483</v>
      </c>
      <c r="AF49" s="9">
        <v>0</v>
      </c>
      <c r="AG49" s="9">
        <v>3302268536528</v>
      </c>
    </row>
    <row r="50" spans="1:33" x14ac:dyDescent="0.25">
      <c r="A50" s="5"/>
      <c r="B50" s="15"/>
      <c r="C50" s="5"/>
      <c r="D50" s="5"/>
      <c r="E50" s="8"/>
      <c r="F50" s="8"/>
      <c r="G50" s="8"/>
      <c r="H50" s="8"/>
      <c r="I50" s="6"/>
      <c r="J50" s="6"/>
      <c r="K50" s="6"/>
      <c r="L50" s="6"/>
      <c r="M50" s="6"/>
      <c r="N50" s="6"/>
      <c r="O50" s="6"/>
      <c r="P50" s="8"/>
      <c r="Q50" s="8"/>
      <c r="R50" s="8"/>
      <c r="S50" s="8"/>
      <c r="T50" s="8"/>
      <c r="U50" s="8"/>
      <c r="V50" s="8"/>
      <c r="X50">
        <v>2023</v>
      </c>
      <c r="Y50" t="s">
        <v>19</v>
      </c>
      <c r="Z50" s="9">
        <v>953418796306.6897</v>
      </c>
      <c r="AA50" s="9">
        <v>1016107843887.9335</v>
      </c>
      <c r="AB50" s="9">
        <v>237057959977.46097</v>
      </c>
      <c r="AC50" s="9">
        <v>237057959977.46097</v>
      </c>
      <c r="AD50" s="9">
        <v>231217961958.32843</v>
      </c>
      <c r="AE50" s="9">
        <v>148661381324.64899</v>
      </c>
      <c r="AF50" s="9">
        <v>99423533066.155472</v>
      </c>
      <c r="AG50" s="9">
        <v>1016107843887.9335</v>
      </c>
    </row>
    <row r="51" spans="1:33" x14ac:dyDescent="0.25">
      <c r="A51" s="5"/>
      <c r="B51" s="15"/>
      <c r="C51" s="5"/>
      <c r="D51" s="5"/>
      <c r="E51" s="8"/>
      <c r="F51" s="8"/>
      <c r="G51" s="8"/>
      <c r="H51" s="8"/>
      <c r="I51" s="6"/>
      <c r="J51" s="6"/>
      <c r="K51" s="6"/>
      <c r="L51" s="6"/>
      <c r="M51" s="6"/>
      <c r="N51" s="6"/>
      <c r="O51" s="6"/>
      <c r="P51" s="8"/>
      <c r="Q51" s="8"/>
      <c r="R51" s="8"/>
      <c r="S51" s="8"/>
      <c r="T51" s="8"/>
      <c r="U51" s="8"/>
      <c r="V51" s="8"/>
      <c r="X51">
        <v>2023</v>
      </c>
      <c r="Y51" t="s">
        <v>24</v>
      </c>
      <c r="Z51" s="9">
        <v>57283533904.252258</v>
      </c>
      <c r="AA51" s="9">
        <v>77845398881.600006</v>
      </c>
      <c r="AB51" s="9">
        <v>18567699763.042141</v>
      </c>
      <c r="AC51" s="9">
        <v>18567699763.042141</v>
      </c>
      <c r="AD51" s="9">
        <v>18404851510.402172</v>
      </c>
      <c r="AE51" s="9">
        <v>3057601556.5499911</v>
      </c>
      <c r="AF51" s="9">
        <v>0</v>
      </c>
      <c r="AG51" s="9">
        <v>79587225731</v>
      </c>
    </row>
    <row r="52" spans="1:33" x14ac:dyDescent="0.25">
      <c r="A52" s="5"/>
      <c r="B52" s="15"/>
      <c r="C52" s="5"/>
      <c r="D52" s="5"/>
      <c r="E52" s="8"/>
      <c r="F52" s="8"/>
      <c r="G52" s="8"/>
      <c r="H52" s="8"/>
      <c r="I52" s="6"/>
      <c r="J52" s="6"/>
      <c r="K52" s="6"/>
      <c r="L52" s="6"/>
      <c r="M52" s="6"/>
      <c r="N52" s="6"/>
      <c r="O52" s="6"/>
      <c r="P52" s="8"/>
      <c r="Q52" s="8"/>
      <c r="R52" s="8"/>
      <c r="S52" s="8"/>
      <c r="T52" s="8"/>
      <c r="U52" s="8"/>
      <c r="V52" s="8"/>
      <c r="X52">
        <v>2023</v>
      </c>
      <c r="Y52" t="s">
        <v>28</v>
      </c>
      <c r="Z52" s="9">
        <v>30471168572133.016</v>
      </c>
      <c r="AA52" s="9">
        <v>52396346105294</v>
      </c>
      <c r="AB52" s="9">
        <v>13744757591658.568</v>
      </c>
      <c r="AC52" s="9">
        <v>13744757591658.568</v>
      </c>
      <c r="AD52" s="9">
        <v>4219380110232.125</v>
      </c>
      <c r="AE52" s="9">
        <v>2243344007876.1479</v>
      </c>
      <c r="AF52" s="9">
        <v>1171265062.4730005</v>
      </c>
      <c r="AG52" s="9">
        <v>58914520324290.883</v>
      </c>
    </row>
    <row r="53" spans="1:33" x14ac:dyDescent="0.25">
      <c r="A53" s="5"/>
      <c r="B53" s="15"/>
      <c r="C53" s="5"/>
      <c r="D53" s="5"/>
      <c r="E53" s="8"/>
      <c r="F53" s="8"/>
      <c r="G53" s="8"/>
      <c r="H53" s="8"/>
      <c r="I53" s="6"/>
      <c r="J53" s="6"/>
      <c r="K53" s="6"/>
      <c r="L53" s="6"/>
      <c r="M53" s="6"/>
      <c r="N53" s="6"/>
      <c r="O53" s="6"/>
      <c r="P53" s="8"/>
      <c r="Q53" s="8"/>
      <c r="R53" s="8"/>
      <c r="S53" s="8"/>
      <c r="T53" s="8"/>
      <c r="U53" s="8"/>
      <c r="V53" s="8"/>
      <c r="X53">
        <v>2023</v>
      </c>
      <c r="Y53" t="s">
        <v>26</v>
      </c>
      <c r="Z53" s="9">
        <v>247935657458.51425</v>
      </c>
      <c r="AA53" s="9">
        <v>331434452521.01965</v>
      </c>
      <c r="AB53" s="9">
        <v>82785699859.01976</v>
      </c>
      <c r="AC53" s="9">
        <v>82785699859.01976</v>
      </c>
      <c r="AD53" s="9">
        <v>77764099242.970047</v>
      </c>
      <c r="AE53" s="9">
        <v>0</v>
      </c>
      <c r="AF53" s="9">
        <v>21848858536.02002</v>
      </c>
      <c r="AG53" s="9">
        <v>354846548902.79999</v>
      </c>
    </row>
    <row r="54" spans="1:33" x14ac:dyDescent="0.25">
      <c r="A54" s="5"/>
      <c r="B54" s="15"/>
      <c r="C54" s="5"/>
      <c r="D54" s="5"/>
      <c r="E54" s="8"/>
      <c r="F54" s="8"/>
      <c r="G54" s="8"/>
      <c r="H54" s="8"/>
      <c r="I54" s="6"/>
      <c r="J54" s="6"/>
      <c r="K54" s="6"/>
      <c r="L54" s="6"/>
      <c r="M54" s="6"/>
      <c r="N54" s="6"/>
      <c r="O54" s="6"/>
      <c r="P54" s="8"/>
      <c r="Q54" s="8"/>
      <c r="R54" s="8"/>
      <c r="S54" s="8"/>
      <c r="T54" s="8"/>
      <c r="U54" s="8"/>
      <c r="V54" s="8"/>
    </row>
    <row r="55" spans="1:33" x14ac:dyDescent="0.25">
      <c r="A55" s="5"/>
      <c r="B55" s="15"/>
      <c r="C55" s="5"/>
      <c r="D55" s="5"/>
      <c r="E55" s="8"/>
      <c r="F55" s="8"/>
      <c r="G55" s="8"/>
      <c r="H55" s="8"/>
      <c r="I55" s="6"/>
      <c r="J55" s="6"/>
      <c r="K55" s="6"/>
      <c r="L55" s="6"/>
      <c r="M55" s="6"/>
      <c r="N55" s="6"/>
      <c r="O55" s="6"/>
      <c r="P55" s="8"/>
      <c r="Q55" s="8"/>
      <c r="R55" s="8"/>
      <c r="S55" s="8"/>
      <c r="T55" s="8"/>
      <c r="U55" s="8"/>
      <c r="V55" s="8"/>
    </row>
    <row r="56" spans="1:33" x14ac:dyDescent="0.25">
      <c r="A56" s="5"/>
      <c r="B56" s="15"/>
      <c r="C56" s="5"/>
      <c r="D56" s="5"/>
      <c r="E56" s="8"/>
      <c r="F56" s="8"/>
      <c r="G56" s="8"/>
      <c r="H56" s="8"/>
      <c r="I56" s="6"/>
      <c r="J56" s="6"/>
      <c r="K56" s="6"/>
      <c r="L56" s="6"/>
      <c r="M56" s="6"/>
      <c r="N56" s="6"/>
      <c r="O56" s="6"/>
      <c r="P56" s="8"/>
      <c r="Q56" s="8"/>
      <c r="R56" s="8"/>
      <c r="S56" s="8"/>
      <c r="T56" s="8"/>
      <c r="U56" s="8"/>
      <c r="V56" s="8"/>
    </row>
    <row r="57" spans="1:33" x14ac:dyDescent="0.25">
      <c r="A57" s="5"/>
      <c r="B57" s="15"/>
      <c r="C57" s="5"/>
      <c r="D57" s="5"/>
      <c r="E57" s="8"/>
      <c r="F57" s="8"/>
      <c r="G57" s="8"/>
      <c r="H57" s="8"/>
      <c r="I57" s="6"/>
      <c r="J57" s="6"/>
      <c r="K57" s="6"/>
      <c r="L57" s="6"/>
      <c r="M57" s="6"/>
      <c r="N57" s="6"/>
      <c r="O57" s="6"/>
      <c r="P57" s="8"/>
      <c r="Q57" s="8"/>
      <c r="R57" s="8"/>
      <c r="S57" s="8"/>
      <c r="T57" s="8"/>
      <c r="U57" s="8"/>
      <c r="V57" s="8"/>
    </row>
    <row r="58" spans="1:33" x14ac:dyDescent="0.25">
      <c r="A58" s="5"/>
      <c r="B58" s="15"/>
      <c r="C58" s="5"/>
      <c r="D58" s="5"/>
      <c r="E58" s="8"/>
      <c r="F58" s="8"/>
      <c r="G58" s="8"/>
      <c r="H58" s="8"/>
      <c r="I58" s="6"/>
      <c r="J58" s="6"/>
      <c r="K58" s="6"/>
      <c r="L58" s="6"/>
      <c r="M58" s="6"/>
      <c r="N58" s="6"/>
      <c r="O58" s="6"/>
      <c r="P58" s="8"/>
      <c r="Q58" s="8"/>
      <c r="R58" s="8"/>
      <c r="S58" s="8"/>
      <c r="T58" s="8"/>
      <c r="U58" s="8"/>
      <c r="V58" s="8"/>
    </row>
    <row r="59" spans="1:33" x14ac:dyDescent="0.25">
      <c r="A59" s="5"/>
      <c r="B59" s="15"/>
      <c r="C59" s="5"/>
      <c r="D59" s="5"/>
      <c r="E59" s="8"/>
      <c r="F59" s="8"/>
      <c r="G59" s="8"/>
      <c r="H59" s="8"/>
      <c r="I59" s="6"/>
      <c r="J59" s="6"/>
      <c r="K59" s="6"/>
      <c r="L59" s="6"/>
      <c r="M59" s="6"/>
      <c r="N59" s="6"/>
      <c r="O59" s="6"/>
      <c r="P59" s="8"/>
      <c r="Q59" s="8"/>
      <c r="R59" s="8"/>
      <c r="S59" s="8"/>
      <c r="T59" s="8"/>
      <c r="U59" s="8"/>
      <c r="V59" s="8"/>
    </row>
    <row r="60" spans="1:33" x14ac:dyDescent="0.25">
      <c r="A60" s="5"/>
      <c r="B60" s="15"/>
      <c r="C60" s="5"/>
      <c r="D60" s="5"/>
      <c r="E60" s="8"/>
      <c r="F60" s="8"/>
      <c r="G60" s="8"/>
      <c r="H60" s="8"/>
      <c r="I60" s="6"/>
      <c r="J60" s="6"/>
      <c r="K60" s="6"/>
      <c r="L60" s="6"/>
      <c r="M60" s="6"/>
      <c r="N60" s="6"/>
      <c r="O60" s="6"/>
      <c r="P60" s="8"/>
      <c r="Q60" s="8"/>
      <c r="R60" s="8"/>
      <c r="S60" s="8"/>
      <c r="T60" s="8"/>
      <c r="U60" s="8"/>
      <c r="V60" s="8"/>
    </row>
    <row r="61" spans="1:33" x14ac:dyDescent="0.25">
      <c r="A61" s="5"/>
      <c r="B61" s="15"/>
      <c r="C61" s="5"/>
      <c r="D61" s="5"/>
      <c r="E61" s="8"/>
      <c r="F61" s="8"/>
      <c r="G61" s="8"/>
      <c r="H61" s="8"/>
      <c r="I61" s="6"/>
      <c r="J61" s="6"/>
      <c r="K61" s="6"/>
      <c r="L61" s="6"/>
      <c r="M61" s="6"/>
      <c r="N61" s="6"/>
      <c r="O61" s="6"/>
      <c r="P61" s="8"/>
      <c r="Q61" s="8"/>
      <c r="R61" s="8"/>
      <c r="S61" s="8"/>
      <c r="T61" s="8"/>
      <c r="U61" s="8"/>
      <c r="V61" s="8"/>
    </row>
    <row r="62" spans="1:33" x14ac:dyDescent="0.25">
      <c r="A62" s="5"/>
      <c r="B62" s="15"/>
      <c r="C62" s="5"/>
      <c r="D62" s="5"/>
      <c r="E62" s="8"/>
      <c r="F62" s="8"/>
      <c r="G62" s="8"/>
      <c r="H62" s="8"/>
      <c r="I62" s="6"/>
      <c r="J62" s="6"/>
      <c r="K62" s="6"/>
      <c r="L62" s="6"/>
      <c r="M62" s="6"/>
      <c r="N62" s="6"/>
      <c r="O62" s="6"/>
      <c r="P62" s="8"/>
      <c r="Q62" s="8"/>
      <c r="R62" s="8"/>
      <c r="S62" s="8"/>
      <c r="T62" s="8"/>
      <c r="U62" s="8"/>
      <c r="V62" s="8"/>
    </row>
    <row r="63" spans="1:33" x14ac:dyDescent="0.25">
      <c r="A63" s="5"/>
      <c r="B63" s="15"/>
      <c r="C63" s="5"/>
      <c r="D63" s="5"/>
      <c r="E63" s="8"/>
      <c r="F63" s="8"/>
      <c r="G63" s="8"/>
      <c r="H63" s="8"/>
      <c r="I63" s="6"/>
      <c r="J63" s="6"/>
      <c r="K63" s="6"/>
      <c r="L63" s="6"/>
      <c r="M63" s="6"/>
      <c r="N63" s="6"/>
      <c r="O63" s="6"/>
      <c r="P63" s="8"/>
      <c r="Q63" s="8"/>
      <c r="R63" s="8"/>
      <c r="S63" s="8"/>
      <c r="T63" s="8"/>
      <c r="U63" s="8"/>
      <c r="V63" s="8"/>
    </row>
    <row r="64" spans="1:33" x14ac:dyDescent="0.25">
      <c r="A64" s="5"/>
      <c r="B64" s="15"/>
      <c r="C64" s="5"/>
      <c r="D64" s="5"/>
      <c r="E64" s="8"/>
      <c r="F64" s="8"/>
      <c r="G64" s="8"/>
      <c r="H64" s="8"/>
      <c r="I64" s="6"/>
      <c r="J64" s="6"/>
      <c r="K64" s="6"/>
      <c r="L64" s="6"/>
      <c r="M64" s="6"/>
      <c r="N64" s="6"/>
      <c r="O64" s="6"/>
      <c r="P64" s="8"/>
      <c r="Q64" s="8"/>
      <c r="R64" s="8"/>
      <c r="S64" s="8"/>
      <c r="T64" s="8"/>
      <c r="U64" s="8"/>
      <c r="V64" s="8"/>
    </row>
    <row r="65" spans="1:22" x14ac:dyDescent="0.25">
      <c r="A65" s="5"/>
      <c r="B65" s="15"/>
      <c r="C65" s="5"/>
      <c r="D65" s="5"/>
      <c r="E65" s="8"/>
      <c r="F65" s="8"/>
      <c r="G65" s="8"/>
      <c r="H65" s="8"/>
      <c r="I65" s="6"/>
      <c r="J65" s="6"/>
      <c r="K65" s="6"/>
      <c r="L65" s="6"/>
      <c r="M65" s="6"/>
      <c r="N65" s="6"/>
      <c r="O65" s="6"/>
      <c r="P65" s="8"/>
      <c r="Q65" s="8"/>
      <c r="R65" s="8"/>
      <c r="S65" s="8"/>
      <c r="T65" s="8"/>
      <c r="U65" s="8"/>
      <c r="V65" s="8"/>
    </row>
    <row r="66" spans="1:22" x14ac:dyDescent="0.25">
      <c r="A66" s="5"/>
      <c r="B66" s="15"/>
      <c r="C66" s="5"/>
      <c r="D66" s="5"/>
      <c r="E66" s="8"/>
      <c r="F66" s="8"/>
      <c r="G66" s="8"/>
      <c r="H66" s="8"/>
      <c r="I66" s="6"/>
      <c r="J66" s="6"/>
      <c r="K66" s="6"/>
      <c r="L66" s="6"/>
      <c r="M66" s="6"/>
      <c r="N66" s="6"/>
      <c r="O66" s="6"/>
      <c r="P66" s="8"/>
      <c r="Q66" s="8"/>
      <c r="R66" s="8"/>
      <c r="S66" s="8"/>
      <c r="T66" s="8"/>
      <c r="U66" s="8"/>
      <c r="V66" s="8"/>
    </row>
    <row r="67" spans="1:22" x14ac:dyDescent="0.25">
      <c r="A67" s="5"/>
      <c r="B67" s="15"/>
      <c r="C67" s="5"/>
      <c r="D67" s="5"/>
      <c r="E67" s="8"/>
      <c r="F67" s="8"/>
      <c r="G67" s="8"/>
      <c r="H67" s="8"/>
      <c r="I67" s="6"/>
      <c r="J67" s="6"/>
      <c r="K67" s="6"/>
      <c r="L67" s="6"/>
      <c r="M67" s="6"/>
      <c r="N67" s="6"/>
      <c r="O67" s="6"/>
      <c r="P67" s="8"/>
      <c r="Q67" s="8"/>
      <c r="R67" s="8"/>
      <c r="S67" s="8"/>
      <c r="T67" s="8"/>
      <c r="U67" s="8"/>
      <c r="V67" s="8"/>
    </row>
    <row r="68" spans="1:22" x14ac:dyDescent="0.25">
      <c r="A68" s="5"/>
      <c r="B68" s="15"/>
      <c r="C68" s="5"/>
      <c r="D68" s="5"/>
      <c r="E68" s="8"/>
      <c r="F68" s="8"/>
      <c r="G68" s="8"/>
      <c r="H68" s="8"/>
      <c r="I68" s="6"/>
      <c r="J68" s="6"/>
      <c r="K68" s="6"/>
      <c r="L68" s="6"/>
      <c r="M68" s="6"/>
      <c r="N68" s="6"/>
      <c r="O68" s="6"/>
      <c r="P68" s="8"/>
      <c r="Q68" s="8"/>
      <c r="R68" s="8"/>
      <c r="S68" s="8"/>
      <c r="T68" s="8"/>
      <c r="U68" s="8"/>
      <c r="V68" s="8"/>
    </row>
    <row r="69" spans="1:22" x14ac:dyDescent="0.25">
      <c r="A69" s="5"/>
      <c r="B69" s="15"/>
      <c r="C69" s="5"/>
      <c r="D69" s="5"/>
      <c r="E69" s="8"/>
      <c r="F69" s="8"/>
      <c r="G69" s="8"/>
      <c r="H69" s="8"/>
      <c r="I69" s="6"/>
      <c r="J69" s="6"/>
      <c r="K69" s="6"/>
      <c r="L69" s="6"/>
      <c r="M69" s="6"/>
      <c r="N69" s="6"/>
      <c r="O69" s="6"/>
      <c r="P69" s="8"/>
      <c r="Q69" s="8"/>
      <c r="R69" s="8"/>
      <c r="S69" s="8"/>
      <c r="T69" s="8"/>
      <c r="U69" s="8"/>
      <c r="V69" s="8"/>
    </row>
    <row r="70" spans="1:22" x14ac:dyDescent="0.25">
      <c r="A70" s="5"/>
      <c r="B70" s="15"/>
      <c r="C70" s="5"/>
      <c r="D70" s="5"/>
      <c r="E70" s="8"/>
      <c r="F70" s="8"/>
      <c r="G70" s="8"/>
      <c r="H70" s="8"/>
      <c r="I70" s="6"/>
      <c r="J70" s="6"/>
      <c r="K70" s="6"/>
      <c r="L70" s="6"/>
      <c r="M70" s="6"/>
      <c r="N70" s="6"/>
      <c r="O70" s="6"/>
      <c r="P70" s="8"/>
      <c r="Q70" s="8"/>
      <c r="R70" s="8"/>
      <c r="S70" s="8"/>
      <c r="T70" s="8"/>
      <c r="U70" s="8"/>
      <c r="V70" s="8"/>
    </row>
    <row r="71" spans="1:22" x14ac:dyDescent="0.25">
      <c r="A71" s="5"/>
      <c r="B71" s="15"/>
      <c r="C71" s="5"/>
      <c r="D71" s="5"/>
      <c r="E71" s="8"/>
      <c r="F71" s="8"/>
      <c r="G71" s="8"/>
      <c r="H71" s="8"/>
      <c r="I71" s="6"/>
      <c r="J71" s="6"/>
      <c r="K71" s="6"/>
      <c r="L71" s="6"/>
      <c r="M71" s="6"/>
      <c r="N71" s="6"/>
      <c r="O71" s="6"/>
      <c r="P71" s="8"/>
      <c r="Q71" s="8"/>
      <c r="R71" s="8"/>
      <c r="S71" s="8"/>
      <c r="T71" s="8"/>
      <c r="U71" s="8"/>
      <c r="V71" s="8"/>
    </row>
    <row r="72" spans="1:22" x14ac:dyDescent="0.25">
      <c r="A72" s="5"/>
      <c r="B72" s="15"/>
      <c r="C72" s="5"/>
      <c r="D72" s="5"/>
      <c r="E72" s="8"/>
      <c r="F72" s="8"/>
      <c r="G72" s="8"/>
      <c r="H72" s="8"/>
      <c r="I72" s="6"/>
      <c r="J72" s="6"/>
      <c r="K72" s="6"/>
      <c r="L72" s="6"/>
      <c r="M72" s="6"/>
      <c r="N72" s="6"/>
      <c r="O72" s="6"/>
      <c r="P72" s="8"/>
      <c r="Q72" s="8"/>
      <c r="R72" s="8"/>
      <c r="S72" s="8"/>
      <c r="T72" s="8"/>
      <c r="U72" s="8"/>
      <c r="V72" s="8"/>
    </row>
    <row r="73" spans="1:22" x14ac:dyDescent="0.25">
      <c r="A73" s="5"/>
      <c r="B73" s="15"/>
      <c r="C73" s="5"/>
      <c r="D73" s="5"/>
      <c r="E73" s="8"/>
      <c r="F73" s="8"/>
      <c r="G73" s="8"/>
      <c r="H73" s="8"/>
      <c r="I73" s="6"/>
      <c r="J73" s="6"/>
      <c r="K73" s="6"/>
      <c r="L73" s="6"/>
      <c r="M73" s="6"/>
      <c r="N73" s="6"/>
      <c r="O73" s="6"/>
      <c r="P73" s="8"/>
      <c r="Q73" s="8"/>
      <c r="R73" s="8"/>
      <c r="S73" s="8"/>
      <c r="T73" s="8"/>
      <c r="U73" s="8"/>
      <c r="V73" s="8"/>
    </row>
    <row r="74" spans="1:22" x14ac:dyDescent="0.25">
      <c r="A74" s="5"/>
      <c r="B74" s="15"/>
      <c r="C74" s="5"/>
      <c r="D74" s="5"/>
      <c r="E74" s="8"/>
      <c r="F74" s="8"/>
      <c r="G74" s="8"/>
      <c r="H74" s="8"/>
      <c r="I74" s="6"/>
      <c r="J74" s="6"/>
      <c r="K74" s="6"/>
      <c r="L74" s="6"/>
      <c r="M74" s="6"/>
      <c r="N74" s="6"/>
      <c r="O74" s="6"/>
      <c r="P74" s="8"/>
      <c r="Q74" s="8"/>
      <c r="R74" s="8"/>
      <c r="S74" s="8"/>
      <c r="T74" s="8"/>
      <c r="U74" s="8"/>
      <c r="V74" s="8"/>
    </row>
    <row r="75" spans="1:22" x14ac:dyDescent="0.25">
      <c r="A75" s="5"/>
      <c r="B75" s="15"/>
      <c r="C75" s="5"/>
      <c r="D75" s="5"/>
      <c r="E75" s="8"/>
      <c r="F75" s="8"/>
      <c r="G75" s="8"/>
      <c r="H75" s="8"/>
      <c r="I75" s="6"/>
      <c r="J75" s="6"/>
      <c r="K75" s="6"/>
      <c r="L75" s="6"/>
      <c r="M75" s="6"/>
      <c r="N75" s="6"/>
      <c r="O75" s="6"/>
      <c r="P75" s="8"/>
      <c r="Q75" s="8"/>
      <c r="R75" s="8"/>
      <c r="S75" s="8"/>
      <c r="T75" s="8"/>
      <c r="U75" s="8"/>
      <c r="V75" s="8"/>
    </row>
    <row r="76" spans="1:22" x14ac:dyDescent="0.25">
      <c r="A76" s="5"/>
      <c r="B76" s="15"/>
      <c r="C76" s="5"/>
      <c r="D76" s="5"/>
      <c r="E76" s="8"/>
      <c r="F76" s="8"/>
      <c r="G76" s="8"/>
      <c r="H76" s="8"/>
      <c r="I76" s="6"/>
      <c r="J76" s="6"/>
      <c r="K76" s="6"/>
      <c r="L76" s="6"/>
      <c r="M76" s="6"/>
      <c r="N76" s="6"/>
      <c r="O76" s="6"/>
      <c r="P76" s="8"/>
      <c r="Q76" s="8"/>
      <c r="R76" s="8"/>
      <c r="S76" s="8"/>
      <c r="T76" s="8"/>
      <c r="U76" s="8"/>
      <c r="V76" s="8"/>
    </row>
    <row r="77" spans="1:22" x14ac:dyDescent="0.25">
      <c r="A77" s="5"/>
      <c r="B77" s="15"/>
      <c r="C77" s="5"/>
      <c r="D77" s="5"/>
      <c r="E77" s="8"/>
      <c r="F77" s="8"/>
      <c r="G77" s="8"/>
      <c r="H77" s="8"/>
      <c r="I77" s="6"/>
      <c r="J77" s="6"/>
      <c r="K77" s="6"/>
      <c r="L77" s="6"/>
      <c r="M77" s="6"/>
      <c r="N77" s="6"/>
      <c r="O77" s="6"/>
      <c r="P77" s="8"/>
      <c r="Q77" s="8"/>
      <c r="R77" s="8"/>
      <c r="S77" s="8"/>
      <c r="T77" s="8"/>
      <c r="U77" s="8"/>
      <c r="V77" s="8"/>
    </row>
    <row r="78" spans="1:22" x14ac:dyDescent="0.25">
      <c r="A78" s="5"/>
      <c r="B78" s="15"/>
      <c r="C78" s="5"/>
      <c r="D78" s="5"/>
      <c r="E78" s="8"/>
      <c r="F78" s="8"/>
      <c r="G78" s="8"/>
      <c r="H78" s="8"/>
      <c r="I78" s="6"/>
      <c r="J78" s="6"/>
      <c r="K78" s="6"/>
      <c r="L78" s="6"/>
      <c r="M78" s="6"/>
      <c r="N78" s="6"/>
      <c r="O78" s="6"/>
      <c r="P78" s="8"/>
      <c r="Q78" s="8"/>
      <c r="R78" s="8"/>
      <c r="S78" s="8"/>
      <c r="T78" s="8"/>
      <c r="U78" s="8"/>
      <c r="V78" s="8"/>
    </row>
    <row r="79" spans="1:22" x14ac:dyDescent="0.25">
      <c r="A79" s="5"/>
      <c r="B79" s="15"/>
      <c r="C79" s="5"/>
      <c r="D79" s="5"/>
      <c r="E79" s="8"/>
      <c r="F79" s="8"/>
      <c r="G79" s="8"/>
      <c r="H79" s="8"/>
      <c r="I79" s="6"/>
      <c r="J79" s="6"/>
      <c r="K79" s="6"/>
      <c r="L79" s="6"/>
      <c r="M79" s="6"/>
      <c r="N79" s="6"/>
      <c r="O79" s="6"/>
      <c r="P79" s="8"/>
      <c r="Q79" s="8"/>
      <c r="R79" s="8"/>
      <c r="S79" s="8"/>
      <c r="T79" s="8"/>
      <c r="U79" s="8"/>
      <c r="V79" s="8"/>
    </row>
    <row r="80" spans="1:22" x14ac:dyDescent="0.25">
      <c r="A80" s="5"/>
      <c r="B80" s="15"/>
      <c r="C80" s="5"/>
      <c r="D80" s="5"/>
      <c r="E80" s="8"/>
      <c r="F80" s="8"/>
      <c r="G80" s="8"/>
      <c r="H80" s="8"/>
      <c r="I80" s="6"/>
      <c r="J80" s="6"/>
      <c r="K80" s="6"/>
      <c r="L80" s="6"/>
      <c r="M80" s="6"/>
      <c r="N80" s="6"/>
      <c r="O80" s="6"/>
      <c r="P80" s="8"/>
      <c r="Q80" s="8"/>
      <c r="R80" s="8"/>
      <c r="S80" s="8"/>
      <c r="T80" s="8"/>
      <c r="U80" s="8"/>
      <c r="V80" s="8"/>
    </row>
    <row r="81" spans="1:22" x14ac:dyDescent="0.25">
      <c r="A81" s="5"/>
      <c r="B81" s="15"/>
      <c r="C81" s="5"/>
      <c r="D81" s="5"/>
      <c r="E81" s="8"/>
      <c r="F81" s="8"/>
      <c r="G81" s="8"/>
      <c r="H81" s="8"/>
      <c r="I81" s="6"/>
      <c r="J81" s="6"/>
      <c r="K81" s="6"/>
      <c r="L81" s="6"/>
      <c r="M81" s="6"/>
      <c r="N81" s="6"/>
      <c r="O81" s="6"/>
      <c r="P81" s="8"/>
      <c r="Q81" s="8"/>
      <c r="R81" s="8"/>
      <c r="S81" s="8"/>
      <c r="T81" s="8"/>
      <c r="U81" s="8"/>
      <c r="V81" s="8"/>
    </row>
    <row r="82" spans="1:22" x14ac:dyDescent="0.25">
      <c r="A82" s="5"/>
      <c r="B82" s="15"/>
      <c r="C82" s="5"/>
      <c r="D82" s="5"/>
      <c r="E82" s="8"/>
      <c r="F82" s="8"/>
      <c r="G82" s="8"/>
      <c r="H82" s="8"/>
      <c r="I82" s="6"/>
      <c r="J82" s="6"/>
      <c r="K82" s="6"/>
      <c r="L82" s="6"/>
      <c r="M82" s="6"/>
      <c r="N82" s="6"/>
      <c r="O82" s="6"/>
      <c r="P82" s="8"/>
      <c r="Q82" s="8"/>
      <c r="R82" s="8"/>
      <c r="S82" s="8"/>
      <c r="T82" s="8"/>
      <c r="U82" s="8"/>
      <c r="V82" s="8"/>
    </row>
    <row r="83" spans="1:22" x14ac:dyDescent="0.25">
      <c r="A83" s="5"/>
      <c r="B83" s="15"/>
      <c r="C83" s="5"/>
      <c r="D83" s="5"/>
      <c r="E83" s="8"/>
      <c r="F83" s="8"/>
      <c r="G83" s="8"/>
      <c r="H83" s="8"/>
      <c r="I83" s="6"/>
      <c r="J83" s="6"/>
      <c r="K83" s="6"/>
      <c r="L83" s="6"/>
      <c r="M83" s="6"/>
      <c r="N83" s="6"/>
      <c r="O83" s="6"/>
      <c r="P83" s="8"/>
      <c r="Q83" s="8"/>
      <c r="R83" s="8"/>
      <c r="S83" s="8"/>
      <c r="T83" s="8"/>
      <c r="U83" s="8"/>
      <c r="V83" s="8"/>
    </row>
    <row r="84" spans="1:22" x14ac:dyDescent="0.25">
      <c r="A84" s="5"/>
      <c r="B84" s="15"/>
      <c r="C84" s="5"/>
      <c r="D84" s="5"/>
      <c r="E84" s="8"/>
      <c r="F84" s="8"/>
      <c r="G84" s="8"/>
      <c r="H84" s="8"/>
      <c r="I84" s="6"/>
      <c r="J84" s="6"/>
      <c r="K84" s="6"/>
      <c r="L84" s="6"/>
      <c r="M84" s="6"/>
      <c r="N84" s="6"/>
      <c r="O84" s="6"/>
      <c r="P84" s="8"/>
      <c r="Q84" s="8"/>
      <c r="R84" s="8"/>
      <c r="S84" s="8"/>
      <c r="T84" s="8"/>
      <c r="U84" s="8"/>
      <c r="V84" s="8"/>
    </row>
    <row r="85" spans="1:22" x14ac:dyDescent="0.25">
      <c r="A85" s="5"/>
      <c r="B85" s="15"/>
      <c r="C85" s="5"/>
      <c r="D85" s="5"/>
      <c r="E85" s="8"/>
      <c r="F85" s="8"/>
      <c r="G85" s="8"/>
      <c r="H85" s="8"/>
      <c r="I85" s="6"/>
      <c r="J85" s="6"/>
      <c r="K85" s="6"/>
      <c r="L85" s="6"/>
      <c r="M85" s="6"/>
      <c r="N85" s="6"/>
      <c r="O85" s="6"/>
      <c r="P85" s="8"/>
      <c r="Q85" s="8"/>
      <c r="R85" s="8"/>
      <c r="S85" s="8"/>
      <c r="T85" s="8"/>
      <c r="U85" s="8"/>
      <c r="V85" s="8"/>
    </row>
    <row r="86" spans="1:22" x14ac:dyDescent="0.25">
      <c r="A86" s="5"/>
      <c r="B86" s="15"/>
      <c r="C86" s="5"/>
      <c r="D86" s="5"/>
      <c r="E86" s="8"/>
      <c r="F86" s="8"/>
      <c r="G86" s="8"/>
      <c r="H86" s="8"/>
      <c r="I86" s="6"/>
      <c r="J86" s="6"/>
      <c r="K86" s="6"/>
      <c r="L86" s="6"/>
      <c r="M86" s="6"/>
      <c r="N86" s="6"/>
      <c r="O86" s="6"/>
      <c r="P86" s="8"/>
      <c r="Q86" s="8"/>
      <c r="R86" s="8"/>
      <c r="S86" s="8"/>
      <c r="T86" s="8"/>
      <c r="U86" s="8"/>
      <c r="V86" s="8"/>
    </row>
    <row r="87" spans="1:22" x14ac:dyDescent="0.25">
      <c r="A87" s="5"/>
      <c r="B87" s="15"/>
      <c r="C87" s="5"/>
      <c r="D87" s="5"/>
      <c r="E87" s="8"/>
      <c r="F87" s="8"/>
      <c r="G87" s="8"/>
      <c r="H87" s="8"/>
      <c r="I87" s="6"/>
      <c r="J87" s="6"/>
      <c r="K87" s="6"/>
      <c r="L87" s="6"/>
      <c r="M87" s="6"/>
      <c r="N87" s="6"/>
      <c r="O87" s="6"/>
      <c r="P87" s="8"/>
      <c r="Q87" s="8"/>
      <c r="R87" s="8"/>
      <c r="S87" s="8"/>
      <c r="T87" s="8"/>
      <c r="U87" s="8"/>
      <c r="V87" s="8"/>
    </row>
    <row r="88" spans="1:22" x14ac:dyDescent="0.25">
      <c r="A88" s="5"/>
      <c r="B88" s="15"/>
      <c r="C88" s="5"/>
      <c r="D88" s="5"/>
      <c r="E88" s="8"/>
      <c r="F88" s="8"/>
      <c r="G88" s="8"/>
      <c r="H88" s="8"/>
      <c r="I88" s="6"/>
      <c r="J88" s="6"/>
      <c r="K88" s="6"/>
      <c r="L88" s="6"/>
      <c r="M88" s="6"/>
      <c r="N88" s="6"/>
      <c r="O88" s="6"/>
      <c r="P88" s="8"/>
      <c r="Q88" s="8"/>
      <c r="R88" s="8"/>
      <c r="S88" s="8"/>
      <c r="T88" s="8"/>
      <c r="U88" s="8"/>
      <c r="V88" s="8"/>
    </row>
    <row r="89" spans="1:22" x14ac:dyDescent="0.25">
      <c r="A89" s="5"/>
      <c r="B89" s="15"/>
      <c r="C89" s="5"/>
      <c r="D89" s="5"/>
      <c r="E89" s="8"/>
      <c r="F89" s="8"/>
      <c r="G89" s="8"/>
      <c r="H89" s="8"/>
      <c r="I89" s="6"/>
      <c r="J89" s="6"/>
      <c r="K89" s="6"/>
      <c r="L89" s="6"/>
      <c r="M89" s="6"/>
      <c r="N89" s="6"/>
      <c r="O89" s="6"/>
      <c r="P89" s="8"/>
      <c r="Q89" s="8"/>
      <c r="R89" s="8"/>
      <c r="S89" s="8"/>
      <c r="T89" s="8"/>
      <c r="U89" s="8"/>
      <c r="V89" s="8"/>
    </row>
    <row r="90" spans="1:22" x14ac:dyDescent="0.25">
      <c r="A90" s="5"/>
      <c r="B90" s="15"/>
      <c r="C90" s="5"/>
      <c r="D90" s="5"/>
      <c r="E90" s="8"/>
      <c r="F90" s="8"/>
      <c r="G90" s="8"/>
      <c r="H90" s="8"/>
      <c r="I90" s="6"/>
      <c r="J90" s="6"/>
      <c r="K90" s="6"/>
      <c r="L90" s="6"/>
      <c r="M90" s="6"/>
      <c r="N90" s="6"/>
      <c r="O90" s="6"/>
      <c r="P90" s="8"/>
      <c r="Q90" s="8"/>
      <c r="R90" s="8"/>
      <c r="S90" s="8"/>
      <c r="T90" s="8"/>
      <c r="U90" s="8"/>
      <c r="V90" s="8"/>
    </row>
    <row r="91" spans="1:22" x14ac:dyDescent="0.25">
      <c r="A91" s="5"/>
      <c r="B91" s="15"/>
      <c r="C91" s="5"/>
      <c r="D91" s="5"/>
      <c r="E91" s="8"/>
      <c r="F91" s="8"/>
      <c r="G91" s="8"/>
      <c r="H91" s="8"/>
      <c r="I91" s="6"/>
      <c r="J91" s="6"/>
      <c r="K91" s="6"/>
      <c r="L91" s="6"/>
      <c r="M91" s="6"/>
      <c r="N91" s="6"/>
      <c r="O91" s="6"/>
      <c r="P91" s="8"/>
      <c r="Q91" s="8"/>
      <c r="R91" s="8"/>
      <c r="S91" s="8"/>
      <c r="T91" s="8"/>
      <c r="U91" s="8"/>
      <c r="V91" s="8"/>
    </row>
    <row r="92" spans="1:22" x14ac:dyDescent="0.25">
      <c r="A92" s="5"/>
      <c r="B92" s="15"/>
      <c r="C92" s="5"/>
      <c r="D92" s="5"/>
      <c r="E92" s="8"/>
      <c r="F92" s="8"/>
      <c r="G92" s="8"/>
      <c r="H92" s="8"/>
      <c r="I92" s="6"/>
      <c r="J92" s="6"/>
      <c r="K92" s="6"/>
      <c r="L92" s="6"/>
      <c r="M92" s="6"/>
      <c r="N92" s="6"/>
      <c r="O92" s="6"/>
      <c r="P92" s="8"/>
      <c r="Q92" s="8"/>
      <c r="R92" s="8"/>
      <c r="S92" s="8"/>
      <c r="T92" s="8"/>
      <c r="U92" s="8"/>
      <c r="V92" s="8"/>
    </row>
    <row r="93" spans="1:22" x14ac:dyDescent="0.25">
      <c r="A93" s="5"/>
      <c r="B93" s="15"/>
      <c r="C93" s="5"/>
      <c r="D93" s="5"/>
      <c r="E93" s="8"/>
      <c r="F93" s="8"/>
      <c r="G93" s="8"/>
      <c r="H93" s="8"/>
      <c r="I93" s="6"/>
      <c r="J93" s="6"/>
      <c r="K93" s="6"/>
      <c r="L93" s="6"/>
      <c r="M93" s="6"/>
      <c r="N93" s="6"/>
      <c r="O93" s="6"/>
      <c r="P93" s="8"/>
      <c r="Q93" s="8"/>
      <c r="R93" s="8"/>
      <c r="S93" s="8"/>
      <c r="T93" s="8"/>
      <c r="U93" s="8"/>
      <c r="V93" s="8"/>
    </row>
    <row r="94" spans="1:22" x14ac:dyDescent="0.25">
      <c r="A94" s="5"/>
      <c r="B94" s="15"/>
      <c r="C94" s="5"/>
      <c r="D94" s="5"/>
      <c r="E94" s="8"/>
      <c r="F94" s="8"/>
      <c r="G94" s="8"/>
      <c r="H94" s="8"/>
      <c r="I94" s="6"/>
      <c r="J94" s="6"/>
      <c r="K94" s="6"/>
      <c r="L94" s="6"/>
      <c r="M94" s="6"/>
      <c r="N94" s="6"/>
      <c r="O94" s="6"/>
      <c r="P94" s="8"/>
      <c r="Q94" s="8"/>
      <c r="R94" s="8"/>
      <c r="S94" s="8"/>
      <c r="T94" s="8"/>
      <c r="U94" s="8"/>
      <c r="V94" s="8"/>
    </row>
    <row r="95" spans="1:22" x14ac:dyDescent="0.25">
      <c r="A95" s="5"/>
      <c r="B95" s="15"/>
      <c r="C95" s="5"/>
      <c r="D95" s="5"/>
      <c r="E95" s="8"/>
      <c r="F95" s="8"/>
      <c r="G95" s="8"/>
      <c r="H95" s="8"/>
      <c r="I95" s="6"/>
      <c r="J95" s="6"/>
      <c r="K95" s="6"/>
      <c r="L95" s="6"/>
      <c r="M95" s="6"/>
      <c r="N95" s="6"/>
      <c r="O95" s="6"/>
      <c r="P95" s="8"/>
      <c r="Q95" s="8"/>
      <c r="R95" s="8"/>
      <c r="S95" s="8"/>
      <c r="T95" s="8"/>
      <c r="U95" s="8"/>
      <c r="V95" s="8"/>
    </row>
    <row r="96" spans="1:22" x14ac:dyDescent="0.25">
      <c r="A96" s="5"/>
      <c r="B96" s="15"/>
      <c r="C96" s="5"/>
      <c r="D96" s="5"/>
      <c r="E96" s="8"/>
      <c r="F96" s="8"/>
      <c r="G96" s="8"/>
      <c r="H96" s="8"/>
      <c r="I96" s="6"/>
      <c r="J96" s="6"/>
      <c r="K96" s="6"/>
      <c r="L96" s="6"/>
      <c r="M96" s="6"/>
      <c r="N96" s="6"/>
      <c r="O96" s="6"/>
      <c r="P96" s="8"/>
      <c r="Q96" s="8"/>
      <c r="R96" s="8"/>
      <c r="S96" s="8"/>
      <c r="T96" s="8"/>
      <c r="U96" s="8"/>
      <c r="V96" s="8"/>
    </row>
    <row r="97" spans="1:22" x14ac:dyDescent="0.25">
      <c r="A97" s="5"/>
      <c r="B97" s="15"/>
      <c r="C97" s="5"/>
      <c r="D97" s="5"/>
      <c r="E97" s="8"/>
      <c r="F97" s="8"/>
      <c r="G97" s="8"/>
      <c r="H97" s="8"/>
      <c r="I97" s="6"/>
      <c r="J97" s="6"/>
      <c r="K97" s="6"/>
      <c r="L97" s="6"/>
      <c r="M97" s="6"/>
      <c r="N97" s="6"/>
      <c r="O97" s="6"/>
      <c r="P97" s="8"/>
      <c r="Q97" s="8"/>
      <c r="R97" s="8"/>
      <c r="S97" s="8"/>
      <c r="T97" s="8"/>
      <c r="U97" s="8"/>
      <c r="V97" s="8"/>
    </row>
    <row r="98" spans="1:22" x14ac:dyDescent="0.25">
      <c r="A98" s="5"/>
      <c r="B98" s="15"/>
      <c r="C98" s="5"/>
      <c r="D98" s="5"/>
      <c r="E98" s="8"/>
      <c r="F98" s="8"/>
      <c r="G98" s="8"/>
      <c r="H98" s="8"/>
      <c r="I98" s="6"/>
      <c r="J98" s="6"/>
      <c r="K98" s="6"/>
      <c r="L98" s="6"/>
      <c r="M98" s="6"/>
      <c r="N98" s="6"/>
      <c r="O98" s="6"/>
      <c r="P98" s="8"/>
      <c r="Q98" s="8"/>
      <c r="R98" s="8"/>
      <c r="S98" s="8"/>
      <c r="T98" s="8"/>
      <c r="U98" s="8"/>
      <c r="V98" s="8"/>
    </row>
    <row r="99" spans="1:22" x14ac:dyDescent="0.25">
      <c r="A99" s="5"/>
      <c r="B99" s="15"/>
      <c r="C99" s="5"/>
      <c r="D99" s="5"/>
      <c r="E99" s="8"/>
      <c r="F99" s="8"/>
      <c r="G99" s="8"/>
      <c r="H99" s="8"/>
      <c r="I99" s="6"/>
      <c r="J99" s="6"/>
      <c r="K99" s="6"/>
      <c r="L99" s="6"/>
      <c r="M99" s="6"/>
      <c r="N99" s="6"/>
      <c r="O99" s="6"/>
      <c r="P99" s="8"/>
      <c r="Q99" s="8"/>
      <c r="R99" s="8"/>
      <c r="S99" s="8"/>
      <c r="T99" s="8"/>
      <c r="U99" s="8"/>
      <c r="V99" s="8"/>
    </row>
    <row r="100" spans="1:22" x14ac:dyDescent="0.25">
      <c r="A100" s="5"/>
      <c r="B100" s="15"/>
      <c r="C100" s="5"/>
      <c r="D100" s="5"/>
      <c r="E100" s="8"/>
      <c r="F100" s="8"/>
      <c r="G100" s="8"/>
      <c r="H100" s="8"/>
      <c r="I100" s="6"/>
      <c r="J100" s="6"/>
      <c r="K100" s="6"/>
      <c r="L100" s="6"/>
      <c r="M100" s="6"/>
      <c r="N100" s="6"/>
      <c r="O100" s="6"/>
      <c r="P100" s="8"/>
      <c r="Q100" s="8"/>
      <c r="R100" s="8"/>
      <c r="S100" s="8"/>
      <c r="T100" s="8"/>
      <c r="U100" s="8"/>
      <c r="V100" s="8"/>
    </row>
    <row r="101" spans="1:22" x14ac:dyDescent="0.25">
      <c r="A101" s="5"/>
      <c r="B101" s="15"/>
      <c r="C101" s="5"/>
      <c r="D101" s="5"/>
      <c r="E101" s="8"/>
      <c r="F101" s="8"/>
      <c r="G101" s="8"/>
      <c r="H101" s="8"/>
      <c r="I101" s="6"/>
      <c r="J101" s="6"/>
      <c r="K101" s="6"/>
      <c r="L101" s="6"/>
      <c r="M101" s="6"/>
      <c r="N101" s="6"/>
      <c r="O101" s="6"/>
      <c r="P101" s="8"/>
      <c r="Q101" s="8"/>
      <c r="R101" s="8"/>
      <c r="S101" s="8"/>
      <c r="T101" s="8"/>
      <c r="U101" s="8"/>
      <c r="V101" s="8"/>
    </row>
    <row r="102" spans="1:22" x14ac:dyDescent="0.25">
      <c r="A102" s="5"/>
      <c r="B102" s="15"/>
      <c r="C102" s="5"/>
      <c r="D102" s="5"/>
      <c r="E102" s="8"/>
      <c r="F102" s="8"/>
      <c r="G102" s="8"/>
      <c r="H102" s="8"/>
      <c r="I102" s="6"/>
      <c r="J102" s="6"/>
      <c r="K102" s="6"/>
      <c r="L102" s="6"/>
      <c r="M102" s="6"/>
      <c r="N102" s="6"/>
      <c r="O102" s="6"/>
      <c r="P102" s="8"/>
      <c r="Q102" s="8"/>
      <c r="R102" s="8"/>
      <c r="S102" s="8"/>
      <c r="T102" s="8"/>
      <c r="U102" s="8"/>
      <c r="V102" s="8"/>
    </row>
    <row r="103" spans="1:22" x14ac:dyDescent="0.25">
      <c r="A103" s="5"/>
      <c r="B103" s="15"/>
      <c r="C103" s="5"/>
      <c r="D103" s="5"/>
      <c r="E103" s="8"/>
      <c r="F103" s="8"/>
      <c r="G103" s="8"/>
      <c r="H103" s="8"/>
      <c r="I103" s="6"/>
      <c r="J103" s="6"/>
      <c r="K103" s="6"/>
      <c r="L103" s="6"/>
      <c r="M103" s="6"/>
      <c r="N103" s="6"/>
      <c r="O103" s="6"/>
      <c r="P103" s="8"/>
      <c r="Q103" s="8"/>
      <c r="R103" s="8"/>
      <c r="S103" s="8"/>
      <c r="T103" s="8"/>
      <c r="U103" s="8"/>
      <c r="V103" s="8"/>
    </row>
    <row r="104" spans="1:22" x14ac:dyDescent="0.25">
      <c r="A104" s="5"/>
      <c r="B104" s="15"/>
      <c r="C104" s="5"/>
      <c r="D104" s="5"/>
      <c r="E104" s="8"/>
      <c r="F104" s="8"/>
      <c r="G104" s="8"/>
      <c r="H104" s="8"/>
      <c r="I104" s="6"/>
      <c r="J104" s="6"/>
      <c r="K104" s="6"/>
      <c r="L104" s="6"/>
      <c r="M104" s="6"/>
      <c r="N104" s="6"/>
      <c r="O104" s="6"/>
      <c r="P104" s="8"/>
      <c r="Q104" s="8"/>
      <c r="R104" s="8"/>
      <c r="S104" s="8"/>
      <c r="T104" s="8"/>
      <c r="U104" s="8"/>
      <c r="V104" s="8"/>
    </row>
    <row r="105" spans="1:22" x14ac:dyDescent="0.25">
      <c r="A105" s="5"/>
      <c r="B105" s="15"/>
      <c r="C105" s="5"/>
      <c r="D105" s="5"/>
      <c r="E105" s="8"/>
      <c r="F105" s="8"/>
      <c r="G105" s="8"/>
      <c r="H105" s="8"/>
      <c r="I105" s="6"/>
      <c r="J105" s="6"/>
      <c r="K105" s="6"/>
      <c r="L105" s="6"/>
      <c r="M105" s="6"/>
      <c r="N105" s="6"/>
      <c r="O105" s="6"/>
      <c r="P105" s="8"/>
      <c r="Q105" s="8"/>
      <c r="R105" s="8"/>
      <c r="S105" s="8"/>
      <c r="T105" s="8"/>
      <c r="U105" s="8"/>
      <c r="V105" s="8"/>
    </row>
  </sheetData>
  <pageMargins left="0.7" right="0.7" top="0.75" bottom="0.75" header="0.3" footer="0.3"/>
  <pageSetup orientation="portrait" horizontalDpi="90" verticalDpi="9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Deal Level Completeness Score</vt:lpstr>
      <vt:lpstr>ExposureWise Score</vt:lpstr>
    </vt:vector>
  </TitlesOfParts>
  <Company>Pimco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Trupt</dc:creator>
  <cp:lastModifiedBy>Patel, Trupt</cp:lastModifiedBy>
  <dcterms:created xsi:type="dcterms:W3CDTF">2023-04-28T14:03:10Z</dcterms:created>
  <dcterms:modified xsi:type="dcterms:W3CDTF">2023-05-09T05:24:53Z</dcterms:modified>
</cp:coreProperties>
</file>