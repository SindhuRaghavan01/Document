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PL_USER\Documents\ARAPL_Docs_2026\Optimization\Crown Optimization\Data\"/>
    </mc:Choice>
  </mc:AlternateContent>
  <xr:revisionPtr revIDLastSave="0" documentId="13_ncr:1_{DEE13920-C4F2-4CC2-8F1B-91AF4FD666A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nstrument_data" sheetId="1" r:id="rId1"/>
    <sheet name="bound_data" sheetId="2" r:id="rId2"/>
    <sheet name="optimization_data" sheetId="3" r:id="rId3"/>
    <sheet name="optimization_objectives" sheetId="4" r:id="rId4"/>
    <sheet name="optimization_constraint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2" l="1"/>
  <c r="L15" i="1"/>
  <c r="M15" i="1"/>
  <c r="N15" i="1"/>
  <c r="O15" i="1"/>
  <c r="L16" i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L20" i="1"/>
  <c r="M20" i="1"/>
  <c r="N20" i="1"/>
  <c r="O20" i="1"/>
  <c r="L21" i="1"/>
  <c r="M21" i="1"/>
  <c r="N21" i="1"/>
  <c r="O21" i="1"/>
  <c r="L22" i="1"/>
  <c r="M22" i="1"/>
  <c r="N22" i="1"/>
  <c r="O22" i="1"/>
  <c r="L23" i="1"/>
  <c r="M23" i="1"/>
  <c r="N23" i="1"/>
  <c r="O23" i="1"/>
  <c r="O14" i="1"/>
  <c r="N14" i="1"/>
  <c r="M14" i="1"/>
  <c r="L14" i="1"/>
  <c r="L14" i="3"/>
  <c r="L13" i="3"/>
  <c r="L12" i="3"/>
  <c r="L11" i="3"/>
  <c r="L10" i="3"/>
  <c r="L9" i="3"/>
  <c r="L8" i="3"/>
  <c r="L7" i="3"/>
  <c r="L6" i="3"/>
  <c r="L5" i="3"/>
  <c r="L4" i="3"/>
  <c r="L3" i="3"/>
  <c r="L2" i="3"/>
  <c r="O11" i="2"/>
  <c r="O10" i="2"/>
  <c r="O9" i="2"/>
  <c r="O8" i="2"/>
  <c r="O7" i="2"/>
  <c r="O6" i="2"/>
  <c r="O5" i="2"/>
  <c r="O4" i="2"/>
  <c r="O3" i="2"/>
  <c r="O2" i="2"/>
  <c r="N11" i="2"/>
  <c r="N10" i="2"/>
  <c r="N9" i="2"/>
  <c r="N8" i="2"/>
  <c r="N7" i="2"/>
  <c r="N6" i="2"/>
  <c r="N5" i="2"/>
  <c r="N4" i="2"/>
  <c r="N3" i="2"/>
  <c r="N2" i="2"/>
  <c r="I2" i="2" l="1"/>
  <c r="I3" i="2"/>
  <c r="I4" i="2"/>
  <c r="I5" i="2"/>
  <c r="I6" i="2"/>
  <c r="I7" i="2"/>
  <c r="I8" i="2"/>
  <c r="I9" i="2"/>
  <c r="I10" i="2"/>
  <c r="I11" i="2"/>
  <c r="K4" i="2" l="1"/>
  <c r="P4" i="2" s="1"/>
  <c r="L4" i="2"/>
  <c r="K11" i="2"/>
  <c r="P11" i="2" s="1"/>
  <c r="L11" i="2"/>
  <c r="K3" i="2"/>
  <c r="P3" i="2" s="1"/>
  <c r="L3" i="2"/>
  <c r="K6" i="2"/>
  <c r="P6" i="2" s="1"/>
  <c r="L6" i="2"/>
  <c r="K2" i="2"/>
  <c r="P2" i="2" s="1"/>
  <c r="L2" i="2"/>
  <c r="K8" i="2"/>
  <c r="L8" i="2"/>
  <c r="K7" i="2"/>
  <c r="P7" i="2" s="1"/>
  <c r="L7" i="2"/>
  <c r="K10" i="2"/>
  <c r="P10" i="2" s="1"/>
  <c r="L10" i="2"/>
  <c r="K9" i="2"/>
  <c r="P9" i="2" s="1"/>
  <c r="L9" i="2"/>
  <c r="K5" i="2"/>
  <c r="P5" i="2" s="1"/>
  <c r="L5" i="2"/>
</calcChain>
</file>

<file path=xl/sharedStrings.xml><?xml version="1.0" encoding="utf-8"?>
<sst xmlns="http://schemas.openxmlformats.org/spreadsheetml/2006/main" count="148" uniqueCount="64">
  <si>
    <t>InstrumentID</t>
  </si>
  <si>
    <t>InstrumentName</t>
  </si>
  <si>
    <t>Limit</t>
  </si>
  <si>
    <t>InceptionDate</t>
  </si>
  <si>
    <t>ExpirationDate</t>
  </si>
  <si>
    <t>ROL</t>
  </si>
  <si>
    <t>Premium</t>
  </si>
  <si>
    <t>LR</t>
  </si>
  <si>
    <t>EL</t>
  </si>
  <si>
    <t>STD</t>
  </si>
  <si>
    <t>CV</t>
  </si>
  <si>
    <t>var</t>
  </si>
  <si>
    <t>nu</t>
  </si>
  <si>
    <t>alpha</t>
  </si>
  <si>
    <t>beta</t>
  </si>
  <si>
    <t>AttachProb</t>
  </si>
  <si>
    <t>ExhaustProb</t>
  </si>
  <si>
    <t>Layer 1</t>
  </si>
  <si>
    <t>Layer 2</t>
  </si>
  <si>
    <t>Layer 3</t>
  </si>
  <si>
    <t>Layer 4</t>
  </si>
  <si>
    <t>Layer 5</t>
  </si>
  <si>
    <t>Layer 6</t>
  </si>
  <si>
    <t>Layer 7</t>
  </si>
  <si>
    <t>Layer 8</t>
  </si>
  <si>
    <t>Layer 9</t>
  </si>
  <si>
    <t>Layer 10</t>
  </si>
  <si>
    <t>Share</t>
  </si>
  <si>
    <t>BoundLimit</t>
  </si>
  <si>
    <t>BoundPremium</t>
  </si>
  <si>
    <t>BoundAAL</t>
  </si>
  <si>
    <t>MinAUM</t>
  </si>
  <si>
    <t>MaxAUM</t>
  </si>
  <si>
    <t>MinShare</t>
  </si>
  <si>
    <t>MaxShare</t>
  </si>
  <si>
    <t>OptimizationID</t>
  </si>
  <si>
    <t>source</t>
  </si>
  <si>
    <t>InitialShare</t>
  </si>
  <si>
    <t>EnableExclude</t>
  </si>
  <si>
    <t>DealUniverse</t>
  </si>
  <si>
    <t>BoundPortfolio</t>
  </si>
  <si>
    <t>ObjectiveID</t>
  </si>
  <si>
    <t>ObjectiveType</t>
  </si>
  <si>
    <t>ObjectiveName</t>
  </si>
  <si>
    <t>Fields</t>
  </si>
  <si>
    <t>Function</t>
  </si>
  <si>
    <t>ReturnPeriod</t>
  </si>
  <si>
    <t>Maximize</t>
  </si>
  <si>
    <t>ExpectedReturn</t>
  </si>
  <si>
    <t>return</t>
  </si>
  <si>
    <t>expected_return</t>
  </si>
  <si>
    <t>Minimize</t>
  </si>
  <si>
    <t>StandardDeviation</t>
  </si>
  <si>
    <t>TVAR 100</t>
  </si>
  <si>
    <t>tvar</t>
  </si>
  <si>
    <t>ConstraintID</t>
  </si>
  <si>
    <t>ConstraintType</t>
  </si>
  <si>
    <t>ConstraintName</t>
  </si>
  <si>
    <t>MinValue</t>
  </si>
  <si>
    <t>MaxValue</t>
  </si>
  <si>
    <t>MiniMax</t>
  </si>
  <si>
    <t>PortfolioAUM</t>
  </si>
  <si>
    <t>AUM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</si>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</sst>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0"/>
    <numFmt numFmtId="166" formatCode="0.000000"/>
    <numFmt numFmtId="167" formatCode="0.00000000"/>
    <numFmt numFmtId="168" formatCode="_(* #,##0.0000_);_(* \(#,##0.0000\);_(* &quot;-&quot;??_);_(@_)"/>
    <numFmt numFmtId="170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3" fontId="0" fillId="0" borderId="0" xfId="0" applyNumberFormat="1"/>
    <xf numFmtId="164" fontId="0" fillId="0" borderId="0" xfId="1" applyNumberFormat="1" applyFont="1"/>
    <xf numFmtId="10" fontId="0" fillId="0" borderId="0" xfId="2" applyNumberFormat="1" applyFont="1"/>
    <xf numFmtId="165" fontId="0" fillId="0" borderId="0" xfId="2" applyNumberFormat="1" applyFont="1"/>
    <xf numFmtId="166" fontId="0" fillId="0" borderId="0" xfId="2" applyNumberFormat="1" applyFont="1"/>
    <xf numFmtId="165" fontId="0" fillId="0" borderId="0" xfId="0" applyNumberFormat="1"/>
    <xf numFmtId="167" fontId="0" fillId="0" borderId="0" xfId="2" applyNumberFormat="1" applyFont="1"/>
    <xf numFmtId="167" fontId="0" fillId="0" borderId="0" xfId="0" applyNumberFormat="1"/>
    <xf numFmtId="0" fontId="0" fillId="33" borderId="0" xfId="0" applyFill="1"/>
    <xf numFmtId="164" fontId="0" fillId="33" borderId="0" xfId="1" applyNumberFormat="1" applyFont="1" applyFill="1"/>
    <xf numFmtId="165" fontId="0" fillId="33" borderId="0" xfId="2" applyNumberFormat="1" applyFont="1" applyFill="1"/>
    <xf numFmtId="14" fontId="0" fillId="33" borderId="0" xfId="0" applyNumberFormat="1" applyFill="1"/>
    <xf numFmtId="166" fontId="0" fillId="33" borderId="0" xfId="2" applyNumberFormat="1" applyFont="1" applyFill="1"/>
    <xf numFmtId="10" fontId="0" fillId="33" borderId="0" xfId="2" applyNumberFormat="1" applyFont="1" applyFill="1"/>
    <xf numFmtId="168" fontId="0" fillId="0" borderId="0" xfId="1" applyNumberFormat="1" applyFont="1"/>
    <xf numFmtId="168" fontId="0" fillId="33" borderId="0" xfId="1" applyNumberFormat="1" applyFont="1" applyFill="1"/>
    <xf numFmtId="0" fontId="0" fillId="0" borderId="10" xfId="0" applyBorder="1"/>
    <xf numFmtId="164" fontId="0" fillId="0" borderId="10" xfId="1" applyNumberFormat="1" applyFont="1" applyBorder="1"/>
    <xf numFmtId="168" fontId="0" fillId="0" borderId="10" xfId="1" applyNumberFormat="1" applyFont="1" applyBorder="1"/>
    <xf numFmtId="168" fontId="0" fillId="33" borderId="10" xfId="1" applyNumberFormat="1" applyFont="1" applyFill="1" applyBorder="1"/>
    <xf numFmtId="14" fontId="0" fillId="0" borderId="10" xfId="0" applyNumberFormat="1" applyBorder="1"/>
    <xf numFmtId="3" fontId="0" fillId="0" borderId="10" xfId="0" applyNumberFormat="1" applyBorder="1"/>
    <xf numFmtId="168" fontId="0" fillId="34" borderId="10" xfId="1" applyNumberFormat="1" applyFont="1" applyFill="1" applyBorder="1"/>
    <xf numFmtId="43" fontId="0" fillId="0" borderId="0" xfId="1" applyFont="1"/>
    <xf numFmtId="170" fontId="0" fillId="0" borderId="0" xfId="2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workbookViewId="0">
      <selection activeCell="S16" sqref="S16"/>
    </sheetView>
  </sheetViews>
  <sheetFormatPr defaultRowHeight="14.4" x14ac:dyDescent="0.3"/>
  <cols>
    <col min="3" max="3" width="12.5546875" style="3" bestFit="1" customWidth="1"/>
    <col min="5" max="5" width="14.33203125" bestFit="1" customWidth="1"/>
    <col min="8" max="17" width="8.88671875" style="16"/>
  </cols>
  <sheetData>
    <row r="1" spans="1:17" x14ac:dyDescent="0.3">
      <c r="A1" s="18" t="s">
        <v>0</v>
      </c>
      <c r="B1" s="18" t="s">
        <v>1</v>
      </c>
      <c r="C1" s="19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0" t="s">
        <v>15</v>
      </c>
      <c r="Q1" s="20" t="s">
        <v>16</v>
      </c>
    </row>
    <row r="2" spans="1:17" x14ac:dyDescent="0.3">
      <c r="A2" s="18">
        <v>1</v>
      </c>
      <c r="B2" s="18" t="s">
        <v>17</v>
      </c>
      <c r="C2" s="19">
        <v>7000000</v>
      </c>
      <c r="D2" s="22">
        <v>44927</v>
      </c>
      <c r="E2" s="22">
        <v>45291</v>
      </c>
      <c r="F2" s="18">
        <v>0.25</v>
      </c>
      <c r="G2" s="23">
        <v>1750000</v>
      </c>
      <c r="H2" s="20">
        <v>0.33271600000000001</v>
      </c>
      <c r="I2" s="20">
        <v>8.3179000000000003E-2</v>
      </c>
      <c r="J2" s="20">
        <v>0.23</v>
      </c>
      <c r="K2" s="20">
        <v>2.7651210000000002</v>
      </c>
      <c r="L2" s="21">
        <v>5.2900000000000003E-2</v>
      </c>
      <c r="M2" s="21">
        <v>0.44159300000000001</v>
      </c>
      <c r="N2" s="21">
        <v>3.6731E-2</v>
      </c>
      <c r="O2" s="21">
        <v>0.40486100000000003</v>
      </c>
      <c r="P2" s="20">
        <v>0.27517999999999998</v>
      </c>
      <c r="Q2" s="20">
        <v>5.1720000000000004E-3</v>
      </c>
    </row>
    <row r="3" spans="1:17" x14ac:dyDescent="0.3">
      <c r="A3">
        <v>2</v>
      </c>
      <c r="B3" t="s">
        <v>18</v>
      </c>
      <c r="C3" s="3">
        <v>8000000</v>
      </c>
      <c r="D3" s="1">
        <v>44927</v>
      </c>
      <c r="E3" s="1">
        <v>45291</v>
      </c>
      <c r="F3">
        <v>0.21</v>
      </c>
      <c r="G3" s="2">
        <v>1680000</v>
      </c>
      <c r="H3" s="16">
        <v>0.33191999999999999</v>
      </c>
      <c r="I3" s="16">
        <v>6.9703200000000007E-2</v>
      </c>
      <c r="J3" s="16">
        <v>0.24</v>
      </c>
      <c r="K3" s="16">
        <v>3.443171</v>
      </c>
      <c r="L3" s="17">
        <v>5.7599999999999998E-2</v>
      </c>
      <c r="M3" s="17">
        <v>0.125775</v>
      </c>
      <c r="N3" s="17">
        <v>8.7670000000000005E-3</v>
      </c>
      <c r="O3" s="17">
        <v>0.117008</v>
      </c>
      <c r="P3" s="16">
        <v>0.12300700000000001</v>
      </c>
      <c r="Q3" s="16">
        <v>3.1112999999999998E-2</v>
      </c>
    </row>
    <row r="4" spans="1:17" x14ac:dyDescent="0.3">
      <c r="A4">
        <v>3</v>
      </c>
      <c r="B4" t="s">
        <v>19</v>
      </c>
      <c r="C4" s="3">
        <v>7000000</v>
      </c>
      <c r="D4" s="1">
        <v>44927</v>
      </c>
      <c r="E4" s="1">
        <v>45291</v>
      </c>
      <c r="F4">
        <v>0.21</v>
      </c>
      <c r="G4" s="2">
        <v>1470000</v>
      </c>
      <c r="H4" s="16">
        <v>0.37272620000000001</v>
      </c>
      <c r="I4" s="16">
        <v>7.8272499999999995E-2</v>
      </c>
      <c r="J4" s="16">
        <v>0.26</v>
      </c>
      <c r="K4" s="16">
        <v>3.3217279999999998</v>
      </c>
      <c r="L4" s="17">
        <v>6.7599999999999993E-2</v>
      </c>
      <c r="M4" s="17">
        <v>6.7247000000000001E-2</v>
      </c>
      <c r="N4" s="17">
        <v>5.2639999999999996E-3</v>
      </c>
      <c r="O4" s="17">
        <v>6.1983999999999997E-2</v>
      </c>
      <c r="P4" s="16">
        <v>0.110725</v>
      </c>
      <c r="Q4" s="16">
        <v>5.1039000000000001E-2</v>
      </c>
    </row>
    <row r="5" spans="1:17" x14ac:dyDescent="0.3">
      <c r="A5">
        <v>4</v>
      </c>
      <c r="B5" t="s">
        <v>20</v>
      </c>
      <c r="C5" s="3">
        <v>8000000</v>
      </c>
      <c r="D5" s="1">
        <v>44927</v>
      </c>
      <c r="E5" s="1">
        <v>45291</v>
      </c>
      <c r="F5">
        <v>0.25</v>
      </c>
      <c r="G5" s="2">
        <v>2000000</v>
      </c>
      <c r="H5" s="16">
        <v>0.37813269999999999</v>
      </c>
      <c r="I5" s="16">
        <v>9.4533199999999998E-2</v>
      </c>
      <c r="J5" s="16">
        <v>0.28000000000000003</v>
      </c>
      <c r="K5" s="16">
        <v>2.9619230000000001</v>
      </c>
      <c r="L5" s="17">
        <v>7.8399999999999997E-2</v>
      </c>
      <c r="M5" s="17">
        <v>9.1794000000000001E-2</v>
      </c>
      <c r="N5" s="17">
        <v>8.6779999999999999E-3</v>
      </c>
      <c r="O5" s="17">
        <v>8.3116999999999996E-2</v>
      </c>
      <c r="P5" s="16">
        <v>0.146258</v>
      </c>
      <c r="Q5" s="16">
        <v>5.3303000000000003E-2</v>
      </c>
    </row>
    <row r="6" spans="1:17" x14ac:dyDescent="0.3">
      <c r="A6">
        <v>5</v>
      </c>
      <c r="B6" t="s">
        <v>21</v>
      </c>
      <c r="C6" s="3">
        <v>9000000</v>
      </c>
      <c r="D6" s="1">
        <v>44927</v>
      </c>
      <c r="E6" s="1">
        <v>45291</v>
      </c>
      <c r="F6">
        <v>0.23</v>
      </c>
      <c r="G6" s="2">
        <v>2070000</v>
      </c>
      <c r="H6" s="16">
        <v>0.42152030000000001</v>
      </c>
      <c r="I6" s="16">
        <v>9.69497E-2</v>
      </c>
      <c r="J6" s="16">
        <v>0.28999720000000001</v>
      </c>
      <c r="K6" s="16">
        <v>2.9912139999999998</v>
      </c>
      <c r="L6" s="17">
        <v>8.4098000000000006E-2</v>
      </c>
      <c r="M6" s="17">
        <v>4.1048000000000001E-2</v>
      </c>
      <c r="N6" s="17">
        <v>3.98E-3</v>
      </c>
      <c r="O6" s="17">
        <v>3.7067999999999997E-2</v>
      </c>
      <c r="P6" s="16">
        <v>0.121226</v>
      </c>
      <c r="Q6" s="16">
        <v>7.5068999999999997E-2</v>
      </c>
    </row>
    <row r="7" spans="1:17" x14ac:dyDescent="0.3">
      <c r="A7">
        <v>6</v>
      </c>
      <c r="B7" t="s">
        <v>22</v>
      </c>
      <c r="C7" s="3">
        <v>8000000</v>
      </c>
      <c r="D7" s="1">
        <v>44927</v>
      </c>
      <c r="E7" s="1">
        <v>45291</v>
      </c>
      <c r="F7">
        <v>0.24</v>
      </c>
      <c r="G7" s="2">
        <v>1920000</v>
      </c>
      <c r="H7" s="16">
        <v>0.41401490000000002</v>
      </c>
      <c r="I7" s="16">
        <v>9.9363599999999996E-2</v>
      </c>
      <c r="J7" s="16">
        <v>0.2746323</v>
      </c>
      <c r="K7" s="16">
        <v>2.7639130000000001</v>
      </c>
      <c r="L7" s="17">
        <v>7.5423000000000004E-2</v>
      </c>
      <c r="M7" s="17">
        <v>0.18651599999999999</v>
      </c>
      <c r="N7" s="17">
        <v>1.8533000000000001E-2</v>
      </c>
      <c r="O7" s="17">
        <v>0.16798299999999999</v>
      </c>
      <c r="P7" s="16">
        <v>0.203987</v>
      </c>
      <c r="Q7" s="16">
        <v>3.1282999999999998E-2</v>
      </c>
    </row>
    <row r="8" spans="1:17" x14ac:dyDescent="0.3">
      <c r="A8">
        <v>7</v>
      </c>
      <c r="B8" t="s">
        <v>23</v>
      </c>
      <c r="C8" s="3">
        <v>8000000</v>
      </c>
      <c r="D8" s="1">
        <v>44927</v>
      </c>
      <c r="E8" s="1">
        <v>45291</v>
      </c>
      <c r="F8">
        <v>0.28999999999999998</v>
      </c>
      <c r="G8" s="2">
        <v>2320000</v>
      </c>
      <c r="H8" s="16">
        <v>0.4369401</v>
      </c>
      <c r="I8" s="16">
        <v>0.12671260000000001</v>
      </c>
      <c r="J8" s="16">
        <v>0.25</v>
      </c>
      <c r="K8" s="16">
        <v>1.9729680000000001</v>
      </c>
      <c r="L8" s="17">
        <v>6.25E-2</v>
      </c>
      <c r="M8" s="17">
        <v>0.770505</v>
      </c>
      <c r="N8" s="17">
        <v>9.7632999999999998E-2</v>
      </c>
      <c r="O8" s="17">
        <v>0.67287200000000003</v>
      </c>
      <c r="P8" s="16">
        <v>0.52241599999999999</v>
      </c>
      <c r="Q8" s="16">
        <v>1.304E-3</v>
      </c>
    </row>
    <row r="9" spans="1:17" x14ac:dyDescent="0.3">
      <c r="A9">
        <v>8</v>
      </c>
      <c r="B9" t="s">
        <v>24</v>
      </c>
      <c r="C9" s="3">
        <v>7000000</v>
      </c>
      <c r="D9" s="1">
        <v>44927</v>
      </c>
      <c r="E9" s="1">
        <v>45291</v>
      </c>
      <c r="F9">
        <v>0.25</v>
      </c>
      <c r="G9" s="2">
        <v>1750000</v>
      </c>
      <c r="H9" s="16">
        <v>0.48365269999999999</v>
      </c>
      <c r="I9" s="16">
        <v>0.1209132</v>
      </c>
      <c r="J9" s="16">
        <v>0.24702260000000001</v>
      </c>
      <c r="K9" s="16">
        <v>2.0429750000000002</v>
      </c>
      <c r="L9" s="17">
        <v>6.1019999999999998E-2</v>
      </c>
      <c r="M9" s="17">
        <v>0.74193500000000001</v>
      </c>
      <c r="N9" s="17">
        <v>8.9709999999999998E-2</v>
      </c>
      <c r="O9" s="17">
        <v>0.65222599999999997</v>
      </c>
      <c r="P9" s="16">
        <v>0.49571700000000002</v>
      </c>
      <c r="Q9" s="16">
        <v>1.4250000000000001E-3</v>
      </c>
    </row>
    <row r="10" spans="1:17" x14ac:dyDescent="0.3">
      <c r="A10">
        <v>9</v>
      </c>
      <c r="B10" t="s">
        <v>25</v>
      </c>
      <c r="C10" s="3">
        <v>7000000</v>
      </c>
      <c r="D10" s="1">
        <v>44927</v>
      </c>
      <c r="E10" s="1">
        <v>45291</v>
      </c>
      <c r="F10">
        <v>0.23</v>
      </c>
      <c r="G10" s="2">
        <v>1610000</v>
      </c>
      <c r="H10" s="16">
        <v>0.30925370000000002</v>
      </c>
      <c r="I10" s="16">
        <v>7.1128399999999994E-2</v>
      </c>
      <c r="J10" s="16">
        <v>0.1326301</v>
      </c>
      <c r="K10" s="16">
        <v>1.8646579999999999</v>
      </c>
      <c r="L10" s="17">
        <v>1.7590999999999999E-2</v>
      </c>
      <c r="M10" s="17">
        <v>2.7559049999999998</v>
      </c>
      <c r="N10" s="17">
        <v>0.196023</v>
      </c>
      <c r="O10" s="17">
        <v>2.559882</v>
      </c>
      <c r="P10" s="16">
        <v>0.67297600000000002</v>
      </c>
      <c r="Q10" s="16">
        <v>0</v>
      </c>
    </row>
    <row r="11" spans="1:17" x14ac:dyDescent="0.3">
      <c r="A11">
        <v>10</v>
      </c>
      <c r="B11" t="s">
        <v>26</v>
      </c>
      <c r="C11" s="3">
        <v>7000000</v>
      </c>
      <c r="D11" s="1">
        <v>44927</v>
      </c>
      <c r="E11" s="1">
        <v>45291</v>
      </c>
      <c r="F11">
        <v>0.26</v>
      </c>
      <c r="G11" s="2">
        <v>1820000</v>
      </c>
      <c r="H11" s="16">
        <v>0.38559700000000002</v>
      </c>
      <c r="I11" s="16">
        <v>0.1002552</v>
      </c>
      <c r="J11" s="16">
        <v>0.2450225</v>
      </c>
      <c r="K11" s="16">
        <v>2.4439869999999999</v>
      </c>
      <c r="L11" s="17">
        <v>6.0035999999999999E-2</v>
      </c>
      <c r="M11" s="17">
        <v>0.50249999999999995</v>
      </c>
      <c r="N11" s="17">
        <v>5.0377999999999999E-2</v>
      </c>
      <c r="O11" s="17">
        <v>0.452121</v>
      </c>
      <c r="P11" s="16">
        <v>0.34676800000000002</v>
      </c>
      <c r="Q11" s="16">
        <v>4.5389999999999996E-3</v>
      </c>
    </row>
    <row r="13" spans="1:17" x14ac:dyDescent="0.3">
      <c r="A13" s="18" t="s">
        <v>0</v>
      </c>
      <c r="B13" s="18" t="s">
        <v>1</v>
      </c>
      <c r="C13" s="19" t="s">
        <v>2</v>
      </c>
      <c r="D13" s="18" t="s">
        <v>3</v>
      </c>
      <c r="E13" s="18" t="s">
        <v>4</v>
      </c>
      <c r="F13" s="18" t="s">
        <v>5</v>
      </c>
      <c r="G13" s="18" t="s">
        <v>6</v>
      </c>
      <c r="H13" s="20" t="s">
        <v>7</v>
      </c>
      <c r="I13" s="20" t="s">
        <v>8</v>
      </c>
      <c r="J13" s="20" t="s">
        <v>9</v>
      </c>
      <c r="K13" s="20" t="s">
        <v>10</v>
      </c>
      <c r="L13" s="24" t="s">
        <v>11</v>
      </c>
      <c r="M13" s="24" t="s">
        <v>12</v>
      </c>
      <c r="N13" s="24" t="s">
        <v>13</v>
      </c>
      <c r="O13" s="24" t="s">
        <v>14</v>
      </c>
      <c r="P13" s="20" t="s">
        <v>15</v>
      </c>
      <c r="Q13" s="20" t="s">
        <v>16</v>
      </c>
    </row>
    <row r="14" spans="1:17" x14ac:dyDescent="0.3">
      <c r="A14" s="18">
        <v>1</v>
      </c>
      <c r="B14" s="18" t="s">
        <v>17</v>
      </c>
      <c r="C14" s="19">
        <v>7000000</v>
      </c>
      <c r="D14" s="22">
        <v>44927</v>
      </c>
      <c r="E14" s="22">
        <v>45291</v>
      </c>
      <c r="F14" s="18">
        <v>0.25</v>
      </c>
      <c r="G14" s="23">
        <v>1750000</v>
      </c>
      <c r="H14" s="20">
        <v>0.33271600000000001</v>
      </c>
      <c r="I14" s="20">
        <v>8.3179000000000003E-2</v>
      </c>
      <c r="J14" s="20">
        <v>0.23</v>
      </c>
      <c r="K14" s="20">
        <v>2.7651210000000002</v>
      </c>
      <c r="L14" s="24">
        <f>J14^2</f>
        <v>5.2900000000000003E-2</v>
      </c>
      <c r="M14" s="24">
        <f>((I14*(1-I14))/(J14^2))-1</f>
        <v>0.4415927024385633</v>
      </c>
      <c r="N14" s="24">
        <f>I14*(((I14*(1-I14))/(J14^2))-1)</f>
        <v>3.6731239396137261E-2</v>
      </c>
      <c r="O14" s="24">
        <f>(1-I14)*(((I14*(1-I14))/(J14^2))-1)</f>
        <v>0.40486146304242604</v>
      </c>
      <c r="P14" s="20">
        <v>0.27517999999999998</v>
      </c>
      <c r="Q14" s="20">
        <v>5.1720000000000004E-3</v>
      </c>
    </row>
    <row r="15" spans="1:17" x14ac:dyDescent="0.3">
      <c r="A15">
        <v>2</v>
      </c>
      <c r="B15" t="s">
        <v>18</v>
      </c>
      <c r="C15" s="3">
        <v>8000000</v>
      </c>
      <c r="D15" s="1">
        <v>44927</v>
      </c>
      <c r="E15" s="1">
        <v>45291</v>
      </c>
      <c r="F15">
        <v>0.21</v>
      </c>
      <c r="G15" s="2">
        <v>1680000</v>
      </c>
      <c r="H15" s="16">
        <v>0.33191999999999999</v>
      </c>
      <c r="I15" s="16">
        <v>6.9703200000000007E-2</v>
      </c>
      <c r="J15" s="16">
        <v>0.24</v>
      </c>
      <c r="K15" s="16">
        <v>3.443171</v>
      </c>
      <c r="L15" s="24">
        <f t="shared" ref="L15:L23" si="0">J15^2</f>
        <v>5.7599999999999998E-2</v>
      </c>
      <c r="M15" s="24">
        <f t="shared" ref="M15:M23" si="1">((I15*(1-I15))/(J15^2))-1</f>
        <v>0.12577541510000034</v>
      </c>
      <c r="N15" s="24">
        <f t="shared" ref="N15:N23" si="2">I15*(((I15*(1-I15))/(J15^2))-1)</f>
        <v>8.7669489137983444E-3</v>
      </c>
      <c r="O15" s="24">
        <f t="shared" ref="O15:O23" si="3">(1-I15)*(((I15*(1-I15))/(J15^2))-1)</f>
        <v>0.117008466186202</v>
      </c>
      <c r="P15" s="16">
        <v>0.12300700000000001</v>
      </c>
      <c r="Q15" s="16">
        <v>3.1112999999999998E-2</v>
      </c>
    </row>
    <row r="16" spans="1:17" x14ac:dyDescent="0.3">
      <c r="A16">
        <v>3</v>
      </c>
      <c r="B16" t="s">
        <v>19</v>
      </c>
      <c r="C16" s="3">
        <v>7000000</v>
      </c>
      <c r="D16" s="1">
        <v>44927</v>
      </c>
      <c r="E16" s="1">
        <v>45291</v>
      </c>
      <c r="F16">
        <v>0.21</v>
      </c>
      <c r="G16" s="2">
        <v>1470000</v>
      </c>
      <c r="H16" s="16">
        <v>0.37272620000000001</v>
      </c>
      <c r="I16" s="16">
        <v>7.8272499999999995E-2</v>
      </c>
      <c r="J16" s="16">
        <v>0.26</v>
      </c>
      <c r="K16" s="16">
        <v>3.3217279999999998</v>
      </c>
      <c r="L16" s="24">
        <f t="shared" si="0"/>
        <v>6.7600000000000007E-2</v>
      </c>
      <c r="M16" s="24">
        <f t="shared" si="1"/>
        <v>6.7247274315828331E-2</v>
      </c>
      <c r="N16" s="24">
        <f t="shared" si="2"/>
        <v>5.2636122788856723E-3</v>
      </c>
      <c r="O16" s="24">
        <f t="shared" si="3"/>
        <v>6.1983662036942659E-2</v>
      </c>
      <c r="P16" s="16">
        <v>0.110725</v>
      </c>
      <c r="Q16" s="16">
        <v>5.1039000000000001E-2</v>
      </c>
    </row>
    <row r="17" spans="1:17" x14ac:dyDescent="0.3">
      <c r="A17">
        <v>4</v>
      </c>
      <c r="B17" t="s">
        <v>20</v>
      </c>
      <c r="C17" s="3">
        <v>8000000</v>
      </c>
      <c r="D17" s="1">
        <v>44927</v>
      </c>
      <c r="E17" s="1">
        <v>45291</v>
      </c>
      <c r="F17">
        <v>0.25</v>
      </c>
      <c r="G17" s="2">
        <v>2000000</v>
      </c>
      <c r="H17" s="16">
        <v>0.37813269999999999</v>
      </c>
      <c r="I17" s="16">
        <v>9.4533199999999998E-2</v>
      </c>
      <c r="J17" s="16">
        <v>0.28000000000000003</v>
      </c>
      <c r="K17" s="16">
        <v>2.9619230000000001</v>
      </c>
      <c r="L17" s="24">
        <f t="shared" si="0"/>
        <v>7.8400000000000011E-2</v>
      </c>
      <c r="M17" s="24">
        <f t="shared" si="1"/>
        <v>9.1794312471428441E-2</v>
      </c>
      <c r="N17" s="24">
        <f t="shared" si="2"/>
        <v>8.6776100997240386E-3</v>
      </c>
      <c r="O17" s="24">
        <f t="shared" si="3"/>
        <v>8.3116702371704404E-2</v>
      </c>
      <c r="P17" s="16">
        <v>0.146258</v>
      </c>
      <c r="Q17" s="16">
        <v>5.3303000000000003E-2</v>
      </c>
    </row>
    <row r="18" spans="1:17" x14ac:dyDescent="0.3">
      <c r="A18">
        <v>5</v>
      </c>
      <c r="B18" t="s">
        <v>21</v>
      </c>
      <c r="C18" s="3">
        <v>9000000</v>
      </c>
      <c r="D18" s="1">
        <v>44927</v>
      </c>
      <c r="E18" s="1">
        <v>45291</v>
      </c>
      <c r="F18">
        <v>0.23</v>
      </c>
      <c r="G18" s="2">
        <v>2070000</v>
      </c>
      <c r="H18" s="16">
        <v>0.42152030000000001</v>
      </c>
      <c r="I18" s="16">
        <v>9.69497E-2</v>
      </c>
      <c r="J18" s="16">
        <v>0.28999720000000001</v>
      </c>
      <c r="K18" s="16">
        <v>2.9912139999999998</v>
      </c>
      <c r="L18" s="24">
        <f t="shared" si="0"/>
        <v>8.4098376007840009E-2</v>
      </c>
      <c r="M18" s="24">
        <f t="shared" si="1"/>
        <v>4.1048113244757323E-2</v>
      </c>
      <c r="N18" s="24">
        <f t="shared" si="2"/>
        <v>3.9796022646452489E-3</v>
      </c>
      <c r="O18" s="24">
        <f t="shared" si="3"/>
        <v>3.7068510980112074E-2</v>
      </c>
      <c r="P18" s="16">
        <v>0.121226</v>
      </c>
      <c r="Q18" s="16">
        <v>7.5068999999999997E-2</v>
      </c>
    </row>
    <row r="19" spans="1:17" x14ac:dyDescent="0.3">
      <c r="A19">
        <v>6</v>
      </c>
      <c r="B19" t="s">
        <v>22</v>
      </c>
      <c r="C19" s="3">
        <v>8000000</v>
      </c>
      <c r="D19" s="1">
        <v>44927</v>
      </c>
      <c r="E19" s="1">
        <v>45291</v>
      </c>
      <c r="F19">
        <v>0.24</v>
      </c>
      <c r="G19" s="2">
        <v>1920000</v>
      </c>
      <c r="H19" s="16">
        <v>0.41401490000000002</v>
      </c>
      <c r="I19" s="16">
        <v>9.9363599999999996E-2</v>
      </c>
      <c r="J19" s="16">
        <v>0.2746323</v>
      </c>
      <c r="K19" s="16">
        <v>2.7639130000000001</v>
      </c>
      <c r="L19" s="24">
        <f t="shared" si="0"/>
        <v>7.5422900203289997E-2</v>
      </c>
      <c r="M19" s="24">
        <f t="shared" si="1"/>
        <v>0.1865159620464496</v>
      </c>
      <c r="N19" s="24">
        <f t="shared" si="2"/>
        <v>1.8532897446398598E-2</v>
      </c>
      <c r="O19" s="24">
        <f t="shared" si="3"/>
        <v>0.167983064600051</v>
      </c>
      <c r="P19" s="16">
        <v>0.203987</v>
      </c>
      <c r="Q19" s="16">
        <v>3.1282999999999998E-2</v>
      </c>
    </row>
    <row r="20" spans="1:17" x14ac:dyDescent="0.3">
      <c r="A20">
        <v>7</v>
      </c>
      <c r="B20" t="s">
        <v>23</v>
      </c>
      <c r="C20" s="3">
        <v>8000000</v>
      </c>
      <c r="D20" s="1">
        <v>44927</v>
      </c>
      <c r="E20" s="1">
        <v>45291</v>
      </c>
      <c r="F20">
        <v>0.28999999999999998</v>
      </c>
      <c r="G20" s="2">
        <v>2320000</v>
      </c>
      <c r="H20" s="16">
        <v>0.4369401</v>
      </c>
      <c r="I20" s="16">
        <v>0.12671260000000001</v>
      </c>
      <c r="J20" s="16">
        <v>0.25</v>
      </c>
      <c r="K20" s="16">
        <v>1.9729680000000001</v>
      </c>
      <c r="L20" s="24">
        <f t="shared" si="0"/>
        <v>6.25E-2</v>
      </c>
      <c r="M20" s="24">
        <f t="shared" si="1"/>
        <v>0.77050427201984006</v>
      </c>
      <c r="N20" s="24">
        <f t="shared" si="2"/>
        <v>9.7632599618741198E-2</v>
      </c>
      <c r="O20" s="24">
        <f t="shared" si="3"/>
        <v>0.6728716724010988</v>
      </c>
      <c r="P20" s="16">
        <v>0.52241599999999999</v>
      </c>
      <c r="Q20" s="16">
        <v>1.304E-3</v>
      </c>
    </row>
    <row r="21" spans="1:17" x14ac:dyDescent="0.3">
      <c r="A21">
        <v>8</v>
      </c>
      <c r="B21" t="s">
        <v>24</v>
      </c>
      <c r="C21" s="3">
        <v>7000000</v>
      </c>
      <c r="D21" s="1">
        <v>44927</v>
      </c>
      <c r="E21" s="1">
        <v>45291</v>
      </c>
      <c r="F21">
        <v>0.25</v>
      </c>
      <c r="G21" s="2">
        <v>1750000</v>
      </c>
      <c r="H21" s="16">
        <v>0.48365269999999999</v>
      </c>
      <c r="I21" s="16">
        <v>0.1209132</v>
      </c>
      <c r="J21" s="16">
        <v>0.24702260000000001</v>
      </c>
      <c r="K21" s="16">
        <v>2.0429750000000002</v>
      </c>
      <c r="L21" s="24">
        <f t="shared" si="0"/>
        <v>6.1020164910760004E-2</v>
      </c>
      <c r="M21" s="24">
        <f t="shared" si="1"/>
        <v>0.74193560802744996</v>
      </c>
      <c r="N21" s="24">
        <f t="shared" si="2"/>
        <v>8.9709808560544654E-2</v>
      </c>
      <c r="O21" s="24">
        <f t="shared" si="3"/>
        <v>0.65222579946690529</v>
      </c>
      <c r="P21" s="16">
        <v>0.49571700000000002</v>
      </c>
      <c r="Q21" s="16">
        <v>1.4250000000000001E-3</v>
      </c>
    </row>
    <row r="22" spans="1:17" x14ac:dyDescent="0.3">
      <c r="A22">
        <v>9</v>
      </c>
      <c r="B22" t="s">
        <v>25</v>
      </c>
      <c r="C22" s="3">
        <v>7000000</v>
      </c>
      <c r="D22" s="1">
        <v>44927</v>
      </c>
      <c r="E22" s="1">
        <v>45291</v>
      </c>
      <c r="F22">
        <v>0.23</v>
      </c>
      <c r="G22" s="2">
        <v>1610000</v>
      </c>
      <c r="H22" s="16">
        <v>0.30925370000000002</v>
      </c>
      <c r="I22" s="16">
        <v>7.1128399999999994E-2</v>
      </c>
      <c r="J22" s="16">
        <v>0.1326301</v>
      </c>
      <c r="K22" s="16">
        <v>1.8646579999999999</v>
      </c>
      <c r="L22" s="24">
        <f t="shared" si="0"/>
        <v>1.7590743426010001E-2</v>
      </c>
      <c r="M22" s="24">
        <f t="shared" si="1"/>
        <v>2.7559044045716066</v>
      </c>
      <c r="N22" s="24">
        <f t="shared" si="2"/>
        <v>0.19602307085013104</v>
      </c>
      <c r="O22" s="24">
        <f t="shared" si="3"/>
        <v>2.5598813337214756</v>
      </c>
      <c r="P22" s="16">
        <v>0.67297600000000002</v>
      </c>
      <c r="Q22" s="16">
        <v>0</v>
      </c>
    </row>
    <row r="23" spans="1:17" x14ac:dyDescent="0.3">
      <c r="A23">
        <v>10</v>
      </c>
      <c r="B23" t="s">
        <v>26</v>
      </c>
      <c r="C23" s="3">
        <v>7000000</v>
      </c>
      <c r="D23" s="1">
        <v>44927</v>
      </c>
      <c r="E23" s="1">
        <v>45291</v>
      </c>
      <c r="F23">
        <v>0.26</v>
      </c>
      <c r="G23" s="2">
        <v>1820000</v>
      </c>
      <c r="H23" s="16">
        <v>0.38559700000000002</v>
      </c>
      <c r="I23" s="16">
        <v>0.1002552</v>
      </c>
      <c r="J23" s="16">
        <v>0.2450225</v>
      </c>
      <c r="K23" s="16">
        <v>2.4439869999999999</v>
      </c>
      <c r="L23" s="24">
        <f t="shared" si="0"/>
        <v>6.003602550625E-2</v>
      </c>
      <c r="M23" s="24">
        <f t="shared" si="1"/>
        <v>0.5024994428315277</v>
      </c>
      <c r="N23" s="24">
        <f t="shared" si="2"/>
        <v>5.037818214096338E-2</v>
      </c>
      <c r="O23" s="24">
        <f t="shared" si="3"/>
        <v>0.45212126069056435</v>
      </c>
      <c r="P23" s="16">
        <v>0.34676800000000002</v>
      </c>
      <c r="Q23" s="16">
        <v>4.5389999999999996E-3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"/>
  <sheetViews>
    <sheetView topLeftCell="B1" workbookViewId="0">
      <selection activeCell="P24" sqref="P24"/>
    </sheetView>
  </sheetViews>
  <sheetFormatPr defaultRowHeight="14.4" x14ac:dyDescent="0.3"/>
  <cols>
    <col min="1" max="1" width="11.6640625" bestFit="1" customWidth="1"/>
    <col min="2" max="2" width="14.88671875" bestFit="1" customWidth="1"/>
    <col min="3" max="3" width="13.33203125" style="3" bestFit="1" customWidth="1"/>
    <col min="4" max="4" width="9.109375" style="4"/>
    <col min="5" max="5" width="13.6640625" bestFit="1" customWidth="1"/>
    <col min="6" max="6" width="14.33203125" bestFit="1" customWidth="1"/>
    <col min="7" max="8" width="14.33203125" customWidth="1"/>
    <col min="9" max="9" width="9.109375" style="4"/>
    <col min="10" max="10" width="12.5546875" style="3" bestFit="1" customWidth="1"/>
    <col min="11" max="11" width="12.21875" style="3" customWidth="1"/>
    <col min="12" max="13" width="11.6640625" style="3" bestFit="1" customWidth="1"/>
    <col min="14" max="14" width="12.5546875" style="3" bestFit="1" customWidth="1"/>
    <col min="15" max="15" width="13.77734375" bestFit="1" customWidth="1"/>
    <col min="16" max="16" width="10.5546875" bestFit="1" customWidth="1"/>
  </cols>
  <sheetData>
    <row r="1" spans="1:16" x14ac:dyDescent="0.3">
      <c r="A1" t="s">
        <v>0</v>
      </c>
      <c r="B1" t="s">
        <v>1</v>
      </c>
      <c r="C1" s="3" t="s">
        <v>2</v>
      </c>
      <c r="D1" s="4" t="s">
        <v>5</v>
      </c>
      <c r="E1" t="s">
        <v>3</v>
      </c>
      <c r="F1" t="s">
        <v>4</v>
      </c>
      <c r="G1" s="4" t="s">
        <v>8</v>
      </c>
      <c r="H1" s="4" t="s">
        <v>7</v>
      </c>
      <c r="I1" s="4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33</v>
      </c>
      <c r="P1" s="3" t="s">
        <v>34</v>
      </c>
    </row>
    <row r="2" spans="1:16" x14ac:dyDescent="0.3">
      <c r="A2">
        <v>1</v>
      </c>
      <c r="B2" t="s">
        <v>17</v>
      </c>
      <c r="C2" s="3">
        <v>7000000</v>
      </c>
      <c r="D2" s="5">
        <v>0.25</v>
      </c>
      <c r="E2" s="1">
        <v>44927</v>
      </c>
      <c r="F2" s="1">
        <v>45291</v>
      </c>
      <c r="G2" s="6">
        <v>8.3179000000000003E-2</v>
      </c>
      <c r="H2" s="6">
        <v>0.33271600000000001</v>
      </c>
      <c r="I2" s="6">
        <f>J2/C2</f>
        <v>0</v>
      </c>
      <c r="J2" s="3">
        <v>0</v>
      </c>
      <c r="K2" s="3">
        <f>I2*D2*C2</f>
        <v>0</v>
      </c>
      <c r="L2" s="3">
        <f>G2*I2*C2</f>
        <v>0</v>
      </c>
      <c r="M2" s="3">
        <v>250000</v>
      </c>
      <c r="N2" s="3">
        <f>50%*C2</f>
        <v>3500000</v>
      </c>
      <c r="O2" s="4">
        <f>(M2-J2)/$C2</f>
        <v>3.5714285714285712E-2</v>
      </c>
      <c r="P2" s="4">
        <f t="shared" ref="P2:P11" si="0">(N2-K2)/$C2</f>
        <v>0.5</v>
      </c>
    </row>
    <row r="3" spans="1:16" x14ac:dyDescent="0.3">
      <c r="A3">
        <v>2</v>
      </c>
      <c r="B3" t="s">
        <v>18</v>
      </c>
      <c r="C3" s="3">
        <v>8000000</v>
      </c>
      <c r="D3" s="5">
        <v>0.21</v>
      </c>
      <c r="E3" s="1">
        <v>44927</v>
      </c>
      <c r="F3" s="1">
        <v>45291</v>
      </c>
      <c r="G3" s="6">
        <v>6.9703200000000007E-2</v>
      </c>
      <c r="H3" s="6">
        <v>0.33191999999999999</v>
      </c>
      <c r="I3" s="6">
        <f t="shared" ref="I3:I11" si="1">J3/C3</f>
        <v>0</v>
      </c>
      <c r="J3" s="3">
        <v>0</v>
      </c>
      <c r="K3" s="3">
        <f t="shared" ref="K3:K11" si="2">I3*D3*C3</f>
        <v>0</v>
      </c>
      <c r="L3" s="3">
        <f t="shared" ref="L3:L11" si="3">G3*I3*C3</f>
        <v>0</v>
      </c>
      <c r="M3" s="3">
        <v>250000</v>
      </c>
      <c r="N3" s="3">
        <f t="shared" ref="N3:N11" si="4">50%*C3</f>
        <v>4000000</v>
      </c>
      <c r="O3" s="4">
        <f t="shared" ref="O3:O11" si="5">(M3-J3)/$C3</f>
        <v>3.125E-2</v>
      </c>
      <c r="P3" s="4">
        <f t="shared" si="0"/>
        <v>0.5</v>
      </c>
    </row>
    <row r="4" spans="1:16" x14ac:dyDescent="0.3">
      <c r="A4">
        <v>3</v>
      </c>
      <c r="B4" t="s">
        <v>19</v>
      </c>
      <c r="C4" s="3">
        <v>7000000</v>
      </c>
      <c r="D4" s="5">
        <v>0.21</v>
      </c>
      <c r="E4" s="1">
        <v>44927</v>
      </c>
      <c r="F4" s="1">
        <v>45291</v>
      </c>
      <c r="G4" s="6">
        <v>7.8272499999999995E-2</v>
      </c>
      <c r="H4" s="6">
        <v>0.37272620000000001</v>
      </c>
      <c r="I4" s="6">
        <f t="shared" si="1"/>
        <v>0</v>
      </c>
      <c r="J4" s="3">
        <v>0</v>
      </c>
      <c r="K4" s="3">
        <f t="shared" si="2"/>
        <v>0</v>
      </c>
      <c r="L4" s="3">
        <f t="shared" si="3"/>
        <v>0</v>
      </c>
      <c r="M4" s="3">
        <v>250000</v>
      </c>
      <c r="N4" s="3">
        <f t="shared" si="4"/>
        <v>3500000</v>
      </c>
      <c r="O4" s="4">
        <f t="shared" si="5"/>
        <v>3.5714285714285712E-2</v>
      </c>
      <c r="P4" s="4">
        <f t="shared" si="0"/>
        <v>0.5</v>
      </c>
    </row>
    <row r="5" spans="1:16" x14ac:dyDescent="0.3">
      <c r="A5">
        <v>4</v>
      </c>
      <c r="B5" t="s">
        <v>20</v>
      </c>
      <c r="C5" s="3">
        <v>8000000</v>
      </c>
      <c r="D5" s="5">
        <v>0.25</v>
      </c>
      <c r="E5" s="1">
        <v>44927</v>
      </c>
      <c r="F5" s="1">
        <v>45291</v>
      </c>
      <c r="G5" s="6">
        <v>9.4533199999999998E-2</v>
      </c>
      <c r="H5" s="6">
        <v>0.37813269999999999</v>
      </c>
      <c r="I5" s="6">
        <f t="shared" si="1"/>
        <v>0</v>
      </c>
      <c r="J5" s="3">
        <v>0</v>
      </c>
      <c r="K5" s="3">
        <f t="shared" si="2"/>
        <v>0</v>
      </c>
      <c r="L5" s="3">
        <f t="shared" si="3"/>
        <v>0</v>
      </c>
      <c r="M5" s="3">
        <v>250000</v>
      </c>
      <c r="N5" s="3">
        <f t="shared" si="4"/>
        <v>4000000</v>
      </c>
      <c r="O5" s="4">
        <f t="shared" si="5"/>
        <v>3.125E-2</v>
      </c>
      <c r="P5" s="4">
        <f t="shared" si="0"/>
        <v>0.5</v>
      </c>
    </row>
    <row r="6" spans="1:16" x14ac:dyDescent="0.3">
      <c r="A6">
        <v>5</v>
      </c>
      <c r="B6" t="s">
        <v>21</v>
      </c>
      <c r="C6" s="3">
        <v>9000000</v>
      </c>
      <c r="D6" s="5">
        <v>0.23</v>
      </c>
      <c r="E6" s="1">
        <v>44927</v>
      </c>
      <c r="F6" s="1">
        <v>45291</v>
      </c>
      <c r="G6" s="6">
        <v>9.69497E-2</v>
      </c>
      <c r="H6" s="6">
        <v>0.42152030000000001</v>
      </c>
      <c r="I6" s="6">
        <f t="shared" si="1"/>
        <v>0</v>
      </c>
      <c r="J6" s="3">
        <v>0</v>
      </c>
      <c r="K6" s="3">
        <f t="shared" si="2"/>
        <v>0</v>
      </c>
      <c r="L6" s="3">
        <f t="shared" si="3"/>
        <v>0</v>
      </c>
      <c r="M6" s="3">
        <v>250000</v>
      </c>
      <c r="N6" s="3">
        <f t="shared" si="4"/>
        <v>4500000</v>
      </c>
      <c r="O6" s="4">
        <f t="shared" si="5"/>
        <v>2.7777777777777776E-2</v>
      </c>
      <c r="P6" s="4">
        <f t="shared" si="0"/>
        <v>0.5</v>
      </c>
    </row>
    <row r="7" spans="1:16" x14ac:dyDescent="0.3">
      <c r="A7">
        <v>6</v>
      </c>
      <c r="B7" t="s">
        <v>22</v>
      </c>
      <c r="C7" s="3">
        <v>8000000</v>
      </c>
      <c r="D7" s="5">
        <v>0.24</v>
      </c>
      <c r="E7" s="1">
        <v>44927</v>
      </c>
      <c r="F7" s="1">
        <v>45291</v>
      </c>
      <c r="G7" s="6">
        <v>9.9363599999999996E-2</v>
      </c>
      <c r="H7" s="6">
        <v>0.41401490000000002</v>
      </c>
      <c r="I7" s="6">
        <f t="shared" si="1"/>
        <v>0</v>
      </c>
      <c r="J7" s="3">
        <v>0</v>
      </c>
      <c r="K7" s="3">
        <f t="shared" si="2"/>
        <v>0</v>
      </c>
      <c r="L7" s="3">
        <f t="shared" si="3"/>
        <v>0</v>
      </c>
      <c r="M7" s="3">
        <v>250000</v>
      </c>
      <c r="N7" s="3">
        <f t="shared" si="4"/>
        <v>4000000</v>
      </c>
      <c r="O7" s="4">
        <f t="shared" si="5"/>
        <v>3.125E-2</v>
      </c>
      <c r="P7" s="4">
        <f t="shared" si="0"/>
        <v>0.5</v>
      </c>
    </row>
    <row r="8" spans="1:16" s="10" customFormat="1" x14ac:dyDescent="0.3">
      <c r="A8" s="10">
        <v>7</v>
      </c>
      <c r="B8" s="10" t="s">
        <v>23</v>
      </c>
      <c r="C8" s="11">
        <v>8000000</v>
      </c>
      <c r="D8" s="12">
        <v>0.28999999999999998</v>
      </c>
      <c r="E8" s="13">
        <v>44927</v>
      </c>
      <c r="F8" s="13">
        <v>45291</v>
      </c>
      <c r="G8" s="14">
        <v>0.12671260000000001</v>
      </c>
      <c r="H8" s="14">
        <v>0.4369401</v>
      </c>
      <c r="I8" s="14">
        <f t="shared" si="1"/>
        <v>0.375</v>
      </c>
      <c r="J8" s="11">
        <v>3000000</v>
      </c>
      <c r="K8" s="11">
        <f t="shared" si="2"/>
        <v>869999.99999999988</v>
      </c>
      <c r="L8" s="11">
        <f t="shared" si="3"/>
        <v>380137.80000000005</v>
      </c>
      <c r="M8" s="11">
        <v>250000</v>
      </c>
      <c r="N8" s="11">
        <f t="shared" si="4"/>
        <v>4000000</v>
      </c>
      <c r="O8" s="15">
        <f t="shared" si="5"/>
        <v>-0.34375</v>
      </c>
      <c r="P8" s="15">
        <f t="shared" si="0"/>
        <v>0.39124999999999999</v>
      </c>
    </row>
    <row r="9" spans="1:16" s="10" customFormat="1" x14ac:dyDescent="0.3">
      <c r="A9" s="10">
        <v>8</v>
      </c>
      <c r="B9" s="10" t="s">
        <v>24</v>
      </c>
      <c r="C9" s="11">
        <v>7000000</v>
      </c>
      <c r="D9" s="12">
        <v>0.25</v>
      </c>
      <c r="E9" s="13">
        <v>44927</v>
      </c>
      <c r="F9" s="13">
        <v>45291</v>
      </c>
      <c r="G9" s="14">
        <v>0.1209132</v>
      </c>
      <c r="H9" s="14">
        <v>0.48365269999999999</v>
      </c>
      <c r="I9" s="14">
        <f t="shared" si="1"/>
        <v>0.2857142857142857</v>
      </c>
      <c r="J9" s="11">
        <v>2000000</v>
      </c>
      <c r="K9" s="11">
        <f t="shared" si="2"/>
        <v>500000</v>
      </c>
      <c r="L9" s="11">
        <f t="shared" si="3"/>
        <v>241826.39999999997</v>
      </c>
      <c r="M9" s="11">
        <v>250000</v>
      </c>
      <c r="N9" s="11">
        <f t="shared" si="4"/>
        <v>3500000</v>
      </c>
      <c r="O9" s="15">
        <f t="shared" si="5"/>
        <v>-0.25</v>
      </c>
      <c r="P9" s="15">
        <f t="shared" si="0"/>
        <v>0.42857142857142855</v>
      </c>
    </row>
    <row r="10" spans="1:16" x14ac:dyDescent="0.3">
      <c r="A10">
        <v>9</v>
      </c>
      <c r="B10" t="s">
        <v>25</v>
      </c>
      <c r="C10" s="3">
        <v>7000000</v>
      </c>
      <c r="D10" s="5">
        <v>0.23</v>
      </c>
      <c r="E10" s="1">
        <v>44927</v>
      </c>
      <c r="F10" s="1">
        <v>45291</v>
      </c>
      <c r="G10" s="6">
        <v>7.1128399999999994E-2</v>
      </c>
      <c r="H10" s="6">
        <v>0.30925370000000002</v>
      </c>
      <c r="I10" s="6">
        <f t="shared" si="1"/>
        <v>0</v>
      </c>
      <c r="J10" s="3">
        <v>0</v>
      </c>
      <c r="K10" s="3">
        <f t="shared" si="2"/>
        <v>0</v>
      </c>
      <c r="L10" s="3">
        <f t="shared" si="3"/>
        <v>0</v>
      </c>
      <c r="M10" s="3">
        <v>250000</v>
      </c>
      <c r="N10" s="3">
        <f t="shared" si="4"/>
        <v>3500000</v>
      </c>
      <c r="O10" s="4">
        <f t="shared" si="5"/>
        <v>3.5714285714285712E-2</v>
      </c>
      <c r="P10" s="4">
        <f t="shared" si="0"/>
        <v>0.5</v>
      </c>
    </row>
    <row r="11" spans="1:16" s="10" customFormat="1" x14ac:dyDescent="0.3">
      <c r="A11" s="10">
        <v>10</v>
      </c>
      <c r="B11" s="10" t="s">
        <v>26</v>
      </c>
      <c r="C11" s="11">
        <v>7000000</v>
      </c>
      <c r="D11" s="12">
        <v>0.26</v>
      </c>
      <c r="E11" s="13">
        <v>44927</v>
      </c>
      <c r="F11" s="13">
        <v>45291</v>
      </c>
      <c r="G11" s="14">
        <v>0.1002552</v>
      </c>
      <c r="H11" s="14">
        <v>0.38559700000000002</v>
      </c>
      <c r="I11" s="14">
        <f t="shared" si="1"/>
        <v>0.14285714285714285</v>
      </c>
      <c r="J11" s="11">
        <v>1000000</v>
      </c>
      <c r="K11" s="11">
        <f t="shared" si="2"/>
        <v>260000</v>
      </c>
      <c r="L11" s="11">
        <f t="shared" si="3"/>
        <v>100255.2</v>
      </c>
      <c r="M11" s="11">
        <v>250000</v>
      </c>
      <c r="N11" s="11">
        <f t="shared" si="4"/>
        <v>3500000</v>
      </c>
      <c r="O11" s="15">
        <f t="shared" si="5"/>
        <v>-0.10714285714285714</v>
      </c>
      <c r="P11" s="15">
        <f t="shared" si="0"/>
        <v>0.46285714285714286</v>
      </c>
    </row>
    <row r="14" spans="1:16" x14ac:dyDescent="0.3">
      <c r="O14" s="26"/>
    </row>
    <row r="15" spans="1:16" x14ac:dyDescent="0.3">
      <c r="O15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"/>
  <sheetViews>
    <sheetView workbookViewId="0">
      <selection activeCell="G23" sqref="G23"/>
    </sheetView>
  </sheetViews>
  <sheetFormatPr defaultRowHeight="14.4" x14ac:dyDescent="0.3"/>
  <cols>
    <col min="2" max="2" width="14.6640625" bestFit="1" customWidth="1"/>
    <col min="3" max="3" width="12.6640625" bestFit="1" customWidth="1"/>
    <col min="4" max="4" width="16.33203125" bestFit="1" customWidth="1"/>
    <col min="5" max="5" width="12.5546875" style="3" bestFit="1" customWidth="1"/>
    <col min="6" max="6" width="8.6640625" style="7" bestFit="1" customWidth="1"/>
    <col min="7" max="7" width="13.6640625" bestFit="1" customWidth="1"/>
    <col min="8" max="8" width="14.33203125" bestFit="1" customWidth="1"/>
    <col min="9" max="9" width="11.109375" style="9" bestFit="1" customWidth="1"/>
    <col min="10" max="10" width="11.33203125" bestFit="1" customWidth="1"/>
    <col min="11" max="11" width="10.6640625" bestFit="1" customWidth="1"/>
    <col min="12" max="12" width="12.5546875" style="10" bestFit="1" customWidth="1"/>
    <col min="13" max="13" width="10.5546875" bestFit="1" customWidth="1"/>
    <col min="14" max="14" width="11.5546875" bestFit="1" customWidth="1"/>
  </cols>
  <sheetData>
    <row r="1" spans="1:14" x14ac:dyDescent="0.3">
      <c r="A1" t="s">
        <v>35</v>
      </c>
      <c r="B1" t="s">
        <v>36</v>
      </c>
      <c r="C1" t="s">
        <v>0</v>
      </c>
      <c r="D1" t="s">
        <v>1</v>
      </c>
      <c r="E1" s="3" t="s">
        <v>2</v>
      </c>
      <c r="F1" s="5" t="s">
        <v>5</v>
      </c>
      <c r="G1" t="s">
        <v>3</v>
      </c>
      <c r="H1" t="s">
        <v>4</v>
      </c>
      <c r="I1" s="8" t="s">
        <v>37</v>
      </c>
      <c r="J1" s="4" t="s">
        <v>33</v>
      </c>
      <c r="K1" s="4" t="s">
        <v>34</v>
      </c>
      <c r="L1" s="11" t="s">
        <v>38</v>
      </c>
      <c r="M1" s="3"/>
      <c r="N1" s="3"/>
    </row>
    <row r="2" spans="1:14" x14ac:dyDescent="0.3">
      <c r="A2">
        <v>1</v>
      </c>
      <c r="B2" t="s">
        <v>39</v>
      </c>
      <c r="C2">
        <v>1</v>
      </c>
      <c r="D2" t="s">
        <v>17</v>
      </c>
      <c r="E2" s="3">
        <v>7000000</v>
      </c>
      <c r="F2" s="7">
        <v>0.25</v>
      </c>
      <c r="G2" s="1">
        <v>44927</v>
      </c>
      <c r="H2" s="1">
        <v>45291</v>
      </c>
      <c r="I2" s="9">
        <v>0</v>
      </c>
      <c r="J2" s="9">
        <v>3.5714285714285712E-2</v>
      </c>
      <c r="K2" s="9">
        <v>0.5</v>
      </c>
      <c r="L2" s="10" t="b">
        <f>IF(J2=K2,FALSE,TRUE)</f>
        <v>1</v>
      </c>
    </row>
    <row r="3" spans="1:14" x14ac:dyDescent="0.3">
      <c r="A3">
        <v>2</v>
      </c>
      <c r="B3" t="s">
        <v>39</v>
      </c>
      <c r="C3">
        <v>2</v>
      </c>
      <c r="D3" t="s">
        <v>18</v>
      </c>
      <c r="E3" s="3">
        <v>8000000</v>
      </c>
      <c r="F3" s="7">
        <v>0.21</v>
      </c>
      <c r="G3" s="1">
        <v>44927</v>
      </c>
      <c r="H3" s="1">
        <v>45291</v>
      </c>
      <c r="I3" s="9">
        <v>0</v>
      </c>
      <c r="J3" s="9">
        <v>3.125E-2</v>
      </c>
      <c r="K3" s="9">
        <v>0.5</v>
      </c>
      <c r="L3" s="10" t="b">
        <f t="shared" ref="L3:L14" si="0">IF(J3=K3,FALSE,TRUE)</f>
        <v>1</v>
      </c>
    </row>
    <row r="4" spans="1:14" x14ac:dyDescent="0.3">
      <c r="A4">
        <v>3</v>
      </c>
      <c r="B4" t="s">
        <v>39</v>
      </c>
      <c r="C4">
        <v>3</v>
      </c>
      <c r="D4" t="s">
        <v>19</v>
      </c>
      <c r="E4" s="3">
        <v>7000000</v>
      </c>
      <c r="F4" s="7">
        <v>0.21</v>
      </c>
      <c r="G4" s="1">
        <v>44927</v>
      </c>
      <c r="H4" s="1">
        <v>45291</v>
      </c>
      <c r="I4" s="9">
        <v>0</v>
      </c>
      <c r="J4" s="9">
        <v>3.5714285714285712E-2</v>
      </c>
      <c r="K4" s="9">
        <v>0.5</v>
      </c>
      <c r="L4" s="10" t="b">
        <f t="shared" si="0"/>
        <v>1</v>
      </c>
    </row>
    <row r="5" spans="1:14" x14ac:dyDescent="0.3">
      <c r="A5">
        <v>4</v>
      </c>
      <c r="B5" t="s">
        <v>39</v>
      </c>
      <c r="C5">
        <v>4</v>
      </c>
      <c r="D5" t="s">
        <v>20</v>
      </c>
      <c r="E5" s="3">
        <v>8000000</v>
      </c>
      <c r="F5" s="7">
        <v>0.25</v>
      </c>
      <c r="G5" s="1">
        <v>44927</v>
      </c>
      <c r="H5" s="1">
        <v>45291</v>
      </c>
      <c r="I5" s="9">
        <v>0</v>
      </c>
      <c r="J5" s="9">
        <v>3.125E-2</v>
      </c>
      <c r="K5" s="9">
        <v>0.5</v>
      </c>
      <c r="L5" s="10" t="b">
        <f t="shared" si="0"/>
        <v>1</v>
      </c>
    </row>
    <row r="6" spans="1:14" x14ac:dyDescent="0.3">
      <c r="A6">
        <v>5</v>
      </c>
      <c r="B6" t="s">
        <v>39</v>
      </c>
      <c r="C6">
        <v>5</v>
      </c>
      <c r="D6" t="s">
        <v>21</v>
      </c>
      <c r="E6" s="3">
        <v>9000000</v>
      </c>
      <c r="F6" s="7">
        <v>0.23</v>
      </c>
      <c r="G6" s="1">
        <v>44927</v>
      </c>
      <c r="H6" s="1">
        <v>45291</v>
      </c>
      <c r="I6" s="9">
        <v>0</v>
      </c>
      <c r="J6" s="9">
        <v>2.7777777777777776E-2</v>
      </c>
      <c r="K6" s="9">
        <v>0.5</v>
      </c>
      <c r="L6" s="10" t="b">
        <f t="shared" si="0"/>
        <v>1</v>
      </c>
    </row>
    <row r="7" spans="1:14" x14ac:dyDescent="0.3">
      <c r="A7">
        <v>6</v>
      </c>
      <c r="B7" t="s">
        <v>39</v>
      </c>
      <c r="C7">
        <v>6</v>
      </c>
      <c r="D7" t="s">
        <v>22</v>
      </c>
      <c r="E7" s="3">
        <v>8000000</v>
      </c>
      <c r="F7" s="7">
        <v>0.24</v>
      </c>
      <c r="G7" s="1">
        <v>44927</v>
      </c>
      <c r="H7" s="1">
        <v>45291</v>
      </c>
      <c r="I7" s="9">
        <v>0</v>
      </c>
      <c r="J7" s="9">
        <v>3.125E-2</v>
      </c>
      <c r="K7" s="9">
        <v>0.5</v>
      </c>
      <c r="L7" s="10" t="b">
        <f t="shared" si="0"/>
        <v>1</v>
      </c>
    </row>
    <row r="8" spans="1:14" x14ac:dyDescent="0.3">
      <c r="A8">
        <v>7</v>
      </c>
      <c r="B8" t="s">
        <v>39</v>
      </c>
      <c r="C8">
        <v>7</v>
      </c>
      <c r="D8" t="s">
        <v>23</v>
      </c>
      <c r="E8" s="3">
        <v>8000000</v>
      </c>
      <c r="F8" s="7">
        <v>0.28999999999999998</v>
      </c>
      <c r="G8" s="1">
        <v>44927</v>
      </c>
      <c r="H8" s="1">
        <v>45291</v>
      </c>
      <c r="I8" s="9">
        <v>0</v>
      </c>
      <c r="J8" s="9">
        <v>-0.34375</v>
      </c>
      <c r="K8" s="9">
        <v>0.39124999999999999</v>
      </c>
      <c r="L8" s="10" t="b">
        <f t="shared" si="0"/>
        <v>1</v>
      </c>
    </row>
    <row r="9" spans="1:14" x14ac:dyDescent="0.3">
      <c r="A9">
        <v>8</v>
      </c>
      <c r="B9" t="s">
        <v>39</v>
      </c>
      <c r="C9">
        <v>8</v>
      </c>
      <c r="D9" t="s">
        <v>24</v>
      </c>
      <c r="E9" s="3">
        <v>7000000</v>
      </c>
      <c r="F9" s="7">
        <v>0.25</v>
      </c>
      <c r="G9" s="1">
        <v>44927</v>
      </c>
      <c r="H9" s="1">
        <v>45291</v>
      </c>
      <c r="I9" s="9">
        <v>0</v>
      </c>
      <c r="J9" s="9">
        <v>-0.25</v>
      </c>
      <c r="K9" s="9">
        <v>0.42857142857142855</v>
      </c>
      <c r="L9" s="10" t="b">
        <f t="shared" si="0"/>
        <v>1</v>
      </c>
    </row>
    <row r="10" spans="1:14" x14ac:dyDescent="0.3">
      <c r="A10">
        <v>9</v>
      </c>
      <c r="B10" t="s">
        <v>39</v>
      </c>
      <c r="C10">
        <v>9</v>
      </c>
      <c r="D10" t="s">
        <v>25</v>
      </c>
      <c r="E10" s="3">
        <v>7000000</v>
      </c>
      <c r="F10" s="7">
        <v>0.23</v>
      </c>
      <c r="G10" s="1">
        <v>44927</v>
      </c>
      <c r="H10" s="1">
        <v>45291</v>
      </c>
      <c r="I10" s="9">
        <v>0</v>
      </c>
      <c r="J10" s="9">
        <v>3.5714285714285712E-2</v>
      </c>
      <c r="K10" s="9">
        <v>0.5</v>
      </c>
      <c r="L10" s="10" t="b">
        <f t="shared" si="0"/>
        <v>1</v>
      </c>
    </row>
    <row r="11" spans="1:14" x14ac:dyDescent="0.3">
      <c r="A11">
        <v>10</v>
      </c>
      <c r="B11" t="s">
        <v>39</v>
      </c>
      <c r="C11">
        <v>10</v>
      </c>
      <c r="D11" t="s">
        <v>26</v>
      </c>
      <c r="E11" s="3">
        <v>7000000</v>
      </c>
      <c r="F11" s="7">
        <v>0.26</v>
      </c>
      <c r="G11" s="1">
        <v>44927</v>
      </c>
      <c r="H11" s="1">
        <v>45291</v>
      </c>
      <c r="I11" s="9">
        <v>0</v>
      </c>
      <c r="J11" s="9">
        <v>-0.10714285714285714</v>
      </c>
      <c r="K11" s="9">
        <v>0.46285714285714286</v>
      </c>
      <c r="L11" s="10" t="b">
        <f t="shared" si="0"/>
        <v>1</v>
      </c>
    </row>
    <row r="12" spans="1:14" x14ac:dyDescent="0.3">
      <c r="A12">
        <v>17</v>
      </c>
      <c r="B12" t="s">
        <v>40</v>
      </c>
      <c r="C12">
        <v>7</v>
      </c>
      <c r="D12" t="s">
        <v>23</v>
      </c>
      <c r="E12" s="3">
        <v>8000000</v>
      </c>
      <c r="F12" s="5">
        <v>0.28999999999999998</v>
      </c>
      <c r="G12" s="1">
        <v>44927</v>
      </c>
      <c r="H12" s="1">
        <v>45291</v>
      </c>
      <c r="I12" s="8">
        <v>0.375</v>
      </c>
      <c r="J12" s="8">
        <v>0.375</v>
      </c>
      <c r="K12" s="8">
        <v>0.375</v>
      </c>
      <c r="L12" s="10" t="b">
        <f t="shared" si="0"/>
        <v>0</v>
      </c>
    </row>
    <row r="13" spans="1:14" x14ac:dyDescent="0.3">
      <c r="A13">
        <v>18</v>
      </c>
      <c r="B13" t="s">
        <v>40</v>
      </c>
      <c r="C13">
        <v>8</v>
      </c>
      <c r="D13" t="s">
        <v>24</v>
      </c>
      <c r="E13" s="3">
        <v>7000000</v>
      </c>
      <c r="F13" s="5">
        <v>0.25</v>
      </c>
      <c r="G13" s="1">
        <v>44927</v>
      </c>
      <c r="H13" s="1">
        <v>45291</v>
      </c>
      <c r="I13" s="8">
        <v>0.2857142857142857</v>
      </c>
      <c r="J13" s="8">
        <v>0.2857142857142857</v>
      </c>
      <c r="K13" s="8">
        <v>0.2857142857142857</v>
      </c>
      <c r="L13" s="10" t="b">
        <f t="shared" si="0"/>
        <v>0</v>
      </c>
    </row>
    <row r="14" spans="1:14" x14ac:dyDescent="0.3">
      <c r="A14">
        <v>20</v>
      </c>
      <c r="B14" t="s">
        <v>40</v>
      </c>
      <c r="C14">
        <v>10</v>
      </c>
      <c r="D14" t="s">
        <v>26</v>
      </c>
      <c r="E14" s="3">
        <v>7000000</v>
      </c>
      <c r="F14" s="5">
        <v>0.26</v>
      </c>
      <c r="G14" s="1">
        <v>44927</v>
      </c>
      <c r="H14" s="1">
        <v>45291</v>
      </c>
      <c r="I14" s="8">
        <v>0.14285714285714285</v>
      </c>
      <c r="J14" s="8">
        <v>0.14285714285714285</v>
      </c>
      <c r="K14" s="8">
        <v>0.14285714285714285</v>
      </c>
      <c r="L14" s="10" t="b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tabSelected="1" workbookViewId="0">
      <selection activeCell="F24" sqref="F24"/>
    </sheetView>
  </sheetViews>
  <sheetFormatPr defaultRowHeight="14.4" x14ac:dyDescent="0.3"/>
  <cols>
    <col min="1" max="1" width="11.44140625" bestFit="1" customWidth="1"/>
    <col min="2" max="2" width="14" bestFit="1" customWidth="1"/>
    <col min="3" max="3" width="17.6640625" bestFit="1" customWidth="1"/>
    <col min="4" max="4" width="6.5546875" bestFit="1" customWidth="1"/>
    <col min="5" max="5" width="16" bestFit="1" customWidth="1"/>
    <col min="6" max="6" width="12.88671875" bestFit="1" customWidth="1"/>
  </cols>
  <sheetData>
    <row r="1" spans="1:6" x14ac:dyDescent="0.3">
      <c r="A1" s="18" t="s">
        <v>41</v>
      </c>
      <c r="B1" s="18" t="s">
        <v>42</v>
      </c>
      <c r="C1" s="18" t="s">
        <v>43</v>
      </c>
      <c r="D1" s="18" t="s">
        <v>44</v>
      </c>
      <c r="E1" s="18" t="s">
        <v>45</v>
      </c>
      <c r="F1" s="18" t="s">
        <v>46</v>
      </c>
    </row>
    <row r="2" spans="1:6" x14ac:dyDescent="0.3">
      <c r="A2" s="18">
        <v>1</v>
      </c>
      <c r="B2" s="18" t="s">
        <v>47</v>
      </c>
      <c r="C2" s="18" t="s">
        <v>48</v>
      </c>
      <c r="D2" s="18" t="s">
        <v>49</v>
      </c>
      <c r="E2" s="18" t="s">
        <v>50</v>
      </c>
      <c r="F2" s="18">
        <v>1</v>
      </c>
    </row>
    <row r="3" spans="1:6" x14ac:dyDescent="0.3">
      <c r="A3" s="18">
        <v>2</v>
      </c>
      <c r="B3" s="18" t="s">
        <v>51</v>
      </c>
      <c r="C3" s="18" t="s">
        <v>52</v>
      </c>
      <c r="D3" s="18" t="s">
        <v>49</v>
      </c>
      <c r="E3" s="18" t="s">
        <v>50</v>
      </c>
      <c r="F3" s="18">
        <v>1</v>
      </c>
    </row>
    <row r="4" spans="1:6" x14ac:dyDescent="0.3">
      <c r="A4" s="18">
        <v>3</v>
      </c>
      <c r="B4" s="18" t="s">
        <v>51</v>
      </c>
      <c r="C4" s="18" t="s">
        <v>53</v>
      </c>
      <c r="D4" s="18" t="s">
        <v>49</v>
      </c>
      <c r="E4" s="18" t="s">
        <v>54</v>
      </c>
      <c r="F4" s="18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"/>
  <sheetViews>
    <sheetView workbookViewId="0">
      <selection activeCell="A3" sqref="A3"/>
    </sheetView>
  </sheetViews>
  <sheetFormatPr defaultRowHeight="14.4" x14ac:dyDescent="0.3"/>
  <cols>
    <col min="1" max="1" width="12" bestFit="1" customWidth="1"/>
    <col min="2" max="2" width="14.5546875" bestFit="1" customWidth="1"/>
    <col min="3" max="3" width="15.5546875" bestFit="1" customWidth="1"/>
    <col min="4" max="4" width="6.33203125" bestFit="1" customWidth="1"/>
    <col min="5" max="5" width="8.6640625" bestFit="1" customWidth="1"/>
    <col min="6" max="6" width="12.88671875" bestFit="1" customWidth="1"/>
    <col min="7" max="8" width="14.33203125" bestFit="1" customWidth="1"/>
  </cols>
  <sheetData>
    <row r="1" spans="1:8" x14ac:dyDescent="0.3">
      <c r="A1" t="s">
        <v>55</v>
      </c>
      <c r="B1" t="s">
        <v>56</v>
      </c>
      <c r="C1" t="s">
        <v>57</v>
      </c>
      <c r="D1" t="s">
        <v>44</v>
      </c>
      <c r="E1" t="s">
        <v>45</v>
      </c>
      <c r="F1" t="s">
        <v>46</v>
      </c>
      <c r="G1" t="s">
        <v>58</v>
      </c>
      <c r="H1" t="s">
        <v>59</v>
      </c>
    </row>
    <row r="2" spans="1:8" x14ac:dyDescent="0.3">
      <c r="A2">
        <v>1</v>
      </c>
      <c r="B2" t="s">
        <v>60</v>
      </c>
      <c r="C2" t="s">
        <v>61</v>
      </c>
      <c r="D2" t="s">
        <v>62</v>
      </c>
      <c r="E2" t="s">
        <v>63</v>
      </c>
      <c r="F2">
        <v>1</v>
      </c>
      <c r="G2" s="3">
        <v>12000000</v>
      </c>
      <c r="H2" s="3">
        <v>15000000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Instrument_data</vt:lpstr>
      <vt:lpstr>bound_data</vt:lpstr>
      <vt:lpstr>optimization_data</vt:lpstr>
      <vt:lpstr>optimization_objectives</vt:lpstr>
      <vt:lpstr>optimization_constraints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Mandar Belambe</dc:creator>
  <cp:keywords/>
  <dc:description/>
  <cp:lastModifiedBy>sindhu raghavan</cp:lastModifiedBy>
  <cp:revision/>
  <dcterms:created xsi:type="dcterms:W3CDTF">2023-04-25T13:29:32Z</dcterms:created>
  <dcterms:modified xsi:type="dcterms:W3CDTF">2026-05-26T10:25:20Z</dcterms:modified>
  <cp:category/>
  <cp:contentStatus/>
</cp:coreProperties>
</file>