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Live CAT Events\2021\Elsa\DOC&amp;REPORT\"/>
    </mc:Choice>
  </mc:AlternateContent>
  <bookViews>
    <workbookView xWindow="0" yWindow="0" windowWidth="15330" windowHeight="6960" activeTab="2"/>
  </bookViews>
  <sheets>
    <sheet name="INPUT" sheetId="1" r:id="rId1"/>
    <sheet name="LOGIC FLOW" sheetId="4" r:id="rId2"/>
    <sheet name="FLOWCHART-TASK" sheetId="2" r:id="rId3"/>
    <sheet name="REVISED FLOWCHART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2" i="2" l="1"/>
  <c r="D81" i="2"/>
  <c r="D80" i="2"/>
  <c r="D79" i="2"/>
  <c r="D78" i="2"/>
  <c r="D77" i="2"/>
  <c r="D76" i="2"/>
</calcChain>
</file>

<file path=xl/sharedStrings.xml><?xml version="1.0" encoding="utf-8"?>
<sst xmlns="http://schemas.openxmlformats.org/spreadsheetml/2006/main" count="335" uniqueCount="247">
  <si>
    <t xml:space="preserve">ADVISORY </t>
  </si>
  <si>
    <t>BEST TRACK</t>
  </si>
  <si>
    <t>AIR CATALOG MODEL 27</t>
  </si>
  <si>
    <t>PRIMARY &amp; CONSTANT</t>
  </si>
  <si>
    <t>PRIMARY BUT VARIABLE</t>
  </si>
  <si>
    <t>ADVISORY</t>
  </si>
  <si>
    <t>BUFFER RADIUS</t>
  </si>
  <si>
    <t xml:space="preserve">IN MILES </t>
  </si>
  <si>
    <t xml:space="preserve">20, 50 , OR ANY NUMBER </t>
  </si>
  <si>
    <t>CAN MAKE LIST- LET USER CHOOSE THE SIZE OF THE BUFFER</t>
  </si>
  <si>
    <t xml:space="preserve">THIS IS TO INITIATE THE PROCESS AND GIVE SOME VALUES TO FUNCTIONS. </t>
  </si>
  <si>
    <t>DEFINE FIRST AND THE LAST POINT OF THE BEST TRACK POINT SHAPEFILE</t>
  </si>
  <si>
    <t>DEFINE FIRST AND THE LAST POINT OF THE ADVISORY POINT SHAPEFILE</t>
  </si>
  <si>
    <t>DEFINE THE OUTPUT AND LOCATION</t>
  </si>
  <si>
    <t>FUNCTION FOR BUFFER INTERSECTION SAVES BOTH SHAPEFILE AND CSV FILE</t>
  </si>
  <si>
    <t>FOLDER STRUCTURE</t>
  </si>
  <si>
    <t>NHC</t>
  </si>
  <si>
    <t>Analysis</t>
  </si>
  <si>
    <t>Extra</t>
  </si>
  <si>
    <t>Output</t>
  </si>
  <si>
    <t>Besttrack folder</t>
  </si>
  <si>
    <t>Advisory wise data folder</t>
  </si>
  <si>
    <t>ALLSHP</t>
  </si>
  <si>
    <t>ALLCSV</t>
  </si>
  <si>
    <t>v1, v2, v3…</t>
  </si>
  <si>
    <t>GIVE THE LOCATION PATH TO EXTRA FOLDER</t>
  </si>
  <si>
    <t>BUFFER INTERSECTION ANALYSIS</t>
  </si>
  <si>
    <t>PASS THE INDEX NO OF THE POINTS TO BE USED (ACCORDING TO THE APPROACH)</t>
  </si>
  <si>
    <t>PASS THE LOCATION OF ANALYSIS FOLDER FOR DUMP DIR</t>
  </si>
  <si>
    <t>LET THE VALID TRACK_INSIDE/ OUTSIDE THE COU BE CONSTANT</t>
  </si>
  <si>
    <t>FINAL EVENT DF TO BE STORED AS CSV- DEFINE THE PATH IN ALLCSV</t>
  </si>
  <si>
    <t>LIKE EVENTS ANALYSIS TO BE STORED IN ALLSHP FOLDER</t>
  </si>
  <si>
    <t>REMARKS</t>
  </si>
  <si>
    <t xml:space="preserve">INPUT/ OUTPUT - USER DEFINED </t>
  </si>
  <si>
    <t>buffer shp, or any manual shapefile used can be stored here</t>
  </si>
  <si>
    <t>USE NEW FOLDER OF V_ EACH TIME YOU RUN THE CODE</t>
  </si>
  <si>
    <t>flow</t>
  </si>
  <si>
    <t>Input</t>
  </si>
  <si>
    <t>EVENT_NAME_2021</t>
  </si>
  <si>
    <t>AIR</t>
  </si>
  <si>
    <t>to keep their advisory and summary record</t>
  </si>
  <si>
    <t>IT CAN BE 20, 25, OR ANY LATEST OR OLD ADVISORY CAN BE USED TO ANALYZE</t>
  </si>
  <si>
    <t>MAKE SURE SHPFILES ARE PROJECTED PROPERLY</t>
  </si>
  <si>
    <t>REPORT - CODE AND FRONT END</t>
  </si>
  <si>
    <t xml:space="preserve">Like events </t>
  </si>
  <si>
    <t xml:space="preserve">max, min, industry loss, steps of the analysis </t>
  </si>
  <si>
    <t>AIR Alert</t>
  </si>
  <si>
    <t>what, where</t>
  </si>
  <si>
    <t>like events</t>
  </si>
  <si>
    <t>map</t>
  </si>
  <si>
    <t>Losses</t>
  </si>
  <si>
    <t>Loss - std view</t>
  </si>
  <si>
    <t xml:space="preserve">Loss our view </t>
  </si>
  <si>
    <t>Probability</t>
  </si>
  <si>
    <t>graphs</t>
  </si>
  <si>
    <t>over all summary</t>
  </si>
  <si>
    <t>short comes</t>
  </si>
  <si>
    <t>weightage/ adjustments used in analysis (if any)</t>
  </si>
  <si>
    <t>historical like event</t>
  </si>
  <si>
    <t>Actual Loss indication</t>
  </si>
  <si>
    <r>
      <t xml:space="preserve">WE HAVE DISCUSSED ABOUT OUTPUT IN REPORT TEMPLATE </t>
    </r>
    <r>
      <rPr>
        <i/>
        <sz val="11"/>
        <color theme="1"/>
        <rFont val="Calibri"/>
        <family val="2"/>
        <scheme val="minor"/>
      </rPr>
      <t>(PATH: "Y:\Live CAT Events\EVENT RESPONSE\report &amp; doc\ER_ReportTemp1.xlsx")</t>
    </r>
  </si>
  <si>
    <t xml:space="preserve">Direct info </t>
  </si>
  <si>
    <t>Weather reports</t>
  </si>
  <si>
    <t>DAILY RAINFALL CAN BE CAPTURED - PRE LF SCANARIO|CAN  HELP IN INLAND FLOODS</t>
  </si>
  <si>
    <t>AOI Map (Area of Interest)| THE MAP WE ALREADY HAVE IN QGIS - SIMPLE VISUALISATION OF THE EVENT</t>
  </si>
  <si>
    <t>MANUAL</t>
  </si>
  <si>
    <t>WE CAN CHANGE THE INDEX VALUES BASED UPON THE APPROACH</t>
  </si>
  <si>
    <t>Analysis summary</t>
  </si>
  <si>
    <t>Summary on over all approach/ no. of approaches used</t>
  </si>
  <si>
    <t xml:space="preserve">All the numbers used and got through the process </t>
  </si>
  <si>
    <t>Automated</t>
  </si>
  <si>
    <t xml:space="preserve">the like events got from the sql </t>
  </si>
  <si>
    <t xml:space="preserve">a query to be made to find loss based on like events suggested by AIR </t>
  </si>
  <si>
    <t>we can just replace the like event table by the like event table as suggested by the AIR ALERT</t>
  </si>
  <si>
    <t>NO EVENT IS SAME AS BEFORE, DISCUSS IN SUMMARY</t>
  </si>
  <si>
    <t>YET TO IMPLIMENT</t>
  </si>
  <si>
    <t>SQL QUERY</t>
  </si>
  <si>
    <t>SCREEN FOR PYTHON</t>
  </si>
  <si>
    <t>IMPLIMENT THE CODE</t>
  </si>
  <si>
    <t>GET THE LIKE EVENTS</t>
  </si>
  <si>
    <t>IMPORT TO SQL</t>
  </si>
  <si>
    <t>GIVE INPUTS TO SQL QUERY AND GET THE LOSS</t>
  </si>
  <si>
    <t>INPUTS FOR SHAPEFILE IN PY CODE</t>
  </si>
  <si>
    <t>INPUTS FOR OTHER FILTERS IN PYCODE</t>
  </si>
  <si>
    <t xml:space="preserve">IMPLIMENT THE CODE </t>
  </si>
  <si>
    <t>GET THE LIKE EVENT</t>
  </si>
  <si>
    <t>CURRENT PROCESS-</t>
  </si>
  <si>
    <t>buffer analysis, change in inPuts and similar analysis</t>
  </si>
  <si>
    <t>next level</t>
  </si>
  <si>
    <t>code</t>
  </si>
  <si>
    <t>sql</t>
  </si>
  <si>
    <t>QGIS</t>
  </si>
  <si>
    <t>Dashboard</t>
  </si>
  <si>
    <t>Excel</t>
  </si>
  <si>
    <t xml:space="preserve">as an event that occurs transform in stages from high windspeed </t>
  </si>
  <si>
    <t xml:space="preserve">at the point of occurance, to various stages like TD, TS and then into an HU </t>
  </si>
  <si>
    <t xml:space="preserve">until it reache sthe coast, </t>
  </si>
  <si>
    <t>if maintains the high wind speed and other atmospheric factors which favours the HU.</t>
  </si>
  <si>
    <t>MinAttributeValue</t>
  </si>
  <si>
    <t>MAxAttributeValue</t>
  </si>
  <si>
    <t>DR</t>
  </si>
  <si>
    <t>dr002</t>
  </si>
  <si>
    <t>SOURCE</t>
  </si>
  <si>
    <t>Hurricane Peril</t>
  </si>
  <si>
    <t>Intensity</t>
  </si>
  <si>
    <t>Analysis type</t>
  </si>
  <si>
    <t>Region</t>
  </si>
  <si>
    <t>US</t>
  </si>
  <si>
    <t>Pacific</t>
  </si>
  <si>
    <t>Other Atlantic countries</t>
  </si>
  <si>
    <t>JAPAN</t>
  </si>
  <si>
    <t>Aus &amp; New Zealand</t>
  </si>
  <si>
    <t>Others- World</t>
  </si>
  <si>
    <t>Katrisk</t>
  </si>
  <si>
    <t>cat 1 -2</t>
  </si>
  <si>
    <t>track analysis and yelt</t>
  </si>
  <si>
    <t>1. have potential to hit the coast- proximity</t>
  </si>
  <si>
    <t>CFAN</t>
  </si>
  <si>
    <t>JMA</t>
  </si>
  <si>
    <t>ESA - copernicus - emergency management system</t>
  </si>
  <si>
    <t>AUS- New Zealand</t>
  </si>
  <si>
    <t>ER</t>
  </si>
  <si>
    <t xml:space="preserve">Alert </t>
  </si>
  <si>
    <t>Above cat 3</t>
  </si>
  <si>
    <t>track analysis and shapefile analysis</t>
  </si>
  <si>
    <t>spatial extent-</t>
  </si>
  <si>
    <t>HongKong obs</t>
  </si>
  <si>
    <t>USGS</t>
  </si>
  <si>
    <t>above 111 mph Wind speed (saff simpson)</t>
  </si>
  <si>
    <t xml:space="preserve"> xyz miles away from coast</t>
  </si>
  <si>
    <t xml:space="preserve">2. have potential to cause damage- </t>
  </si>
  <si>
    <t>monitoring all the HU events</t>
  </si>
  <si>
    <t>based on parameters</t>
  </si>
  <si>
    <t>Loss estimate</t>
  </si>
  <si>
    <t xml:space="preserve">scaling the wind speed, intensity, the air pressure </t>
  </si>
  <si>
    <t>possible land fall based on the track information</t>
  </si>
  <si>
    <t>yelt</t>
  </si>
  <si>
    <t>Earthquake Peril</t>
  </si>
  <si>
    <t>loss</t>
  </si>
  <si>
    <t>loss based on extent</t>
  </si>
  <si>
    <t>loss based on state/ county</t>
  </si>
  <si>
    <t>less than 4</t>
  </si>
  <si>
    <t>sumamry and market analysis</t>
  </si>
  <si>
    <t>monitoring</t>
  </si>
  <si>
    <t>loss based on industy loss</t>
  </si>
  <si>
    <t>if exposure exists, then parametric based analysis</t>
  </si>
  <si>
    <t>loss based on event sentivity</t>
  </si>
  <si>
    <t>4 to 7</t>
  </si>
  <si>
    <t xml:space="preserve">Epicentre  and parameter based based </t>
  </si>
  <si>
    <t>monitoring and analysis</t>
  </si>
  <si>
    <t>loss based on other parameters / probability</t>
  </si>
  <si>
    <t>greater than 7</t>
  </si>
  <si>
    <t>epicentre and exposure based analysis</t>
  </si>
  <si>
    <t>Visualization</t>
  </si>
  <si>
    <t>maps</t>
  </si>
  <si>
    <t>Flood Peril</t>
  </si>
  <si>
    <t xml:space="preserve">Depend on extent </t>
  </si>
  <si>
    <t>depending upon market analysis and first hand estimate</t>
  </si>
  <si>
    <t>FEMA</t>
  </si>
  <si>
    <t>Flood obs colorado</t>
  </si>
  <si>
    <t xml:space="preserve">Historical events </t>
  </si>
  <si>
    <t>&amp; depth</t>
  </si>
  <si>
    <t xml:space="preserve">Analysis - shapefile and parametric analysis </t>
  </si>
  <si>
    <t>Winter Storm</t>
  </si>
  <si>
    <t>Depend on extent</t>
  </si>
  <si>
    <t xml:space="preserve"> &amp; Season</t>
  </si>
  <si>
    <t>parameters based loss analysis</t>
  </si>
  <si>
    <t>Wildfires</t>
  </si>
  <si>
    <t>Response Type</t>
  </si>
  <si>
    <t xml:space="preserve">Large/Severe Events </t>
  </si>
  <si>
    <t>Small/Less severe Events</t>
  </si>
  <si>
    <t>Low intensity events</t>
  </si>
  <si>
    <t xml:space="preserve">Data Type </t>
  </si>
  <si>
    <t xml:space="preserve">Detailed Exposure </t>
  </si>
  <si>
    <t xml:space="preserve">Aggregate Exposure </t>
  </si>
  <si>
    <t>Loss Files</t>
  </si>
  <si>
    <t>Events like, HU on ocean, disturbance,</t>
  </si>
  <si>
    <t xml:space="preserve">Deal Type </t>
  </si>
  <si>
    <t>Wildfire in unhabitable place- no exposure=no loss</t>
  </si>
  <si>
    <t>CRI</t>
  </si>
  <si>
    <t>Run AIR SSE Events</t>
  </si>
  <si>
    <t>Small rise in water level, leading to floods but not a great loss.</t>
  </si>
  <si>
    <t>Run Footprint analysis</t>
  </si>
  <si>
    <t>NA</t>
  </si>
  <si>
    <t>Use QGIS for track data</t>
  </si>
  <si>
    <t>Potential events</t>
  </si>
  <si>
    <t>CATB</t>
  </si>
  <si>
    <t>Monitor the events - like HU, over the ocean, can or cannot travel upto coast.</t>
  </si>
  <si>
    <t>Wildfires and factors- potential areas are marked, just need to monitor</t>
  </si>
  <si>
    <t>Can monitor precipitation and advisory to look out for floods.</t>
  </si>
  <si>
    <t>ILW</t>
  </si>
  <si>
    <t xml:space="preserve">Run Footprint file </t>
  </si>
  <si>
    <t>High severity events</t>
  </si>
  <si>
    <t>Loss happen. Data Sources put forward the area affected by the disaster- we can use for analysis</t>
  </si>
  <si>
    <t>HU,WF,FL taken place, use the data source, do the analysis, find the losses, map it and share the information</t>
  </si>
  <si>
    <t xml:space="preserve">Filters for Analysis to be used </t>
  </si>
  <si>
    <t xml:space="preserve">To filter out the like events - </t>
  </si>
  <si>
    <t>Filter based on spatial extent- Filter based on buffer and cone of uncertainity</t>
  </si>
  <si>
    <t>Filter based on parameter- eg wind speed,intensity, catogry</t>
  </si>
  <si>
    <t>Filter based on YELTs</t>
  </si>
  <si>
    <t>Filter based on Industry loss, eg some scsle</t>
  </si>
  <si>
    <t>Filter based on aggrigate or occurance based events</t>
  </si>
  <si>
    <t>Events and filters</t>
  </si>
  <si>
    <t>Event response is based on three things-</t>
  </si>
  <si>
    <t>Data Dimention</t>
  </si>
  <si>
    <t>Peril-Datatype</t>
  </si>
  <si>
    <t>Approaches</t>
  </si>
  <si>
    <t>1. Data</t>
  </si>
  <si>
    <t>For all perils</t>
  </si>
  <si>
    <t>CatBond</t>
  </si>
  <si>
    <t>Sidecar</t>
  </si>
  <si>
    <t>Track based app</t>
  </si>
  <si>
    <t>2. Region</t>
  </si>
  <si>
    <t xml:space="preserve">Hurricane </t>
  </si>
  <si>
    <t>Event parameters based app</t>
  </si>
  <si>
    <t>3. Peril</t>
  </si>
  <si>
    <t>Detailed exposure</t>
  </si>
  <si>
    <t>yes</t>
  </si>
  <si>
    <t>Earthquake</t>
  </si>
  <si>
    <t>Industry loss based app</t>
  </si>
  <si>
    <t xml:space="preserve">The approach for the event response </t>
  </si>
  <si>
    <t>YELT</t>
  </si>
  <si>
    <t>Floods</t>
  </si>
  <si>
    <t>Epicenter based app</t>
  </si>
  <si>
    <t>will be mix of the approach and data, region &amp; peril</t>
  </si>
  <si>
    <t>From market</t>
  </si>
  <si>
    <t>Wildfire</t>
  </si>
  <si>
    <t>Winter storm</t>
  </si>
  <si>
    <t>More than one approach can be used to find out losses and like events depeneding upon region and peril</t>
  </si>
  <si>
    <t>ELSA SHAPEFILE ANALYSIS</t>
  </si>
  <si>
    <t>SUMMARY</t>
  </si>
  <si>
    <t>(Landfall, SS, casuality,loss estimate, sustained wind, any imp trevia)</t>
  </si>
  <si>
    <t>15 feet storm surge &amp; heavy rainfall were experienced during landfall</t>
  </si>
  <si>
    <t>This event caued a dozen casualties in Louisiana and 4 in Texas</t>
  </si>
  <si>
    <t xml:space="preserve">More than 580000 coastal residents were evacuated in adv of the dangerous winds </t>
  </si>
  <si>
    <t>loss estimate 4-8 B by AIR for Laura</t>
  </si>
  <si>
    <t>Laura struck Louisiana coast with sustained winds of nearly 150mph (241 km/h)</t>
  </si>
  <si>
    <t>WEATHER SUMMARY</t>
  </si>
  <si>
    <t>Gulf of mexico recorded high sea surface temp that made this event even more stronger.</t>
  </si>
  <si>
    <t>ALERT AND AOI</t>
  </si>
  <si>
    <t>Alert provide the data for laura. It gave 2 updates before the landfall and 2 updates post landfall. Most of the events that AIR suggested are common with each advisory they put out.</t>
  </si>
  <si>
    <t xml:space="preserve">the losses are estimated to L and TX. </t>
  </si>
  <si>
    <t xml:space="preserve">FOLLOWING ARE THE POINTS TO BE INCLUDED IN THE REPORT- </t>
  </si>
  <si>
    <t>THESE CAN BE OBT5AINED VIA RSS FEEDS (NHC/ALERT/USGS)</t>
  </si>
  <si>
    <t xml:space="preserve">landfall near Cameron, Lousiana, close to TX border at 1 am on 27 Aug as cat 4 </t>
  </si>
  <si>
    <t>EXAMPLE: Laura</t>
  </si>
  <si>
    <t>We have the like events from primary filtering.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</si>
</sst>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3"/>
      <color rgb="FF59595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0" fillId="3" borderId="0" xfId="0" applyFill="1"/>
    <xf numFmtId="0" fontId="0" fillId="0" borderId="0" xfId="0" applyAlignment="1">
      <alignment vertical="top" wrapText="1"/>
    </xf>
    <xf numFmtId="0" fontId="2" fillId="0" borderId="0" xfId="0" applyFont="1" applyFill="1"/>
    <xf numFmtId="0" fontId="2" fillId="3" borderId="0" xfId="0" applyFont="1" applyFill="1"/>
    <xf numFmtId="0" fontId="4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5" fillId="0" borderId="0" xfId="0" applyFont="1"/>
    <xf numFmtId="0" fontId="0" fillId="9" borderId="0" xfId="0" applyFill="1"/>
    <xf numFmtId="0" fontId="0" fillId="10" borderId="0" xfId="0" applyFill="1"/>
    <xf numFmtId="0" fontId="4" fillId="3" borderId="0" xfId="0" applyFont="1" applyFill="1"/>
    <xf numFmtId="16" fontId="0" fillId="3" borderId="0" xfId="0" applyNumberFormat="1" applyFill="1"/>
    <xf numFmtId="0" fontId="1" fillId="10" borderId="0" xfId="0" applyFont="1" applyFill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0" fontId="0" fillId="0" borderId="24" xfId="0" applyBorder="1"/>
    <xf numFmtId="0" fontId="6" fillId="0" borderId="0" xfId="0" applyFont="1"/>
    <xf numFmtId="0" fontId="0" fillId="0" borderId="0" xfId="0" applyFill="1"/>
    <xf numFmtId="0" fontId="0" fillId="5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colorful5">
  <dgm:title val=""/>
  <dgm:desc val=""/>
  <dgm:catLst>
    <dgm:cat type="colorful" pri="10500"/>
  </dgm:catLst>
  <dgm:styleLbl name="node0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5"/>
      <a:schemeClr val="accent6"/>
    </dgm:fillClrLst>
    <dgm:linClrLst>
      <a:schemeClr val="accent5"/>
      <a:schemeClr val="accent6"/>
    </dgm:linClrLst>
    <dgm:effectClrLst/>
    <dgm:txLinClrLst/>
    <dgm:txFillClrLst/>
    <dgm:txEffectClrLst/>
  </dgm:styleLbl>
  <dgm:styleLbl name="ln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>
        <a:tint val="9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>
        <a:tint val="7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40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0EA73B79-C908-4009-8150-4DA517223F98}" type="doc">
      <dgm:prSet loTypeId="urn:microsoft.com/office/officeart/2005/8/layout/orgChart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6522BD2E-0864-43F4-9B1C-D12DBA8EE369}">
      <dgm:prSet phldrT="[Text]"/>
      <dgm:spPr/>
      <dgm:t>
        <a:bodyPr/>
        <a:lstStyle/>
        <a:p>
          <a:r>
            <a:rPr lang="en-US" b="0" i="0" u="none"/>
            <a:t>Event </a:t>
          </a:r>
          <a:endParaRPr lang="en-US"/>
        </a:p>
      </dgm:t>
    </dgm:pt>
    <dgm:pt modelId="{57F47916-A44F-497F-891C-8E7FAF043F41}" type="parTrans" cxnId="{43FB9DE2-7003-460D-850F-A1DAFFD62B80}">
      <dgm:prSet/>
      <dgm:spPr/>
      <dgm:t>
        <a:bodyPr/>
        <a:lstStyle/>
        <a:p>
          <a:endParaRPr lang="en-US"/>
        </a:p>
      </dgm:t>
    </dgm:pt>
    <dgm:pt modelId="{DBB14552-A4D9-4A21-937F-2A4CC2972861}" type="sibTrans" cxnId="{43FB9DE2-7003-460D-850F-A1DAFFD62B80}">
      <dgm:prSet/>
      <dgm:spPr/>
      <dgm:t>
        <a:bodyPr/>
        <a:lstStyle/>
        <a:p>
          <a:endParaRPr lang="en-US"/>
        </a:p>
      </dgm:t>
    </dgm:pt>
    <dgm:pt modelId="{85584FC5-D3E5-46DA-BD17-75F2ED9FFA7B}" type="asst">
      <dgm:prSet phldrT="[Text]"/>
      <dgm:spPr/>
      <dgm:t>
        <a:bodyPr/>
        <a:lstStyle/>
        <a:p>
          <a:r>
            <a:rPr lang="en-US" b="0" i="0" u="none"/>
            <a:t>Extend/ Location</a:t>
          </a:r>
          <a:endParaRPr lang="en-US"/>
        </a:p>
      </dgm:t>
    </dgm:pt>
    <dgm:pt modelId="{60FCE22C-914F-4BAF-81C2-A9B95C178E7F}" type="parTrans" cxnId="{46EDE8FE-972C-4477-9C2A-0F30DE80DBB8}">
      <dgm:prSet/>
      <dgm:spPr/>
      <dgm:t>
        <a:bodyPr/>
        <a:lstStyle/>
        <a:p>
          <a:endParaRPr lang="en-US"/>
        </a:p>
      </dgm:t>
    </dgm:pt>
    <dgm:pt modelId="{5E41E39F-5470-4F3D-B544-C39D8F8EA7DC}" type="sibTrans" cxnId="{46EDE8FE-972C-4477-9C2A-0F30DE80DBB8}">
      <dgm:prSet/>
      <dgm:spPr/>
      <dgm:t>
        <a:bodyPr/>
        <a:lstStyle/>
        <a:p>
          <a:endParaRPr lang="en-US"/>
        </a:p>
      </dgm:t>
    </dgm:pt>
    <dgm:pt modelId="{B6E27B23-7758-4768-A68F-97EC871C84F6}">
      <dgm:prSet phldrT="[Text]"/>
      <dgm:spPr/>
      <dgm:t>
        <a:bodyPr/>
        <a:lstStyle/>
        <a:p>
          <a:r>
            <a:rPr lang="en-US" b="0" i="0" u="none"/>
            <a:t>Data type</a:t>
          </a:r>
          <a:endParaRPr lang="en-US"/>
        </a:p>
      </dgm:t>
    </dgm:pt>
    <dgm:pt modelId="{B3AC276C-B699-4E22-BF0F-A6472DAE8591}" type="parTrans" cxnId="{2069BC85-C60D-4E49-9FBE-4272F51A12D0}">
      <dgm:prSet/>
      <dgm:spPr/>
      <dgm:t>
        <a:bodyPr/>
        <a:lstStyle/>
        <a:p>
          <a:endParaRPr lang="en-US"/>
        </a:p>
      </dgm:t>
    </dgm:pt>
    <dgm:pt modelId="{9208EAE5-B223-4871-9AD0-AB4B2C1BB8C1}" type="sibTrans" cxnId="{2069BC85-C60D-4E49-9FBE-4272F51A12D0}">
      <dgm:prSet/>
      <dgm:spPr/>
      <dgm:t>
        <a:bodyPr/>
        <a:lstStyle/>
        <a:p>
          <a:endParaRPr lang="en-US"/>
        </a:p>
      </dgm:t>
    </dgm:pt>
    <dgm:pt modelId="{52BD9596-930F-47E1-8421-86E40C02D795}">
      <dgm:prSet phldrT="[Text]"/>
      <dgm:spPr/>
      <dgm:t>
        <a:bodyPr/>
        <a:lstStyle/>
        <a:p>
          <a:r>
            <a:rPr lang="en-US" b="0" i="0" u="none"/>
            <a:t>Sources</a:t>
          </a:r>
          <a:endParaRPr lang="en-US"/>
        </a:p>
      </dgm:t>
    </dgm:pt>
    <dgm:pt modelId="{4FF1B418-E070-4478-BAD0-D139D1D3119E}" type="parTrans" cxnId="{49D7DC76-9937-4110-BB53-6FB9182FFE42}">
      <dgm:prSet/>
      <dgm:spPr/>
      <dgm:t>
        <a:bodyPr/>
        <a:lstStyle/>
        <a:p>
          <a:endParaRPr lang="en-US"/>
        </a:p>
      </dgm:t>
    </dgm:pt>
    <dgm:pt modelId="{544AED9B-3792-434E-9DF2-20E6ED66331C}" type="sibTrans" cxnId="{49D7DC76-9937-4110-BB53-6FB9182FFE42}">
      <dgm:prSet/>
      <dgm:spPr/>
      <dgm:t>
        <a:bodyPr/>
        <a:lstStyle/>
        <a:p>
          <a:endParaRPr lang="en-US"/>
        </a:p>
      </dgm:t>
    </dgm:pt>
    <dgm:pt modelId="{9F2483D3-C5B2-47FE-91F3-900475A35B49}">
      <dgm:prSet phldrT="[Text]"/>
      <dgm:spPr/>
      <dgm:t>
        <a:bodyPr/>
        <a:lstStyle/>
        <a:p>
          <a:r>
            <a:rPr lang="en-US" b="0" i="0" u="none"/>
            <a:t>Region</a:t>
          </a:r>
          <a:endParaRPr lang="en-US"/>
        </a:p>
      </dgm:t>
    </dgm:pt>
    <dgm:pt modelId="{B379B869-1CB3-4195-96BB-7B0110CB3233}" type="parTrans" cxnId="{A9B3AC37-81AD-4737-BD64-355AD413FAE9}">
      <dgm:prSet/>
      <dgm:spPr/>
      <dgm:t>
        <a:bodyPr/>
        <a:lstStyle/>
        <a:p>
          <a:endParaRPr lang="en-US"/>
        </a:p>
      </dgm:t>
    </dgm:pt>
    <dgm:pt modelId="{1ACDA703-BDA8-4C5A-AE85-2E5D66DC54EC}" type="sibTrans" cxnId="{A9B3AC37-81AD-4737-BD64-355AD413FAE9}">
      <dgm:prSet/>
      <dgm:spPr/>
      <dgm:t>
        <a:bodyPr/>
        <a:lstStyle/>
        <a:p>
          <a:endParaRPr lang="en-US"/>
        </a:p>
      </dgm:t>
    </dgm:pt>
    <dgm:pt modelId="{8FF41A0C-EA07-4EFB-BDCD-CFDDA478E075}">
      <dgm:prSet phldrT="[Text]"/>
      <dgm:spPr/>
      <dgm:t>
        <a:bodyPr/>
        <a:lstStyle/>
        <a:p>
          <a:r>
            <a:rPr lang="en-US" b="0" i="0" u="none"/>
            <a:t>Industry Loss</a:t>
          </a:r>
          <a:endParaRPr lang="en-US"/>
        </a:p>
      </dgm:t>
    </dgm:pt>
    <dgm:pt modelId="{7C312107-FF89-4459-9759-93E14AD0FFB1}" type="parTrans" cxnId="{D5AF57CE-6905-4A89-B9F7-ADA41BAC2D94}">
      <dgm:prSet/>
      <dgm:spPr/>
      <dgm:t>
        <a:bodyPr/>
        <a:lstStyle/>
        <a:p>
          <a:endParaRPr lang="en-US"/>
        </a:p>
      </dgm:t>
    </dgm:pt>
    <dgm:pt modelId="{1695C30C-8035-4A3D-AFF8-DC68FEDF0906}" type="sibTrans" cxnId="{D5AF57CE-6905-4A89-B9F7-ADA41BAC2D94}">
      <dgm:prSet/>
      <dgm:spPr/>
      <dgm:t>
        <a:bodyPr/>
        <a:lstStyle/>
        <a:p>
          <a:endParaRPr lang="en-US"/>
        </a:p>
      </dgm:t>
    </dgm:pt>
    <dgm:pt modelId="{1BFC02A5-EFB3-43E3-940C-5668EBA84382}">
      <dgm:prSet/>
      <dgm:spPr/>
      <dgm:t>
        <a:bodyPr/>
        <a:lstStyle/>
        <a:p>
          <a:r>
            <a:rPr lang="en-US" b="0" i="0" u="none"/>
            <a:t>Response Type</a:t>
          </a:r>
          <a:endParaRPr lang="en-US"/>
        </a:p>
      </dgm:t>
    </dgm:pt>
    <dgm:pt modelId="{D4F6459B-2A77-4CF8-933D-E4C9AD1C884F}" type="parTrans" cxnId="{8C91DD3B-D9D8-4514-B094-5925DF0CB7DC}">
      <dgm:prSet/>
      <dgm:spPr/>
      <dgm:t>
        <a:bodyPr/>
        <a:lstStyle/>
        <a:p>
          <a:endParaRPr lang="en-US"/>
        </a:p>
      </dgm:t>
    </dgm:pt>
    <dgm:pt modelId="{FB1154DF-01FF-4D03-95EF-C6392C85036C}" type="sibTrans" cxnId="{8C91DD3B-D9D8-4514-B094-5925DF0CB7DC}">
      <dgm:prSet/>
      <dgm:spPr/>
      <dgm:t>
        <a:bodyPr/>
        <a:lstStyle/>
        <a:p>
          <a:endParaRPr lang="en-US"/>
        </a:p>
      </dgm:t>
    </dgm:pt>
    <dgm:pt modelId="{950CFB6A-2DAA-46E0-9C81-56EA2BC74D18}">
      <dgm:prSet/>
      <dgm:spPr/>
      <dgm:t>
        <a:bodyPr/>
        <a:lstStyle/>
        <a:p>
          <a:r>
            <a:rPr lang="en-US" b="0" i="0" u="none"/>
            <a:t>Approach</a:t>
          </a:r>
          <a:endParaRPr lang="en-US"/>
        </a:p>
      </dgm:t>
    </dgm:pt>
    <dgm:pt modelId="{C60C14D2-5E9E-44DD-87BA-2B39A1C3CDF4}" type="parTrans" cxnId="{8F841AF2-62F0-492F-8C3A-DA784971E27A}">
      <dgm:prSet/>
      <dgm:spPr/>
      <dgm:t>
        <a:bodyPr/>
        <a:lstStyle/>
        <a:p>
          <a:endParaRPr lang="en-US"/>
        </a:p>
      </dgm:t>
    </dgm:pt>
    <dgm:pt modelId="{9DC31917-4572-4C57-9945-11732D3867F3}" type="sibTrans" cxnId="{8F841AF2-62F0-492F-8C3A-DA784971E27A}">
      <dgm:prSet/>
      <dgm:spPr/>
      <dgm:t>
        <a:bodyPr/>
        <a:lstStyle/>
        <a:p>
          <a:endParaRPr lang="en-US"/>
        </a:p>
      </dgm:t>
    </dgm:pt>
    <dgm:pt modelId="{0B93D303-C5A9-48DB-B819-A314860B6961}">
      <dgm:prSet/>
      <dgm:spPr/>
      <dgm:t>
        <a:bodyPr/>
        <a:lstStyle/>
        <a:p>
          <a:r>
            <a:rPr lang="en-US" b="0" i="0" u="none"/>
            <a:t>Filters for Analysis (parameters)</a:t>
          </a:r>
          <a:endParaRPr lang="en-US"/>
        </a:p>
      </dgm:t>
    </dgm:pt>
    <dgm:pt modelId="{4E87B662-F909-41A8-BFDD-D5D77C8A3057}" type="parTrans" cxnId="{55528E53-BCF7-43FF-AF5B-C4E8F69A78F9}">
      <dgm:prSet/>
      <dgm:spPr/>
      <dgm:t>
        <a:bodyPr/>
        <a:lstStyle/>
        <a:p>
          <a:endParaRPr lang="en-US"/>
        </a:p>
      </dgm:t>
    </dgm:pt>
    <dgm:pt modelId="{0FCC9E12-48C1-4472-A493-BE2979B37617}" type="sibTrans" cxnId="{55528E53-BCF7-43FF-AF5B-C4E8F69A78F9}">
      <dgm:prSet/>
      <dgm:spPr/>
      <dgm:t>
        <a:bodyPr/>
        <a:lstStyle/>
        <a:p>
          <a:endParaRPr lang="en-US"/>
        </a:p>
      </dgm:t>
    </dgm:pt>
    <dgm:pt modelId="{9697BE1B-21FF-4452-A32E-36BC8D0CB9FE}">
      <dgm:prSet/>
      <dgm:spPr/>
      <dgm:t>
        <a:bodyPr/>
        <a:lstStyle/>
        <a:p>
          <a:r>
            <a:rPr lang="en-US"/>
            <a:t>Like Events and loss</a:t>
          </a:r>
        </a:p>
      </dgm:t>
    </dgm:pt>
    <dgm:pt modelId="{162BA08C-8A46-4ACC-AFA9-3FCF21DF56F0}" type="parTrans" cxnId="{FFEE5115-9680-4E60-B426-5F77D4438A6F}">
      <dgm:prSet/>
      <dgm:spPr/>
      <dgm:t>
        <a:bodyPr/>
        <a:lstStyle/>
        <a:p>
          <a:endParaRPr lang="en-US"/>
        </a:p>
      </dgm:t>
    </dgm:pt>
    <dgm:pt modelId="{B7B2834E-46BC-498A-87C8-894AB145FDDC}" type="sibTrans" cxnId="{FFEE5115-9680-4E60-B426-5F77D4438A6F}">
      <dgm:prSet/>
      <dgm:spPr/>
      <dgm:t>
        <a:bodyPr/>
        <a:lstStyle/>
        <a:p>
          <a:endParaRPr lang="en-US"/>
        </a:p>
      </dgm:t>
    </dgm:pt>
    <dgm:pt modelId="{8989E684-15C2-4487-9BE7-47834F87DA1B}" type="pres">
      <dgm:prSet presAssocID="{0EA73B79-C908-4009-8150-4DA517223F98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  <dgm:t>
        <a:bodyPr/>
        <a:lstStyle/>
        <a:p>
          <a:endParaRPr lang="en-US"/>
        </a:p>
      </dgm:t>
    </dgm:pt>
    <dgm:pt modelId="{7BB29D9B-2269-495E-95B0-C6D024934B17}" type="pres">
      <dgm:prSet presAssocID="{6522BD2E-0864-43F4-9B1C-D12DBA8EE369}" presName="hierRoot1" presStyleCnt="0">
        <dgm:presLayoutVars>
          <dgm:hierBranch val="init"/>
        </dgm:presLayoutVars>
      </dgm:prSet>
      <dgm:spPr/>
    </dgm:pt>
    <dgm:pt modelId="{332C913B-6AEF-4DC4-A74B-EDAC2D0A029F}" type="pres">
      <dgm:prSet presAssocID="{6522BD2E-0864-43F4-9B1C-D12DBA8EE369}" presName="rootComposite1" presStyleCnt="0"/>
      <dgm:spPr/>
    </dgm:pt>
    <dgm:pt modelId="{6D6E2814-E0E8-4614-841B-CF0887D8F569}" type="pres">
      <dgm:prSet presAssocID="{6522BD2E-0864-43F4-9B1C-D12DBA8EE369}" presName="rootText1" presStyleLbl="node0" presStyleIdx="0" presStyleCnt="1" custLinFactNeighborY="12672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1BD6971B-253D-47BB-B59F-77E64D924C19}" type="pres">
      <dgm:prSet presAssocID="{6522BD2E-0864-43F4-9B1C-D12DBA8EE369}" presName="rootConnector1" presStyleLbl="node1" presStyleIdx="0" presStyleCnt="0"/>
      <dgm:spPr/>
      <dgm:t>
        <a:bodyPr/>
        <a:lstStyle/>
        <a:p>
          <a:endParaRPr lang="en-US"/>
        </a:p>
      </dgm:t>
    </dgm:pt>
    <dgm:pt modelId="{234BAA56-BDB5-43B4-986E-4B64E8604D49}" type="pres">
      <dgm:prSet presAssocID="{6522BD2E-0864-43F4-9B1C-D12DBA8EE369}" presName="hierChild2" presStyleCnt="0"/>
      <dgm:spPr/>
    </dgm:pt>
    <dgm:pt modelId="{D47A1ADB-E986-4CB9-8EAD-6E31F327F926}" type="pres">
      <dgm:prSet presAssocID="{B3AC276C-B699-4E22-BF0F-A6472DAE8591}" presName="Name37" presStyleLbl="parChTrans1D2" presStyleIdx="0" presStyleCnt="5"/>
      <dgm:spPr/>
      <dgm:t>
        <a:bodyPr/>
        <a:lstStyle/>
        <a:p>
          <a:endParaRPr lang="en-US"/>
        </a:p>
      </dgm:t>
    </dgm:pt>
    <dgm:pt modelId="{54AE5FBC-9E8E-454D-9892-54A1160414B1}" type="pres">
      <dgm:prSet presAssocID="{B6E27B23-7758-4768-A68F-97EC871C84F6}" presName="hierRoot2" presStyleCnt="0">
        <dgm:presLayoutVars>
          <dgm:hierBranch val="init"/>
        </dgm:presLayoutVars>
      </dgm:prSet>
      <dgm:spPr/>
    </dgm:pt>
    <dgm:pt modelId="{DEF1044E-ACF2-4B41-B402-8F6590B2187F}" type="pres">
      <dgm:prSet presAssocID="{B6E27B23-7758-4768-A68F-97EC871C84F6}" presName="rootComposite" presStyleCnt="0"/>
      <dgm:spPr/>
    </dgm:pt>
    <dgm:pt modelId="{44AE3FD2-5F52-4DCF-B90C-B975B7D502F4}" type="pres">
      <dgm:prSet presAssocID="{B6E27B23-7758-4768-A68F-97EC871C84F6}" presName="rootText" presStyleLbl="node2" presStyleIdx="0" presStyleCnt="4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4519A0D8-6BED-4F05-B94A-CA60D773A19F}" type="pres">
      <dgm:prSet presAssocID="{B6E27B23-7758-4768-A68F-97EC871C84F6}" presName="rootConnector" presStyleLbl="node2" presStyleIdx="0" presStyleCnt="4"/>
      <dgm:spPr/>
      <dgm:t>
        <a:bodyPr/>
        <a:lstStyle/>
        <a:p>
          <a:endParaRPr lang="en-US"/>
        </a:p>
      </dgm:t>
    </dgm:pt>
    <dgm:pt modelId="{A78783C5-C6B3-4FE1-9942-FBAD838D6BEA}" type="pres">
      <dgm:prSet presAssocID="{B6E27B23-7758-4768-A68F-97EC871C84F6}" presName="hierChild4" presStyleCnt="0"/>
      <dgm:spPr/>
    </dgm:pt>
    <dgm:pt modelId="{8E3B278B-C840-488D-A556-896592A0F059}" type="pres">
      <dgm:prSet presAssocID="{B6E27B23-7758-4768-A68F-97EC871C84F6}" presName="hierChild5" presStyleCnt="0"/>
      <dgm:spPr/>
    </dgm:pt>
    <dgm:pt modelId="{62A59FDD-1BCD-4B1A-B604-A50B3AC285DB}" type="pres">
      <dgm:prSet presAssocID="{4FF1B418-E070-4478-BAD0-D139D1D3119E}" presName="Name37" presStyleLbl="parChTrans1D2" presStyleIdx="1" presStyleCnt="5"/>
      <dgm:spPr/>
      <dgm:t>
        <a:bodyPr/>
        <a:lstStyle/>
        <a:p>
          <a:endParaRPr lang="en-US"/>
        </a:p>
      </dgm:t>
    </dgm:pt>
    <dgm:pt modelId="{7C0202E7-9F15-4651-B74C-4C034569C4FF}" type="pres">
      <dgm:prSet presAssocID="{52BD9596-930F-47E1-8421-86E40C02D795}" presName="hierRoot2" presStyleCnt="0">
        <dgm:presLayoutVars>
          <dgm:hierBranch val="init"/>
        </dgm:presLayoutVars>
      </dgm:prSet>
      <dgm:spPr/>
    </dgm:pt>
    <dgm:pt modelId="{0044379B-D245-4688-8705-71345854D1C3}" type="pres">
      <dgm:prSet presAssocID="{52BD9596-930F-47E1-8421-86E40C02D795}" presName="rootComposite" presStyleCnt="0"/>
      <dgm:spPr/>
    </dgm:pt>
    <dgm:pt modelId="{74CE6216-F5C1-4D16-B1CB-ABDB353BA8CB}" type="pres">
      <dgm:prSet presAssocID="{52BD9596-930F-47E1-8421-86E40C02D795}" presName="rootText" presStyleLbl="node2" presStyleIdx="1" presStyleCnt="4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96D15458-3784-49E0-8693-A05D4CF933FD}" type="pres">
      <dgm:prSet presAssocID="{52BD9596-930F-47E1-8421-86E40C02D795}" presName="rootConnector" presStyleLbl="node2" presStyleIdx="1" presStyleCnt="4"/>
      <dgm:spPr/>
      <dgm:t>
        <a:bodyPr/>
        <a:lstStyle/>
        <a:p>
          <a:endParaRPr lang="en-US"/>
        </a:p>
      </dgm:t>
    </dgm:pt>
    <dgm:pt modelId="{E14CE453-A74B-4B5D-9EF3-1CB1C2349140}" type="pres">
      <dgm:prSet presAssocID="{52BD9596-930F-47E1-8421-86E40C02D795}" presName="hierChild4" presStyleCnt="0"/>
      <dgm:spPr/>
    </dgm:pt>
    <dgm:pt modelId="{43F1BCB0-E752-4829-A318-CB7B7FF55865}" type="pres">
      <dgm:prSet presAssocID="{52BD9596-930F-47E1-8421-86E40C02D795}" presName="hierChild5" presStyleCnt="0"/>
      <dgm:spPr/>
    </dgm:pt>
    <dgm:pt modelId="{9F307FCF-7966-4571-9279-1C560FCEA1A6}" type="pres">
      <dgm:prSet presAssocID="{B379B869-1CB3-4195-96BB-7B0110CB3233}" presName="Name37" presStyleLbl="parChTrans1D2" presStyleIdx="2" presStyleCnt="5"/>
      <dgm:spPr/>
      <dgm:t>
        <a:bodyPr/>
        <a:lstStyle/>
        <a:p>
          <a:endParaRPr lang="en-US"/>
        </a:p>
      </dgm:t>
    </dgm:pt>
    <dgm:pt modelId="{0D8EEC7B-9B59-45AD-AB0F-1064A6E2BA2E}" type="pres">
      <dgm:prSet presAssocID="{9F2483D3-C5B2-47FE-91F3-900475A35B49}" presName="hierRoot2" presStyleCnt="0">
        <dgm:presLayoutVars>
          <dgm:hierBranch val="init"/>
        </dgm:presLayoutVars>
      </dgm:prSet>
      <dgm:spPr/>
    </dgm:pt>
    <dgm:pt modelId="{122E8CD9-2180-4FB4-B1CB-3A1D9A2191CD}" type="pres">
      <dgm:prSet presAssocID="{9F2483D3-C5B2-47FE-91F3-900475A35B49}" presName="rootComposite" presStyleCnt="0"/>
      <dgm:spPr/>
    </dgm:pt>
    <dgm:pt modelId="{242E3687-83F5-48BC-AD4D-8D889956A781}" type="pres">
      <dgm:prSet presAssocID="{9F2483D3-C5B2-47FE-91F3-900475A35B49}" presName="rootText" presStyleLbl="node2" presStyleIdx="2" presStyleCnt="4" custLinFactNeighborX="3324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00473180-C356-480B-9BF5-9D12C09831AE}" type="pres">
      <dgm:prSet presAssocID="{9F2483D3-C5B2-47FE-91F3-900475A35B49}" presName="rootConnector" presStyleLbl="node2" presStyleIdx="2" presStyleCnt="4"/>
      <dgm:spPr/>
      <dgm:t>
        <a:bodyPr/>
        <a:lstStyle/>
        <a:p>
          <a:endParaRPr lang="en-US"/>
        </a:p>
      </dgm:t>
    </dgm:pt>
    <dgm:pt modelId="{13D5A618-F793-4976-B7D8-3D655956EE35}" type="pres">
      <dgm:prSet presAssocID="{9F2483D3-C5B2-47FE-91F3-900475A35B49}" presName="hierChild4" presStyleCnt="0"/>
      <dgm:spPr/>
    </dgm:pt>
    <dgm:pt modelId="{F04C4480-B2D2-4A6C-B892-17644A558795}" type="pres">
      <dgm:prSet presAssocID="{9F2483D3-C5B2-47FE-91F3-900475A35B49}" presName="hierChild5" presStyleCnt="0"/>
      <dgm:spPr/>
    </dgm:pt>
    <dgm:pt modelId="{C9517BA9-A6A9-4519-870E-09255EC79ADE}" type="pres">
      <dgm:prSet presAssocID="{7C312107-FF89-4459-9759-93E14AD0FFB1}" presName="Name37" presStyleLbl="parChTrans1D2" presStyleIdx="3" presStyleCnt="5"/>
      <dgm:spPr/>
      <dgm:t>
        <a:bodyPr/>
        <a:lstStyle/>
        <a:p>
          <a:endParaRPr lang="en-US"/>
        </a:p>
      </dgm:t>
    </dgm:pt>
    <dgm:pt modelId="{6E63278D-1879-481A-B81D-9D92199DA2E3}" type="pres">
      <dgm:prSet presAssocID="{8FF41A0C-EA07-4EFB-BDCD-CFDDA478E075}" presName="hierRoot2" presStyleCnt="0">
        <dgm:presLayoutVars>
          <dgm:hierBranch val="init"/>
        </dgm:presLayoutVars>
      </dgm:prSet>
      <dgm:spPr/>
    </dgm:pt>
    <dgm:pt modelId="{D70FFD90-84FA-4901-93F2-8671A7478705}" type="pres">
      <dgm:prSet presAssocID="{8FF41A0C-EA07-4EFB-BDCD-CFDDA478E075}" presName="rootComposite" presStyleCnt="0"/>
      <dgm:spPr/>
    </dgm:pt>
    <dgm:pt modelId="{28529A43-F396-4D09-9F9D-08F1E3F19BB5}" type="pres">
      <dgm:prSet presAssocID="{8FF41A0C-EA07-4EFB-BDCD-CFDDA478E075}" presName="rootText" presStyleLbl="node2" presStyleIdx="3" presStyleCnt="4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CAAD9F84-2044-4867-9B74-8324BE6385C9}" type="pres">
      <dgm:prSet presAssocID="{8FF41A0C-EA07-4EFB-BDCD-CFDDA478E075}" presName="rootConnector" presStyleLbl="node2" presStyleIdx="3" presStyleCnt="4"/>
      <dgm:spPr/>
      <dgm:t>
        <a:bodyPr/>
        <a:lstStyle/>
        <a:p>
          <a:endParaRPr lang="en-US"/>
        </a:p>
      </dgm:t>
    </dgm:pt>
    <dgm:pt modelId="{AC32122E-1B72-456C-B28C-BEBA0C9CFE7C}" type="pres">
      <dgm:prSet presAssocID="{8FF41A0C-EA07-4EFB-BDCD-CFDDA478E075}" presName="hierChild4" presStyleCnt="0"/>
      <dgm:spPr/>
    </dgm:pt>
    <dgm:pt modelId="{B5110E5E-E7B5-4233-9393-77742D09542B}" type="pres">
      <dgm:prSet presAssocID="{D4F6459B-2A77-4CF8-933D-E4C9AD1C884F}" presName="Name37" presStyleLbl="parChTrans1D3" presStyleIdx="0" presStyleCnt="1"/>
      <dgm:spPr/>
      <dgm:t>
        <a:bodyPr/>
        <a:lstStyle/>
        <a:p>
          <a:endParaRPr lang="en-US"/>
        </a:p>
      </dgm:t>
    </dgm:pt>
    <dgm:pt modelId="{BE2A0DAD-7D8B-411D-839D-344A9A2F47E2}" type="pres">
      <dgm:prSet presAssocID="{1BFC02A5-EFB3-43E3-940C-5668EBA84382}" presName="hierRoot2" presStyleCnt="0">
        <dgm:presLayoutVars>
          <dgm:hierBranch val="init"/>
        </dgm:presLayoutVars>
      </dgm:prSet>
      <dgm:spPr/>
    </dgm:pt>
    <dgm:pt modelId="{74F5DED5-FA5C-4AEB-9904-3923E6D74D8C}" type="pres">
      <dgm:prSet presAssocID="{1BFC02A5-EFB3-43E3-940C-5668EBA84382}" presName="rootComposite" presStyleCnt="0"/>
      <dgm:spPr/>
    </dgm:pt>
    <dgm:pt modelId="{169C3309-C3AF-4B7E-AD17-BA983B601861}" type="pres">
      <dgm:prSet presAssocID="{1BFC02A5-EFB3-43E3-940C-5668EBA84382}" presName="rootText" presStyleLbl="node3" presStyleIdx="0" presStyleCnt="1" custLinFactX="-72428" custLinFactNeighborX="-100000" custLinFactNeighborY="62598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D8D83CDF-F463-4CAD-BA34-B2D926726BDB}" type="pres">
      <dgm:prSet presAssocID="{1BFC02A5-EFB3-43E3-940C-5668EBA84382}" presName="rootConnector" presStyleLbl="node3" presStyleIdx="0" presStyleCnt="1"/>
      <dgm:spPr/>
      <dgm:t>
        <a:bodyPr/>
        <a:lstStyle/>
        <a:p>
          <a:endParaRPr lang="en-US"/>
        </a:p>
      </dgm:t>
    </dgm:pt>
    <dgm:pt modelId="{F5EE97FC-D4C9-4166-8563-0AEF94680FF8}" type="pres">
      <dgm:prSet presAssocID="{1BFC02A5-EFB3-43E3-940C-5668EBA84382}" presName="hierChild4" presStyleCnt="0"/>
      <dgm:spPr/>
    </dgm:pt>
    <dgm:pt modelId="{ADE2DD73-B23B-4A3B-B349-C3F36D6120A2}" type="pres">
      <dgm:prSet presAssocID="{C60C14D2-5E9E-44DD-87BA-2B39A1C3CDF4}" presName="Name37" presStyleLbl="parChTrans1D4" presStyleIdx="0" presStyleCnt="3"/>
      <dgm:spPr/>
      <dgm:t>
        <a:bodyPr/>
        <a:lstStyle/>
        <a:p>
          <a:endParaRPr lang="en-US"/>
        </a:p>
      </dgm:t>
    </dgm:pt>
    <dgm:pt modelId="{7BB5BE3B-796D-4552-91CC-153BE09FE31E}" type="pres">
      <dgm:prSet presAssocID="{950CFB6A-2DAA-46E0-9C81-56EA2BC74D18}" presName="hierRoot2" presStyleCnt="0">
        <dgm:presLayoutVars>
          <dgm:hierBranch val="init"/>
        </dgm:presLayoutVars>
      </dgm:prSet>
      <dgm:spPr/>
    </dgm:pt>
    <dgm:pt modelId="{369D09D0-894B-40FE-9946-642ED2D5638C}" type="pres">
      <dgm:prSet presAssocID="{950CFB6A-2DAA-46E0-9C81-56EA2BC74D18}" presName="rootComposite" presStyleCnt="0"/>
      <dgm:spPr/>
    </dgm:pt>
    <dgm:pt modelId="{F5DB7A5F-E174-4A1C-A266-96DB221EC015}" type="pres">
      <dgm:prSet presAssocID="{950CFB6A-2DAA-46E0-9C81-56EA2BC74D18}" presName="rootText" presStyleLbl="node4" presStyleIdx="0" presStyleCnt="3" custLinFactX="-124924" custLinFactNeighborX="-200000" custLinFactNeighborY="71052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1DA80AC0-2AC8-4D1A-888A-AD0623932734}" type="pres">
      <dgm:prSet presAssocID="{950CFB6A-2DAA-46E0-9C81-56EA2BC74D18}" presName="rootConnector" presStyleLbl="node4" presStyleIdx="0" presStyleCnt="3"/>
      <dgm:spPr/>
      <dgm:t>
        <a:bodyPr/>
        <a:lstStyle/>
        <a:p>
          <a:endParaRPr lang="en-US"/>
        </a:p>
      </dgm:t>
    </dgm:pt>
    <dgm:pt modelId="{55D76C7E-A7C1-4996-B0AD-4A220C8A4F27}" type="pres">
      <dgm:prSet presAssocID="{950CFB6A-2DAA-46E0-9C81-56EA2BC74D18}" presName="hierChild4" presStyleCnt="0"/>
      <dgm:spPr/>
    </dgm:pt>
    <dgm:pt modelId="{3B50FA55-7BFB-40A3-B75C-4D441BBBCACF}" type="pres">
      <dgm:prSet presAssocID="{162BA08C-8A46-4ACC-AFA9-3FCF21DF56F0}" presName="Name37" presStyleLbl="parChTrans1D4" presStyleIdx="1" presStyleCnt="3"/>
      <dgm:spPr/>
      <dgm:t>
        <a:bodyPr/>
        <a:lstStyle/>
        <a:p>
          <a:endParaRPr lang="en-US"/>
        </a:p>
      </dgm:t>
    </dgm:pt>
    <dgm:pt modelId="{B12F0220-B592-4C3D-9A04-F2C0A351B672}" type="pres">
      <dgm:prSet presAssocID="{9697BE1B-21FF-4452-A32E-36BC8D0CB9FE}" presName="hierRoot2" presStyleCnt="0">
        <dgm:presLayoutVars>
          <dgm:hierBranch val="init"/>
        </dgm:presLayoutVars>
      </dgm:prSet>
      <dgm:spPr/>
    </dgm:pt>
    <dgm:pt modelId="{9D8E6DDE-59B9-412F-AB6A-752493071188}" type="pres">
      <dgm:prSet presAssocID="{9697BE1B-21FF-4452-A32E-36BC8D0CB9FE}" presName="rootComposite" presStyleCnt="0"/>
      <dgm:spPr/>
    </dgm:pt>
    <dgm:pt modelId="{4ADA4B17-1BB1-44B1-8290-BB0F14234185}" type="pres">
      <dgm:prSet presAssocID="{9697BE1B-21FF-4452-A32E-36BC8D0CB9FE}" presName="rootText" presStyleLbl="node4" presStyleIdx="1" presStyleCnt="3" custLinFactNeighborY="-8864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69AF0FB1-34BA-403B-A407-130E9B1FF514}" type="pres">
      <dgm:prSet presAssocID="{9697BE1B-21FF-4452-A32E-36BC8D0CB9FE}" presName="rootConnector" presStyleLbl="node4" presStyleIdx="1" presStyleCnt="3"/>
      <dgm:spPr/>
      <dgm:t>
        <a:bodyPr/>
        <a:lstStyle/>
        <a:p>
          <a:endParaRPr lang="en-US"/>
        </a:p>
      </dgm:t>
    </dgm:pt>
    <dgm:pt modelId="{8CACE815-1241-4AF7-98B8-BA4FB0FAA9AE}" type="pres">
      <dgm:prSet presAssocID="{9697BE1B-21FF-4452-A32E-36BC8D0CB9FE}" presName="hierChild4" presStyleCnt="0"/>
      <dgm:spPr/>
    </dgm:pt>
    <dgm:pt modelId="{0A1134D1-1081-47F8-8128-467745A3DFCD}" type="pres">
      <dgm:prSet presAssocID="{9697BE1B-21FF-4452-A32E-36BC8D0CB9FE}" presName="hierChild5" presStyleCnt="0"/>
      <dgm:spPr/>
    </dgm:pt>
    <dgm:pt modelId="{A3EC5E6B-7B1B-44CC-9229-B5A6D9CCB5F7}" type="pres">
      <dgm:prSet presAssocID="{950CFB6A-2DAA-46E0-9C81-56EA2BC74D18}" presName="hierChild5" presStyleCnt="0"/>
      <dgm:spPr/>
    </dgm:pt>
    <dgm:pt modelId="{1419CC71-66C0-4FA4-B91C-B7CC272605FB}" type="pres">
      <dgm:prSet presAssocID="{4E87B662-F909-41A8-BFDD-D5D77C8A3057}" presName="Name37" presStyleLbl="parChTrans1D4" presStyleIdx="2" presStyleCnt="3"/>
      <dgm:spPr/>
      <dgm:t>
        <a:bodyPr/>
        <a:lstStyle/>
        <a:p>
          <a:endParaRPr lang="en-US"/>
        </a:p>
      </dgm:t>
    </dgm:pt>
    <dgm:pt modelId="{97AC21B5-F66C-44EF-A3CB-76EAA840577B}" type="pres">
      <dgm:prSet presAssocID="{0B93D303-C5A9-48DB-B819-A314860B6961}" presName="hierRoot2" presStyleCnt="0">
        <dgm:presLayoutVars>
          <dgm:hierBranch val="init"/>
        </dgm:presLayoutVars>
      </dgm:prSet>
      <dgm:spPr/>
    </dgm:pt>
    <dgm:pt modelId="{A79DBF9D-FA20-47F4-AE9A-3D90063209C4}" type="pres">
      <dgm:prSet presAssocID="{0B93D303-C5A9-48DB-B819-A314860B6961}" presName="rootComposite" presStyleCnt="0"/>
      <dgm:spPr/>
    </dgm:pt>
    <dgm:pt modelId="{62F4B896-CD07-4DB0-B606-D269824E03C7}" type="pres">
      <dgm:prSet presAssocID="{0B93D303-C5A9-48DB-B819-A314860B6961}" presName="rootText" presStyleLbl="node4" presStyleIdx="2" presStyleCnt="3" custLinFactX="-109960" custLinFactNeighborX="-200000" custLinFactNeighborY="70688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2534F5D8-0E0A-492C-8035-01948C3AB888}" type="pres">
      <dgm:prSet presAssocID="{0B93D303-C5A9-48DB-B819-A314860B6961}" presName="rootConnector" presStyleLbl="node4" presStyleIdx="2" presStyleCnt="3"/>
      <dgm:spPr/>
      <dgm:t>
        <a:bodyPr/>
        <a:lstStyle/>
        <a:p>
          <a:endParaRPr lang="en-US"/>
        </a:p>
      </dgm:t>
    </dgm:pt>
    <dgm:pt modelId="{B1E76F32-5399-4262-8D5C-5C3208C5EBFE}" type="pres">
      <dgm:prSet presAssocID="{0B93D303-C5A9-48DB-B819-A314860B6961}" presName="hierChild4" presStyleCnt="0"/>
      <dgm:spPr/>
    </dgm:pt>
    <dgm:pt modelId="{A8E12488-F21F-406B-A77E-7414D2D75BA6}" type="pres">
      <dgm:prSet presAssocID="{0B93D303-C5A9-48DB-B819-A314860B6961}" presName="hierChild5" presStyleCnt="0"/>
      <dgm:spPr/>
    </dgm:pt>
    <dgm:pt modelId="{5573CAD4-0A9C-451C-B01C-893B33EE7018}" type="pres">
      <dgm:prSet presAssocID="{1BFC02A5-EFB3-43E3-940C-5668EBA84382}" presName="hierChild5" presStyleCnt="0"/>
      <dgm:spPr/>
    </dgm:pt>
    <dgm:pt modelId="{DCC00BF4-85A6-46B5-85DE-0D9414E4A95E}" type="pres">
      <dgm:prSet presAssocID="{8FF41A0C-EA07-4EFB-BDCD-CFDDA478E075}" presName="hierChild5" presStyleCnt="0"/>
      <dgm:spPr/>
    </dgm:pt>
    <dgm:pt modelId="{03D4553F-B6CA-4C14-A166-717F78D3124B}" type="pres">
      <dgm:prSet presAssocID="{6522BD2E-0864-43F4-9B1C-D12DBA8EE369}" presName="hierChild3" presStyleCnt="0"/>
      <dgm:spPr/>
    </dgm:pt>
    <dgm:pt modelId="{19C3F697-BF17-4BDB-87E6-A94789DD8310}" type="pres">
      <dgm:prSet presAssocID="{60FCE22C-914F-4BAF-81C2-A9B95C178E7F}" presName="Name111" presStyleLbl="parChTrans1D2" presStyleIdx="4" presStyleCnt="5"/>
      <dgm:spPr/>
      <dgm:t>
        <a:bodyPr/>
        <a:lstStyle/>
        <a:p>
          <a:endParaRPr lang="en-US"/>
        </a:p>
      </dgm:t>
    </dgm:pt>
    <dgm:pt modelId="{35256C1E-41B1-4582-8A00-38689FC07959}" type="pres">
      <dgm:prSet presAssocID="{85584FC5-D3E5-46DA-BD17-75F2ED9FFA7B}" presName="hierRoot3" presStyleCnt="0">
        <dgm:presLayoutVars>
          <dgm:hierBranch val="init"/>
        </dgm:presLayoutVars>
      </dgm:prSet>
      <dgm:spPr/>
    </dgm:pt>
    <dgm:pt modelId="{02773DE8-838B-44DA-8D6E-6F4839C7C384}" type="pres">
      <dgm:prSet presAssocID="{85584FC5-D3E5-46DA-BD17-75F2ED9FFA7B}" presName="rootComposite3" presStyleCnt="0"/>
      <dgm:spPr/>
    </dgm:pt>
    <dgm:pt modelId="{9831EDA3-C183-4CF9-8B9D-C717CF5D3A11}" type="pres">
      <dgm:prSet presAssocID="{85584FC5-D3E5-46DA-BD17-75F2ED9FFA7B}" presName="rootText3" presStyleLbl="asst1" presStyleIdx="0" presStyleCnt="1" custLinFactNeighborX="-3654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3570E8D8-4CEC-4F26-841E-891039BC65FC}" type="pres">
      <dgm:prSet presAssocID="{85584FC5-D3E5-46DA-BD17-75F2ED9FFA7B}" presName="rootConnector3" presStyleLbl="asst1" presStyleIdx="0" presStyleCnt="1"/>
      <dgm:spPr/>
      <dgm:t>
        <a:bodyPr/>
        <a:lstStyle/>
        <a:p>
          <a:endParaRPr lang="en-US"/>
        </a:p>
      </dgm:t>
    </dgm:pt>
    <dgm:pt modelId="{66D77C14-9E85-427C-A141-A164E2F539DE}" type="pres">
      <dgm:prSet presAssocID="{85584FC5-D3E5-46DA-BD17-75F2ED9FFA7B}" presName="hierChild6" presStyleCnt="0"/>
      <dgm:spPr/>
    </dgm:pt>
    <dgm:pt modelId="{63C9DA02-3B46-4E02-8D2C-069AD947FAA4}" type="pres">
      <dgm:prSet presAssocID="{85584FC5-D3E5-46DA-BD17-75F2ED9FFA7B}" presName="hierChild7" presStyleCnt="0"/>
      <dgm:spPr/>
    </dgm:pt>
  </dgm:ptLst>
  <dgm:cxnLst>
    <dgm:cxn modelId="{F0ECF86A-0537-47A9-B0FC-AA04ACCBD731}" type="presOf" srcId="{60FCE22C-914F-4BAF-81C2-A9B95C178E7F}" destId="{19C3F697-BF17-4BDB-87E6-A94789DD8310}" srcOrd="0" destOrd="0" presId="urn:microsoft.com/office/officeart/2005/8/layout/orgChart1"/>
    <dgm:cxn modelId="{E51FC35B-7613-433E-8E51-2C652BA49FD5}" type="presOf" srcId="{6522BD2E-0864-43F4-9B1C-D12DBA8EE369}" destId="{1BD6971B-253D-47BB-B59F-77E64D924C19}" srcOrd="1" destOrd="0" presId="urn:microsoft.com/office/officeart/2005/8/layout/orgChart1"/>
    <dgm:cxn modelId="{0E18200E-5FF6-44A6-B3E4-C1DF472EB8C1}" type="presOf" srcId="{162BA08C-8A46-4ACC-AFA9-3FCF21DF56F0}" destId="{3B50FA55-7BFB-40A3-B75C-4D441BBBCACF}" srcOrd="0" destOrd="0" presId="urn:microsoft.com/office/officeart/2005/8/layout/orgChart1"/>
    <dgm:cxn modelId="{49D7DC76-9937-4110-BB53-6FB9182FFE42}" srcId="{6522BD2E-0864-43F4-9B1C-D12DBA8EE369}" destId="{52BD9596-930F-47E1-8421-86E40C02D795}" srcOrd="2" destOrd="0" parTransId="{4FF1B418-E070-4478-BAD0-D139D1D3119E}" sibTransId="{544AED9B-3792-434E-9DF2-20E6ED66331C}"/>
    <dgm:cxn modelId="{43FB9DE2-7003-460D-850F-A1DAFFD62B80}" srcId="{0EA73B79-C908-4009-8150-4DA517223F98}" destId="{6522BD2E-0864-43F4-9B1C-D12DBA8EE369}" srcOrd="0" destOrd="0" parTransId="{57F47916-A44F-497F-891C-8E7FAF043F41}" sibTransId="{DBB14552-A4D9-4A21-937F-2A4CC2972861}"/>
    <dgm:cxn modelId="{651AABE1-EA69-469B-ABAB-86494FFA6572}" type="presOf" srcId="{950CFB6A-2DAA-46E0-9C81-56EA2BC74D18}" destId="{F5DB7A5F-E174-4A1C-A266-96DB221EC015}" srcOrd="0" destOrd="0" presId="urn:microsoft.com/office/officeart/2005/8/layout/orgChart1"/>
    <dgm:cxn modelId="{826DF1D3-A447-4E20-B5AC-D5B9BEDEF3D9}" type="presOf" srcId="{B6E27B23-7758-4768-A68F-97EC871C84F6}" destId="{44AE3FD2-5F52-4DCF-B90C-B975B7D502F4}" srcOrd="0" destOrd="0" presId="urn:microsoft.com/office/officeart/2005/8/layout/orgChart1"/>
    <dgm:cxn modelId="{BF760C6B-12A1-4A45-A9DF-AE15444500B2}" type="presOf" srcId="{0B93D303-C5A9-48DB-B819-A314860B6961}" destId="{62F4B896-CD07-4DB0-B606-D269824E03C7}" srcOrd="0" destOrd="0" presId="urn:microsoft.com/office/officeart/2005/8/layout/orgChart1"/>
    <dgm:cxn modelId="{FFEE5115-9680-4E60-B426-5F77D4438A6F}" srcId="{950CFB6A-2DAA-46E0-9C81-56EA2BC74D18}" destId="{9697BE1B-21FF-4452-A32E-36BC8D0CB9FE}" srcOrd="0" destOrd="0" parTransId="{162BA08C-8A46-4ACC-AFA9-3FCF21DF56F0}" sibTransId="{B7B2834E-46BC-498A-87C8-894AB145FDDC}"/>
    <dgm:cxn modelId="{066F8D3D-43B1-48D3-B1EA-2F6F355CCE4E}" type="presOf" srcId="{9697BE1B-21FF-4452-A32E-36BC8D0CB9FE}" destId="{69AF0FB1-34BA-403B-A407-130E9B1FF514}" srcOrd="1" destOrd="0" presId="urn:microsoft.com/office/officeart/2005/8/layout/orgChart1"/>
    <dgm:cxn modelId="{33E806A8-E4E8-4DA5-B379-F56AEFE469D3}" type="presOf" srcId="{6522BD2E-0864-43F4-9B1C-D12DBA8EE369}" destId="{6D6E2814-E0E8-4614-841B-CF0887D8F569}" srcOrd="0" destOrd="0" presId="urn:microsoft.com/office/officeart/2005/8/layout/orgChart1"/>
    <dgm:cxn modelId="{8F841AF2-62F0-492F-8C3A-DA784971E27A}" srcId="{1BFC02A5-EFB3-43E3-940C-5668EBA84382}" destId="{950CFB6A-2DAA-46E0-9C81-56EA2BC74D18}" srcOrd="0" destOrd="0" parTransId="{C60C14D2-5E9E-44DD-87BA-2B39A1C3CDF4}" sibTransId="{9DC31917-4572-4C57-9945-11732D3867F3}"/>
    <dgm:cxn modelId="{30203EA2-8F6A-4013-9B10-330F2A25FB78}" type="presOf" srcId="{B379B869-1CB3-4195-96BB-7B0110CB3233}" destId="{9F307FCF-7966-4571-9279-1C560FCEA1A6}" srcOrd="0" destOrd="0" presId="urn:microsoft.com/office/officeart/2005/8/layout/orgChart1"/>
    <dgm:cxn modelId="{A9B3AC37-81AD-4737-BD64-355AD413FAE9}" srcId="{6522BD2E-0864-43F4-9B1C-D12DBA8EE369}" destId="{9F2483D3-C5B2-47FE-91F3-900475A35B49}" srcOrd="3" destOrd="0" parTransId="{B379B869-1CB3-4195-96BB-7B0110CB3233}" sibTransId="{1ACDA703-BDA8-4C5A-AE85-2E5D66DC54EC}"/>
    <dgm:cxn modelId="{E2B82C9D-EC63-438F-8E2F-DCE48FBC70F1}" type="presOf" srcId="{B3AC276C-B699-4E22-BF0F-A6472DAE8591}" destId="{D47A1ADB-E986-4CB9-8EAD-6E31F327F926}" srcOrd="0" destOrd="0" presId="urn:microsoft.com/office/officeart/2005/8/layout/orgChart1"/>
    <dgm:cxn modelId="{3B54C48C-F2A4-4014-A820-728FA112CAAD}" type="presOf" srcId="{8FF41A0C-EA07-4EFB-BDCD-CFDDA478E075}" destId="{CAAD9F84-2044-4867-9B74-8324BE6385C9}" srcOrd="1" destOrd="0" presId="urn:microsoft.com/office/officeart/2005/8/layout/orgChart1"/>
    <dgm:cxn modelId="{D5AF57CE-6905-4A89-B9F7-ADA41BAC2D94}" srcId="{6522BD2E-0864-43F4-9B1C-D12DBA8EE369}" destId="{8FF41A0C-EA07-4EFB-BDCD-CFDDA478E075}" srcOrd="4" destOrd="0" parTransId="{7C312107-FF89-4459-9759-93E14AD0FFB1}" sibTransId="{1695C30C-8035-4A3D-AFF8-DC68FEDF0906}"/>
    <dgm:cxn modelId="{35590D50-5B0F-4894-A684-19DF4F9E6D1F}" type="presOf" srcId="{1BFC02A5-EFB3-43E3-940C-5668EBA84382}" destId="{169C3309-C3AF-4B7E-AD17-BA983B601861}" srcOrd="0" destOrd="0" presId="urn:microsoft.com/office/officeart/2005/8/layout/orgChart1"/>
    <dgm:cxn modelId="{DF99436F-0CA0-42F2-AFB3-2BB4005982A9}" type="presOf" srcId="{9F2483D3-C5B2-47FE-91F3-900475A35B49}" destId="{242E3687-83F5-48BC-AD4D-8D889956A781}" srcOrd="0" destOrd="0" presId="urn:microsoft.com/office/officeart/2005/8/layout/orgChart1"/>
    <dgm:cxn modelId="{D25BFDC4-89DE-468B-B404-36BBD9A3A723}" type="presOf" srcId="{85584FC5-D3E5-46DA-BD17-75F2ED9FFA7B}" destId="{9831EDA3-C183-4CF9-8B9D-C717CF5D3A11}" srcOrd="0" destOrd="0" presId="urn:microsoft.com/office/officeart/2005/8/layout/orgChart1"/>
    <dgm:cxn modelId="{46EDE8FE-972C-4477-9C2A-0F30DE80DBB8}" srcId="{6522BD2E-0864-43F4-9B1C-D12DBA8EE369}" destId="{85584FC5-D3E5-46DA-BD17-75F2ED9FFA7B}" srcOrd="0" destOrd="0" parTransId="{60FCE22C-914F-4BAF-81C2-A9B95C178E7F}" sibTransId="{5E41E39F-5470-4F3D-B544-C39D8F8EA7DC}"/>
    <dgm:cxn modelId="{994A3878-4902-4931-88B3-836DA428F07E}" type="presOf" srcId="{9F2483D3-C5B2-47FE-91F3-900475A35B49}" destId="{00473180-C356-480B-9BF5-9D12C09831AE}" srcOrd="1" destOrd="0" presId="urn:microsoft.com/office/officeart/2005/8/layout/orgChart1"/>
    <dgm:cxn modelId="{2069BC85-C60D-4E49-9FBE-4272F51A12D0}" srcId="{6522BD2E-0864-43F4-9B1C-D12DBA8EE369}" destId="{B6E27B23-7758-4768-A68F-97EC871C84F6}" srcOrd="1" destOrd="0" parTransId="{B3AC276C-B699-4E22-BF0F-A6472DAE8591}" sibTransId="{9208EAE5-B223-4871-9AD0-AB4B2C1BB8C1}"/>
    <dgm:cxn modelId="{01226966-9F7E-4479-BFE6-AB9D3F5A29A8}" type="presOf" srcId="{0EA73B79-C908-4009-8150-4DA517223F98}" destId="{8989E684-15C2-4487-9BE7-47834F87DA1B}" srcOrd="0" destOrd="0" presId="urn:microsoft.com/office/officeart/2005/8/layout/orgChart1"/>
    <dgm:cxn modelId="{55528E53-BCF7-43FF-AF5B-C4E8F69A78F9}" srcId="{1BFC02A5-EFB3-43E3-940C-5668EBA84382}" destId="{0B93D303-C5A9-48DB-B819-A314860B6961}" srcOrd="1" destOrd="0" parTransId="{4E87B662-F909-41A8-BFDD-D5D77C8A3057}" sibTransId="{0FCC9E12-48C1-4472-A493-BE2979B37617}"/>
    <dgm:cxn modelId="{979EB140-9723-4B64-B57B-CF630047B656}" type="presOf" srcId="{1BFC02A5-EFB3-43E3-940C-5668EBA84382}" destId="{D8D83CDF-F463-4CAD-BA34-B2D926726BDB}" srcOrd="1" destOrd="0" presId="urn:microsoft.com/office/officeart/2005/8/layout/orgChart1"/>
    <dgm:cxn modelId="{EC1157FC-8A42-4353-A8D6-F0815D2CAB77}" type="presOf" srcId="{8FF41A0C-EA07-4EFB-BDCD-CFDDA478E075}" destId="{28529A43-F396-4D09-9F9D-08F1E3F19BB5}" srcOrd="0" destOrd="0" presId="urn:microsoft.com/office/officeart/2005/8/layout/orgChart1"/>
    <dgm:cxn modelId="{5DF61CE9-5486-4E34-8F51-8898D16E1FFD}" type="presOf" srcId="{4E87B662-F909-41A8-BFDD-D5D77C8A3057}" destId="{1419CC71-66C0-4FA4-B91C-B7CC272605FB}" srcOrd="0" destOrd="0" presId="urn:microsoft.com/office/officeart/2005/8/layout/orgChart1"/>
    <dgm:cxn modelId="{A6B1CE19-C7AE-4691-A065-177C14383D8E}" type="presOf" srcId="{950CFB6A-2DAA-46E0-9C81-56EA2BC74D18}" destId="{1DA80AC0-2AC8-4D1A-888A-AD0623932734}" srcOrd="1" destOrd="0" presId="urn:microsoft.com/office/officeart/2005/8/layout/orgChart1"/>
    <dgm:cxn modelId="{7C9D842E-6651-40B6-AEE4-167C6DDD0F62}" type="presOf" srcId="{C60C14D2-5E9E-44DD-87BA-2B39A1C3CDF4}" destId="{ADE2DD73-B23B-4A3B-B349-C3F36D6120A2}" srcOrd="0" destOrd="0" presId="urn:microsoft.com/office/officeart/2005/8/layout/orgChart1"/>
    <dgm:cxn modelId="{E1987E10-A16B-48DE-9D26-84B122AF1BBE}" type="presOf" srcId="{4FF1B418-E070-4478-BAD0-D139D1D3119E}" destId="{62A59FDD-1BCD-4B1A-B604-A50B3AC285DB}" srcOrd="0" destOrd="0" presId="urn:microsoft.com/office/officeart/2005/8/layout/orgChart1"/>
    <dgm:cxn modelId="{D0CC6C59-762E-4F38-86CD-BE605DAA1660}" type="presOf" srcId="{52BD9596-930F-47E1-8421-86E40C02D795}" destId="{96D15458-3784-49E0-8693-A05D4CF933FD}" srcOrd="1" destOrd="0" presId="urn:microsoft.com/office/officeart/2005/8/layout/orgChart1"/>
    <dgm:cxn modelId="{08B2DCB7-9E40-4788-8608-4564DC92670D}" type="presOf" srcId="{7C312107-FF89-4459-9759-93E14AD0FFB1}" destId="{C9517BA9-A6A9-4519-870E-09255EC79ADE}" srcOrd="0" destOrd="0" presId="urn:microsoft.com/office/officeart/2005/8/layout/orgChart1"/>
    <dgm:cxn modelId="{8C91DD3B-D9D8-4514-B094-5925DF0CB7DC}" srcId="{8FF41A0C-EA07-4EFB-BDCD-CFDDA478E075}" destId="{1BFC02A5-EFB3-43E3-940C-5668EBA84382}" srcOrd="0" destOrd="0" parTransId="{D4F6459B-2A77-4CF8-933D-E4C9AD1C884F}" sibTransId="{FB1154DF-01FF-4D03-95EF-C6392C85036C}"/>
    <dgm:cxn modelId="{4AEC3902-EBA3-4DBE-8E1F-4D9942B4E672}" type="presOf" srcId="{9697BE1B-21FF-4452-A32E-36BC8D0CB9FE}" destId="{4ADA4B17-1BB1-44B1-8290-BB0F14234185}" srcOrd="0" destOrd="0" presId="urn:microsoft.com/office/officeart/2005/8/layout/orgChart1"/>
    <dgm:cxn modelId="{8DAADFC7-5911-41E8-94DA-2059B6E034BA}" type="presOf" srcId="{B6E27B23-7758-4768-A68F-97EC871C84F6}" destId="{4519A0D8-6BED-4F05-B94A-CA60D773A19F}" srcOrd="1" destOrd="0" presId="urn:microsoft.com/office/officeart/2005/8/layout/orgChart1"/>
    <dgm:cxn modelId="{7B401402-E022-450A-8B7A-24060933A71B}" type="presOf" srcId="{0B93D303-C5A9-48DB-B819-A314860B6961}" destId="{2534F5D8-0E0A-492C-8035-01948C3AB888}" srcOrd="1" destOrd="0" presId="urn:microsoft.com/office/officeart/2005/8/layout/orgChart1"/>
    <dgm:cxn modelId="{831C20A5-9E14-4912-9CA3-AFF7D05A0740}" type="presOf" srcId="{85584FC5-D3E5-46DA-BD17-75F2ED9FFA7B}" destId="{3570E8D8-4CEC-4F26-841E-891039BC65FC}" srcOrd="1" destOrd="0" presId="urn:microsoft.com/office/officeart/2005/8/layout/orgChart1"/>
    <dgm:cxn modelId="{A26C0866-1234-405B-9059-D7E238DCF68E}" type="presOf" srcId="{D4F6459B-2A77-4CF8-933D-E4C9AD1C884F}" destId="{B5110E5E-E7B5-4233-9393-77742D09542B}" srcOrd="0" destOrd="0" presId="urn:microsoft.com/office/officeart/2005/8/layout/orgChart1"/>
    <dgm:cxn modelId="{B624074E-2C5F-4FBC-B778-F29DA99F8BAE}" type="presOf" srcId="{52BD9596-930F-47E1-8421-86E40C02D795}" destId="{74CE6216-F5C1-4D16-B1CB-ABDB353BA8CB}" srcOrd="0" destOrd="0" presId="urn:microsoft.com/office/officeart/2005/8/layout/orgChart1"/>
    <dgm:cxn modelId="{CEBE751C-C751-49A0-B51E-A376C3081EFE}" type="presParOf" srcId="{8989E684-15C2-4487-9BE7-47834F87DA1B}" destId="{7BB29D9B-2269-495E-95B0-C6D024934B17}" srcOrd="0" destOrd="0" presId="urn:microsoft.com/office/officeart/2005/8/layout/orgChart1"/>
    <dgm:cxn modelId="{04AB05E2-C393-4709-8757-EACADCB4DA60}" type="presParOf" srcId="{7BB29D9B-2269-495E-95B0-C6D024934B17}" destId="{332C913B-6AEF-4DC4-A74B-EDAC2D0A029F}" srcOrd="0" destOrd="0" presId="urn:microsoft.com/office/officeart/2005/8/layout/orgChart1"/>
    <dgm:cxn modelId="{CD53AF6F-7B7B-420D-907E-F16F15C86D71}" type="presParOf" srcId="{332C913B-6AEF-4DC4-A74B-EDAC2D0A029F}" destId="{6D6E2814-E0E8-4614-841B-CF0887D8F569}" srcOrd="0" destOrd="0" presId="urn:microsoft.com/office/officeart/2005/8/layout/orgChart1"/>
    <dgm:cxn modelId="{F695899B-331C-430B-9D91-BF95229B9646}" type="presParOf" srcId="{332C913B-6AEF-4DC4-A74B-EDAC2D0A029F}" destId="{1BD6971B-253D-47BB-B59F-77E64D924C19}" srcOrd="1" destOrd="0" presId="urn:microsoft.com/office/officeart/2005/8/layout/orgChart1"/>
    <dgm:cxn modelId="{9677F654-BD0B-4F1D-A47E-46BCE03E4174}" type="presParOf" srcId="{7BB29D9B-2269-495E-95B0-C6D024934B17}" destId="{234BAA56-BDB5-43B4-986E-4B64E8604D49}" srcOrd="1" destOrd="0" presId="urn:microsoft.com/office/officeart/2005/8/layout/orgChart1"/>
    <dgm:cxn modelId="{BB27A4FB-A2DF-41BF-86C7-B17C1991D8B7}" type="presParOf" srcId="{234BAA56-BDB5-43B4-986E-4B64E8604D49}" destId="{D47A1ADB-E986-4CB9-8EAD-6E31F327F926}" srcOrd="0" destOrd="0" presId="urn:microsoft.com/office/officeart/2005/8/layout/orgChart1"/>
    <dgm:cxn modelId="{4A258CCD-873D-4BAA-831B-CBBABE019BB2}" type="presParOf" srcId="{234BAA56-BDB5-43B4-986E-4B64E8604D49}" destId="{54AE5FBC-9E8E-454D-9892-54A1160414B1}" srcOrd="1" destOrd="0" presId="urn:microsoft.com/office/officeart/2005/8/layout/orgChart1"/>
    <dgm:cxn modelId="{DD4947AF-E029-43ED-9A7A-5E47103E0FF6}" type="presParOf" srcId="{54AE5FBC-9E8E-454D-9892-54A1160414B1}" destId="{DEF1044E-ACF2-4B41-B402-8F6590B2187F}" srcOrd="0" destOrd="0" presId="urn:microsoft.com/office/officeart/2005/8/layout/orgChart1"/>
    <dgm:cxn modelId="{CF22D3AE-13AB-4B9B-8885-506D5BB8F42B}" type="presParOf" srcId="{DEF1044E-ACF2-4B41-B402-8F6590B2187F}" destId="{44AE3FD2-5F52-4DCF-B90C-B975B7D502F4}" srcOrd="0" destOrd="0" presId="urn:microsoft.com/office/officeart/2005/8/layout/orgChart1"/>
    <dgm:cxn modelId="{29C1F1AB-2A5F-4F1D-8D62-EBA296F10DE9}" type="presParOf" srcId="{DEF1044E-ACF2-4B41-B402-8F6590B2187F}" destId="{4519A0D8-6BED-4F05-B94A-CA60D773A19F}" srcOrd="1" destOrd="0" presId="urn:microsoft.com/office/officeart/2005/8/layout/orgChart1"/>
    <dgm:cxn modelId="{7676560C-6DD0-4D42-BD73-9404CD080DD9}" type="presParOf" srcId="{54AE5FBC-9E8E-454D-9892-54A1160414B1}" destId="{A78783C5-C6B3-4FE1-9942-FBAD838D6BEA}" srcOrd="1" destOrd="0" presId="urn:microsoft.com/office/officeart/2005/8/layout/orgChart1"/>
    <dgm:cxn modelId="{244385E1-8F77-4F5E-9734-01989FF79689}" type="presParOf" srcId="{54AE5FBC-9E8E-454D-9892-54A1160414B1}" destId="{8E3B278B-C840-488D-A556-896592A0F059}" srcOrd="2" destOrd="0" presId="urn:microsoft.com/office/officeart/2005/8/layout/orgChart1"/>
    <dgm:cxn modelId="{6C5B1CEA-479E-4EF8-B77E-8956EB8B6C05}" type="presParOf" srcId="{234BAA56-BDB5-43B4-986E-4B64E8604D49}" destId="{62A59FDD-1BCD-4B1A-B604-A50B3AC285DB}" srcOrd="2" destOrd="0" presId="urn:microsoft.com/office/officeart/2005/8/layout/orgChart1"/>
    <dgm:cxn modelId="{CDBB5A71-E38D-4985-866A-AF7279104A6D}" type="presParOf" srcId="{234BAA56-BDB5-43B4-986E-4B64E8604D49}" destId="{7C0202E7-9F15-4651-B74C-4C034569C4FF}" srcOrd="3" destOrd="0" presId="urn:microsoft.com/office/officeart/2005/8/layout/orgChart1"/>
    <dgm:cxn modelId="{5658451A-A146-4C13-8D24-36B6CE9DF2A4}" type="presParOf" srcId="{7C0202E7-9F15-4651-B74C-4C034569C4FF}" destId="{0044379B-D245-4688-8705-71345854D1C3}" srcOrd="0" destOrd="0" presId="urn:microsoft.com/office/officeart/2005/8/layout/orgChart1"/>
    <dgm:cxn modelId="{065FB485-F61A-4ED2-B1CC-90039E65C062}" type="presParOf" srcId="{0044379B-D245-4688-8705-71345854D1C3}" destId="{74CE6216-F5C1-4D16-B1CB-ABDB353BA8CB}" srcOrd="0" destOrd="0" presId="urn:microsoft.com/office/officeart/2005/8/layout/orgChart1"/>
    <dgm:cxn modelId="{D017A362-3E13-4BFA-832E-20F1740AD568}" type="presParOf" srcId="{0044379B-D245-4688-8705-71345854D1C3}" destId="{96D15458-3784-49E0-8693-A05D4CF933FD}" srcOrd="1" destOrd="0" presId="urn:microsoft.com/office/officeart/2005/8/layout/orgChart1"/>
    <dgm:cxn modelId="{38F4E49A-71A0-403A-BED0-FDA0E5EEA267}" type="presParOf" srcId="{7C0202E7-9F15-4651-B74C-4C034569C4FF}" destId="{E14CE453-A74B-4B5D-9EF3-1CB1C2349140}" srcOrd="1" destOrd="0" presId="urn:microsoft.com/office/officeart/2005/8/layout/orgChart1"/>
    <dgm:cxn modelId="{9BD70922-3E67-406B-90C2-739BF18DDF89}" type="presParOf" srcId="{7C0202E7-9F15-4651-B74C-4C034569C4FF}" destId="{43F1BCB0-E752-4829-A318-CB7B7FF55865}" srcOrd="2" destOrd="0" presId="urn:microsoft.com/office/officeart/2005/8/layout/orgChart1"/>
    <dgm:cxn modelId="{5D69CB42-EA83-4A40-9A99-DA0B8F703285}" type="presParOf" srcId="{234BAA56-BDB5-43B4-986E-4B64E8604D49}" destId="{9F307FCF-7966-4571-9279-1C560FCEA1A6}" srcOrd="4" destOrd="0" presId="urn:microsoft.com/office/officeart/2005/8/layout/orgChart1"/>
    <dgm:cxn modelId="{C5409682-D32E-43D7-9255-049DE973F213}" type="presParOf" srcId="{234BAA56-BDB5-43B4-986E-4B64E8604D49}" destId="{0D8EEC7B-9B59-45AD-AB0F-1064A6E2BA2E}" srcOrd="5" destOrd="0" presId="urn:microsoft.com/office/officeart/2005/8/layout/orgChart1"/>
    <dgm:cxn modelId="{D19131AC-2C53-49C0-8E3F-3BAFD7E019FE}" type="presParOf" srcId="{0D8EEC7B-9B59-45AD-AB0F-1064A6E2BA2E}" destId="{122E8CD9-2180-4FB4-B1CB-3A1D9A2191CD}" srcOrd="0" destOrd="0" presId="urn:microsoft.com/office/officeart/2005/8/layout/orgChart1"/>
    <dgm:cxn modelId="{7827A0B6-080E-4007-8459-EB45CF078B43}" type="presParOf" srcId="{122E8CD9-2180-4FB4-B1CB-3A1D9A2191CD}" destId="{242E3687-83F5-48BC-AD4D-8D889956A781}" srcOrd="0" destOrd="0" presId="urn:microsoft.com/office/officeart/2005/8/layout/orgChart1"/>
    <dgm:cxn modelId="{21CC53CF-7246-4EFF-ACAE-3442F9723537}" type="presParOf" srcId="{122E8CD9-2180-4FB4-B1CB-3A1D9A2191CD}" destId="{00473180-C356-480B-9BF5-9D12C09831AE}" srcOrd="1" destOrd="0" presId="urn:microsoft.com/office/officeart/2005/8/layout/orgChart1"/>
    <dgm:cxn modelId="{A0209F7D-00A1-403E-B82A-201021C5A0A7}" type="presParOf" srcId="{0D8EEC7B-9B59-45AD-AB0F-1064A6E2BA2E}" destId="{13D5A618-F793-4976-B7D8-3D655956EE35}" srcOrd="1" destOrd="0" presId="urn:microsoft.com/office/officeart/2005/8/layout/orgChart1"/>
    <dgm:cxn modelId="{06D7E4B8-8D8B-4E23-8FB3-1241BE2C39A3}" type="presParOf" srcId="{0D8EEC7B-9B59-45AD-AB0F-1064A6E2BA2E}" destId="{F04C4480-B2D2-4A6C-B892-17644A558795}" srcOrd="2" destOrd="0" presId="urn:microsoft.com/office/officeart/2005/8/layout/orgChart1"/>
    <dgm:cxn modelId="{50BEC555-824F-4158-A651-C4F5C3FBEEBA}" type="presParOf" srcId="{234BAA56-BDB5-43B4-986E-4B64E8604D49}" destId="{C9517BA9-A6A9-4519-870E-09255EC79ADE}" srcOrd="6" destOrd="0" presId="urn:microsoft.com/office/officeart/2005/8/layout/orgChart1"/>
    <dgm:cxn modelId="{5F89FC01-2EA7-4A9C-9C39-5EAD3BD0ADA9}" type="presParOf" srcId="{234BAA56-BDB5-43B4-986E-4B64E8604D49}" destId="{6E63278D-1879-481A-B81D-9D92199DA2E3}" srcOrd="7" destOrd="0" presId="urn:microsoft.com/office/officeart/2005/8/layout/orgChart1"/>
    <dgm:cxn modelId="{007C5455-FA0B-49AB-B839-88347CF1C62E}" type="presParOf" srcId="{6E63278D-1879-481A-B81D-9D92199DA2E3}" destId="{D70FFD90-84FA-4901-93F2-8671A7478705}" srcOrd="0" destOrd="0" presId="urn:microsoft.com/office/officeart/2005/8/layout/orgChart1"/>
    <dgm:cxn modelId="{6760E356-66A5-4D5E-BC3F-8E077980953D}" type="presParOf" srcId="{D70FFD90-84FA-4901-93F2-8671A7478705}" destId="{28529A43-F396-4D09-9F9D-08F1E3F19BB5}" srcOrd="0" destOrd="0" presId="urn:microsoft.com/office/officeart/2005/8/layout/orgChart1"/>
    <dgm:cxn modelId="{9FA40E79-1AEC-4952-ACB9-C9D393BBC271}" type="presParOf" srcId="{D70FFD90-84FA-4901-93F2-8671A7478705}" destId="{CAAD9F84-2044-4867-9B74-8324BE6385C9}" srcOrd="1" destOrd="0" presId="urn:microsoft.com/office/officeart/2005/8/layout/orgChart1"/>
    <dgm:cxn modelId="{2EF694CB-3E75-4DC5-8340-60DBEBDE8B6A}" type="presParOf" srcId="{6E63278D-1879-481A-B81D-9D92199DA2E3}" destId="{AC32122E-1B72-456C-B28C-BEBA0C9CFE7C}" srcOrd="1" destOrd="0" presId="urn:microsoft.com/office/officeart/2005/8/layout/orgChart1"/>
    <dgm:cxn modelId="{3917FD78-F61F-49C8-8B77-675AB8F9AAF2}" type="presParOf" srcId="{AC32122E-1B72-456C-B28C-BEBA0C9CFE7C}" destId="{B5110E5E-E7B5-4233-9393-77742D09542B}" srcOrd="0" destOrd="0" presId="urn:microsoft.com/office/officeart/2005/8/layout/orgChart1"/>
    <dgm:cxn modelId="{17B321D8-D55E-4B73-9810-F13D0EC5078D}" type="presParOf" srcId="{AC32122E-1B72-456C-B28C-BEBA0C9CFE7C}" destId="{BE2A0DAD-7D8B-411D-839D-344A9A2F47E2}" srcOrd="1" destOrd="0" presId="urn:microsoft.com/office/officeart/2005/8/layout/orgChart1"/>
    <dgm:cxn modelId="{5B64989C-B6EB-48C5-BF81-E90F29DF22A9}" type="presParOf" srcId="{BE2A0DAD-7D8B-411D-839D-344A9A2F47E2}" destId="{74F5DED5-FA5C-4AEB-9904-3923E6D74D8C}" srcOrd="0" destOrd="0" presId="urn:microsoft.com/office/officeart/2005/8/layout/orgChart1"/>
    <dgm:cxn modelId="{130FDA6F-EAA9-4A01-8672-13E79CF8C018}" type="presParOf" srcId="{74F5DED5-FA5C-4AEB-9904-3923E6D74D8C}" destId="{169C3309-C3AF-4B7E-AD17-BA983B601861}" srcOrd="0" destOrd="0" presId="urn:microsoft.com/office/officeart/2005/8/layout/orgChart1"/>
    <dgm:cxn modelId="{B6D241A9-6163-4BBD-9495-208FA8C008FD}" type="presParOf" srcId="{74F5DED5-FA5C-4AEB-9904-3923E6D74D8C}" destId="{D8D83CDF-F463-4CAD-BA34-B2D926726BDB}" srcOrd="1" destOrd="0" presId="urn:microsoft.com/office/officeart/2005/8/layout/orgChart1"/>
    <dgm:cxn modelId="{28E47ABE-A715-46DF-BAFE-7028989DD7BF}" type="presParOf" srcId="{BE2A0DAD-7D8B-411D-839D-344A9A2F47E2}" destId="{F5EE97FC-D4C9-4166-8563-0AEF94680FF8}" srcOrd="1" destOrd="0" presId="urn:microsoft.com/office/officeart/2005/8/layout/orgChart1"/>
    <dgm:cxn modelId="{1199F5BB-48FD-47B5-A71D-83A306F5BC56}" type="presParOf" srcId="{F5EE97FC-D4C9-4166-8563-0AEF94680FF8}" destId="{ADE2DD73-B23B-4A3B-B349-C3F36D6120A2}" srcOrd="0" destOrd="0" presId="urn:microsoft.com/office/officeart/2005/8/layout/orgChart1"/>
    <dgm:cxn modelId="{9635C70D-448F-4E20-8267-7B7A3FF0BC58}" type="presParOf" srcId="{F5EE97FC-D4C9-4166-8563-0AEF94680FF8}" destId="{7BB5BE3B-796D-4552-91CC-153BE09FE31E}" srcOrd="1" destOrd="0" presId="urn:microsoft.com/office/officeart/2005/8/layout/orgChart1"/>
    <dgm:cxn modelId="{ECD335D4-1E56-4BC6-92F9-C4601BD9E159}" type="presParOf" srcId="{7BB5BE3B-796D-4552-91CC-153BE09FE31E}" destId="{369D09D0-894B-40FE-9946-642ED2D5638C}" srcOrd="0" destOrd="0" presId="urn:microsoft.com/office/officeart/2005/8/layout/orgChart1"/>
    <dgm:cxn modelId="{97297AE1-943B-49B5-8D8D-0C8140CAF7C1}" type="presParOf" srcId="{369D09D0-894B-40FE-9946-642ED2D5638C}" destId="{F5DB7A5F-E174-4A1C-A266-96DB221EC015}" srcOrd="0" destOrd="0" presId="urn:microsoft.com/office/officeart/2005/8/layout/orgChart1"/>
    <dgm:cxn modelId="{510E44DF-7C1A-4BF5-9284-4EED0EC6740E}" type="presParOf" srcId="{369D09D0-894B-40FE-9946-642ED2D5638C}" destId="{1DA80AC0-2AC8-4D1A-888A-AD0623932734}" srcOrd="1" destOrd="0" presId="urn:microsoft.com/office/officeart/2005/8/layout/orgChart1"/>
    <dgm:cxn modelId="{56EB7293-7575-4513-9307-D2FEFCE98CC0}" type="presParOf" srcId="{7BB5BE3B-796D-4552-91CC-153BE09FE31E}" destId="{55D76C7E-A7C1-4996-B0AD-4A220C8A4F27}" srcOrd="1" destOrd="0" presId="urn:microsoft.com/office/officeart/2005/8/layout/orgChart1"/>
    <dgm:cxn modelId="{81EC827E-8FC9-4747-8DCC-2CE7A6D4E5CA}" type="presParOf" srcId="{55D76C7E-A7C1-4996-B0AD-4A220C8A4F27}" destId="{3B50FA55-7BFB-40A3-B75C-4D441BBBCACF}" srcOrd="0" destOrd="0" presId="urn:microsoft.com/office/officeart/2005/8/layout/orgChart1"/>
    <dgm:cxn modelId="{46D6C1BD-BB88-4EA2-9059-9374CBBBDCAF}" type="presParOf" srcId="{55D76C7E-A7C1-4996-B0AD-4A220C8A4F27}" destId="{B12F0220-B592-4C3D-9A04-F2C0A351B672}" srcOrd="1" destOrd="0" presId="urn:microsoft.com/office/officeart/2005/8/layout/orgChart1"/>
    <dgm:cxn modelId="{1CA1AFFC-9829-4366-AD4F-22B910981A82}" type="presParOf" srcId="{B12F0220-B592-4C3D-9A04-F2C0A351B672}" destId="{9D8E6DDE-59B9-412F-AB6A-752493071188}" srcOrd="0" destOrd="0" presId="urn:microsoft.com/office/officeart/2005/8/layout/orgChart1"/>
    <dgm:cxn modelId="{81B673B3-4D40-4290-B487-30CF32A7618F}" type="presParOf" srcId="{9D8E6DDE-59B9-412F-AB6A-752493071188}" destId="{4ADA4B17-1BB1-44B1-8290-BB0F14234185}" srcOrd="0" destOrd="0" presId="urn:microsoft.com/office/officeart/2005/8/layout/orgChart1"/>
    <dgm:cxn modelId="{0D93D546-822A-4AA3-8B27-3FD9BC80F838}" type="presParOf" srcId="{9D8E6DDE-59B9-412F-AB6A-752493071188}" destId="{69AF0FB1-34BA-403B-A407-130E9B1FF514}" srcOrd="1" destOrd="0" presId="urn:microsoft.com/office/officeart/2005/8/layout/orgChart1"/>
    <dgm:cxn modelId="{E9719DE2-E4CB-4797-ACD5-51071C9A5D32}" type="presParOf" srcId="{B12F0220-B592-4C3D-9A04-F2C0A351B672}" destId="{8CACE815-1241-4AF7-98B8-BA4FB0FAA9AE}" srcOrd="1" destOrd="0" presId="urn:microsoft.com/office/officeart/2005/8/layout/orgChart1"/>
    <dgm:cxn modelId="{FA83B73A-FAC2-4D47-8F5A-96A1BBD5C96B}" type="presParOf" srcId="{B12F0220-B592-4C3D-9A04-F2C0A351B672}" destId="{0A1134D1-1081-47F8-8128-467745A3DFCD}" srcOrd="2" destOrd="0" presId="urn:microsoft.com/office/officeart/2005/8/layout/orgChart1"/>
    <dgm:cxn modelId="{43F2B9A2-B056-40DC-A5B6-831393600C26}" type="presParOf" srcId="{7BB5BE3B-796D-4552-91CC-153BE09FE31E}" destId="{A3EC5E6B-7B1B-44CC-9229-B5A6D9CCB5F7}" srcOrd="2" destOrd="0" presId="urn:microsoft.com/office/officeart/2005/8/layout/orgChart1"/>
    <dgm:cxn modelId="{32EB7722-CE8B-4DF8-848B-D97FD2C5836B}" type="presParOf" srcId="{F5EE97FC-D4C9-4166-8563-0AEF94680FF8}" destId="{1419CC71-66C0-4FA4-B91C-B7CC272605FB}" srcOrd="2" destOrd="0" presId="urn:microsoft.com/office/officeart/2005/8/layout/orgChart1"/>
    <dgm:cxn modelId="{AA421D8C-7578-4C45-BC70-B86E93134AE3}" type="presParOf" srcId="{F5EE97FC-D4C9-4166-8563-0AEF94680FF8}" destId="{97AC21B5-F66C-44EF-A3CB-76EAA840577B}" srcOrd="3" destOrd="0" presId="urn:microsoft.com/office/officeart/2005/8/layout/orgChart1"/>
    <dgm:cxn modelId="{99098163-E21A-4F48-9F4E-BBDC70227BC5}" type="presParOf" srcId="{97AC21B5-F66C-44EF-A3CB-76EAA840577B}" destId="{A79DBF9D-FA20-47F4-AE9A-3D90063209C4}" srcOrd="0" destOrd="0" presId="urn:microsoft.com/office/officeart/2005/8/layout/orgChart1"/>
    <dgm:cxn modelId="{1037EAF6-C535-45DE-998D-4703BFA6B2A1}" type="presParOf" srcId="{A79DBF9D-FA20-47F4-AE9A-3D90063209C4}" destId="{62F4B896-CD07-4DB0-B606-D269824E03C7}" srcOrd="0" destOrd="0" presId="urn:microsoft.com/office/officeart/2005/8/layout/orgChart1"/>
    <dgm:cxn modelId="{538AC003-5558-4B29-906F-61F040748A13}" type="presParOf" srcId="{A79DBF9D-FA20-47F4-AE9A-3D90063209C4}" destId="{2534F5D8-0E0A-492C-8035-01948C3AB888}" srcOrd="1" destOrd="0" presId="urn:microsoft.com/office/officeart/2005/8/layout/orgChart1"/>
    <dgm:cxn modelId="{9DA9AFFA-AFC8-4582-A9ED-1633396E7613}" type="presParOf" srcId="{97AC21B5-F66C-44EF-A3CB-76EAA840577B}" destId="{B1E76F32-5399-4262-8D5C-5C3208C5EBFE}" srcOrd="1" destOrd="0" presId="urn:microsoft.com/office/officeart/2005/8/layout/orgChart1"/>
    <dgm:cxn modelId="{702EEBD5-AEB3-44F5-8529-6E38AED77A91}" type="presParOf" srcId="{97AC21B5-F66C-44EF-A3CB-76EAA840577B}" destId="{A8E12488-F21F-406B-A77E-7414D2D75BA6}" srcOrd="2" destOrd="0" presId="urn:microsoft.com/office/officeart/2005/8/layout/orgChart1"/>
    <dgm:cxn modelId="{C08D6635-7D3E-48A1-A7B0-396592725A83}" type="presParOf" srcId="{BE2A0DAD-7D8B-411D-839D-344A9A2F47E2}" destId="{5573CAD4-0A9C-451C-B01C-893B33EE7018}" srcOrd="2" destOrd="0" presId="urn:microsoft.com/office/officeart/2005/8/layout/orgChart1"/>
    <dgm:cxn modelId="{70F810F6-0A2A-4FB1-BD56-3C56D9EF50C8}" type="presParOf" srcId="{6E63278D-1879-481A-B81D-9D92199DA2E3}" destId="{DCC00BF4-85A6-46B5-85DE-0D9414E4A95E}" srcOrd="2" destOrd="0" presId="urn:microsoft.com/office/officeart/2005/8/layout/orgChart1"/>
    <dgm:cxn modelId="{BCAA46DC-8CB8-4D98-9AEA-64F40C89BB01}" type="presParOf" srcId="{7BB29D9B-2269-495E-95B0-C6D024934B17}" destId="{03D4553F-B6CA-4C14-A166-717F78D3124B}" srcOrd="2" destOrd="0" presId="urn:microsoft.com/office/officeart/2005/8/layout/orgChart1"/>
    <dgm:cxn modelId="{F02CA2BD-08EE-4A30-A288-6E71011073B3}" type="presParOf" srcId="{03D4553F-B6CA-4C14-A166-717F78D3124B}" destId="{19C3F697-BF17-4BDB-87E6-A94789DD8310}" srcOrd="0" destOrd="0" presId="urn:microsoft.com/office/officeart/2005/8/layout/orgChart1"/>
    <dgm:cxn modelId="{197A921C-F0B7-44B5-912C-AE2FE3C5B7AE}" type="presParOf" srcId="{03D4553F-B6CA-4C14-A166-717F78D3124B}" destId="{35256C1E-41B1-4582-8A00-38689FC07959}" srcOrd="1" destOrd="0" presId="urn:microsoft.com/office/officeart/2005/8/layout/orgChart1"/>
    <dgm:cxn modelId="{9AAFA309-D588-470E-96CA-FF2A4EA1D2C2}" type="presParOf" srcId="{35256C1E-41B1-4582-8A00-38689FC07959}" destId="{02773DE8-838B-44DA-8D6E-6F4839C7C384}" srcOrd="0" destOrd="0" presId="urn:microsoft.com/office/officeart/2005/8/layout/orgChart1"/>
    <dgm:cxn modelId="{64777884-FB3C-4381-92DD-6213D3311E99}" type="presParOf" srcId="{02773DE8-838B-44DA-8D6E-6F4839C7C384}" destId="{9831EDA3-C183-4CF9-8B9D-C717CF5D3A11}" srcOrd="0" destOrd="0" presId="urn:microsoft.com/office/officeart/2005/8/layout/orgChart1"/>
    <dgm:cxn modelId="{ECEEB847-0C92-4C86-8AC7-2BF9A8E9E637}" type="presParOf" srcId="{02773DE8-838B-44DA-8D6E-6F4839C7C384}" destId="{3570E8D8-4CEC-4F26-841E-891039BC65FC}" srcOrd="1" destOrd="0" presId="urn:microsoft.com/office/officeart/2005/8/layout/orgChart1"/>
    <dgm:cxn modelId="{8A7F9DE2-37DB-4EE1-AAFF-93CF3EACD175}" type="presParOf" srcId="{35256C1E-41B1-4582-8A00-38689FC07959}" destId="{66D77C14-9E85-427C-A141-A164E2F539DE}" srcOrd="1" destOrd="0" presId="urn:microsoft.com/office/officeart/2005/8/layout/orgChart1"/>
    <dgm:cxn modelId="{23FBD6E2-0099-4D06-B200-34B6492954A4}" type="presParOf" srcId="{35256C1E-41B1-4582-8A00-38689FC07959}" destId="{63C9DA02-3B46-4E02-8D2C-069AD947FAA4}" srcOrd="2" destOrd="0" presId="urn:microsoft.com/office/officeart/2005/8/layout/orgChart1"/>
  </dgm:cxnLst>
  <dgm:bg/>
  <dgm:whole>
    <a:ln>
      <a:solidFill>
        <a:schemeClr val="tx1"/>
      </a:solidFill>
    </a:ln>
  </dgm:whole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F64ABF81-975F-4E96-94F8-267D25DAD084}" type="doc">
      <dgm:prSet loTypeId="urn:microsoft.com/office/officeart/2005/8/layout/bProcess4" loCatId="process" qsTypeId="urn:microsoft.com/office/officeart/2005/8/quickstyle/simple1" qsCatId="simple" csTypeId="urn:microsoft.com/office/officeart/2005/8/colors/colorful5" csCatId="colorful" phldr="1"/>
      <dgm:spPr/>
      <dgm:t>
        <a:bodyPr/>
        <a:lstStyle/>
        <a:p>
          <a:endParaRPr lang="en-US"/>
        </a:p>
      </dgm:t>
    </dgm:pt>
    <dgm:pt modelId="{A108AFCE-1748-40C3-934E-CD6A75659DB1}">
      <dgm:prSet phldrT="[Text]"/>
      <dgm:spPr/>
      <dgm:t>
        <a:bodyPr/>
        <a:lstStyle/>
        <a:p>
          <a:r>
            <a:rPr lang="en-US"/>
            <a:t>EVENT OCCURED -CHECK NHC, AIR ALERT.</a:t>
          </a:r>
        </a:p>
      </dgm:t>
    </dgm:pt>
    <dgm:pt modelId="{782BE9FD-537B-4F09-A1CA-87278353CDC2}" type="parTrans" cxnId="{D07A3B94-F82B-4EAF-9EC0-090E110BEAA5}">
      <dgm:prSet/>
      <dgm:spPr/>
      <dgm:t>
        <a:bodyPr/>
        <a:lstStyle/>
        <a:p>
          <a:endParaRPr lang="en-US"/>
        </a:p>
      </dgm:t>
    </dgm:pt>
    <dgm:pt modelId="{77F82AE0-7025-4628-BB75-8D7C24224490}" type="sibTrans" cxnId="{D07A3B94-F82B-4EAF-9EC0-090E110BEAA5}">
      <dgm:prSet/>
      <dgm:spPr/>
      <dgm:t>
        <a:bodyPr/>
        <a:lstStyle/>
        <a:p>
          <a:endParaRPr lang="en-US"/>
        </a:p>
      </dgm:t>
    </dgm:pt>
    <dgm:pt modelId="{E828BCF4-B7EE-4A89-894B-ED935FC0B7A2}">
      <dgm:prSet phldrT="[Text]"/>
      <dgm:spPr/>
      <dgm:t>
        <a:bodyPr/>
        <a:lstStyle/>
        <a:p>
          <a:r>
            <a:rPr lang="en-US"/>
            <a:t>DATA COLLECTION- LATEST ADVISORY, BEST TRACK</a:t>
          </a:r>
        </a:p>
      </dgm:t>
    </dgm:pt>
    <dgm:pt modelId="{AD7E408B-CA47-486A-95E9-074E0CFFDD6F}" type="parTrans" cxnId="{4BE50B89-FB95-4E4F-8EDD-AC818CCEDD80}">
      <dgm:prSet/>
      <dgm:spPr/>
      <dgm:t>
        <a:bodyPr/>
        <a:lstStyle/>
        <a:p>
          <a:endParaRPr lang="en-US"/>
        </a:p>
      </dgm:t>
    </dgm:pt>
    <dgm:pt modelId="{9705AC4D-450E-42EF-8332-B8E40A0BC1B4}" type="sibTrans" cxnId="{4BE50B89-FB95-4E4F-8EDD-AC818CCEDD80}">
      <dgm:prSet/>
      <dgm:spPr/>
      <dgm:t>
        <a:bodyPr/>
        <a:lstStyle/>
        <a:p>
          <a:endParaRPr lang="en-US"/>
        </a:p>
      </dgm:t>
    </dgm:pt>
    <dgm:pt modelId="{2BE44A31-1E7C-4E66-B378-34F58E4D8812}">
      <dgm:prSet phldrT="[Text]"/>
      <dgm:spPr/>
      <dgm:t>
        <a:bodyPr/>
        <a:lstStyle/>
        <a:p>
          <a:r>
            <a:rPr lang="en-US"/>
            <a:t>PASS THE INPUTS TO THE PY CODE- (COPY SHP PATH TO INPUT FUNCTION)</a:t>
          </a:r>
        </a:p>
      </dgm:t>
    </dgm:pt>
    <dgm:pt modelId="{F0EC03FF-7672-4DD4-AD6F-4E4A4FD77DCD}" type="parTrans" cxnId="{4BFF516F-7F49-4295-ADBC-37771FB4691B}">
      <dgm:prSet/>
      <dgm:spPr/>
      <dgm:t>
        <a:bodyPr/>
        <a:lstStyle/>
        <a:p>
          <a:endParaRPr lang="en-US"/>
        </a:p>
      </dgm:t>
    </dgm:pt>
    <dgm:pt modelId="{17A41530-853D-4318-A7A6-21C2BC59E36C}" type="sibTrans" cxnId="{4BFF516F-7F49-4295-ADBC-37771FB4691B}">
      <dgm:prSet/>
      <dgm:spPr/>
      <dgm:t>
        <a:bodyPr/>
        <a:lstStyle/>
        <a:p>
          <a:endParaRPr lang="en-US"/>
        </a:p>
      </dgm:t>
    </dgm:pt>
    <dgm:pt modelId="{C677916A-5992-4BB4-8188-838696DFAEEA}">
      <dgm:prSet phldrT="[Text]"/>
      <dgm:spPr/>
      <dgm:t>
        <a:bodyPr/>
        <a:lstStyle/>
        <a:p>
          <a:r>
            <a:rPr lang="en-US"/>
            <a:t>PROVIDE THE DESIRED BUFFER SIZE / RADIUS. </a:t>
          </a:r>
        </a:p>
        <a:p>
          <a:r>
            <a:rPr lang="en-US"/>
            <a:t>MENTION THE OUTPUT PATH AND NAMES TO THE OUTPUT IN THE CODE</a:t>
          </a:r>
        </a:p>
      </dgm:t>
    </dgm:pt>
    <dgm:pt modelId="{EEF29583-5908-4FF0-8D62-84EBB4783325}" type="parTrans" cxnId="{830FB38B-8A48-4670-976E-4354197EC043}">
      <dgm:prSet/>
      <dgm:spPr/>
      <dgm:t>
        <a:bodyPr/>
        <a:lstStyle/>
        <a:p>
          <a:endParaRPr lang="en-US"/>
        </a:p>
      </dgm:t>
    </dgm:pt>
    <dgm:pt modelId="{9779A50A-36D6-481B-B231-56FAEE1C4397}" type="sibTrans" cxnId="{830FB38B-8A48-4670-976E-4354197EC043}">
      <dgm:prSet/>
      <dgm:spPr/>
      <dgm:t>
        <a:bodyPr/>
        <a:lstStyle/>
        <a:p>
          <a:endParaRPr lang="en-US"/>
        </a:p>
      </dgm:t>
    </dgm:pt>
    <dgm:pt modelId="{D9201001-EF89-4F69-A512-FD1BBE555291}">
      <dgm:prSet phldrT="[Text]"/>
      <dgm:spPr/>
      <dgm:t>
        <a:bodyPr/>
        <a:lstStyle/>
        <a:p>
          <a:r>
            <a:rPr lang="en-US"/>
            <a:t>RUN THE CODE</a:t>
          </a:r>
        </a:p>
      </dgm:t>
    </dgm:pt>
    <dgm:pt modelId="{A11FDBDF-EF1A-45E5-B408-45B074D580E1}" type="parTrans" cxnId="{F1CF9F89-907C-4D2E-BF88-5222B2627728}">
      <dgm:prSet/>
      <dgm:spPr/>
      <dgm:t>
        <a:bodyPr/>
        <a:lstStyle/>
        <a:p>
          <a:endParaRPr lang="en-US"/>
        </a:p>
      </dgm:t>
    </dgm:pt>
    <dgm:pt modelId="{B3026F2F-62D3-4B87-A07D-FBF33E39D72D}" type="sibTrans" cxnId="{F1CF9F89-907C-4D2E-BF88-5222B2627728}">
      <dgm:prSet/>
      <dgm:spPr/>
      <dgm:t>
        <a:bodyPr/>
        <a:lstStyle/>
        <a:p>
          <a:endParaRPr lang="en-US"/>
        </a:p>
      </dgm:t>
    </dgm:pt>
    <dgm:pt modelId="{4CD72E25-E5CC-46E6-8A6F-4F7085E2C075}">
      <dgm:prSet phldrT="[Text]"/>
      <dgm:spPr/>
      <dgm:t>
        <a:bodyPr/>
        <a:lstStyle/>
        <a:p>
          <a:r>
            <a:rPr lang="en-US"/>
            <a:t>IMPORT THE "FINAL EVENT" CSV IN THE OUTPUT FOLDER TO THE DATABSE</a:t>
          </a:r>
        </a:p>
        <a:p>
          <a:r>
            <a:rPr lang="en-US"/>
            <a:t>[ARAPL_WORKS]</a:t>
          </a:r>
        </a:p>
      </dgm:t>
    </dgm:pt>
    <dgm:pt modelId="{A329B2AD-6708-4FA3-902C-23C6E9606BF0}" type="parTrans" cxnId="{DB613983-E6A4-4AFE-A71B-23684F908F19}">
      <dgm:prSet/>
      <dgm:spPr/>
      <dgm:t>
        <a:bodyPr/>
        <a:lstStyle/>
        <a:p>
          <a:endParaRPr lang="en-US"/>
        </a:p>
      </dgm:t>
    </dgm:pt>
    <dgm:pt modelId="{5B1A581A-FB1C-4652-94F2-9AA574E913E2}" type="sibTrans" cxnId="{DB613983-E6A4-4AFE-A71B-23684F908F19}">
      <dgm:prSet/>
      <dgm:spPr/>
      <dgm:t>
        <a:bodyPr/>
        <a:lstStyle/>
        <a:p>
          <a:endParaRPr lang="en-US"/>
        </a:p>
      </dgm:t>
    </dgm:pt>
    <dgm:pt modelId="{AD810A41-9079-4C24-86FC-E3CDB6F6A1A2}">
      <dgm:prSet phldrT="[Text]"/>
      <dgm:spPr/>
      <dgm:t>
        <a:bodyPr/>
        <a:lstStyle/>
        <a:p>
          <a:r>
            <a:rPr lang="en-US"/>
            <a:t>PROVIDE THE DESIRED INPUT TO THE GENERAL QUERY-</a:t>
          </a:r>
        </a:p>
        <a:p>
          <a:r>
            <a:rPr lang="en-US"/>
            <a:t>A. INDUSTRY LOSS </a:t>
          </a:r>
        </a:p>
        <a:p>
          <a:r>
            <a:rPr lang="en-US"/>
            <a:t>B. STATE OF LANDFALL</a:t>
          </a:r>
        </a:p>
        <a:p>
          <a:r>
            <a:rPr lang="en-US"/>
            <a:t>C. CATAGORY (SS VALUE)</a:t>
          </a:r>
        </a:p>
        <a:p>
          <a:r>
            <a:rPr lang="en-US"/>
            <a:t>D. LOSS TABLE &amp; FINAL EVENT TABLE</a:t>
          </a:r>
        </a:p>
      </dgm:t>
    </dgm:pt>
    <dgm:pt modelId="{05044502-B7CB-4BDF-9EF5-B3D18E3E324A}" type="parTrans" cxnId="{2C74C675-C552-4388-8790-990ACE7BEDBC}">
      <dgm:prSet/>
      <dgm:spPr/>
      <dgm:t>
        <a:bodyPr/>
        <a:lstStyle/>
        <a:p>
          <a:endParaRPr lang="en-US"/>
        </a:p>
      </dgm:t>
    </dgm:pt>
    <dgm:pt modelId="{245922FB-2D03-43FA-AB22-B7A421B0DCC1}" type="sibTrans" cxnId="{2C74C675-C552-4388-8790-990ACE7BEDBC}">
      <dgm:prSet/>
      <dgm:spPr/>
      <dgm:t>
        <a:bodyPr/>
        <a:lstStyle/>
        <a:p>
          <a:endParaRPr lang="en-US"/>
        </a:p>
      </dgm:t>
    </dgm:pt>
    <dgm:pt modelId="{876B6729-BE35-4754-AD00-13E497423F89}">
      <dgm:prSet phldrT="[Text]"/>
      <dgm:spPr/>
      <dgm:t>
        <a:bodyPr/>
        <a:lstStyle/>
        <a:p>
          <a:r>
            <a:rPr lang="en-US"/>
            <a:t>RUN THE SQL QUERY AND SAVE THE SAME FOR SEPARATE EVENTS AND APPROACH IN SAME FOLDER NAMED SQL</a:t>
          </a:r>
        </a:p>
      </dgm:t>
    </dgm:pt>
    <dgm:pt modelId="{3D77E77A-9267-43DB-9FFB-203517984A95}" type="parTrans" cxnId="{13861C42-4676-40EA-ADBD-A10A3A0BABD6}">
      <dgm:prSet/>
      <dgm:spPr/>
      <dgm:t>
        <a:bodyPr/>
        <a:lstStyle/>
        <a:p>
          <a:endParaRPr lang="en-US"/>
        </a:p>
      </dgm:t>
    </dgm:pt>
    <dgm:pt modelId="{162CDCE5-0162-48B4-8E23-BB1A0B98DE71}" type="sibTrans" cxnId="{13861C42-4676-40EA-ADBD-A10A3A0BABD6}">
      <dgm:prSet/>
      <dgm:spPr/>
      <dgm:t>
        <a:bodyPr/>
        <a:lstStyle/>
        <a:p>
          <a:endParaRPr lang="en-US"/>
        </a:p>
      </dgm:t>
    </dgm:pt>
    <dgm:pt modelId="{572E5BEE-B4C6-4EB1-9D0C-EB1324A144CB}">
      <dgm:prSet phldrT="[Text]"/>
      <dgm:spPr/>
      <dgm:t>
        <a:bodyPr/>
        <a:lstStyle/>
        <a:p>
          <a:r>
            <a:rPr lang="en-US"/>
            <a:t>COPY THE EVENTS AND MAP IT IN QGIS FOR BETTER VISUALISATION</a:t>
          </a:r>
        </a:p>
      </dgm:t>
    </dgm:pt>
    <dgm:pt modelId="{427740E5-7C1A-4165-B166-9A6E5E621392}" type="parTrans" cxnId="{FAD0D5CC-9CCB-4538-BFE3-78A29360659D}">
      <dgm:prSet/>
      <dgm:spPr/>
      <dgm:t>
        <a:bodyPr/>
        <a:lstStyle/>
        <a:p>
          <a:endParaRPr lang="en-US"/>
        </a:p>
      </dgm:t>
    </dgm:pt>
    <dgm:pt modelId="{EF2C8FE0-B9D7-4A20-A113-0CB4802A0482}" type="sibTrans" cxnId="{FAD0D5CC-9CCB-4538-BFE3-78A29360659D}">
      <dgm:prSet/>
      <dgm:spPr/>
      <dgm:t>
        <a:bodyPr/>
        <a:lstStyle/>
        <a:p>
          <a:endParaRPr lang="en-US"/>
        </a:p>
      </dgm:t>
    </dgm:pt>
    <dgm:pt modelId="{C0EA6C77-A5CE-43BA-A231-FCA0EC29D44B}" type="pres">
      <dgm:prSet presAssocID="{F64ABF81-975F-4E96-94F8-267D25DAD084}" presName="Name0" presStyleCnt="0">
        <dgm:presLayoutVars>
          <dgm:dir/>
          <dgm:resizeHandles/>
        </dgm:presLayoutVars>
      </dgm:prSet>
      <dgm:spPr/>
      <dgm:t>
        <a:bodyPr/>
        <a:lstStyle/>
        <a:p>
          <a:endParaRPr lang="en-US"/>
        </a:p>
      </dgm:t>
    </dgm:pt>
    <dgm:pt modelId="{691B9815-D30D-4B25-B9A0-94B7DD58F6C4}" type="pres">
      <dgm:prSet presAssocID="{A108AFCE-1748-40C3-934E-CD6A75659DB1}" presName="compNode" presStyleCnt="0"/>
      <dgm:spPr/>
      <dgm:t>
        <a:bodyPr/>
        <a:lstStyle/>
        <a:p>
          <a:endParaRPr lang="en-US"/>
        </a:p>
      </dgm:t>
    </dgm:pt>
    <dgm:pt modelId="{022AA1E7-66CB-4159-9A38-FAABEA195692}" type="pres">
      <dgm:prSet presAssocID="{A108AFCE-1748-40C3-934E-CD6A75659DB1}" presName="dummyConnPt" presStyleCnt="0"/>
      <dgm:spPr/>
      <dgm:t>
        <a:bodyPr/>
        <a:lstStyle/>
        <a:p>
          <a:endParaRPr lang="en-US"/>
        </a:p>
      </dgm:t>
    </dgm:pt>
    <dgm:pt modelId="{A70010D3-B199-4DC8-9FDF-397EB330558E}" type="pres">
      <dgm:prSet presAssocID="{A108AFCE-1748-40C3-934E-CD6A75659DB1}" presName="node" presStyleLbl="node1" presStyleIdx="0" presStyleCnt="9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C090B90C-E19B-4BB5-91D2-DD5D773F37EA}" type="pres">
      <dgm:prSet presAssocID="{77F82AE0-7025-4628-BB75-8D7C24224490}" presName="sibTrans" presStyleLbl="bgSibTrans2D1" presStyleIdx="0" presStyleCnt="8"/>
      <dgm:spPr/>
      <dgm:t>
        <a:bodyPr/>
        <a:lstStyle/>
        <a:p>
          <a:endParaRPr lang="en-US"/>
        </a:p>
      </dgm:t>
    </dgm:pt>
    <dgm:pt modelId="{BA556E15-9CC5-42AC-97CA-B5AF4AC51871}" type="pres">
      <dgm:prSet presAssocID="{E828BCF4-B7EE-4A89-894B-ED935FC0B7A2}" presName="compNode" presStyleCnt="0"/>
      <dgm:spPr/>
      <dgm:t>
        <a:bodyPr/>
        <a:lstStyle/>
        <a:p>
          <a:endParaRPr lang="en-US"/>
        </a:p>
      </dgm:t>
    </dgm:pt>
    <dgm:pt modelId="{07B9B18C-6367-4D5A-9E2B-EBE045EB1C5C}" type="pres">
      <dgm:prSet presAssocID="{E828BCF4-B7EE-4A89-894B-ED935FC0B7A2}" presName="dummyConnPt" presStyleCnt="0"/>
      <dgm:spPr/>
      <dgm:t>
        <a:bodyPr/>
        <a:lstStyle/>
        <a:p>
          <a:endParaRPr lang="en-US"/>
        </a:p>
      </dgm:t>
    </dgm:pt>
    <dgm:pt modelId="{92AD3BB3-BDC2-4799-B387-8087658EBCD4}" type="pres">
      <dgm:prSet presAssocID="{E828BCF4-B7EE-4A89-894B-ED935FC0B7A2}" presName="node" presStyleLbl="node1" presStyleIdx="1" presStyleCnt="9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8E9B784C-AC36-4FF3-A14F-E625BC709748}" type="pres">
      <dgm:prSet presAssocID="{9705AC4D-450E-42EF-8332-B8E40A0BC1B4}" presName="sibTrans" presStyleLbl="bgSibTrans2D1" presStyleIdx="1" presStyleCnt="8"/>
      <dgm:spPr/>
      <dgm:t>
        <a:bodyPr/>
        <a:lstStyle/>
        <a:p>
          <a:endParaRPr lang="en-US"/>
        </a:p>
      </dgm:t>
    </dgm:pt>
    <dgm:pt modelId="{296A77B8-6CBC-4AD5-951C-412F7148A957}" type="pres">
      <dgm:prSet presAssocID="{2BE44A31-1E7C-4E66-B378-34F58E4D8812}" presName="compNode" presStyleCnt="0"/>
      <dgm:spPr/>
      <dgm:t>
        <a:bodyPr/>
        <a:lstStyle/>
        <a:p>
          <a:endParaRPr lang="en-US"/>
        </a:p>
      </dgm:t>
    </dgm:pt>
    <dgm:pt modelId="{3850BC58-A980-4975-BAAC-C9C4582331D1}" type="pres">
      <dgm:prSet presAssocID="{2BE44A31-1E7C-4E66-B378-34F58E4D8812}" presName="dummyConnPt" presStyleCnt="0"/>
      <dgm:spPr/>
      <dgm:t>
        <a:bodyPr/>
        <a:lstStyle/>
        <a:p>
          <a:endParaRPr lang="en-US"/>
        </a:p>
      </dgm:t>
    </dgm:pt>
    <dgm:pt modelId="{62CA21D5-AFF5-4B53-8141-204644B4EA3B}" type="pres">
      <dgm:prSet presAssocID="{2BE44A31-1E7C-4E66-B378-34F58E4D8812}" presName="node" presStyleLbl="node1" presStyleIdx="2" presStyleCnt="9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2C730C61-3E8D-43DE-9558-C0485E214C5F}" type="pres">
      <dgm:prSet presAssocID="{17A41530-853D-4318-A7A6-21C2BC59E36C}" presName="sibTrans" presStyleLbl="bgSibTrans2D1" presStyleIdx="2" presStyleCnt="8"/>
      <dgm:spPr/>
      <dgm:t>
        <a:bodyPr/>
        <a:lstStyle/>
        <a:p>
          <a:endParaRPr lang="en-US"/>
        </a:p>
      </dgm:t>
    </dgm:pt>
    <dgm:pt modelId="{4C1F5345-7129-4A01-BECA-31F6C4060F1D}" type="pres">
      <dgm:prSet presAssocID="{C677916A-5992-4BB4-8188-838696DFAEEA}" presName="compNode" presStyleCnt="0"/>
      <dgm:spPr/>
      <dgm:t>
        <a:bodyPr/>
        <a:lstStyle/>
        <a:p>
          <a:endParaRPr lang="en-US"/>
        </a:p>
      </dgm:t>
    </dgm:pt>
    <dgm:pt modelId="{5792EA79-DED2-4CE8-B876-5E2174CBE98A}" type="pres">
      <dgm:prSet presAssocID="{C677916A-5992-4BB4-8188-838696DFAEEA}" presName="dummyConnPt" presStyleCnt="0"/>
      <dgm:spPr/>
      <dgm:t>
        <a:bodyPr/>
        <a:lstStyle/>
        <a:p>
          <a:endParaRPr lang="en-US"/>
        </a:p>
      </dgm:t>
    </dgm:pt>
    <dgm:pt modelId="{415767D6-AFA2-440E-8D72-ADE2DE36D88E}" type="pres">
      <dgm:prSet presAssocID="{C677916A-5992-4BB4-8188-838696DFAEEA}" presName="node" presStyleLbl="node1" presStyleIdx="3" presStyleCnt="9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A0FF0B3D-ABBC-4B83-AA60-B5215A6273A7}" type="pres">
      <dgm:prSet presAssocID="{9779A50A-36D6-481B-B231-56FAEE1C4397}" presName="sibTrans" presStyleLbl="bgSibTrans2D1" presStyleIdx="3" presStyleCnt="8"/>
      <dgm:spPr/>
      <dgm:t>
        <a:bodyPr/>
        <a:lstStyle/>
        <a:p>
          <a:endParaRPr lang="en-US"/>
        </a:p>
      </dgm:t>
    </dgm:pt>
    <dgm:pt modelId="{847BB76C-6BCE-4026-A737-421846821D1A}" type="pres">
      <dgm:prSet presAssocID="{D9201001-EF89-4F69-A512-FD1BBE555291}" presName="compNode" presStyleCnt="0"/>
      <dgm:spPr/>
      <dgm:t>
        <a:bodyPr/>
        <a:lstStyle/>
        <a:p>
          <a:endParaRPr lang="en-US"/>
        </a:p>
      </dgm:t>
    </dgm:pt>
    <dgm:pt modelId="{8AF4A8DD-D8B9-4F56-8564-55787269FAE9}" type="pres">
      <dgm:prSet presAssocID="{D9201001-EF89-4F69-A512-FD1BBE555291}" presName="dummyConnPt" presStyleCnt="0"/>
      <dgm:spPr/>
      <dgm:t>
        <a:bodyPr/>
        <a:lstStyle/>
        <a:p>
          <a:endParaRPr lang="en-US"/>
        </a:p>
      </dgm:t>
    </dgm:pt>
    <dgm:pt modelId="{607B9246-EF08-4D0F-92B9-95F89629FEC6}" type="pres">
      <dgm:prSet presAssocID="{D9201001-EF89-4F69-A512-FD1BBE555291}" presName="node" presStyleLbl="node1" presStyleIdx="4" presStyleCnt="9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B53F0604-AF24-4886-8542-162843CD7278}" type="pres">
      <dgm:prSet presAssocID="{B3026F2F-62D3-4B87-A07D-FBF33E39D72D}" presName="sibTrans" presStyleLbl="bgSibTrans2D1" presStyleIdx="4" presStyleCnt="8"/>
      <dgm:spPr/>
      <dgm:t>
        <a:bodyPr/>
        <a:lstStyle/>
        <a:p>
          <a:endParaRPr lang="en-US"/>
        </a:p>
      </dgm:t>
    </dgm:pt>
    <dgm:pt modelId="{C6478F1A-6AD8-4DDA-AD12-CE36E406599D}" type="pres">
      <dgm:prSet presAssocID="{4CD72E25-E5CC-46E6-8A6F-4F7085E2C075}" presName="compNode" presStyleCnt="0"/>
      <dgm:spPr/>
      <dgm:t>
        <a:bodyPr/>
        <a:lstStyle/>
        <a:p>
          <a:endParaRPr lang="en-US"/>
        </a:p>
      </dgm:t>
    </dgm:pt>
    <dgm:pt modelId="{70FBDE73-4E43-473C-BA8C-1542DC7780BD}" type="pres">
      <dgm:prSet presAssocID="{4CD72E25-E5CC-46E6-8A6F-4F7085E2C075}" presName="dummyConnPt" presStyleCnt="0"/>
      <dgm:spPr/>
      <dgm:t>
        <a:bodyPr/>
        <a:lstStyle/>
        <a:p>
          <a:endParaRPr lang="en-US"/>
        </a:p>
      </dgm:t>
    </dgm:pt>
    <dgm:pt modelId="{39DE45A0-83B2-4DA2-B9F7-3DC4A3CC4A8B}" type="pres">
      <dgm:prSet presAssocID="{4CD72E25-E5CC-46E6-8A6F-4F7085E2C075}" presName="node" presStyleLbl="node1" presStyleIdx="5" presStyleCnt="9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EF24F6A2-DAE9-44A8-8967-1B26AA1A872F}" type="pres">
      <dgm:prSet presAssocID="{5B1A581A-FB1C-4652-94F2-9AA574E913E2}" presName="sibTrans" presStyleLbl="bgSibTrans2D1" presStyleIdx="5" presStyleCnt="8"/>
      <dgm:spPr/>
      <dgm:t>
        <a:bodyPr/>
        <a:lstStyle/>
        <a:p>
          <a:endParaRPr lang="en-US"/>
        </a:p>
      </dgm:t>
    </dgm:pt>
    <dgm:pt modelId="{A8354EA0-A01A-4EF9-B09D-88099EADA0DF}" type="pres">
      <dgm:prSet presAssocID="{AD810A41-9079-4C24-86FC-E3CDB6F6A1A2}" presName="compNode" presStyleCnt="0"/>
      <dgm:spPr/>
      <dgm:t>
        <a:bodyPr/>
        <a:lstStyle/>
        <a:p>
          <a:endParaRPr lang="en-US"/>
        </a:p>
      </dgm:t>
    </dgm:pt>
    <dgm:pt modelId="{00D92AB1-FF36-4848-A193-C0F4D1D77D88}" type="pres">
      <dgm:prSet presAssocID="{AD810A41-9079-4C24-86FC-E3CDB6F6A1A2}" presName="dummyConnPt" presStyleCnt="0"/>
      <dgm:spPr/>
      <dgm:t>
        <a:bodyPr/>
        <a:lstStyle/>
        <a:p>
          <a:endParaRPr lang="en-US"/>
        </a:p>
      </dgm:t>
    </dgm:pt>
    <dgm:pt modelId="{F25B7313-2420-4892-B73B-754C0F7999F0}" type="pres">
      <dgm:prSet presAssocID="{AD810A41-9079-4C24-86FC-E3CDB6F6A1A2}" presName="node" presStyleLbl="node1" presStyleIdx="6" presStyleCnt="9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B74CACBD-581B-4317-9379-987752679E14}" type="pres">
      <dgm:prSet presAssocID="{245922FB-2D03-43FA-AB22-B7A421B0DCC1}" presName="sibTrans" presStyleLbl="bgSibTrans2D1" presStyleIdx="6" presStyleCnt="8"/>
      <dgm:spPr/>
      <dgm:t>
        <a:bodyPr/>
        <a:lstStyle/>
        <a:p>
          <a:endParaRPr lang="en-US"/>
        </a:p>
      </dgm:t>
    </dgm:pt>
    <dgm:pt modelId="{11687BCA-B26E-45BD-A90D-30D4D42FDF59}" type="pres">
      <dgm:prSet presAssocID="{876B6729-BE35-4754-AD00-13E497423F89}" presName="compNode" presStyleCnt="0"/>
      <dgm:spPr/>
      <dgm:t>
        <a:bodyPr/>
        <a:lstStyle/>
        <a:p>
          <a:endParaRPr lang="en-US"/>
        </a:p>
      </dgm:t>
    </dgm:pt>
    <dgm:pt modelId="{68B9DE81-E45B-4BE6-A5EE-C2F3C2CBF582}" type="pres">
      <dgm:prSet presAssocID="{876B6729-BE35-4754-AD00-13E497423F89}" presName="dummyConnPt" presStyleCnt="0"/>
      <dgm:spPr/>
      <dgm:t>
        <a:bodyPr/>
        <a:lstStyle/>
        <a:p>
          <a:endParaRPr lang="en-US"/>
        </a:p>
      </dgm:t>
    </dgm:pt>
    <dgm:pt modelId="{DA411715-40BC-432C-AB0E-FEBA829CF82F}" type="pres">
      <dgm:prSet presAssocID="{876B6729-BE35-4754-AD00-13E497423F89}" presName="node" presStyleLbl="node1" presStyleIdx="7" presStyleCnt="9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BBA1D0AD-B526-45E7-BE78-7D000FB3E2C1}" type="pres">
      <dgm:prSet presAssocID="{162CDCE5-0162-48B4-8E23-BB1A0B98DE71}" presName="sibTrans" presStyleLbl="bgSibTrans2D1" presStyleIdx="7" presStyleCnt="8"/>
      <dgm:spPr/>
      <dgm:t>
        <a:bodyPr/>
        <a:lstStyle/>
        <a:p>
          <a:endParaRPr lang="en-US"/>
        </a:p>
      </dgm:t>
    </dgm:pt>
    <dgm:pt modelId="{5BDE1A47-31A7-4E35-8122-2F16A5692BD1}" type="pres">
      <dgm:prSet presAssocID="{572E5BEE-B4C6-4EB1-9D0C-EB1324A144CB}" presName="compNode" presStyleCnt="0"/>
      <dgm:spPr/>
      <dgm:t>
        <a:bodyPr/>
        <a:lstStyle/>
        <a:p>
          <a:endParaRPr lang="en-US"/>
        </a:p>
      </dgm:t>
    </dgm:pt>
    <dgm:pt modelId="{DBA4F8C8-D809-4B2A-8D73-D2E2B30CA28A}" type="pres">
      <dgm:prSet presAssocID="{572E5BEE-B4C6-4EB1-9D0C-EB1324A144CB}" presName="dummyConnPt" presStyleCnt="0"/>
      <dgm:spPr/>
      <dgm:t>
        <a:bodyPr/>
        <a:lstStyle/>
        <a:p>
          <a:endParaRPr lang="en-US"/>
        </a:p>
      </dgm:t>
    </dgm:pt>
    <dgm:pt modelId="{553C42D2-2C62-4CE5-A835-F79F3B8450D8}" type="pres">
      <dgm:prSet presAssocID="{572E5BEE-B4C6-4EB1-9D0C-EB1324A144CB}" presName="node" presStyleLbl="node1" presStyleIdx="8" presStyleCnt="9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</dgm:ptLst>
  <dgm:cxnLst>
    <dgm:cxn modelId="{62C32F58-860E-4C97-876A-81F199B55AB0}" type="presOf" srcId="{4CD72E25-E5CC-46E6-8A6F-4F7085E2C075}" destId="{39DE45A0-83B2-4DA2-B9F7-3DC4A3CC4A8B}" srcOrd="0" destOrd="0" presId="urn:microsoft.com/office/officeart/2005/8/layout/bProcess4"/>
    <dgm:cxn modelId="{830FB38B-8A48-4670-976E-4354197EC043}" srcId="{F64ABF81-975F-4E96-94F8-267D25DAD084}" destId="{C677916A-5992-4BB4-8188-838696DFAEEA}" srcOrd="3" destOrd="0" parTransId="{EEF29583-5908-4FF0-8D62-84EBB4783325}" sibTransId="{9779A50A-36D6-481B-B231-56FAEE1C4397}"/>
    <dgm:cxn modelId="{13861C42-4676-40EA-ADBD-A10A3A0BABD6}" srcId="{F64ABF81-975F-4E96-94F8-267D25DAD084}" destId="{876B6729-BE35-4754-AD00-13E497423F89}" srcOrd="7" destOrd="0" parTransId="{3D77E77A-9267-43DB-9FFB-203517984A95}" sibTransId="{162CDCE5-0162-48B4-8E23-BB1A0B98DE71}"/>
    <dgm:cxn modelId="{C2CF0F3A-5A67-4CEA-BF40-86CD3F8FD650}" type="presOf" srcId="{2BE44A31-1E7C-4E66-B378-34F58E4D8812}" destId="{62CA21D5-AFF5-4B53-8141-204644B4EA3B}" srcOrd="0" destOrd="0" presId="urn:microsoft.com/office/officeart/2005/8/layout/bProcess4"/>
    <dgm:cxn modelId="{B098E320-A558-4C61-8A0A-B2F318D64BDF}" type="presOf" srcId="{17A41530-853D-4318-A7A6-21C2BC59E36C}" destId="{2C730C61-3E8D-43DE-9558-C0485E214C5F}" srcOrd="0" destOrd="0" presId="urn:microsoft.com/office/officeart/2005/8/layout/bProcess4"/>
    <dgm:cxn modelId="{D85A7781-67C4-4391-ACAA-E55ECC95E712}" type="presOf" srcId="{162CDCE5-0162-48B4-8E23-BB1A0B98DE71}" destId="{BBA1D0AD-B526-45E7-BE78-7D000FB3E2C1}" srcOrd="0" destOrd="0" presId="urn:microsoft.com/office/officeart/2005/8/layout/bProcess4"/>
    <dgm:cxn modelId="{0873699E-619A-486F-96FF-326B857FCECC}" type="presOf" srcId="{AD810A41-9079-4C24-86FC-E3CDB6F6A1A2}" destId="{F25B7313-2420-4892-B73B-754C0F7999F0}" srcOrd="0" destOrd="0" presId="urn:microsoft.com/office/officeart/2005/8/layout/bProcess4"/>
    <dgm:cxn modelId="{0C7AFBE6-94FF-4A24-88DF-BE85F50FAE8F}" type="presOf" srcId="{245922FB-2D03-43FA-AB22-B7A421B0DCC1}" destId="{B74CACBD-581B-4317-9379-987752679E14}" srcOrd="0" destOrd="0" presId="urn:microsoft.com/office/officeart/2005/8/layout/bProcess4"/>
    <dgm:cxn modelId="{89128359-925C-4005-B802-708A56A409E0}" type="presOf" srcId="{B3026F2F-62D3-4B87-A07D-FBF33E39D72D}" destId="{B53F0604-AF24-4886-8542-162843CD7278}" srcOrd="0" destOrd="0" presId="urn:microsoft.com/office/officeart/2005/8/layout/bProcess4"/>
    <dgm:cxn modelId="{DB613983-E6A4-4AFE-A71B-23684F908F19}" srcId="{F64ABF81-975F-4E96-94F8-267D25DAD084}" destId="{4CD72E25-E5CC-46E6-8A6F-4F7085E2C075}" srcOrd="5" destOrd="0" parTransId="{A329B2AD-6708-4FA3-902C-23C6E9606BF0}" sibTransId="{5B1A581A-FB1C-4652-94F2-9AA574E913E2}"/>
    <dgm:cxn modelId="{2C74C675-C552-4388-8790-990ACE7BEDBC}" srcId="{F64ABF81-975F-4E96-94F8-267D25DAD084}" destId="{AD810A41-9079-4C24-86FC-E3CDB6F6A1A2}" srcOrd="6" destOrd="0" parTransId="{05044502-B7CB-4BDF-9EF5-B3D18E3E324A}" sibTransId="{245922FB-2D03-43FA-AB22-B7A421B0DCC1}"/>
    <dgm:cxn modelId="{86DDB168-5DE4-4597-9D0B-F8BAEA4EFDAB}" type="presOf" srcId="{A108AFCE-1748-40C3-934E-CD6A75659DB1}" destId="{A70010D3-B199-4DC8-9FDF-397EB330558E}" srcOrd="0" destOrd="0" presId="urn:microsoft.com/office/officeart/2005/8/layout/bProcess4"/>
    <dgm:cxn modelId="{D9C43F7E-6536-42CD-98FE-B41E2E4113E9}" type="presOf" srcId="{C677916A-5992-4BB4-8188-838696DFAEEA}" destId="{415767D6-AFA2-440E-8D72-ADE2DE36D88E}" srcOrd="0" destOrd="0" presId="urn:microsoft.com/office/officeart/2005/8/layout/bProcess4"/>
    <dgm:cxn modelId="{E9EA54F2-1625-4659-8DB2-8BF8A6EE13FB}" type="presOf" srcId="{E828BCF4-B7EE-4A89-894B-ED935FC0B7A2}" destId="{92AD3BB3-BDC2-4799-B387-8087658EBCD4}" srcOrd="0" destOrd="0" presId="urn:microsoft.com/office/officeart/2005/8/layout/bProcess4"/>
    <dgm:cxn modelId="{9F5BBE32-6BC8-43E3-8F17-C6F820849FB9}" type="presOf" srcId="{F64ABF81-975F-4E96-94F8-267D25DAD084}" destId="{C0EA6C77-A5CE-43BA-A231-FCA0EC29D44B}" srcOrd="0" destOrd="0" presId="urn:microsoft.com/office/officeart/2005/8/layout/bProcess4"/>
    <dgm:cxn modelId="{4BE50B89-FB95-4E4F-8EDD-AC818CCEDD80}" srcId="{F64ABF81-975F-4E96-94F8-267D25DAD084}" destId="{E828BCF4-B7EE-4A89-894B-ED935FC0B7A2}" srcOrd="1" destOrd="0" parTransId="{AD7E408B-CA47-486A-95E9-074E0CFFDD6F}" sibTransId="{9705AC4D-450E-42EF-8332-B8E40A0BC1B4}"/>
    <dgm:cxn modelId="{86E209DF-27D7-4E6B-B344-0221926F331B}" type="presOf" srcId="{876B6729-BE35-4754-AD00-13E497423F89}" destId="{DA411715-40BC-432C-AB0E-FEBA829CF82F}" srcOrd="0" destOrd="0" presId="urn:microsoft.com/office/officeart/2005/8/layout/bProcess4"/>
    <dgm:cxn modelId="{4BFF516F-7F49-4295-ADBC-37771FB4691B}" srcId="{F64ABF81-975F-4E96-94F8-267D25DAD084}" destId="{2BE44A31-1E7C-4E66-B378-34F58E4D8812}" srcOrd="2" destOrd="0" parTransId="{F0EC03FF-7672-4DD4-AD6F-4E4A4FD77DCD}" sibTransId="{17A41530-853D-4318-A7A6-21C2BC59E36C}"/>
    <dgm:cxn modelId="{FD550377-A8FC-40F5-898F-67DCD5BCA473}" type="presOf" srcId="{77F82AE0-7025-4628-BB75-8D7C24224490}" destId="{C090B90C-E19B-4BB5-91D2-DD5D773F37EA}" srcOrd="0" destOrd="0" presId="urn:microsoft.com/office/officeart/2005/8/layout/bProcess4"/>
    <dgm:cxn modelId="{C9E98DA5-1C95-4349-901A-813750158F7A}" type="presOf" srcId="{572E5BEE-B4C6-4EB1-9D0C-EB1324A144CB}" destId="{553C42D2-2C62-4CE5-A835-F79F3B8450D8}" srcOrd="0" destOrd="0" presId="urn:microsoft.com/office/officeart/2005/8/layout/bProcess4"/>
    <dgm:cxn modelId="{9C97D5D2-4FB0-4976-BE9F-3C9677E10D94}" type="presOf" srcId="{5B1A581A-FB1C-4652-94F2-9AA574E913E2}" destId="{EF24F6A2-DAE9-44A8-8967-1B26AA1A872F}" srcOrd="0" destOrd="0" presId="urn:microsoft.com/office/officeart/2005/8/layout/bProcess4"/>
    <dgm:cxn modelId="{F1CF9F89-907C-4D2E-BF88-5222B2627728}" srcId="{F64ABF81-975F-4E96-94F8-267D25DAD084}" destId="{D9201001-EF89-4F69-A512-FD1BBE555291}" srcOrd="4" destOrd="0" parTransId="{A11FDBDF-EF1A-45E5-B408-45B074D580E1}" sibTransId="{B3026F2F-62D3-4B87-A07D-FBF33E39D72D}"/>
    <dgm:cxn modelId="{16AC7FC0-FCF5-4344-832F-176F068753A9}" type="presOf" srcId="{9779A50A-36D6-481B-B231-56FAEE1C4397}" destId="{A0FF0B3D-ABBC-4B83-AA60-B5215A6273A7}" srcOrd="0" destOrd="0" presId="urn:microsoft.com/office/officeart/2005/8/layout/bProcess4"/>
    <dgm:cxn modelId="{D07A3B94-F82B-4EAF-9EC0-090E110BEAA5}" srcId="{F64ABF81-975F-4E96-94F8-267D25DAD084}" destId="{A108AFCE-1748-40C3-934E-CD6A75659DB1}" srcOrd="0" destOrd="0" parTransId="{782BE9FD-537B-4F09-A1CA-87278353CDC2}" sibTransId="{77F82AE0-7025-4628-BB75-8D7C24224490}"/>
    <dgm:cxn modelId="{FAD0D5CC-9CCB-4538-BFE3-78A29360659D}" srcId="{F64ABF81-975F-4E96-94F8-267D25DAD084}" destId="{572E5BEE-B4C6-4EB1-9D0C-EB1324A144CB}" srcOrd="8" destOrd="0" parTransId="{427740E5-7C1A-4165-B166-9A6E5E621392}" sibTransId="{EF2C8FE0-B9D7-4A20-A113-0CB4802A0482}"/>
    <dgm:cxn modelId="{2A14C568-71FA-463B-B231-29EB4714EF08}" type="presOf" srcId="{9705AC4D-450E-42EF-8332-B8E40A0BC1B4}" destId="{8E9B784C-AC36-4FF3-A14F-E625BC709748}" srcOrd="0" destOrd="0" presId="urn:microsoft.com/office/officeart/2005/8/layout/bProcess4"/>
    <dgm:cxn modelId="{D68CE37D-ED07-4A3E-BB55-B5ECA6E545A0}" type="presOf" srcId="{D9201001-EF89-4F69-A512-FD1BBE555291}" destId="{607B9246-EF08-4D0F-92B9-95F89629FEC6}" srcOrd="0" destOrd="0" presId="urn:microsoft.com/office/officeart/2005/8/layout/bProcess4"/>
    <dgm:cxn modelId="{C5FE6191-C299-4834-85DB-5E31C0E42370}" type="presParOf" srcId="{C0EA6C77-A5CE-43BA-A231-FCA0EC29D44B}" destId="{691B9815-D30D-4B25-B9A0-94B7DD58F6C4}" srcOrd="0" destOrd="0" presId="urn:microsoft.com/office/officeart/2005/8/layout/bProcess4"/>
    <dgm:cxn modelId="{D7BBE22F-E528-4888-A0D8-C3D2B51E8509}" type="presParOf" srcId="{691B9815-D30D-4B25-B9A0-94B7DD58F6C4}" destId="{022AA1E7-66CB-4159-9A38-FAABEA195692}" srcOrd="0" destOrd="0" presId="urn:microsoft.com/office/officeart/2005/8/layout/bProcess4"/>
    <dgm:cxn modelId="{591AB6AD-EA41-46E5-A50B-8526D34CB6A6}" type="presParOf" srcId="{691B9815-D30D-4B25-B9A0-94B7DD58F6C4}" destId="{A70010D3-B199-4DC8-9FDF-397EB330558E}" srcOrd="1" destOrd="0" presId="urn:microsoft.com/office/officeart/2005/8/layout/bProcess4"/>
    <dgm:cxn modelId="{FFBA38FA-50AD-4CAF-896A-3687C7F0E26C}" type="presParOf" srcId="{C0EA6C77-A5CE-43BA-A231-FCA0EC29D44B}" destId="{C090B90C-E19B-4BB5-91D2-DD5D773F37EA}" srcOrd="1" destOrd="0" presId="urn:microsoft.com/office/officeart/2005/8/layout/bProcess4"/>
    <dgm:cxn modelId="{52629F61-F0ED-4B94-B37C-03D3A971101A}" type="presParOf" srcId="{C0EA6C77-A5CE-43BA-A231-FCA0EC29D44B}" destId="{BA556E15-9CC5-42AC-97CA-B5AF4AC51871}" srcOrd="2" destOrd="0" presId="urn:microsoft.com/office/officeart/2005/8/layout/bProcess4"/>
    <dgm:cxn modelId="{49C0BDEF-943E-46A1-AD31-98FDFF0669D0}" type="presParOf" srcId="{BA556E15-9CC5-42AC-97CA-B5AF4AC51871}" destId="{07B9B18C-6367-4D5A-9E2B-EBE045EB1C5C}" srcOrd="0" destOrd="0" presId="urn:microsoft.com/office/officeart/2005/8/layout/bProcess4"/>
    <dgm:cxn modelId="{81E3F858-319E-4D1B-8BCD-FEDBF2CE5D18}" type="presParOf" srcId="{BA556E15-9CC5-42AC-97CA-B5AF4AC51871}" destId="{92AD3BB3-BDC2-4799-B387-8087658EBCD4}" srcOrd="1" destOrd="0" presId="urn:microsoft.com/office/officeart/2005/8/layout/bProcess4"/>
    <dgm:cxn modelId="{022DAC84-E204-4DEC-99F1-E0A4B024816B}" type="presParOf" srcId="{C0EA6C77-A5CE-43BA-A231-FCA0EC29D44B}" destId="{8E9B784C-AC36-4FF3-A14F-E625BC709748}" srcOrd="3" destOrd="0" presId="urn:microsoft.com/office/officeart/2005/8/layout/bProcess4"/>
    <dgm:cxn modelId="{81B5B8D0-5E74-47E9-BCAF-18810AE10071}" type="presParOf" srcId="{C0EA6C77-A5CE-43BA-A231-FCA0EC29D44B}" destId="{296A77B8-6CBC-4AD5-951C-412F7148A957}" srcOrd="4" destOrd="0" presId="urn:microsoft.com/office/officeart/2005/8/layout/bProcess4"/>
    <dgm:cxn modelId="{B3A69077-05AA-486B-BB16-BD388298F3FD}" type="presParOf" srcId="{296A77B8-6CBC-4AD5-951C-412F7148A957}" destId="{3850BC58-A980-4975-BAAC-C9C4582331D1}" srcOrd="0" destOrd="0" presId="urn:microsoft.com/office/officeart/2005/8/layout/bProcess4"/>
    <dgm:cxn modelId="{E880CCA1-B235-4A12-A7BA-6035151813FB}" type="presParOf" srcId="{296A77B8-6CBC-4AD5-951C-412F7148A957}" destId="{62CA21D5-AFF5-4B53-8141-204644B4EA3B}" srcOrd="1" destOrd="0" presId="urn:microsoft.com/office/officeart/2005/8/layout/bProcess4"/>
    <dgm:cxn modelId="{39D1B362-FE5A-4A92-8367-690748E480EA}" type="presParOf" srcId="{C0EA6C77-A5CE-43BA-A231-FCA0EC29D44B}" destId="{2C730C61-3E8D-43DE-9558-C0485E214C5F}" srcOrd="5" destOrd="0" presId="urn:microsoft.com/office/officeart/2005/8/layout/bProcess4"/>
    <dgm:cxn modelId="{5C3504BA-7060-41D0-AE11-3EAAF2EED178}" type="presParOf" srcId="{C0EA6C77-A5CE-43BA-A231-FCA0EC29D44B}" destId="{4C1F5345-7129-4A01-BECA-31F6C4060F1D}" srcOrd="6" destOrd="0" presId="urn:microsoft.com/office/officeart/2005/8/layout/bProcess4"/>
    <dgm:cxn modelId="{C0376619-184E-4A58-A4E9-F3F4C0A75D75}" type="presParOf" srcId="{4C1F5345-7129-4A01-BECA-31F6C4060F1D}" destId="{5792EA79-DED2-4CE8-B876-5E2174CBE98A}" srcOrd="0" destOrd="0" presId="urn:microsoft.com/office/officeart/2005/8/layout/bProcess4"/>
    <dgm:cxn modelId="{AFC17C29-3806-4A83-AC0C-CF5F3F5E8EC9}" type="presParOf" srcId="{4C1F5345-7129-4A01-BECA-31F6C4060F1D}" destId="{415767D6-AFA2-440E-8D72-ADE2DE36D88E}" srcOrd="1" destOrd="0" presId="urn:microsoft.com/office/officeart/2005/8/layout/bProcess4"/>
    <dgm:cxn modelId="{410A1B96-9711-4696-BE0E-E906AC8B8F2E}" type="presParOf" srcId="{C0EA6C77-A5CE-43BA-A231-FCA0EC29D44B}" destId="{A0FF0B3D-ABBC-4B83-AA60-B5215A6273A7}" srcOrd="7" destOrd="0" presId="urn:microsoft.com/office/officeart/2005/8/layout/bProcess4"/>
    <dgm:cxn modelId="{2AFD358C-7795-4386-9597-B712C0486036}" type="presParOf" srcId="{C0EA6C77-A5CE-43BA-A231-FCA0EC29D44B}" destId="{847BB76C-6BCE-4026-A737-421846821D1A}" srcOrd="8" destOrd="0" presId="urn:microsoft.com/office/officeart/2005/8/layout/bProcess4"/>
    <dgm:cxn modelId="{31D8177E-9755-4B4B-85F7-B5537AFF82EC}" type="presParOf" srcId="{847BB76C-6BCE-4026-A737-421846821D1A}" destId="{8AF4A8DD-D8B9-4F56-8564-55787269FAE9}" srcOrd="0" destOrd="0" presId="urn:microsoft.com/office/officeart/2005/8/layout/bProcess4"/>
    <dgm:cxn modelId="{D25C5230-F5A7-4B0F-A3B9-74AE500C2099}" type="presParOf" srcId="{847BB76C-6BCE-4026-A737-421846821D1A}" destId="{607B9246-EF08-4D0F-92B9-95F89629FEC6}" srcOrd="1" destOrd="0" presId="urn:microsoft.com/office/officeart/2005/8/layout/bProcess4"/>
    <dgm:cxn modelId="{1BA79D9B-5E39-4989-B360-DB22C7C4A4CC}" type="presParOf" srcId="{C0EA6C77-A5CE-43BA-A231-FCA0EC29D44B}" destId="{B53F0604-AF24-4886-8542-162843CD7278}" srcOrd="9" destOrd="0" presId="urn:microsoft.com/office/officeart/2005/8/layout/bProcess4"/>
    <dgm:cxn modelId="{5F2B2952-3729-4605-93DD-D3D196A8C947}" type="presParOf" srcId="{C0EA6C77-A5CE-43BA-A231-FCA0EC29D44B}" destId="{C6478F1A-6AD8-4DDA-AD12-CE36E406599D}" srcOrd="10" destOrd="0" presId="urn:microsoft.com/office/officeart/2005/8/layout/bProcess4"/>
    <dgm:cxn modelId="{552BE0D8-D9A2-4168-A76B-0C468FF38358}" type="presParOf" srcId="{C6478F1A-6AD8-4DDA-AD12-CE36E406599D}" destId="{70FBDE73-4E43-473C-BA8C-1542DC7780BD}" srcOrd="0" destOrd="0" presId="urn:microsoft.com/office/officeart/2005/8/layout/bProcess4"/>
    <dgm:cxn modelId="{79CFE8AA-0B25-465E-854A-6DC90C05173D}" type="presParOf" srcId="{C6478F1A-6AD8-4DDA-AD12-CE36E406599D}" destId="{39DE45A0-83B2-4DA2-B9F7-3DC4A3CC4A8B}" srcOrd="1" destOrd="0" presId="urn:microsoft.com/office/officeart/2005/8/layout/bProcess4"/>
    <dgm:cxn modelId="{157D765A-105F-479D-A629-7B91C74DC3AF}" type="presParOf" srcId="{C0EA6C77-A5CE-43BA-A231-FCA0EC29D44B}" destId="{EF24F6A2-DAE9-44A8-8967-1B26AA1A872F}" srcOrd="11" destOrd="0" presId="urn:microsoft.com/office/officeart/2005/8/layout/bProcess4"/>
    <dgm:cxn modelId="{327924EC-3FCE-49FB-8FAE-132984D3F341}" type="presParOf" srcId="{C0EA6C77-A5CE-43BA-A231-FCA0EC29D44B}" destId="{A8354EA0-A01A-4EF9-B09D-88099EADA0DF}" srcOrd="12" destOrd="0" presId="urn:microsoft.com/office/officeart/2005/8/layout/bProcess4"/>
    <dgm:cxn modelId="{DF6274E8-C69A-477E-B52B-0313B2DC2683}" type="presParOf" srcId="{A8354EA0-A01A-4EF9-B09D-88099EADA0DF}" destId="{00D92AB1-FF36-4848-A193-C0F4D1D77D88}" srcOrd="0" destOrd="0" presId="urn:microsoft.com/office/officeart/2005/8/layout/bProcess4"/>
    <dgm:cxn modelId="{524B261A-A263-41C1-AC9B-560A242B2FF6}" type="presParOf" srcId="{A8354EA0-A01A-4EF9-B09D-88099EADA0DF}" destId="{F25B7313-2420-4892-B73B-754C0F7999F0}" srcOrd="1" destOrd="0" presId="urn:microsoft.com/office/officeart/2005/8/layout/bProcess4"/>
    <dgm:cxn modelId="{AEF56A93-C2F8-4FD2-ACCE-8725170C48B9}" type="presParOf" srcId="{C0EA6C77-A5CE-43BA-A231-FCA0EC29D44B}" destId="{B74CACBD-581B-4317-9379-987752679E14}" srcOrd="13" destOrd="0" presId="urn:microsoft.com/office/officeart/2005/8/layout/bProcess4"/>
    <dgm:cxn modelId="{FD1924AC-158C-411C-9E5D-92F31C3A5375}" type="presParOf" srcId="{C0EA6C77-A5CE-43BA-A231-FCA0EC29D44B}" destId="{11687BCA-B26E-45BD-A90D-30D4D42FDF59}" srcOrd="14" destOrd="0" presId="urn:microsoft.com/office/officeart/2005/8/layout/bProcess4"/>
    <dgm:cxn modelId="{FACE2F6C-435F-4343-BBBC-B26D1873C1AD}" type="presParOf" srcId="{11687BCA-B26E-45BD-A90D-30D4D42FDF59}" destId="{68B9DE81-E45B-4BE6-A5EE-C2F3C2CBF582}" srcOrd="0" destOrd="0" presId="urn:microsoft.com/office/officeart/2005/8/layout/bProcess4"/>
    <dgm:cxn modelId="{99F42BC1-854A-45F6-B5F9-547BD31EA405}" type="presParOf" srcId="{11687BCA-B26E-45BD-A90D-30D4D42FDF59}" destId="{DA411715-40BC-432C-AB0E-FEBA829CF82F}" srcOrd="1" destOrd="0" presId="urn:microsoft.com/office/officeart/2005/8/layout/bProcess4"/>
    <dgm:cxn modelId="{A1B71A8D-0C0C-4EA6-A395-2756B13B86C6}" type="presParOf" srcId="{C0EA6C77-A5CE-43BA-A231-FCA0EC29D44B}" destId="{BBA1D0AD-B526-45E7-BE78-7D000FB3E2C1}" srcOrd="15" destOrd="0" presId="urn:microsoft.com/office/officeart/2005/8/layout/bProcess4"/>
    <dgm:cxn modelId="{C404A485-BAA3-4327-B076-46A965C9AF78}" type="presParOf" srcId="{C0EA6C77-A5CE-43BA-A231-FCA0EC29D44B}" destId="{5BDE1A47-31A7-4E35-8122-2F16A5692BD1}" srcOrd="16" destOrd="0" presId="urn:microsoft.com/office/officeart/2005/8/layout/bProcess4"/>
    <dgm:cxn modelId="{C5C8421B-D4DD-46CD-9700-A68D9033EB58}" type="presParOf" srcId="{5BDE1A47-31A7-4E35-8122-2F16A5692BD1}" destId="{DBA4F8C8-D809-4B2A-8D73-D2E2B30CA28A}" srcOrd="0" destOrd="0" presId="urn:microsoft.com/office/officeart/2005/8/layout/bProcess4"/>
    <dgm:cxn modelId="{80D9780A-C294-4DFA-8B18-C14C6D2E93F0}" type="presParOf" srcId="{5BDE1A47-31A7-4E35-8122-2F16A5692BD1}" destId="{553C42D2-2C62-4CE5-A835-F79F3B8450D8}" srcOrd="1" destOrd="0" presId="urn:microsoft.com/office/officeart/2005/8/layout/bProcess4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22BFA1B1-2DCF-4E5C-A98D-2356DA49AE0B}" type="doc">
      <dgm:prSet loTypeId="urn:microsoft.com/office/officeart/2005/8/layout/hProcess9" loCatId="process" qsTypeId="urn:microsoft.com/office/officeart/2005/8/quickstyle/simple1" qsCatId="simple" csTypeId="urn:microsoft.com/office/officeart/2005/8/colors/accent1_2" csCatId="accent1" phldr="1"/>
      <dgm:spPr/>
    </dgm:pt>
    <dgm:pt modelId="{5CE7EDED-D8DF-4021-B230-0C41B4BC14EF}">
      <dgm:prSet phldrT="[Text]"/>
      <dgm:spPr/>
      <dgm:t>
        <a:bodyPr/>
        <a:lstStyle/>
        <a:p>
          <a:r>
            <a:rPr lang="en-US"/>
            <a:t>Create separate table for all the event possible for expected LF state using the query</a:t>
          </a:r>
        </a:p>
      </dgm:t>
    </dgm:pt>
    <dgm:pt modelId="{9EE8E874-2313-453C-8A5E-E5390864DE8D}" type="parTrans" cxnId="{49242B40-BE23-466A-AC6B-844E591A1983}">
      <dgm:prSet/>
      <dgm:spPr/>
      <dgm:t>
        <a:bodyPr/>
        <a:lstStyle/>
        <a:p>
          <a:endParaRPr lang="en-US"/>
        </a:p>
      </dgm:t>
    </dgm:pt>
    <dgm:pt modelId="{7FF9D470-5B72-421E-ADDC-9F5A3947A984}" type="sibTrans" cxnId="{49242B40-BE23-466A-AC6B-844E591A1983}">
      <dgm:prSet/>
      <dgm:spPr/>
      <dgm:t>
        <a:bodyPr/>
        <a:lstStyle/>
        <a:p>
          <a:endParaRPr lang="en-US"/>
        </a:p>
      </dgm:t>
    </dgm:pt>
    <dgm:pt modelId="{87C97005-B747-4BC4-AEB0-4F51D1B62029}">
      <dgm:prSet phldrT="[Text]"/>
      <dgm:spPr/>
      <dgm:t>
        <a:bodyPr/>
        <a:lstStyle/>
        <a:p>
          <a:r>
            <a:rPr lang="en-US"/>
            <a:t>Apply the filters - counties, lat long  </a:t>
          </a:r>
        </a:p>
      </dgm:t>
    </dgm:pt>
    <dgm:pt modelId="{31A6357E-77D1-45A1-8214-3A9088068640}" type="parTrans" cxnId="{53CEE8F7-7ED3-4BAA-8995-9E9B607607CE}">
      <dgm:prSet/>
      <dgm:spPr/>
      <dgm:t>
        <a:bodyPr/>
        <a:lstStyle/>
        <a:p>
          <a:endParaRPr lang="en-US"/>
        </a:p>
      </dgm:t>
    </dgm:pt>
    <dgm:pt modelId="{03E7C694-5C42-44C1-A6AE-C6F78EAACB0F}" type="sibTrans" cxnId="{53CEE8F7-7ED3-4BAA-8995-9E9B607607CE}">
      <dgm:prSet/>
      <dgm:spPr/>
      <dgm:t>
        <a:bodyPr/>
        <a:lstStyle/>
        <a:p>
          <a:endParaRPr lang="en-US"/>
        </a:p>
      </dgm:t>
    </dgm:pt>
    <dgm:pt modelId="{9B817B28-D9DB-4FC4-BB30-0F2EF88E0B4B}">
      <dgm:prSet phldrT="[Text]"/>
      <dgm:spPr/>
      <dgm:t>
        <a:bodyPr/>
        <a:lstStyle/>
        <a:p>
          <a:r>
            <a:rPr lang="en-US"/>
            <a:t>get the like events list</a:t>
          </a:r>
        </a:p>
      </dgm:t>
    </dgm:pt>
    <dgm:pt modelId="{FD6A640D-F92D-47A6-890C-53BA4A28C940}" type="parTrans" cxnId="{B4F3F0B5-5A70-4E4E-9E69-642C1C313B42}">
      <dgm:prSet/>
      <dgm:spPr/>
      <dgm:t>
        <a:bodyPr/>
        <a:lstStyle/>
        <a:p>
          <a:endParaRPr lang="en-US"/>
        </a:p>
      </dgm:t>
    </dgm:pt>
    <dgm:pt modelId="{9F309AAE-FD1F-4F44-815D-DEE8E67CB34A}" type="sibTrans" cxnId="{B4F3F0B5-5A70-4E4E-9E69-642C1C313B42}">
      <dgm:prSet/>
      <dgm:spPr/>
      <dgm:t>
        <a:bodyPr/>
        <a:lstStyle/>
        <a:p>
          <a:endParaRPr lang="en-US"/>
        </a:p>
      </dgm:t>
    </dgm:pt>
    <dgm:pt modelId="{CCD0E6AF-39AA-4FA2-93A9-C5417387C491}" type="pres">
      <dgm:prSet presAssocID="{22BFA1B1-2DCF-4E5C-A98D-2356DA49AE0B}" presName="CompostProcess" presStyleCnt="0">
        <dgm:presLayoutVars>
          <dgm:dir/>
          <dgm:resizeHandles val="exact"/>
        </dgm:presLayoutVars>
      </dgm:prSet>
      <dgm:spPr/>
    </dgm:pt>
    <dgm:pt modelId="{BAD06078-E7E8-4509-B128-ADA73253D20A}" type="pres">
      <dgm:prSet presAssocID="{22BFA1B1-2DCF-4E5C-A98D-2356DA49AE0B}" presName="arrow" presStyleLbl="bgShp" presStyleIdx="0" presStyleCnt="1" custLinFactNeighborY="-434"/>
      <dgm:spPr/>
    </dgm:pt>
    <dgm:pt modelId="{9D73AA5E-F202-4B34-9248-261B7F6CA610}" type="pres">
      <dgm:prSet presAssocID="{22BFA1B1-2DCF-4E5C-A98D-2356DA49AE0B}" presName="linearProcess" presStyleCnt="0"/>
      <dgm:spPr/>
    </dgm:pt>
    <dgm:pt modelId="{0A1C156A-BB0B-402A-AF89-6F7E2C38BCC6}" type="pres">
      <dgm:prSet presAssocID="{5CE7EDED-D8DF-4021-B230-0C41B4BC14EF}" presName="textNode" presStyleLbl="node1" presStyleIdx="0" presStyleCnt="3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383783F5-E4B5-4715-8629-A08D03799B73}" type="pres">
      <dgm:prSet presAssocID="{7FF9D470-5B72-421E-ADDC-9F5A3947A984}" presName="sibTrans" presStyleCnt="0"/>
      <dgm:spPr/>
    </dgm:pt>
    <dgm:pt modelId="{91677C97-C57F-449A-AD21-90DA34F4DE5A}" type="pres">
      <dgm:prSet presAssocID="{87C97005-B747-4BC4-AEB0-4F51D1B62029}" presName="textNode" presStyleLbl="node1" presStyleIdx="1" presStyleCnt="3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8955BE25-DD1D-46F6-80A0-25358054BC4F}" type="pres">
      <dgm:prSet presAssocID="{03E7C694-5C42-44C1-A6AE-C6F78EAACB0F}" presName="sibTrans" presStyleCnt="0"/>
      <dgm:spPr/>
    </dgm:pt>
    <dgm:pt modelId="{5340CA26-871B-438C-BEFA-CE2C5B1E5C12}" type="pres">
      <dgm:prSet presAssocID="{9B817B28-D9DB-4FC4-BB30-0F2EF88E0B4B}" presName="textNode" presStyleLbl="node1" presStyleIdx="2" presStyleCnt="3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</dgm:ptLst>
  <dgm:cxnLst>
    <dgm:cxn modelId="{AF1A7F17-D089-45CB-8C41-33109692A10D}" type="presOf" srcId="{87C97005-B747-4BC4-AEB0-4F51D1B62029}" destId="{91677C97-C57F-449A-AD21-90DA34F4DE5A}" srcOrd="0" destOrd="0" presId="urn:microsoft.com/office/officeart/2005/8/layout/hProcess9"/>
    <dgm:cxn modelId="{49242B40-BE23-466A-AC6B-844E591A1983}" srcId="{22BFA1B1-2DCF-4E5C-A98D-2356DA49AE0B}" destId="{5CE7EDED-D8DF-4021-B230-0C41B4BC14EF}" srcOrd="0" destOrd="0" parTransId="{9EE8E874-2313-453C-8A5E-E5390864DE8D}" sibTransId="{7FF9D470-5B72-421E-ADDC-9F5A3947A984}"/>
    <dgm:cxn modelId="{6C5CA227-E3B7-442E-B0C7-71E432AB3E5C}" type="presOf" srcId="{5CE7EDED-D8DF-4021-B230-0C41B4BC14EF}" destId="{0A1C156A-BB0B-402A-AF89-6F7E2C38BCC6}" srcOrd="0" destOrd="0" presId="urn:microsoft.com/office/officeart/2005/8/layout/hProcess9"/>
    <dgm:cxn modelId="{D3360B3D-94C4-41DA-B054-0E66CE1B7F8E}" type="presOf" srcId="{22BFA1B1-2DCF-4E5C-A98D-2356DA49AE0B}" destId="{CCD0E6AF-39AA-4FA2-93A9-C5417387C491}" srcOrd="0" destOrd="0" presId="urn:microsoft.com/office/officeart/2005/8/layout/hProcess9"/>
    <dgm:cxn modelId="{53CEE8F7-7ED3-4BAA-8995-9E9B607607CE}" srcId="{22BFA1B1-2DCF-4E5C-A98D-2356DA49AE0B}" destId="{87C97005-B747-4BC4-AEB0-4F51D1B62029}" srcOrd="1" destOrd="0" parTransId="{31A6357E-77D1-45A1-8214-3A9088068640}" sibTransId="{03E7C694-5C42-44C1-A6AE-C6F78EAACB0F}"/>
    <dgm:cxn modelId="{B4F3F0B5-5A70-4E4E-9E69-642C1C313B42}" srcId="{22BFA1B1-2DCF-4E5C-A98D-2356DA49AE0B}" destId="{9B817B28-D9DB-4FC4-BB30-0F2EF88E0B4B}" srcOrd="2" destOrd="0" parTransId="{FD6A640D-F92D-47A6-890C-53BA4A28C940}" sibTransId="{9F309AAE-FD1F-4F44-815D-DEE8E67CB34A}"/>
    <dgm:cxn modelId="{226EA11F-388A-4B05-9AC3-F7AFEDEA5A82}" type="presOf" srcId="{9B817B28-D9DB-4FC4-BB30-0F2EF88E0B4B}" destId="{5340CA26-871B-438C-BEFA-CE2C5B1E5C12}" srcOrd="0" destOrd="0" presId="urn:microsoft.com/office/officeart/2005/8/layout/hProcess9"/>
    <dgm:cxn modelId="{E79C69FC-44FD-4368-86EC-B34C86D519B1}" type="presParOf" srcId="{CCD0E6AF-39AA-4FA2-93A9-C5417387C491}" destId="{BAD06078-E7E8-4509-B128-ADA73253D20A}" srcOrd="0" destOrd="0" presId="urn:microsoft.com/office/officeart/2005/8/layout/hProcess9"/>
    <dgm:cxn modelId="{F7E1FD2A-D378-43AA-B0E6-29974B870031}" type="presParOf" srcId="{CCD0E6AF-39AA-4FA2-93A9-C5417387C491}" destId="{9D73AA5E-F202-4B34-9248-261B7F6CA610}" srcOrd="1" destOrd="0" presId="urn:microsoft.com/office/officeart/2005/8/layout/hProcess9"/>
    <dgm:cxn modelId="{7EF6B73B-46D0-4D9E-AF17-A99D87DA48C5}" type="presParOf" srcId="{9D73AA5E-F202-4B34-9248-261B7F6CA610}" destId="{0A1C156A-BB0B-402A-AF89-6F7E2C38BCC6}" srcOrd="0" destOrd="0" presId="urn:microsoft.com/office/officeart/2005/8/layout/hProcess9"/>
    <dgm:cxn modelId="{BE5BE5E1-5048-436B-AED7-3360B7071FD1}" type="presParOf" srcId="{9D73AA5E-F202-4B34-9248-261B7F6CA610}" destId="{383783F5-E4B5-4715-8629-A08D03799B73}" srcOrd="1" destOrd="0" presId="urn:microsoft.com/office/officeart/2005/8/layout/hProcess9"/>
    <dgm:cxn modelId="{6E02B3CB-2D64-4F5D-8FDE-3FB2DD675480}" type="presParOf" srcId="{9D73AA5E-F202-4B34-9248-261B7F6CA610}" destId="{91677C97-C57F-449A-AD21-90DA34F4DE5A}" srcOrd="2" destOrd="0" presId="urn:microsoft.com/office/officeart/2005/8/layout/hProcess9"/>
    <dgm:cxn modelId="{57F001C3-7EB7-4627-8A35-D1A0D9A05FBE}" type="presParOf" srcId="{9D73AA5E-F202-4B34-9248-261B7F6CA610}" destId="{8955BE25-DD1D-46F6-80A0-25358054BC4F}" srcOrd="3" destOrd="0" presId="urn:microsoft.com/office/officeart/2005/8/layout/hProcess9"/>
    <dgm:cxn modelId="{7A6720B7-A6F4-4ECD-B844-B7F46721FC13}" type="presParOf" srcId="{9D73AA5E-F202-4B34-9248-261B7F6CA610}" destId="{5340CA26-871B-438C-BEFA-CE2C5B1E5C12}" srcOrd="4" destOrd="0" presId="urn:microsoft.com/office/officeart/2005/8/layout/hProcess9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19C3F697-BF17-4BDB-87E6-A94789DD8310}">
      <dsp:nvSpPr>
        <dsp:cNvPr id="0" name=""/>
        <dsp:cNvSpPr/>
      </dsp:nvSpPr>
      <dsp:spPr>
        <a:xfrm>
          <a:off x="2434756" y="547280"/>
          <a:ext cx="137113" cy="384235"/>
        </a:xfrm>
        <a:custGeom>
          <a:avLst/>
          <a:gdLst/>
          <a:ahLst/>
          <a:cxnLst/>
          <a:rect l="0" t="0" r="0" b="0"/>
          <a:pathLst>
            <a:path>
              <a:moveTo>
                <a:pt x="137113" y="0"/>
              </a:moveTo>
              <a:lnTo>
                <a:pt x="137113" y="384235"/>
              </a:lnTo>
              <a:lnTo>
                <a:pt x="0" y="384235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419CC71-66C0-4FA4-B91C-B7CC272605FB}">
      <dsp:nvSpPr>
        <dsp:cNvPr id="0" name=""/>
        <dsp:cNvSpPr/>
      </dsp:nvSpPr>
      <dsp:spPr>
        <a:xfrm>
          <a:off x="1913523" y="2852488"/>
          <a:ext cx="746228" cy="242617"/>
        </a:xfrm>
        <a:custGeom>
          <a:avLst/>
          <a:gdLst/>
          <a:ahLst/>
          <a:cxnLst/>
          <a:rect l="0" t="0" r="0" b="0"/>
          <a:pathLst>
            <a:path>
              <a:moveTo>
                <a:pt x="746228" y="0"/>
              </a:moveTo>
              <a:lnTo>
                <a:pt x="746228" y="140901"/>
              </a:lnTo>
              <a:lnTo>
                <a:pt x="0" y="140901"/>
              </a:lnTo>
              <a:lnTo>
                <a:pt x="0" y="24261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B50FA55-7BFB-40A3-B75C-4D441BBBCACF}">
      <dsp:nvSpPr>
        <dsp:cNvPr id="0" name=""/>
        <dsp:cNvSpPr/>
      </dsp:nvSpPr>
      <dsp:spPr>
        <a:xfrm>
          <a:off x="208916" y="3535511"/>
          <a:ext cx="3292929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0" y="104250"/>
              </a:lnTo>
              <a:lnTo>
                <a:pt x="3292929" y="10425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DE2DD73-B23B-4A3B-B349-C3F36D6120A2}">
      <dsp:nvSpPr>
        <dsp:cNvPr id="0" name=""/>
        <dsp:cNvSpPr/>
      </dsp:nvSpPr>
      <dsp:spPr>
        <a:xfrm>
          <a:off x="596406" y="2852488"/>
          <a:ext cx="2063346" cy="244380"/>
        </a:xfrm>
        <a:custGeom>
          <a:avLst/>
          <a:gdLst/>
          <a:ahLst/>
          <a:cxnLst/>
          <a:rect l="0" t="0" r="0" b="0"/>
          <a:pathLst>
            <a:path>
              <a:moveTo>
                <a:pt x="2063346" y="0"/>
              </a:moveTo>
              <a:lnTo>
                <a:pt x="2063346" y="142664"/>
              </a:lnTo>
              <a:lnTo>
                <a:pt x="0" y="142664"/>
              </a:lnTo>
              <a:lnTo>
                <a:pt x="0" y="24438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5110E5E-E7B5-4233-9393-77742D09542B}">
      <dsp:nvSpPr>
        <dsp:cNvPr id="0" name=""/>
        <dsp:cNvSpPr/>
      </dsp:nvSpPr>
      <dsp:spPr>
        <a:xfrm>
          <a:off x="2659752" y="1861492"/>
          <a:ext cx="1670353" cy="506633"/>
        </a:xfrm>
        <a:custGeom>
          <a:avLst/>
          <a:gdLst/>
          <a:ahLst/>
          <a:cxnLst/>
          <a:rect l="0" t="0" r="0" b="0"/>
          <a:pathLst>
            <a:path>
              <a:moveTo>
                <a:pt x="1670353" y="0"/>
              </a:moveTo>
              <a:lnTo>
                <a:pt x="1670353" y="404917"/>
              </a:lnTo>
              <a:lnTo>
                <a:pt x="0" y="404917"/>
              </a:lnTo>
              <a:lnTo>
                <a:pt x="0" y="50663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9517BA9-A6A9-4519-870E-09255EC79ADE}">
      <dsp:nvSpPr>
        <dsp:cNvPr id="0" name=""/>
        <dsp:cNvSpPr/>
      </dsp:nvSpPr>
      <dsp:spPr>
        <a:xfrm>
          <a:off x="2571869" y="547280"/>
          <a:ext cx="1758236" cy="8298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28132"/>
              </a:lnTo>
              <a:lnTo>
                <a:pt x="1758236" y="728132"/>
              </a:lnTo>
              <a:lnTo>
                <a:pt x="1758236" y="82984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F307FCF-7966-4571-9279-1C560FCEA1A6}">
      <dsp:nvSpPr>
        <dsp:cNvPr id="0" name=""/>
        <dsp:cNvSpPr/>
      </dsp:nvSpPr>
      <dsp:spPr>
        <a:xfrm>
          <a:off x="2571869" y="547280"/>
          <a:ext cx="618279" cy="8298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28132"/>
              </a:lnTo>
              <a:lnTo>
                <a:pt x="618279" y="728132"/>
              </a:lnTo>
              <a:lnTo>
                <a:pt x="618279" y="82984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2A59FDD-1BCD-4B1A-B604-A50B3AC285DB}">
      <dsp:nvSpPr>
        <dsp:cNvPr id="0" name=""/>
        <dsp:cNvSpPr/>
      </dsp:nvSpPr>
      <dsp:spPr>
        <a:xfrm>
          <a:off x="1985790" y="547280"/>
          <a:ext cx="586078" cy="829848"/>
        </a:xfrm>
        <a:custGeom>
          <a:avLst/>
          <a:gdLst/>
          <a:ahLst/>
          <a:cxnLst/>
          <a:rect l="0" t="0" r="0" b="0"/>
          <a:pathLst>
            <a:path>
              <a:moveTo>
                <a:pt x="586078" y="0"/>
              </a:moveTo>
              <a:lnTo>
                <a:pt x="586078" y="728132"/>
              </a:lnTo>
              <a:lnTo>
                <a:pt x="0" y="728132"/>
              </a:lnTo>
              <a:lnTo>
                <a:pt x="0" y="82984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47A1ADB-E986-4CB9-8EAD-6E31F327F926}">
      <dsp:nvSpPr>
        <dsp:cNvPr id="0" name=""/>
        <dsp:cNvSpPr/>
      </dsp:nvSpPr>
      <dsp:spPr>
        <a:xfrm>
          <a:off x="813633" y="547280"/>
          <a:ext cx="1758236" cy="829848"/>
        </a:xfrm>
        <a:custGeom>
          <a:avLst/>
          <a:gdLst/>
          <a:ahLst/>
          <a:cxnLst/>
          <a:rect l="0" t="0" r="0" b="0"/>
          <a:pathLst>
            <a:path>
              <a:moveTo>
                <a:pt x="1758236" y="0"/>
              </a:moveTo>
              <a:lnTo>
                <a:pt x="1758236" y="728132"/>
              </a:lnTo>
              <a:lnTo>
                <a:pt x="0" y="728132"/>
              </a:lnTo>
              <a:lnTo>
                <a:pt x="0" y="82984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D6E2814-E0E8-4614-841B-CF0887D8F569}">
      <dsp:nvSpPr>
        <dsp:cNvPr id="0" name=""/>
        <dsp:cNvSpPr/>
      </dsp:nvSpPr>
      <dsp:spPr>
        <a:xfrm>
          <a:off x="2087506" y="62918"/>
          <a:ext cx="968725" cy="4843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100" b="0" i="0" u="none" kern="1200"/>
            <a:t>Event </a:t>
          </a:r>
          <a:endParaRPr lang="en-US" sz="1100" kern="1200"/>
        </a:p>
      </dsp:txBody>
      <dsp:txXfrm>
        <a:off x="2087506" y="62918"/>
        <a:ext cx="968725" cy="484362"/>
      </dsp:txXfrm>
    </dsp:sp>
    <dsp:sp modelId="{44AE3FD2-5F52-4DCF-B90C-B975B7D502F4}">
      <dsp:nvSpPr>
        <dsp:cNvPr id="0" name=""/>
        <dsp:cNvSpPr/>
      </dsp:nvSpPr>
      <dsp:spPr>
        <a:xfrm>
          <a:off x="329270" y="1377129"/>
          <a:ext cx="968725" cy="4843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100" b="0" i="0" u="none" kern="1200"/>
            <a:t>Data type</a:t>
          </a:r>
          <a:endParaRPr lang="en-US" sz="1100" kern="1200"/>
        </a:p>
      </dsp:txBody>
      <dsp:txXfrm>
        <a:off x="329270" y="1377129"/>
        <a:ext cx="968725" cy="484362"/>
      </dsp:txXfrm>
    </dsp:sp>
    <dsp:sp modelId="{74CE6216-F5C1-4D16-B1CB-ABDB353BA8CB}">
      <dsp:nvSpPr>
        <dsp:cNvPr id="0" name=""/>
        <dsp:cNvSpPr/>
      </dsp:nvSpPr>
      <dsp:spPr>
        <a:xfrm>
          <a:off x="1501428" y="1377129"/>
          <a:ext cx="968725" cy="4843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100" b="0" i="0" u="none" kern="1200"/>
            <a:t>Sources</a:t>
          </a:r>
          <a:endParaRPr lang="en-US" sz="1100" kern="1200"/>
        </a:p>
      </dsp:txBody>
      <dsp:txXfrm>
        <a:off x="1501428" y="1377129"/>
        <a:ext cx="968725" cy="484362"/>
      </dsp:txXfrm>
    </dsp:sp>
    <dsp:sp modelId="{242E3687-83F5-48BC-AD4D-8D889956A781}">
      <dsp:nvSpPr>
        <dsp:cNvPr id="0" name=""/>
        <dsp:cNvSpPr/>
      </dsp:nvSpPr>
      <dsp:spPr>
        <a:xfrm>
          <a:off x="2705786" y="1377129"/>
          <a:ext cx="968725" cy="4843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100" b="0" i="0" u="none" kern="1200"/>
            <a:t>Region</a:t>
          </a:r>
          <a:endParaRPr lang="en-US" sz="1100" kern="1200"/>
        </a:p>
      </dsp:txBody>
      <dsp:txXfrm>
        <a:off x="2705786" y="1377129"/>
        <a:ext cx="968725" cy="484362"/>
      </dsp:txXfrm>
    </dsp:sp>
    <dsp:sp modelId="{28529A43-F396-4D09-9F9D-08F1E3F19BB5}">
      <dsp:nvSpPr>
        <dsp:cNvPr id="0" name=""/>
        <dsp:cNvSpPr/>
      </dsp:nvSpPr>
      <dsp:spPr>
        <a:xfrm>
          <a:off x="3845743" y="1377129"/>
          <a:ext cx="968725" cy="4843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100" b="0" i="0" u="none" kern="1200"/>
            <a:t>Industry Loss</a:t>
          </a:r>
          <a:endParaRPr lang="en-US" sz="1100" kern="1200"/>
        </a:p>
      </dsp:txBody>
      <dsp:txXfrm>
        <a:off x="3845743" y="1377129"/>
        <a:ext cx="968725" cy="484362"/>
      </dsp:txXfrm>
    </dsp:sp>
    <dsp:sp modelId="{169C3309-C3AF-4B7E-AD17-BA983B601861}">
      <dsp:nvSpPr>
        <dsp:cNvPr id="0" name=""/>
        <dsp:cNvSpPr/>
      </dsp:nvSpPr>
      <dsp:spPr>
        <a:xfrm>
          <a:off x="2175389" y="2368126"/>
          <a:ext cx="968725" cy="4843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100" b="0" i="0" u="none" kern="1200"/>
            <a:t>Response Type</a:t>
          </a:r>
          <a:endParaRPr lang="en-US" sz="1100" kern="1200"/>
        </a:p>
      </dsp:txBody>
      <dsp:txXfrm>
        <a:off x="2175389" y="2368126"/>
        <a:ext cx="968725" cy="484362"/>
      </dsp:txXfrm>
    </dsp:sp>
    <dsp:sp modelId="{F5DB7A5F-E174-4A1C-A266-96DB221EC015}">
      <dsp:nvSpPr>
        <dsp:cNvPr id="0" name=""/>
        <dsp:cNvSpPr/>
      </dsp:nvSpPr>
      <dsp:spPr>
        <a:xfrm>
          <a:off x="112043" y="3096869"/>
          <a:ext cx="968725" cy="4843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100" b="0" i="0" u="none" kern="1200"/>
            <a:t>Approach</a:t>
          </a:r>
          <a:endParaRPr lang="en-US" sz="1100" kern="1200"/>
        </a:p>
      </dsp:txBody>
      <dsp:txXfrm>
        <a:off x="112043" y="3096869"/>
        <a:ext cx="968725" cy="484362"/>
      </dsp:txXfrm>
    </dsp:sp>
    <dsp:sp modelId="{4ADA4B17-1BB1-44B1-8290-BB0F14234185}">
      <dsp:nvSpPr>
        <dsp:cNvPr id="0" name=""/>
        <dsp:cNvSpPr/>
      </dsp:nvSpPr>
      <dsp:spPr>
        <a:xfrm>
          <a:off x="3501845" y="3397580"/>
          <a:ext cx="968725" cy="4843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100" kern="1200"/>
            <a:t>Like Events and loss</a:t>
          </a:r>
        </a:p>
      </dsp:txBody>
      <dsp:txXfrm>
        <a:off x="3501845" y="3397580"/>
        <a:ext cx="968725" cy="484362"/>
      </dsp:txXfrm>
    </dsp:sp>
    <dsp:sp modelId="{62F4B896-CD07-4DB0-B606-D269824E03C7}">
      <dsp:nvSpPr>
        <dsp:cNvPr id="0" name=""/>
        <dsp:cNvSpPr/>
      </dsp:nvSpPr>
      <dsp:spPr>
        <a:xfrm>
          <a:off x="1429161" y="3095105"/>
          <a:ext cx="968725" cy="4843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100" b="0" i="0" u="none" kern="1200"/>
            <a:t>Filters for Analysis (parameters)</a:t>
          </a:r>
          <a:endParaRPr lang="en-US" sz="1100" kern="1200"/>
        </a:p>
      </dsp:txBody>
      <dsp:txXfrm>
        <a:off x="1429161" y="3095105"/>
        <a:ext cx="968725" cy="484362"/>
      </dsp:txXfrm>
    </dsp:sp>
    <dsp:sp modelId="{9831EDA3-C183-4CF9-8B9D-C717CF5D3A11}">
      <dsp:nvSpPr>
        <dsp:cNvPr id="0" name=""/>
        <dsp:cNvSpPr/>
      </dsp:nvSpPr>
      <dsp:spPr>
        <a:xfrm>
          <a:off x="1466030" y="689334"/>
          <a:ext cx="968725" cy="4843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100" b="0" i="0" u="none" kern="1200"/>
            <a:t>Extend/ Location</a:t>
          </a:r>
          <a:endParaRPr lang="en-US" sz="1100" kern="1200"/>
        </a:p>
      </dsp:txBody>
      <dsp:txXfrm>
        <a:off x="1466030" y="689334"/>
        <a:ext cx="968725" cy="484362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090B90C-E19B-4BB5-91D2-DD5D773F37EA}">
      <dsp:nvSpPr>
        <dsp:cNvPr id="0" name=""/>
        <dsp:cNvSpPr/>
      </dsp:nvSpPr>
      <dsp:spPr>
        <a:xfrm rot="5400000">
          <a:off x="-201947" y="802382"/>
          <a:ext cx="1248505" cy="150970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70010D3-B199-4DC8-9FDF-397EB330558E}">
      <dsp:nvSpPr>
        <dsp:cNvPr id="0" name=""/>
        <dsp:cNvSpPr/>
      </dsp:nvSpPr>
      <dsp:spPr>
        <a:xfrm>
          <a:off x="82025" y="805"/>
          <a:ext cx="1677447" cy="1006468"/>
        </a:xfrm>
        <a:prstGeom prst="roundRect">
          <a:avLst>
            <a:gd name="adj" fmla="val 10000"/>
          </a:avLst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800" kern="1200"/>
            <a:t>EVENT OCCURED -CHECK NHC, AIR ALERT.</a:t>
          </a:r>
        </a:p>
      </dsp:txBody>
      <dsp:txXfrm>
        <a:off x="111503" y="30283"/>
        <a:ext cx="1618491" cy="947512"/>
      </dsp:txXfrm>
    </dsp:sp>
    <dsp:sp modelId="{8E9B784C-AC36-4FF3-A14F-E625BC709748}">
      <dsp:nvSpPr>
        <dsp:cNvPr id="0" name=""/>
        <dsp:cNvSpPr/>
      </dsp:nvSpPr>
      <dsp:spPr>
        <a:xfrm rot="5400000">
          <a:off x="-201947" y="2060468"/>
          <a:ext cx="1248505" cy="150970"/>
        </a:xfrm>
        <a:prstGeom prst="rect">
          <a:avLst/>
        </a:prstGeom>
        <a:solidFill>
          <a:schemeClr val="accent5">
            <a:hueOff val="-1050478"/>
            <a:satOff val="-1461"/>
            <a:lumOff val="-56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92AD3BB3-BDC2-4799-B387-8087658EBCD4}">
      <dsp:nvSpPr>
        <dsp:cNvPr id="0" name=""/>
        <dsp:cNvSpPr/>
      </dsp:nvSpPr>
      <dsp:spPr>
        <a:xfrm>
          <a:off x="82025" y="1258890"/>
          <a:ext cx="1677447" cy="1006468"/>
        </a:xfrm>
        <a:prstGeom prst="roundRect">
          <a:avLst>
            <a:gd name="adj" fmla="val 10000"/>
          </a:avLst>
        </a:prstGeom>
        <a:solidFill>
          <a:schemeClr val="accent5">
            <a:hueOff val="-919168"/>
            <a:satOff val="-1278"/>
            <a:lumOff val="-49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800" kern="1200"/>
            <a:t>DATA COLLECTION- LATEST ADVISORY, BEST TRACK</a:t>
          </a:r>
        </a:p>
      </dsp:txBody>
      <dsp:txXfrm>
        <a:off x="111503" y="1288368"/>
        <a:ext cx="1618491" cy="947512"/>
      </dsp:txXfrm>
    </dsp:sp>
    <dsp:sp modelId="{2C730C61-3E8D-43DE-9558-C0485E214C5F}">
      <dsp:nvSpPr>
        <dsp:cNvPr id="0" name=""/>
        <dsp:cNvSpPr/>
      </dsp:nvSpPr>
      <dsp:spPr>
        <a:xfrm>
          <a:off x="427095" y="2689510"/>
          <a:ext cx="2221424" cy="150970"/>
        </a:xfrm>
        <a:prstGeom prst="rect">
          <a:avLst/>
        </a:prstGeom>
        <a:solidFill>
          <a:schemeClr val="accent5">
            <a:hueOff val="-2100956"/>
            <a:satOff val="-2922"/>
            <a:lumOff val="-1121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62CA21D5-AFF5-4B53-8141-204644B4EA3B}">
      <dsp:nvSpPr>
        <dsp:cNvPr id="0" name=""/>
        <dsp:cNvSpPr/>
      </dsp:nvSpPr>
      <dsp:spPr>
        <a:xfrm>
          <a:off x="82025" y="2516976"/>
          <a:ext cx="1677447" cy="1006468"/>
        </a:xfrm>
        <a:prstGeom prst="roundRect">
          <a:avLst>
            <a:gd name="adj" fmla="val 10000"/>
          </a:avLst>
        </a:prstGeom>
        <a:solidFill>
          <a:schemeClr val="accent5">
            <a:hueOff val="-1838336"/>
            <a:satOff val="-2557"/>
            <a:lumOff val="-981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800" kern="1200"/>
            <a:t>PASS THE INPUTS TO THE PY CODE- (COPY SHP PATH TO INPUT FUNCTION)</a:t>
          </a:r>
        </a:p>
      </dsp:txBody>
      <dsp:txXfrm>
        <a:off x="111503" y="2546454"/>
        <a:ext cx="1618491" cy="947512"/>
      </dsp:txXfrm>
    </dsp:sp>
    <dsp:sp modelId="{A0FF0B3D-ABBC-4B83-AA60-B5215A6273A7}">
      <dsp:nvSpPr>
        <dsp:cNvPr id="0" name=""/>
        <dsp:cNvSpPr/>
      </dsp:nvSpPr>
      <dsp:spPr>
        <a:xfrm rot="16200000">
          <a:off x="2029057" y="2060468"/>
          <a:ext cx="1248505" cy="150970"/>
        </a:xfrm>
        <a:prstGeom prst="rect">
          <a:avLst/>
        </a:prstGeom>
        <a:solidFill>
          <a:schemeClr val="accent5">
            <a:hueOff val="-3151433"/>
            <a:satOff val="-4383"/>
            <a:lumOff val="-1681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15767D6-AFA2-440E-8D72-ADE2DE36D88E}">
      <dsp:nvSpPr>
        <dsp:cNvPr id="0" name=""/>
        <dsp:cNvSpPr/>
      </dsp:nvSpPr>
      <dsp:spPr>
        <a:xfrm>
          <a:off x="2313030" y="2516976"/>
          <a:ext cx="1677447" cy="1006468"/>
        </a:xfrm>
        <a:prstGeom prst="roundRect">
          <a:avLst>
            <a:gd name="adj" fmla="val 10000"/>
          </a:avLst>
        </a:prstGeom>
        <a:solidFill>
          <a:schemeClr val="accent5">
            <a:hueOff val="-2757504"/>
            <a:satOff val="-3835"/>
            <a:lumOff val="-1471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800" kern="1200"/>
            <a:t>PROVIDE THE DESIRED BUFFER SIZE / RADIUS. </a:t>
          </a:r>
        </a:p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800" kern="1200"/>
            <a:t>MENTION THE OUTPUT PATH AND NAMES TO THE OUTPUT IN THE CODE</a:t>
          </a:r>
        </a:p>
      </dsp:txBody>
      <dsp:txXfrm>
        <a:off x="2342508" y="2546454"/>
        <a:ext cx="1618491" cy="947512"/>
      </dsp:txXfrm>
    </dsp:sp>
    <dsp:sp modelId="{B53F0604-AF24-4886-8542-162843CD7278}">
      <dsp:nvSpPr>
        <dsp:cNvPr id="0" name=""/>
        <dsp:cNvSpPr/>
      </dsp:nvSpPr>
      <dsp:spPr>
        <a:xfrm rot="16200000">
          <a:off x="2029057" y="802382"/>
          <a:ext cx="1248505" cy="150970"/>
        </a:xfrm>
        <a:prstGeom prst="rect">
          <a:avLst/>
        </a:prstGeom>
        <a:solidFill>
          <a:schemeClr val="accent5">
            <a:hueOff val="-4201911"/>
            <a:satOff val="-5845"/>
            <a:lumOff val="-2241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607B9246-EF08-4D0F-92B9-95F89629FEC6}">
      <dsp:nvSpPr>
        <dsp:cNvPr id="0" name=""/>
        <dsp:cNvSpPr/>
      </dsp:nvSpPr>
      <dsp:spPr>
        <a:xfrm>
          <a:off x="2313030" y="1258890"/>
          <a:ext cx="1677447" cy="1006468"/>
        </a:xfrm>
        <a:prstGeom prst="roundRect">
          <a:avLst>
            <a:gd name="adj" fmla="val 10000"/>
          </a:avLst>
        </a:prstGeom>
        <a:solidFill>
          <a:schemeClr val="accent5">
            <a:hueOff val="-3676672"/>
            <a:satOff val="-5114"/>
            <a:lumOff val="-1961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800" kern="1200"/>
            <a:t>RUN THE CODE</a:t>
          </a:r>
        </a:p>
      </dsp:txBody>
      <dsp:txXfrm>
        <a:off x="2342508" y="1288368"/>
        <a:ext cx="1618491" cy="947512"/>
      </dsp:txXfrm>
    </dsp:sp>
    <dsp:sp modelId="{EF24F6A2-DAE9-44A8-8967-1B26AA1A872F}">
      <dsp:nvSpPr>
        <dsp:cNvPr id="0" name=""/>
        <dsp:cNvSpPr/>
      </dsp:nvSpPr>
      <dsp:spPr>
        <a:xfrm>
          <a:off x="2658099" y="173340"/>
          <a:ext cx="2221424" cy="150970"/>
        </a:xfrm>
        <a:prstGeom prst="rect">
          <a:avLst/>
        </a:prstGeom>
        <a:solidFill>
          <a:schemeClr val="accent5">
            <a:hueOff val="-5252389"/>
            <a:satOff val="-7306"/>
            <a:lumOff val="-2801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39DE45A0-83B2-4DA2-B9F7-3DC4A3CC4A8B}">
      <dsp:nvSpPr>
        <dsp:cNvPr id="0" name=""/>
        <dsp:cNvSpPr/>
      </dsp:nvSpPr>
      <dsp:spPr>
        <a:xfrm>
          <a:off x="2313030" y="805"/>
          <a:ext cx="1677447" cy="1006468"/>
        </a:xfrm>
        <a:prstGeom prst="roundRect">
          <a:avLst>
            <a:gd name="adj" fmla="val 10000"/>
          </a:avLst>
        </a:prstGeom>
        <a:solidFill>
          <a:schemeClr val="accent5">
            <a:hueOff val="-4595840"/>
            <a:satOff val="-6392"/>
            <a:lumOff val="-2451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800" kern="1200"/>
            <a:t>IMPORT THE "FINAL EVENT" CSV IN THE OUTPUT FOLDER TO THE DATABSE</a:t>
          </a:r>
        </a:p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800" kern="1200"/>
            <a:t>[ARAPL_WORKS]</a:t>
          </a:r>
        </a:p>
      </dsp:txBody>
      <dsp:txXfrm>
        <a:off x="2342508" y="30283"/>
        <a:ext cx="1618491" cy="947512"/>
      </dsp:txXfrm>
    </dsp:sp>
    <dsp:sp modelId="{B74CACBD-581B-4317-9379-987752679E14}">
      <dsp:nvSpPr>
        <dsp:cNvPr id="0" name=""/>
        <dsp:cNvSpPr/>
      </dsp:nvSpPr>
      <dsp:spPr>
        <a:xfrm rot="5400000">
          <a:off x="4260061" y="802382"/>
          <a:ext cx="1248505" cy="150970"/>
        </a:xfrm>
        <a:prstGeom prst="rect">
          <a:avLst/>
        </a:prstGeom>
        <a:solidFill>
          <a:schemeClr val="accent5">
            <a:hueOff val="-6302867"/>
            <a:satOff val="-8767"/>
            <a:lumOff val="-3362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F25B7313-2420-4892-B73B-754C0F7999F0}">
      <dsp:nvSpPr>
        <dsp:cNvPr id="0" name=""/>
        <dsp:cNvSpPr/>
      </dsp:nvSpPr>
      <dsp:spPr>
        <a:xfrm>
          <a:off x="4544035" y="805"/>
          <a:ext cx="1677447" cy="1006468"/>
        </a:xfrm>
        <a:prstGeom prst="roundRect">
          <a:avLst>
            <a:gd name="adj" fmla="val 10000"/>
          </a:avLst>
        </a:prstGeom>
        <a:solidFill>
          <a:schemeClr val="accent5">
            <a:hueOff val="-5515009"/>
            <a:satOff val="-7671"/>
            <a:lumOff val="-2942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800" kern="1200"/>
            <a:t>PROVIDE THE DESIRED INPUT TO THE GENERAL QUERY-</a:t>
          </a:r>
        </a:p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800" kern="1200"/>
            <a:t>A. INDUSTRY LOSS </a:t>
          </a:r>
        </a:p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800" kern="1200"/>
            <a:t>B. STATE OF LANDFALL</a:t>
          </a:r>
        </a:p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800" kern="1200"/>
            <a:t>C. CATAGORY (SS VALUE)</a:t>
          </a:r>
        </a:p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800" kern="1200"/>
            <a:t>D. LOSS TABLE &amp; FINAL EVENT TABLE</a:t>
          </a:r>
        </a:p>
      </dsp:txBody>
      <dsp:txXfrm>
        <a:off x="4573513" y="30283"/>
        <a:ext cx="1618491" cy="947512"/>
      </dsp:txXfrm>
    </dsp:sp>
    <dsp:sp modelId="{BBA1D0AD-B526-45E7-BE78-7D000FB3E2C1}">
      <dsp:nvSpPr>
        <dsp:cNvPr id="0" name=""/>
        <dsp:cNvSpPr/>
      </dsp:nvSpPr>
      <dsp:spPr>
        <a:xfrm rot="5400000">
          <a:off x="4260061" y="2060468"/>
          <a:ext cx="1248505" cy="150970"/>
        </a:xfrm>
        <a:prstGeom prst="rect">
          <a:avLst/>
        </a:prstGeom>
        <a:solidFill>
          <a:schemeClr val="accent5">
            <a:hueOff val="-7353344"/>
            <a:satOff val="-10228"/>
            <a:lumOff val="-3922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A411715-40BC-432C-AB0E-FEBA829CF82F}">
      <dsp:nvSpPr>
        <dsp:cNvPr id="0" name=""/>
        <dsp:cNvSpPr/>
      </dsp:nvSpPr>
      <dsp:spPr>
        <a:xfrm>
          <a:off x="4544035" y="1258890"/>
          <a:ext cx="1677447" cy="1006468"/>
        </a:xfrm>
        <a:prstGeom prst="roundRect">
          <a:avLst>
            <a:gd name="adj" fmla="val 10000"/>
          </a:avLst>
        </a:prstGeom>
        <a:solidFill>
          <a:schemeClr val="accent5">
            <a:hueOff val="-6434176"/>
            <a:satOff val="-8949"/>
            <a:lumOff val="-3432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800" kern="1200"/>
            <a:t>RUN THE SQL QUERY AND SAVE THE SAME FOR SEPARATE EVENTS AND APPROACH IN SAME FOLDER NAMED SQL</a:t>
          </a:r>
        </a:p>
      </dsp:txBody>
      <dsp:txXfrm>
        <a:off x="4573513" y="1288368"/>
        <a:ext cx="1618491" cy="947512"/>
      </dsp:txXfrm>
    </dsp:sp>
    <dsp:sp modelId="{553C42D2-2C62-4CE5-A835-F79F3B8450D8}">
      <dsp:nvSpPr>
        <dsp:cNvPr id="0" name=""/>
        <dsp:cNvSpPr/>
      </dsp:nvSpPr>
      <dsp:spPr>
        <a:xfrm>
          <a:off x="4544035" y="2516976"/>
          <a:ext cx="1677447" cy="1006468"/>
        </a:xfrm>
        <a:prstGeom prst="roundRect">
          <a:avLst>
            <a:gd name="adj" fmla="val 10000"/>
          </a:avLst>
        </a:prstGeom>
        <a:solidFill>
          <a:schemeClr val="accent5">
            <a:hueOff val="-7353344"/>
            <a:satOff val="-10228"/>
            <a:lumOff val="-3922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800" kern="1200"/>
            <a:t>COPY THE EVENTS AND MAP IT IN QGIS FOR BETTER VISUALISATION</a:t>
          </a:r>
        </a:p>
      </dsp:txBody>
      <dsp:txXfrm>
        <a:off x="4573513" y="2546454"/>
        <a:ext cx="1618491" cy="947512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BAD06078-E7E8-4509-B128-ADA73253D20A}">
      <dsp:nvSpPr>
        <dsp:cNvPr id="0" name=""/>
        <dsp:cNvSpPr/>
      </dsp:nvSpPr>
      <dsp:spPr>
        <a:xfrm>
          <a:off x="342899" y="0"/>
          <a:ext cx="3886199" cy="2743200"/>
        </a:xfrm>
        <a:prstGeom prst="rightArrow">
          <a:avLst/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0A1C156A-BB0B-402A-AF89-6F7E2C38BCC6}">
      <dsp:nvSpPr>
        <dsp:cNvPr id="0" name=""/>
        <dsp:cNvSpPr/>
      </dsp:nvSpPr>
      <dsp:spPr>
        <a:xfrm>
          <a:off x="154930" y="822960"/>
          <a:ext cx="1371599" cy="109728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lvl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200" kern="1200"/>
            <a:t>Create separate table for all the event possible for expected LF state using the query</a:t>
          </a:r>
        </a:p>
      </dsp:txBody>
      <dsp:txXfrm>
        <a:off x="208495" y="876525"/>
        <a:ext cx="1264469" cy="990150"/>
      </dsp:txXfrm>
    </dsp:sp>
    <dsp:sp modelId="{91677C97-C57F-449A-AD21-90DA34F4DE5A}">
      <dsp:nvSpPr>
        <dsp:cNvPr id="0" name=""/>
        <dsp:cNvSpPr/>
      </dsp:nvSpPr>
      <dsp:spPr>
        <a:xfrm>
          <a:off x="1600199" y="822960"/>
          <a:ext cx="1371599" cy="109728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lvl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200" kern="1200"/>
            <a:t>Apply the filters - counties, lat long  </a:t>
          </a:r>
        </a:p>
      </dsp:txBody>
      <dsp:txXfrm>
        <a:off x="1653764" y="876525"/>
        <a:ext cx="1264469" cy="990150"/>
      </dsp:txXfrm>
    </dsp:sp>
    <dsp:sp modelId="{5340CA26-871B-438C-BEFA-CE2C5B1E5C12}">
      <dsp:nvSpPr>
        <dsp:cNvPr id="0" name=""/>
        <dsp:cNvSpPr/>
      </dsp:nvSpPr>
      <dsp:spPr>
        <a:xfrm>
          <a:off x="3045469" y="822960"/>
          <a:ext cx="1371599" cy="109728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lvl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200" kern="1200"/>
            <a:t>get the like events list</a:t>
          </a:r>
        </a:p>
      </dsp:txBody>
      <dsp:txXfrm>
        <a:off x="3099034" y="876525"/>
        <a:ext cx="1264469" cy="99015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bProcess4">
  <dgm:title val=""/>
  <dgm:desc val=""/>
  <dgm:catLst>
    <dgm:cat type="process" pri="19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  <dgm:pt modelId="6">
          <dgm:prSet phldr="1"/>
        </dgm:pt>
        <dgm:pt modelId="7">
          <dgm:prSet phldr="1"/>
        </dgm:pt>
        <dgm:pt modelId="8">
          <dgm:prSet phldr="1"/>
        </dgm:pt>
        <dgm:pt modelId="9">
          <dgm:prSet phldr="1"/>
        </dgm:pt>
      </dgm:ptLst>
      <dgm:cxnLst>
        <dgm:cxn modelId="10" srcId="0" destId="1" srcOrd="0" destOrd="0"/>
        <dgm:cxn modelId="11" srcId="0" destId="2" srcOrd="1" destOrd="0"/>
        <dgm:cxn modelId="12" srcId="0" destId="3" srcOrd="2" destOrd="0"/>
        <dgm:cxn modelId="13" srcId="0" destId="4" srcOrd="3" destOrd="0"/>
        <dgm:cxn modelId="14" srcId="0" destId="5" srcOrd="4" destOrd="0"/>
        <dgm:cxn modelId="15" srcId="0" destId="6" srcOrd="5" destOrd="0"/>
        <dgm:cxn modelId="16" srcId="0" destId="7" srcOrd="6" destOrd="0"/>
        <dgm:cxn modelId="17" srcId="0" destId="8" srcOrd="7" destOrd="0"/>
        <dgm:cxn modelId="18" srcId="0" destId="9" srcOrd="8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Name0">
    <dgm:varLst>
      <dgm:dir/>
      <dgm:resizeHandles/>
    </dgm:varLst>
    <dgm:choose name="Name1">
      <dgm:if name="Name2" func="var" arg="dir" op="equ" val="norm">
        <dgm:alg type="snake">
          <dgm:param type="grDir" val="tL"/>
          <dgm:param type="flowDir" val="col"/>
          <dgm:param type="contDir" val="revDir"/>
          <dgm:param type="bkpt" val="bal"/>
        </dgm:alg>
      </dgm:if>
      <dgm:else name="Name3">
        <dgm:alg type="snake">
          <dgm:param type="grDir" val="tR"/>
          <dgm:param type="flowDir" val="col"/>
          <dgm:param type="contDir" val="revDir"/>
          <dgm:param type="bkpt" val="bal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ompNode" refType="w"/>
      <dgm:constr type="h" for="ch" forName="compNode" refType="w" fact="0.6"/>
      <dgm:constr type="h" for="ch" forName="sibTrans" refType="h" refFor="ch" refForName="compNode" op="equ" fact="0.25"/>
      <dgm:constr type="sp" refType="w" fact="0.33"/>
      <dgm:constr type="primFontSz" for="des" forName="node" op="equ" val="65"/>
    </dgm:constrLst>
    <dgm:ruleLst/>
    <dgm:forEach name="nodesForEach" axis="ch" ptType="node">
      <dgm:layoutNode name="compNode">
        <dgm:alg type="composite"/>
        <dgm:shape xmlns:r="http://schemas.openxmlformats.org/officeDocument/2006/relationships" r:blip="">
          <dgm:adjLst/>
        </dgm:shape>
        <dgm:presOf/>
        <dgm:choose name="Name4">
          <dgm:if name="Name5" axis="self" func="var" arg="dir" op="equ" val="norm">
            <dgm:constrLst>
              <dgm:constr type="l" for="ch" forName="dummyConnPt" refType="w" fact="0.2"/>
              <dgm:constr type="t" for="ch" forName="dummyConnPt" refType="w" fact="0.145"/>
              <dgm:constr type="l" for="ch" forName="node"/>
              <dgm:constr type="t" for="ch" forName="node"/>
              <dgm:constr type="h" for="ch" forName="node" refType="h"/>
              <dgm:constr type="w" for="ch" forName="node" refType="w"/>
            </dgm:constrLst>
          </dgm:if>
          <dgm:else name="Name6">
            <dgm:constrLst>
              <dgm:constr type="l" for="ch" forName="dummyConnPt" refType="w" fact="0.8"/>
              <dgm:constr type="t" for="ch" forName="dummyConnPt" refType="w" fact="0.145"/>
              <dgm:constr type="l" for="ch" forName="node"/>
              <dgm:constr type="t" for="ch" forName="node"/>
              <dgm:constr type="h" for="ch" forName="node" refType="h"/>
              <dgm:constr type="w" for="ch" forName="node" refType="w"/>
            </dgm:constrLst>
          </dgm:else>
        </dgm:choose>
        <dgm:ruleLst/>
        <dgm:layoutNode name="dummyConnPt" styleLbl="node1" moveWith="node">
          <dgm:alg type="sp"/>
          <dgm:shape xmlns:r="http://schemas.openxmlformats.org/officeDocument/2006/relationships" r:blip="">
            <dgm:adjLst/>
          </dgm:shape>
          <dgm:presOf/>
          <dgm:constrLst>
            <dgm:constr type="w" val="1"/>
            <dgm:constr type="h" val="1"/>
          </dgm:constrLst>
          <dgm:ruleLst/>
        </dgm:layoutNode>
        <dgm:layoutNode name="node">
          <dgm:varLst>
            <dgm:bulletEnabled val="1"/>
          </dgm:varLst>
          <dgm:alg type="tx"/>
          <dgm:shape xmlns:r="http://schemas.openxmlformats.org/officeDocument/2006/relationships" type="roundRect" r:blip="">
            <dgm:adjLst>
              <dgm:adj idx="1" val="0.1"/>
            </dgm:adjLst>
          </dgm:shape>
          <dgm:presOf axis="desOrSelf" ptType="node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  <dgm:constr type="primFontSz" val="65"/>
          </dgm:constrLst>
          <dgm:ruleLst>
            <dgm:rule type="primFontSz" val="5" fact="NaN" max="NaN"/>
          </dgm:ruleLst>
        </dgm:layoutNode>
      </dgm:layoutNode>
      <dgm:forEach name="sibTransForEach" axis="followSib" cnt="1">
        <dgm:layoutNode name="sibTrans" styleLbl="bgSibTrans2D1">
          <dgm:choose name="Name7">
            <dgm:if name="Name8" axis="self" func="var" arg="dir" op="equ" val="norm">
              <dgm:alg type="conn">
                <dgm:param type="srcNode" val="dummyConnPt"/>
                <dgm:param type="dstNode" val="dummyConnPt"/>
                <dgm:param type="begPts" val="bCtr, midR, tCtr"/>
                <dgm:param type="endPts" val="tCtr, midL, bCtr"/>
                <dgm:param type="begSty" val="noArr"/>
                <dgm:param type="endSty" val="noArr"/>
              </dgm:alg>
            </dgm:if>
            <dgm:else name="Name9">
              <dgm:alg type="conn">
                <dgm:param type="srcNode" val="dummyConnPt"/>
                <dgm:param type="dstNode" val="dummyConnPt"/>
                <dgm:param type="begPts" val="bCtr, midL, tCtr"/>
                <dgm:param type="endPts" val="tCtr, midR, bCtr"/>
                <dgm:param type="begSty" val="noArr"/>
                <dgm:param type="endSty" val="noArr"/>
              </dgm:alg>
            </dgm:else>
          </dgm:choose>
          <dgm:shape xmlns:r="http://schemas.openxmlformats.org/officeDocument/2006/relationships" type="conn" r:blip="" zOrderOff="-2">
            <dgm:adjLst/>
          </dgm:shape>
          <dgm:presOf axis="self"/>
          <dgm:constrLst>
            <dgm:constr type="begPad"/>
            <dgm:constr type="endPad"/>
          </dgm:constrLst>
          <dgm:ruleLst/>
        </dgm:layoutNode>
      </dgm:forEach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hProcess9">
  <dgm:title val=""/>
  <dgm:desc val=""/>
  <dgm:catLst>
    <dgm:cat type="process" pri="5000"/>
    <dgm:cat type="convert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CompostProcess">
    <dgm:varLst>
      <dgm:dir/>
      <dgm:resizeHandles val="exact"/>
    </dgm:varLst>
    <dgm:alg type="composite">
      <dgm:param type="horzAlign" val="ctr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arrow" refType="w" fact="0.85"/>
      <dgm:constr type="h" for="ch" forName="arrow" refType="h"/>
      <dgm:constr type="ctrX" for="ch" forName="arrow" refType="w" fact="0.5"/>
      <dgm:constr type="ctrY" for="ch" forName="arrow" refType="h" fact="0.5"/>
      <dgm:constr type="w" for="ch" forName="linearProcess" refType="w"/>
      <dgm:constr type="h" for="ch" forName="linearProcess" refType="h" fact="0.4"/>
      <dgm:constr type="ctrX" for="ch" forName="linearProcess" refType="w" fact="0.5"/>
      <dgm:constr type="ctrY" for="ch" forName="linearProcess" refType="h" fact="0.5"/>
    </dgm:constrLst>
    <dgm:ruleLst/>
    <dgm:layoutNode name="arrow" styleLbl="bgShp">
      <dgm:alg type="sp"/>
      <dgm:choose name="Name0">
        <dgm:if name="Name1" func="var" arg="dir" op="equ" val="norm">
          <dgm:shape xmlns:r="http://schemas.openxmlformats.org/officeDocument/2006/relationships" type="rightArrow" r:blip="">
            <dgm:adjLst/>
          </dgm:shape>
        </dgm:if>
        <dgm:else name="Name2">
          <dgm:shape xmlns:r="http://schemas.openxmlformats.org/officeDocument/2006/relationships" type="leftArrow" r:blip="">
            <dgm:adjLst/>
          </dgm:shape>
        </dgm:else>
      </dgm:choose>
      <dgm:presOf/>
      <dgm:constrLst/>
      <dgm:ruleLst/>
    </dgm:layoutNode>
    <dgm:layoutNode name="linearProcess">
      <dgm:choose name="Name3">
        <dgm:if name="Name4" func="var" arg="dir" op="equ" val="norm">
          <dgm:alg type="lin"/>
        </dgm:if>
        <dgm:else name="Name5">
          <dgm:alg type="lin">
            <dgm:param type="linDir" val="from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userA" for="ch" ptType="node" refType="w"/>
        <dgm:constr type="h" for="ch" ptType="node" refType="h"/>
        <dgm:constr type="w" for="ch" ptType="node" op="equ"/>
        <dgm:constr type="w" for="ch" forName="sibTrans" refType="w" fact="0.05"/>
        <dgm:constr type="primFontSz" for="ch" ptType="node" op="equ" val="65"/>
      </dgm:constrLst>
      <dgm:ruleLst/>
      <dgm:forEach name="Name6" axis="ch" ptType="node">
        <dgm:layoutNode name="textNode" styleLbl="node1">
          <dgm:varLst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desOrSelf" ptType="node"/>
          <dgm:constrLst>
            <dgm:constr type="userA"/>
            <dgm:constr type="w" refType="userA" fact="0.3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w" val="NaN" fact="1" max="NaN"/>
            <dgm:rule type="primFontSz" val="5" fact="NaN" max="NaN"/>
          </dgm:ruleLst>
        </dgm:layoutNode>
        <dgm:forEach name="Name7" axis="followSib" ptType="sibTrans" cnt="1">
          <dgm:layoutNode name="sibTrans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forEach>
      </dgm:forEach>
    </dgm:layoutNod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3.xml"/><Relationship Id="rId3" Type="http://schemas.openxmlformats.org/officeDocument/2006/relationships/diagramQuickStyle" Target="../diagrams/quickStyle2.xml"/><Relationship Id="rId7" Type="http://schemas.openxmlformats.org/officeDocument/2006/relationships/diagramLayout" Target="../diagrams/layout3.xml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6" Type="http://schemas.openxmlformats.org/officeDocument/2006/relationships/diagramData" Target="../diagrams/data3.xml"/><Relationship Id="rId11" Type="http://schemas.openxmlformats.org/officeDocument/2006/relationships/image" Target="../media/image1.png"/><Relationship Id="rId5" Type="http://schemas.microsoft.com/office/2007/relationships/diagramDrawing" Target="../diagrams/drawing2.xml"/><Relationship Id="rId10" Type="http://schemas.microsoft.com/office/2007/relationships/diagramDrawing" Target="../diagrams/drawing3.xml"/><Relationship Id="rId4" Type="http://schemas.openxmlformats.org/officeDocument/2006/relationships/diagramColors" Target="../diagrams/colors2.xml"/><Relationship Id="rId9" Type="http://schemas.openxmlformats.org/officeDocument/2006/relationships/diagramColors" Target="../diagrams/colors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243432</xdr:colOff>
      <xdr:row>1</xdr:row>
      <xdr:rowOff>78316</xdr:rowOff>
    </xdr:from>
    <xdr:to>
      <xdr:col>8</xdr:col>
      <xdr:colOff>486850</xdr:colOff>
      <xdr:row>21</xdr:row>
      <xdr:rowOff>137583</xdr:rowOff>
    </xdr:to>
    <xdr:graphicFrame macro="">
      <xdr:nvGraphicFramePr>
        <xdr:cNvPr id="8" name="Diagram 7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3</xdr:col>
      <xdr:colOff>0</xdr:colOff>
      <xdr:row>19</xdr:row>
      <xdr:rowOff>158750</xdr:rowOff>
    </xdr:from>
    <xdr:to>
      <xdr:col>3</xdr:col>
      <xdr:colOff>0</xdr:colOff>
      <xdr:row>20</xdr:row>
      <xdr:rowOff>84667</xdr:rowOff>
    </xdr:to>
    <xdr:cxnSp macro="">
      <xdr:nvCxnSpPr>
        <xdr:cNvPr id="9" name="Straight Connector 8"/>
        <xdr:cNvCxnSpPr/>
      </xdr:nvCxnSpPr>
      <xdr:spPr>
        <a:xfrm>
          <a:off x="2847975" y="3844925"/>
          <a:ext cx="0" cy="11641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</xdr:row>
      <xdr:rowOff>179917</xdr:rowOff>
    </xdr:from>
    <xdr:to>
      <xdr:col>5</xdr:col>
      <xdr:colOff>0</xdr:colOff>
      <xdr:row>13</xdr:row>
      <xdr:rowOff>31750</xdr:rowOff>
    </xdr:to>
    <xdr:cxnSp macro="">
      <xdr:nvCxnSpPr>
        <xdr:cNvPr id="10" name="Straight Connector 9"/>
        <xdr:cNvCxnSpPr/>
      </xdr:nvCxnSpPr>
      <xdr:spPr>
        <a:xfrm>
          <a:off x="4067175" y="2142067"/>
          <a:ext cx="0" cy="4328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10583</xdr:colOff>
      <xdr:row>11</xdr:row>
      <xdr:rowOff>0</xdr:rowOff>
    </xdr:from>
    <xdr:to>
      <xdr:col>3</xdr:col>
      <xdr:colOff>10583</xdr:colOff>
      <xdr:row>13</xdr:row>
      <xdr:rowOff>42333</xdr:rowOff>
    </xdr:to>
    <xdr:cxnSp macro="">
      <xdr:nvCxnSpPr>
        <xdr:cNvPr id="11" name="Straight Connector 10"/>
        <xdr:cNvCxnSpPr/>
      </xdr:nvCxnSpPr>
      <xdr:spPr>
        <a:xfrm>
          <a:off x="2858558" y="2152650"/>
          <a:ext cx="0" cy="4328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543983</xdr:colOff>
      <xdr:row>10</xdr:row>
      <xdr:rowOff>173566</xdr:rowOff>
    </xdr:from>
    <xdr:to>
      <xdr:col>1</xdr:col>
      <xdr:colOff>543983</xdr:colOff>
      <xdr:row>13</xdr:row>
      <xdr:rowOff>25399</xdr:rowOff>
    </xdr:to>
    <xdr:cxnSp macro="">
      <xdr:nvCxnSpPr>
        <xdr:cNvPr id="12" name="Straight Connector 11"/>
        <xdr:cNvCxnSpPr/>
      </xdr:nvCxnSpPr>
      <xdr:spPr>
        <a:xfrm>
          <a:off x="1696508" y="2135716"/>
          <a:ext cx="0" cy="4328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529167</xdr:colOff>
      <xdr:row>13</xdr:row>
      <xdr:rowOff>31750</xdr:rowOff>
    </xdr:from>
    <xdr:to>
      <xdr:col>4</xdr:col>
      <xdr:colOff>127000</xdr:colOff>
      <xdr:row>13</xdr:row>
      <xdr:rowOff>31750</xdr:rowOff>
    </xdr:to>
    <xdr:cxnSp macro="">
      <xdr:nvCxnSpPr>
        <xdr:cNvPr id="13" name="Straight Connector 12"/>
        <xdr:cNvCxnSpPr/>
      </xdr:nvCxnSpPr>
      <xdr:spPr>
        <a:xfrm>
          <a:off x="1681692" y="2574925"/>
          <a:ext cx="190288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381015</xdr:colOff>
      <xdr:row>34</xdr:row>
      <xdr:rowOff>11914</xdr:rowOff>
    </xdr:from>
    <xdr:to>
      <xdr:col>34</xdr:col>
      <xdr:colOff>523890</xdr:colOff>
      <xdr:row>59</xdr:row>
      <xdr:rowOff>130977</xdr:rowOff>
    </xdr:to>
    <xdr:sp macro="" textlink="">
      <xdr:nvSpPr>
        <xdr:cNvPr id="3" name="Rectangle 2"/>
        <xdr:cNvSpPr/>
      </xdr:nvSpPr>
      <xdr:spPr>
        <a:xfrm>
          <a:off x="16168703" y="6488914"/>
          <a:ext cx="5000625" cy="4881563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351065</xdr:colOff>
      <xdr:row>7</xdr:row>
      <xdr:rowOff>0</xdr:rowOff>
    </xdr:from>
    <xdr:to>
      <xdr:col>11</xdr:col>
      <xdr:colOff>582386</xdr:colOff>
      <xdr:row>25</xdr:row>
      <xdr:rowOff>95250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13</xdr:col>
      <xdr:colOff>561975</xdr:colOff>
      <xdr:row>15</xdr:row>
      <xdr:rowOff>123825</xdr:rowOff>
    </xdr:from>
    <xdr:to>
      <xdr:col>16</xdr:col>
      <xdr:colOff>95250</xdr:colOff>
      <xdr:row>19</xdr:row>
      <xdr:rowOff>9525</xdr:rowOff>
    </xdr:to>
    <xdr:sp macro="" textlink="">
      <xdr:nvSpPr>
        <xdr:cNvPr id="4" name="Rectangle 3"/>
        <xdr:cNvSpPr/>
      </xdr:nvSpPr>
      <xdr:spPr>
        <a:xfrm>
          <a:off x="8486775" y="1647825"/>
          <a:ext cx="1362075" cy="647700"/>
        </a:xfrm>
        <a:prstGeom prst="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50"/>
            <a:t>EXPORT</a:t>
          </a:r>
          <a:r>
            <a:rPr lang="en-US" sz="750" baseline="0"/>
            <a:t> THE LIKE EVENTS, RELATED LOSS TO AN EXCEL FILE</a:t>
          </a:r>
          <a:endParaRPr lang="en-US" sz="750"/>
        </a:p>
      </xdr:txBody>
    </xdr:sp>
    <xdr:clientData/>
  </xdr:twoCellAnchor>
  <xdr:twoCellAnchor>
    <xdr:from>
      <xdr:col>11</xdr:col>
      <xdr:colOff>552450</xdr:colOff>
      <xdr:row>17</xdr:row>
      <xdr:rowOff>66675</xdr:rowOff>
    </xdr:from>
    <xdr:to>
      <xdr:col>13</xdr:col>
      <xdr:colOff>561975</xdr:colOff>
      <xdr:row>17</xdr:row>
      <xdr:rowOff>76200</xdr:rowOff>
    </xdr:to>
    <xdr:cxnSp macro="">
      <xdr:nvCxnSpPr>
        <xdr:cNvPr id="6" name="Straight Arrow Connector 5"/>
        <xdr:cNvCxnSpPr>
          <a:endCxn id="4" idx="1"/>
        </xdr:cNvCxnSpPr>
      </xdr:nvCxnSpPr>
      <xdr:spPr>
        <a:xfrm flipV="1">
          <a:off x="7258050" y="1971675"/>
          <a:ext cx="1228725" cy="9525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48684</xdr:colOff>
      <xdr:row>7</xdr:row>
      <xdr:rowOff>131233</xdr:rowOff>
    </xdr:from>
    <xdr:to>
      <xdr:col>26</xdr:col>
      <xdr:colOff>353483</xdr:colOff>
      <xdr:row>22</xdr:row>
      <xdr:rowOff>16933</xdr:rowOff>
    </xdr:to>
    <xdr:graphicFrame macro="">
      <xdr:nvGraphicFramePr>
        <xdr:cNvPr id="5" name="Diagram 4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23</xdr:col>
      <xdr:colOff>364064</xdr:colOff>
      <xdr:row>23</xdr:row>
      <xdr:rowOff>129121</xdr:rowOff>
    </xdr:from>
    <xdr:to>
      <xdr:col>26</xdr:col>
      <xdr:colOff>335489</xdr:colOff>
      <xdr:row>27</xdr:row>
      <xdr:rowOff>157696</xdr:rowOff>
    </xdr:to>
    <xdr:sp macro="" textlink="">
      <xdr:nvSpPr>
        <xdr:cNvPr id="13" name="Rectangle 12"/>
        <xdr:cNvSpPr/>
      </xdr:nvSpPr>
      <xdr:spPr>
        <a:xfrm>
          <a:off x="14482231" y="3177121"/>
          <a:ext cx="1812925" cy="7905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MANUAL FILTERING OF THE EVENTS- REMOVE THE EVENTS THAT DO NOT FIT THE ANALYSIS AT</a:t>
          </a:r>
          <a:r>
            <a:rPr lang="en-US" sz="1100" baseline="0"/>
            <a:t> ALL</a:t>
          </a:r>
          <a:endParaRPr lang="en-US" sz="1100"/>
        </a:p>
      </xdr:txBody>
    </xdr:sp>
    <xdr:clientData/>
  </xdr:twoCellAnchor>
  <xdr:twoCellAnchor>
    <xdr:from>
      <xdr:col>25</xdr:col>
      <xdr:colOff>42861</xdr:colOff>
      <xdr:row>27</xdr:row>
      <xdr:rowOff>157696</xdr:rowOff>
    </xdr:from>
    <xdr:to>
      <xdr:col>25</xdr:col>
      <xdr:colOff>46580</xdr:colOff>
      <xdr:row>31</xdr:row>
      <xdr:rowOff>100540</xdr:rowOff>
    </xdr:to>
    <xdr:cxnSp macro="">
      <xdr:nvCxnSpPr>
        <xdr:cNvPr id="15" name="Straight Arrow Connector 14"/>
        <xdr:cNvCxnSpPr>
          <a:stCxn id="13" idx="2"/>
          <a:endCxn id="16" idx="0"/>
        </xdr:cNvCxnSpPr>
      </xdr:nvCxnSpPr>
      <xdr:spPr>
        <a:xfrm>
          <a:off x="15388694" y="3967696"/>
          <a:ext cx="3719" cy="7048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553521</xdr:colOff>
      <xdr:row>31</xdr:row>
      <xdr:rowOff>100540</xdr:rowOff>
    </xdr:from>
    <xdr:to>
      <xdr:col>26</xdr:col>
      <xdr:colOff>153471</xdr:colOff>
      <xdr:row>34</xdr:row>
      <xdr:rowOff>62440</xdr:rowOff>
    </xdr:to>
    <xdr:sp macro="" textlink="">
      <xdr:nvSpPr>
        <xdr:cNvPr id="16" name="Rectangle 15"/>
        <xdr:cNvSpPr/>
      </xdr:nvSpPr>
      <xdr:spPr>
        <a:xfrm>
          <a:off x="14671688" y="4672540"/>
          <a:ext cx="1441450" cy="533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FINAL</a:t>
          </a:r>
          <a:r>
            <a:rPr lang="en-US" sz="1100" baseline="0"/>
            <a:t> EVENTS AND LOSS ANALYSIS REPORT</a:t>
          </a:r>
          <a:endParaRPr lang="en-US" sz="1100"/>
        </a:p>
      </xdr:txBody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12</xdr:col>
      <xdr:colOff>284800</xdr:colOff>
      <xdr:row>70</xdr:row>
      <xdr:rowOff>180452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8001000"/>
          <a:ext cx="7600000" cy="4180952"/>
        </a:xfrm>
        <a:prstGeom prst="rect">
          <a:avLst/>
        </a:prstGeom>
      </xdr:spPr>
    </xdr:pic>
    <xdr:clientData/>
  </xdr:twoCellAnchor>
  <xdr:twoCellAnchor>
    <xdr:from>
      <xdr:col>11</xdr:col>
      <xdr:colOff>423333</xdr:colOff>
      <xdr:row>1</xdr:row>
      <xdr:rowOff>0</xdr:rowOff>
    </xdr:from>
    <xdr:to>
      <xdr:col>14</xdr:col>
      <xdr:colOff>582083</xdr:colOff>
      <xdr:row>3</xdr:row>
      <xdr:rowOff>105833</xdr:rowOff>
    </xdr:to>
    <xdr:sp macro="" textlink="">
      <xdr:nvSpPr>
        <xdr:cNvPr id="17" name="Rectangle 16"/>
        <xdr:cNvSpPr/>
      </xdr:nvSpPr>
      <xdr:spPr>
        <a:xfrm>
          <a:off x="7175500" y="190500"/>
          <a:ext cx="2000250" cy="48683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EVENT OCCUR-</a:t>
          </a:r>
          <a:r>
            <a:rPr lang="en-US" sz="1100" baseline="0"/>
            <a:t> MONITORING &amp; DATA COLLECTION</a:t>
          </a:r>
          <a:endParaRPr lang="en-US" sz="1100"/>
        </a:p>
      </xdr:txBody>
    </xdr:sp>
    <xdr:clientData/>
  </xdr:twoCellAnchor>
  <xdr:twoCellAnchor>
    <xdr:from>
      <xdr:col>4</xdr:col>
      <xdr:colOff>349251</xdr:colOff>
      <xdr:row>2</xdr:row>
      <xdr:rowOff>52917</xdr:rowOff>
    </xdr:from>
    <xdr:to>
      <xdr:col>11</xdr:col>
      <xdr:colOff>423333</xdr:colOff>
      <xdr:row>7</xdr:row>
      <xdr:rowOff>21167</xdr:rowOff>
    </xdr:to>
    <xdr:cxnSp macro="">
      <xdr:nvCxnSpPr>
        <xdr:cNvPr id="20" name="Straight Arrow Connector 19"/>
        <xdr:cNvCxnSpPr>
          <a:stCxn id="17" idx="1"/>
        </xdr:cNvCxnSpPr>
      </xdr:nvCxnSpPr>
      <xdr:spPr>
        <a:xfrm flipH="1">
          <a:off x="2804584" y="433917"/>
          <a:ext cx="4370916" cy="9207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195792</xdr:colOff>
      <xdr:row>3</xdr:row>
      <xdr:rowOff>105833</xdr:rowOff>
    </xdr:from>
    <xdr:to>
      <xdr:col>19</xdr:col>
      <xdr:colOff>21167</xdr:colOff>
      <xdr:row>9</xdr:row>
      <xdr:rowOff>10583</xdr:rowOff>
    </xdr:to>
    <xdr:cxnSp macro="">
      <xdr:nvCxnSpPr>
        <xdr:cNvPr id="24" name="Straight Arrow Connector 23"/>
        <xdr:cNvCxnSpPr>
          <a:stCxn id="17" idx="2"/>
        </xdr:cNvCxnSpPr>
      </xdr:nvCxnSpPr>
      <xdr:spPr>
        <a:xfrm>
          <a:off x="8175625" y="677333"/>
          <a:ext cx="3508375" cy="10477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47160</xdr:colOff>
      <xdr:row>17</xdr:row>
      <xdr:rowOff>59531</xdr:rowOff>
    </xdr:from>
    <xdr:to>
      <xdr:col>25</xdr:col>
      <xdr:colOff>59532</xdr:colOff>
      <xdr:row>23</xdr:row>
      <xdr:rowOff>129121</xdr:rowOff>
    </xdr:to>
    <xdr:cxnSp macro="">
      <xdr:nvCxnSpPr>
        <xdr:cNvPr id="28" name="Straight Arrow Connector 27"/>
        <xdr:cNvCxnSpPr>
          <a:endCxn id="13" idx="0"/>
        </xdr:cNvCxnSpPr>
      </xdr:nvCxnSpPr>
      <xdr:spPr>
        <a:xfrm flipH="1">
          <a:off x="15178019" y="3264297"/>
          <a:ext cx="12372" cy="12006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466328</xdr:colOff>
      <xdr:row>24</xdr:row>
      <xdr:rowOff>79375</xdr:rowOff>
    </xdr:from>
    <xdr:to>
      <xdr:col>23</xdr:col>
      <xdr:colOff>357187</xdr:colOff>
      <xdr:row>24</xdr:row>
      <xdr:rowOff>99219</xdr:rowOff>
    </xdr:to>
    <xdr:cxnSp macro="">
      <xdr:nvCxnSpPr>
        <xdr:cNvPr id="30" name="Straight Arrow Connector 29"/>
        <xdr:cNvCxnSpPr/>
      </xdr:nvCxnSpPr>
      <xdr:spPr>
        <a:xfrm flipV="1">
          <a:off x="7123906" y="4603750"/>
          <a:ext cx="7153672" cy="198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261953</xdr:colOff>
      <xdr:row>36</xdr:row>
      <xdr:rowOff>59543</xdr:rowOff>
    </xdr:from>
    <xdr:to>
      <xdr:col>30</xdr:col>
      <xdr:colOff>130983</xdr:colOff>
      <xdr:row>38</xdr:row>
      <xdr:rowOff>59543</xdr:rowOff>
    </xdr:to>
    <xdr:sp macro="" textlink="">
      <xdr:nvSpPr>
        <xdr:cNvPr id="7" name="Rectangle 6"/>
        <xdr:cNvSpPr/>
      </xdr:nvSpPr>
      <xdr:spPr>
        <a:xfrm>
          <a:off x="16656859" y="6917543"/>
          <a:ext cx="1690687" cy="381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PORTFOLIO</a:t>
          </a:r>
          <a:r>
            <a:rPr lang="en-US" sz="1100" baseline="0"/>
            <a:t> ANALYSIS</a:t>
          </a:r>
          <a:endParaRPr lang="en-US" sz="1100"/>
        </a:p>
      </xdr:txBody>
    </xdr:sp>
    <xdr:clientData/>
  </xdr:twoCellAnchor>
  <xdr:twoCellAnchor>
    <xdr:from>
      <xdr:col>28</xdr:col>
      <xdr:colOff>547705</xdr:colOff>
      <xdr:row>39</xdr:row>
      <xdr:rowOff>130977</xdr:rowOff>
    </xdr:from>
    <xdr:to>
      <xdr:col>31</xdr:col>
      <xdr:colOff>261954</xdr:colOff>
      <xdr:row>42</xdr:row>
      <xdr:rowOff>35728</xdr:rowOff>
    </xdr:to>
    <xdr:sp macro="" textlink="">
      <xdr:nvSpPr>
        <xdr:cNvPr id="8" name="Rectangle 7"/>
        <xdr:cNvSpPr/>
      </xdr:nvSpPr>
      <xdr:spPr>
        <a:xfrm>
          <a:off x="17549830" y="7560477"/>
          <a:ext cx="1535905" cy="47625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SUBMIT PORTFOLIO ANALYSIS</a:t>
          </a:r>
        </a:p>
      </xdr:txBody>
    </xdr:sp>
    <xdr:clientData/>
  </xdr:twoCellAnchor>
  <xdr:twoCellAnchor>
    <xdr:from>
      <xdr:col>32</xdr:col>
      <xdr:colOff>45261</xdr:colOff>
      <xdr:row>45</xdr:row>
      <xdr:rowOff>152409</xdr:rowOff>
    </xdr:from>
    <xdr:to>
      <xdr:col>34</xdr:col>
      <xdr:colOff>366728</xdr:colOff>
      <xdr:row>48</xdr:row>
      <xdr:rowOff>57160</xdr:rowOff>
    </xdr:to>
    <xdr:sp macro="" textlink="">
      <xdr:nvSpPr>
        <xdr:cNvPr id="18" name="Rectangle 17"/>
        <xdr:cNvSpPr/>
      </xdr:nvSpPr>
      <xdr:spPr>
        <a:xfrm>
          <a:off x="19476261" y="8724909"/>
          <a:ext cx="1535905" cy="47625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404827</xdr:colOff>
      <xdr:row>43</xdr:row>
      <xdr:rowOff>47635</xdr:rowOff>
    </xdr:from>
    <xdr:to>
      <xdr:col>31</xdr:col>
      <xdr:colOff>392921</xdr:colOff>
      <xdr:row>50</xdr:row>
      <xdr:rowOff>130978</xdr:rowOff>
    </xdr:to>
    <xdr:sp macro="" textlink="">
      <xdr:nvSpPr>
        <xdr:cNvPr id="9" name="Diamond 8"/>
        <xdr:cNvSpPr/>
      </xdr:nvSpPr>
      <xdr:spPr>
        <a:xfrm>
          <a:off x="17406952" y="8239135"/>
          <a:ext cx="1809750" cy="1416843"/>
        </a:xfrm>
        <a:prstGeom prst="diamon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IF EXPOSURE</a:t>
          </a:r>
          <a:r>
            <a:rPr lang="en-US" sz="1100" baseline="0"/>
            <a:t> AVAILABLE</a:t>
          </a:r>
          <a:endParaRPr lang="en-US" sz="1100"/>
        </a:p>
      </xdr:txBody>
    </xdr:sp>
    <xdr:clientData/>
  </xdr:twoCellAnchor>
  <xdr:twoCellAnchor>
    <xdr:from>
      <xdr:col>28</xdr:col>
      <xdr:colOff>531037</xdr:colOff>
      <xdr:row>52</xdr:row>
      <xdr:rowOff>19059</xdr:rowOff>
    </xdr:from>
    <xdr:to>
      <xdr:col>31</xdr:col>
      <xdr:colOff>245286</xdr:colOff>
      <xdr:row>54</xdr:row>
      <xdr:rowOff>114310</xdr:rowOff>
    </xdr:to>
    <xdr:sp macro="" textlink="">
      <xdr:nvSpPr>
        <xdr:cNvPr id="22" name="Rectangle 21"/>
        <xdr:cNvSpPr/>
      </xdr:nvSpPr>
      <xdr:spPr>
        <a:xfrm>
          <a:off x="17533162" y="9925059"/>
          <a:ext cx="1535905" cy="47625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CROWN ANALYSIS</a:t>
          </a:r>
        </a:p>
      </xdr:txBody>
    </xdr:sp>
    <xdr:clientData/>
  </xdr:twoCellAnchor>
  <xdr:twoCellAnchor>
    <xdr:from>
      <xdr:col>28</xdr:col>
      <xdr:colOff>519131</xdr:colOff>
      <xdr:row>56</xdr:row>
      <xdr:rowOff>19059</xdr:rowOff>
    </xdr:from>
    <xdr:to>
      <xdr:col>31</xdr:col>
      <xdr:colOff>233380</xdr:colOff>
      <xdr:row>58</xdr:row>
      <xdr:rowOff>114310</xdr:rowOff>
    </xdr:to>
    <xdr:sp macro="" textlink="">
      <xdr:nvSpPr>
        <xdr:cNvPr id="23" name="Rectangle 22"/>
        <xdr:cNvSpPr/>
      </xdr:nvSpPr>
      <xdr:spPr>
        <a:xfrm>
          <a:off x="17521256" y="10687059"/>
          <a:ext cx="1535905" cy="47625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EXPORT REPORTS</a:t>
          </a:r>
        </a:p>
      </xdr:txBody>
    </xdr:sp>
    <xdr:clientData/>
  </xdr:twoCellAnchor>
  <xdr:twoCellAnchor>
    <xdr:from>
      <xdr:col>25</xdr:col>
      <xdr:colOff>49888</xdr:colOff>
      <xdr:row>34</xdr:row>
      <xdr:rowOff>62439</xdr:rowOff>
    </xdr:from>
    <xdr:to>
      <xdr:col>28</xdr:col>
      <xdr:colOff>519132</xdr:colOff>
      <xdr:row>57</xdr:row>
      <xdr:rowOff>66684</xdr:rowOff>
    </xdr:to>
    <xdr:cxnSp macro="">
      <xdr:nvCxnSpPr>
        <xdr:cNvPr id="12" name="Elbow Connector 11"/>
        <xdr:cNvCxnSpPr>
          <a:stCxn id="16" idx="2"/>
          <a:endCxn id="23" idx="1"/>
        </xdr:cNvCxnSpPr>
      </xdr:nvCxnSpPr>
      <xdr:spPr>
        <a:xfrm rot="16200000" flipH="1">
          <a:off x="14182934" y="7586862"/>
          <a:ext cx="4385745" cy="229090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95264</xdr:colOff>
      <xdr:row>42</xdr:row>
      <xdr:rowOff>35728</xdr:rowOff>
    </xdr:from>
    <xdr:to>
      <xdr:col>30</xdr:col>
      <xdr:colOff>101220</xdr:colOff>
      <xdr:row>43</xdr:row>
      <xdr:rowOff>47635</xdr:rowOff>
    </xdr:to>
    <xdr:cxnSp macro="">
      <xdr:nvCxnSpPr>
        <xdr:cNvPr id="27" name="Straight Arrow Connector 26"/>
        <xdr:cNvCxnSpPr>
          <a:stCxn id="8" idx="2"/>
          <a:endCxn id="9" idx="0"/>
        </xdr:cNvCxnSpPr>
      </xdr:nvCxnSpPr>
      <xdr:spPr>
        <a:xfrm flipH="1">
          <a:off x="18311827" y="8036728"/>
          <a:ext cx="5956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84552</xdr:colOff>
      <xdr:row>50</xdr:row>
      <xdr:rowOff>130978</xdr:rowOff>
    </xdr:from>
    <xdr:to>
      <xdr:col>30</xdr:col>
      <xdr:colOff>95264</xdr:colOff>
      <xdr:row>52</xdr:row>
      <xdr:rowOff>19059</xdr:rowOff>
    </xdr:to>
    <xdr:cxnSp macro="">
      <xdr:nvCxnSpPr>
        <xdr:cNvPr id="31" name="Straight Arrow Connector 30"/>
        <xdr:cNvCxnSpPr>
          <a:stCxn id="9" idx="2"/>
          <a:endCxn id="22" idx="0"/>
        </xdr:cNvCxnSpPr>
      </xdr:nvCxnSpPr>
      <xdr:spPr>
        <a:xfrm flipH="1">
          <a:off x="18301115" y="9655978"/>
          <a:ext cx="10712" cy="2690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72646</xdr:colOff>
      <xdr:row>54</xdr:row>
      <xdr:rowOff>114310</xdr:rowOff>
    </xdr:from>
    <xdr:to>
      <xdr:col>30</xdr:col>
      <xdr:colOff>84552</xdr:colOff>
      <xdr:row>56</xdr:row>
      <xdr:rowOff>19059</xdr:rowOff>
    </xdr:to>
    <xdr:cxnSp macro="">
      <xdr:nvCxnSpPr>
        <xdr:cNvPr id="33" name="Straight Arrow Connector 32"/>
        <xdr:cNvCxnSpPr>
          <a:stCxn id="22" idx="2"/>
          <a:endCxn id="23" idx="0"/>
        </xdr:cNvCxnSpPr>
      </xdr:nvCxnSpPr>
      <xdr:spPr>
        <a:xfrm flipH="1">
          <a:off x="18289209" y="10401310"/>
          <a:ext cx="11906" cy="2857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101220</xdr:colOff>
      <xdr:row>37</xdr:row>
      <xdr:rowOff>59543</xdr:rowOff>
    </xdr:from>
    <xdr:to>
      <xdr:col>30</xdr:col>
      <xdr:colOff>130983</xdr:colOff>
      <xdr:row>39</xdr:row>
      <xdr:rowOff>130977</xdr:rowOff>
    </xdr:to>
    <xdr:cxnSp macro="">
      <xdr:nvCxnSpPr>
        <xdr:cNvPr id="35" name="Elbow Connector 34"/>
        <xdr:cNvCxnSpPr>
          <a:stCxn id="7" idx="3"/>
          <a:endCxn id="8" idx="0"/>
        </xdr:cNvCxnSpPr>
      </xdr:nvCxnSpPr>
      <xdr:spPr>
        <a:xfrm flipH="1">
          <a:off x="18317783" y="7108043"/>
          <a:ext cx="29763" cy="452434"/>
        </a:xfrm>
        <a:prstGeom prst="bentConnector4">
          <a:avLst>
            <a:gd name="adj1" fmla="val -768068"/>
            <a:gd name="adj2" fmla="val 7105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47625</xdr:colOff>
      <xdr:row>34</xdr:row>
      <xdr:rowOff>71438</xdr:rowOff>
    </xdr:from>
    <xdr:to>
      <xdr:col>34</xdr:col>
      <xdr:colOff>464343</xdr:colOff>
      <xdr:row>35</xdr:row>
      <xdr:rowOff>166688</xdr:rowOff>
    </xdr:to>
    <xdr:sp macro="" textlink="">
      <xdr:nvSpPr>
        <xdr:cNvPr id="36" name="TextBox 35"/>
        <xdr:cNvSpPr txBox="1"/>
      </xdr:nvSpPr>
      <xdr:spPr>
        <a:xfrm>
          <a:off x="19478625" y="6548438"/>
          <a:ext cx="1631156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CROWN INTERFACE</a:t>
          </a:r>
        </a:p>
      </xdr:txBody>
    </xdr:sp>
    <xdr:clientData/>
  </xdr:twoCellAnchor>
  <xdr:twoCellAnchor>
    <xdr:from>
      <xdr:col>28</xdr:col>
      <xdr:colOff>321468</xdr:colOff>
      <xdr:row>7</xdr:row>
      <xdr:rowOff>35717</xdr:rowOff>
    </xdr:from>
    <xdr:to>
      <xdr:col>32</xdr:col>
      <xdr:colOff>35719</xdr:colOff>
      <xdr:row>12</xdr:row>
      <xdr:rowOff>178592</xdr:rowOff>
    </xdr:to>
    <xdr:sp macro="" textlink="">
      <xdr:nvSpPr>
        <xdr:cNvPr id="37" name="Rectangle 36"/>
        <xdr:cNvSpPr/>
      </xdr:nvSpPr>
      <xdr:spPr>
        <a:xfrm>
          <a:off x="17323593" y="1369217"/>
          <a:ext cx="2143126" cy="1095375"/>
        </a:xfrm>
        <a:prstGeom prst="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i="1"/>
            <a:t>A</a:t>
          </a:r>
          <a:r>
            <a:rPr lang="en-US" sz="1100" i="1" baseline="0"/>
            <a:t>  separte UI is being created as dashboard for current event response for HU. as it will take a bit more time to actually integrate it as separate module</a:t>
          </a:r>
        </a:p>
      </xdr:txBody>
    </xdr:sp>
    <xdr:clientData/>
  </xdr:twoCellAnchor>
  <xdr:twoCellAnchor>
    <xdr:from>
      <xdr:col>28</xdr:col>
      <xdr:colOff>581024</xdr:colOff>
      <xdr:row>19</xdr:row>
      <xdr:rowOff>9525</xdr:rowOff>
    </xdr:from>
    <xdr:to>
      <xdr:col>31</xdr:col>
      <xdr:colOff>273844</xdr:colOff>
      <xdr:row>22</xdr:row>
      <xdr:rowOff>83345</xdr:rowOff>
    </xdr:to>
    <xdr:sp macro="" textlink="">
      <xdr:nvSpPr>
        <xdr:cNvPr id="38" name="Rectangle 37"/>
        <xdr:cNvSpPr/>
      </xdr:nvSpPr>
      <xdr:spPr>
        <a:xfrm>
          <a:off x="17583149" y="3629025"/>
          <a:ext cx="1514476" cy="6453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UI created for simple visualizatio</a:t>
          </a:r>
          <a:r>
            <a:rPr lang="en-US" sz="1100" baseline="0"/>
            <a:t>n for like events</a:t>
          </a:r>
          <a:endParaRPr lang="en-US" sz="1100"/>
        </a:p>
      </xdr:txBody>
    </xdr:sp>
    <xdr:clientData/>
  </xdr:twoCellAnchor>
  <xdr:twoCellAnchor>
    <xdr:from>
      <xdr:col>29</xdr:col>
      <xdr:colOff>602452</xdr:colOff>
      <xdr:row>25</xdr:row>
      <xdr:rowOff>19048</xdr:rowOff>
    </xdr:from>
    <xdr:to>
      <xdr:col>32</xdr:col>
      <xdr:colOff>190499</xdr:colOff>
      <xdr:row>28</xdr:row>
      <xdr:rowOff>107156</xdr:rowOff>
    </xdr:to>
    <xdr:sp macro="" textlink="">
      <xdr:nvSpPr>
        <xdr:cNvPr id="39" name="Rectangle 38"/>
        <xdr:cNvSpPr/>
      </xdr:nvSpPr>
      <xdr:spPr>
        <a:xfrm>
          <a:off x="18211796" y="4781548"/>
          <a:ext cx="1409703" cy="65960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have the viability to select/</a:t>
          </a:r>
          <a:r>
            <a:rPr lang="en-US" sz="1100" baseline="0"/>
            <a:t> unselect the events from the UI</a:t>
          </a:r>
          <a:endParaRPr lang="en-US" sz="1100"/>
        </a:p>
      </xdr:txBody>
    </xdr:sp>
    <xdr:clientData/>
  </xdr:twoCellAnchor>
  <xdr:twoCellAnchor>
    <xdr:from>
      <xdr:col>34</xdr:col>
      <xdr:colOff>4759</xdr:colOff>
      <xdr:row>18</xdr:row>
      <xdr:rowOff>16666</xdr:rowOff>
    </xdr:from>
    <xdr:to>
      <xdr:col>36</xdr:col>
      <xdr:colOff>183354</xdr:colOff>
      <xdr:row>19</xdr:row>
      <xdr:rowOff>183354</xdr:rowOff>
    </xdr:to>
    <xdr:sp macro="" textlink="">
      <xdr:nvSpPr>
        <xdr:cNvPr id="40" name="Rectangle 39"/>
        <xdr:cNvSpPr/>
      </xdr:nvSpPr>
      <xdr:spPr>
        <a:xfrm>
          <a:off x="20650197" y="3445666"/>
          <a:ext cx="1393032" cy="35718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478622</xdr:colOff>
      <xdr:row>18</xdr:row>
      <xdr:rowOff>14284</xdr:rowOff>
    </xdr:from>
    <xdr:to>
      <xdr:col>39</xdr:col>
      <xdr:colOff>49998</xdr:colOff>
      <xdr:row>19</xdr:row>
      <xdr:rowOff>180972</xdr:rowOff>
    </xdr:to>
    <xdr:sp macro="" textlink="">
      <xdr:nvSpPr>
        <xdr:cNvPr id="41" name="Rectangle 40"/>
        <xdr:cNvSpPr/>
      </xdr:nvSpPr>
      <xdr:spPr>
        <a:xfrm>
          <a:off x="22338497" y="3443284"/>
          <a:ext cx="1393032" cy="35718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416704</xdr:colOff>
      <xdr:row>18</xdr:row>
      <xdr:rowOff>11906</xdr:rowOff>
    </xdr:from>
    <xdr:to>
      <xdr:col>41</xdr:col>
      <xdr:colOff>595298</xdr:colOff>
      <xdr:row>19</xdr:row>
      <xdr:rowOff>178594</xdr:rowOff>
    </xdr:to>
    <xdr:sp macro="" textlink="">
      <xdr:nvSpPr>
        <xdr:cNvPr id="42" name="Rectangle 41"/>
        <xdr:cNvSpPr/>
      </xdr:nvSpPr>
      <xdr:spPr>
        <a:xfrm>
          <a:off x="24098235" y="3440906"/>
          <a:ext cx="1393032" cy="35718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416719</xdr:colOff>
      <xdr:row>18</xdr:row>
      <xdr:rowOff>0</xdr:rowOff>
    </xdr:from>
    <xdr:to>
      <xdr:col>28</xdr:col>
      <xdr:colOff>595312</xdr:colOff>
      <xdr:row>19</xdr:row>
      <xdr:rowOff>119065</xdr:rowOff>
    </xdr:to>
    <xdr:cxnSp macro="">
      <xdr:nvCxnSpPr>
        <xdr:cNvPr id="25" name="Straight Connector 24"/>
        <xdr:cNvCxnSpPr/>
      </xdr:nvCxnSpPr>
      <xdr:spPr>
        <a:xfrm>
          <a:off x="7096125" y="3429000"/>
          <a:ext cx="10501312" cy="309565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335489</xdr:colOff>
      <xdr:row>22</xdr:row>
      <xdr:rowOff>83345</xdr:rowOff>
    </xdr:from>
    <xdr:to>
      <xdr:col>30</xdr:col>
      <xdr:colOff>123824</xdr:colOff>
      <xdr:row>25</xdr:row>
      <xdr:rowOff>143409</xdr:rowOff>
    </xdr:to>
    <xdr:cxnSp macro="">
      <xdr:nvCxnSpPr>
        <xdr:cNvPr id="32" name="Elbow Connector 31"/>
        <xdr:cNvCxnSpPr>
          <a:stCxn id="38" idx="2"/>
          <a:endCxn id="13" idx="3"/>
        </xdr:cNvCxnSpPr>
      </xdr:nvCxnSpPr>
      <xdr:spPr>
        <a:xfrm rot="5400000">
          <a:off x="16916000" y="3481522"/>
          <a:ext cx="631564" cy="2217210"/>
        </a:xfrm>
        <a:prstGeom prst="bentConnector2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4"/>
  <sheetViews>
    <sheetView topLeftCell="A58" workbookViewId="0">
      <selection activeCell="F63" sqref="F63"/>
    </sheetView>
  </sheetViews>
  <sheetFormatPr defaultRowHeight="15" x14ac:dyDescent="0.25"/>
  <cols>
    <col min="1" max="1" width="13.85546875" customWidth="1"/>
    <col min="2" max="2" width="24.42578125" customWidth="1"/>
    <col min="3" max="3" width="29" customWidth="1"/>
    <col min="9" max="9" width="22" customWidth="1"/>
  </cols>
  <sheetData>
    <row r="2" spans="1:10" x14ac:dyDescent="0.25">
      <c r="A2" s="1" t="s">
        <v>15</v>
      </c>
    </row>
    <row r="4" spans="1:10" x14ac:dyDescent="0.25">
      <c r="A4" t="s">
        <v>38</v>
      </c>
    </row>
    <row r="5" spans="1:10" x14ac:dyDescent="0.25">
      <c r="A5" t="s">
        <v>39</v>
      </c>
      <c r="B5" t="s">
        <v>40</v>
      </c>
    </row>
    <row r="6" spans="1:10" x14ac:dyDescent="0.25">
      <c r="A6" t="s">
        <v>16</v>
      </c>
      <c r="B6" t="s">
        <v>21</v>
      </c>
    </row>
    <row r="7" spans="1:10" x14ac:dyDescent="0.25">
      <c r="B7" t="s">
        <v>20</v>
      </c>
    </row>
    <row r="8" spans="1:10" x14ac:dyDescent="0.25">
      <c r="A8" t="s">
        <v>17</v>
      </c>
      <c r="B8" t="s">
        <v>22</v>
      </c>
      <c r="C8" t="s">
        <v>24</v>
      </c>
    </row>
    <row r="9" spans="1:10" x14ac:dyDescent="0.25">
      <c r="B9" t="s">
        <v>23</v>
      </c>
    </row>
    <row r="10" spans="1:10" x14ac:dyDescent="0.25">
      <c r="A10" t="s">
        <v>18</v>
      </c>
      <c r="B10" t="s">
        <v>34</v>
      </c>
    </row>
    <row r="11" spans="1:10" s="3" customFormat="1" x14ac:dyDescent="0.25">
      <c r="A11" s="3" t="s">
        <v>33</v>
      </c>
      <c r="J11" s="3" t="s">
        <v>32</v>
      </c>
    </row>
    <row r="12" spans="1:10" x14ac:dyDescent="0.25">
      <c r="A12" s="1" t="s">
        <v>3</v>
      </c>
    </row>
    <row r="13" spans="1:10" x14ac:dyDescent="0.25">
      <c r="A13" t="s">
        <v>0</v>
      </c>
      <c r="I13" s="9" t="s">
        <v>65</v>
      </c>
      <c r="J13" s="2" t="s">
        <v>9</v>
      </c>
    </row>
    <row r="14" spans="1:10" x14ac:dyDescent="0.25">
      <c r="J14" s="2" t="s">
        <v>10</v>
      </c>
    </row>
    <row r="15" spans="1:10" x14ac:dyDescent="0.25">
      <c r="A15" t="s">
        <v>1</v>
      </c>
      <c r="I15" s="9" t="s">
        <v>65</v>
      </c>
      <c r="J15" s="2" t="s">
        <v>66</v>
      </c>
    </row>
    <row r="17" spans="1:10" x14ac:dyDescent="0.25">
      <c r="A17" t="s">
        <v>2</v>
      </c>
      <c r="I17" s="9" t="s">
        <v>65</v>
      </c>
    </row>
    <row r="19" spans="1:10" x14ac:dyDescent="0.25">
      <c r="A19" s="1" t="s">
        <v>4</v>
      </c>
    </row>
    <row r="21" spans="1:10" x14ac:dyDescent="0.25">
      <c r="A21" t="s">
        <v>5</v>
      </c>
      <c r="B21" t="s">
        <v>41</v>
      </c>
      <c r="I21" s="9" t="s">
        <v>65</v>
      </c>
      <c r="J21" s="2" t="s">
        <v>14</v>
      </c>
    </row>
    <row r="22" spans="1:10" x14ac:dyDescent="0.25">
      <c r="B22" s="2"/>
      <c r="J22" t="s">
        <v>25</v>
      </c>
    </row>
    <row r="23" spans="1:10" x14ac:dyDescent="0.25">
      <c r="A23" t="s">
        <v>6</v>
      </c>
      <c r="B23" t="s">
        <v>7</v>
      </c>
      <c r="C23" t="s">
        <v>8</v>
      </c>
    </row>
    <row r="25" spans="1:10" x14ac:dyDescent="0.25">
      <c r="A25" t="s">
        <v>12</v>
      </c>
      <c r="I25" s="9" t="s">
        <v>65</v>
      </c>
      <c r="J25" s="2" t="s">
        <v>35</v>
      </c>
    </row>
    <row r="26" spans="1:10" x14ac:dyDescent="0.25">
      <c r="A26" t="s">
        <v>11</v>
      </c>
      <c r="I26" s="9" t="s">
        <v>65</v>
      </c>
      <c r="J26" s="2" t="s">
        <v>42</v>
      </c>
    </row>
    <row r="28" spans="1:10" x14ac:dyDescent="0.25">
      <c r="A28" s="1" t="s">
        <v>13</v>
      </c>
    </row>
    <row r="30" spans="1:10" x14ac:dyDescent="0.25">
      <c r="A30" t="s">
        <v>26</v>
      </c>
    </row>
    <row r="32" spans="1:10" x14ac:dyDescent="0.25">
      <c r="A32" t="s">
        <v>31</v>
      </c>
    </row>
    <row r="33" spans="1:11" x14ac:dyDescent="0.25">
      <c r="B33" s="2" t="s">
        <v>27</v>
      </c>
    </row>
    <row r="34" spans="1:11" x14ac:dyDescent="0.25">
      <c r="B34" t="s">
        <v>28</v>
      </c>
    </row>
    <row r="35" spans="1:11" x14ac:dyDescent="0.25">
      <c r="B35" t="s">
        <v>29</v>
      </c>
    </row>
    <row r="36" spans="1:11" x14ac:dyDescent="0.25">
      <c r="B36" t="s">
        <v>30</v>
      </c>
    </row>
    <row r="38" spans="1:11" s="4" customFormat="1" x14ac:dyDescent="0.25">
      <c r="A38" s="3" t="s">
        <v>43</v>
      </c>
    </row>
    <row r="40" spans="1:11" x14ac:dyDescent="0.25">
      <c r="A40" t="s">
        <v>60</v>
      </c>
    </row>
    <row r="42" spans="1:11" x14ac:dyDescent="0.25">
      <c r="A42">
        <v>1</v>
      </c>
      <c r="B42" t="s">
        <v>61</v>
      </c>
      <c r="C42" t="s">
        <v>62</v>
      </c>
      <c r="I42" s="9" t="s">
        <v>65</v>
      </c>
      <c r="J42" s="2" t="s">
        <v>63</v>
      </c>
    </row>
    <row r="43" spans="1:11" x14ac:dyDescent="0.25">
      <c r="C43" t="s">
        <v>46</v>
      </c>
      <c r="I43" s="9" t="s">
        <v>65</v>
      </c>
      <c r="J43" s="7" t="s">
        <v>47</v>
      </c>
      <c r="K43" s="8" t="s">
        <v>64</v>
      </c>
    </row>
    <row r="45" spans="1:11" x14ac:dyDescent="0.25">
      <c r="A45">
        <v>2</v>
      </c>
      <c r="B45" t="s">
        <v>67</v>
      </c>
      <c r="C45" t="s">
        <v>68</v>
      </c>
    </row>
    <row r="46" spans="1:11" x14ac:dyDescent="0.25">
      <c r="C46" t="s">
        <v>69</v>
      </c>
    </row>
    <row r="47" spans="1:11" x14ac:dyDescent="0.25">
      <c r="C47" t="s">
        <v>48</v>
      </c>
      <c r="E47" s="5" t="s">
        <v>49</v>
      </c>
      <c r="I47" t="s">
        <v>70</v>
      </c>
      <c r="J47" s="2" t="s">
        <v>71</v>
      </c>
    </row>
    <row r="48" spans="1:11" x14ac:dyDescent="0.25">
      <c r="C48" t="s">
        <v>50</v>
      </c>
      <c r="D48" t="s">
        <v>51</v>
      </c>
      <c r="I48" t="s">
        <v>76</v>
      </c>
      <c r="J48" t="s">
        <v>72</v>
      </c>
      <c r="K48" t="s">
        <v>73</v>
      </c>
    </row>
    <row r="49" spans="1:10" x14ac:dyDescent="0.25">
      <c r="D49" t="s">
        <v>52</v>
      </c>
      <c r="I49" t="s">
        <v>76</v>
      </c>
    </row>
    <row r="50" spans="1:10" x14ac:dyDescent="0.25">
      <c r="C50" t="s">
        <v>53</v>
      </c>
      <c r="E50" s="5" t="s">
        <v>49</v>
      </c>
      <c r="F50" s="5" t="s">
        <v>54</v>
      </c>
      <c r="I50" t="s">
        <v>75</v>
      </c>
      <c r="J50" t="s">
        <v>88</v>
      </c>
    </row>
    <row r="51" spans="1:10" x14ac:dyDescent="0.25">
      <c r="C51" t="s">
        <v>55</v>
      </c>
      <c r="D51" t="s">
        <v>56</v>
      </c>
      <c r="I51" t="s">
        <v>65</v>
      </c>
      <c r="J51" t="s">
        <v>74</v>
      </c>
    </row>
    <row r="52" spans="1:10" ht="105" x14ac:dyDescent="0.25">
      <c r="D52" s="6" t="s">
        <v>57</v>
      </c>
    </row>
    <row r="53" spans="1:10" x14ac:dyDescent="0.25">
      <c r="C53" t="s">
        <v>58</v>
      </c>
      <c r="I53" t="s">
        <v>75</v>
      </c>
    </row>
    <row r="54" spans="1:10" x14ac:dyDescent="0.25">
      <c r="C54" t="s">
        <v>59</v>
      </c>
      <c r="I54" t="s">
        <v>75</v>
      </c>
    </row>
    <row r="55" spans="1:10" x14ac:dyDescent="0.25">
      <c r="A55">
        <v>3</v>
      </c>
      <c r="B55" t="s">
        <v>44</v>
      </c>
      <c r="C55" t="s">
        <v>45</v>
      </c>
      <c r="I55" t="s">
        <v>76</v>
      </c>
    </row>
    <row r="56" spans="1:10" x14ac:dyDescent="0.25">
      <c r="C56" t="s">
        <v>87</v>
      </c>
    </row>
    <row r="58" spans="1:10" s="4" customFormat="1" x14ac:dyDescent="0.25"/>
    <row r="59" spans="1:10" s="41" customFormat="1" x14ac:dyDescent="0.25">
      <c r="A59" s="41" t="s">
        <v>242</v>
      </c>
      <c r="D59" s="7" t="s">
        <v>245</v>
      </c>
    </row>
    <row r="60" spans="1:10" x14ac:dyDescent="0.25">
      <c r="A60" t="s">
        <v>243</v>
      </c>
    </row>
    <row r="62" spans="1:10" x14ac:dyDescent="0.25">
      <c r="A62" t="s">
        <v>230</v>
      </c>
      <c r="C62" s="2" t="s">
        <v>231</v>
      </c>
    </row>
    <row r="63" spans="1:10" ht="16.5" x14ac:dyDescent="0.25">
      <c r="B63" t="s">
        <v>244</v>
      </c>
      <c r="I63" s="40"/>
    </row>
    <row r="64" spans="1:10" x14ac:dyDescent="0.25">
      <c r="B64" t="s">
        <v>232</v>
      </c>
    </row>
    <row r="65" spans="1:7" x14ac:dyDescent="0.25">
      <c r="B65" t="s">
        <v>233</v>
      </c>
      <c r="G65" t="s">
        <v>234</v>
      </c>
    </row>
    <row r="66" spans="1:7" x14ac:dyDescent="0.25">
      <c r="B66" t="s">
        <v>235</v>
      </c>
      <c r="D66" t="s">
        <v>236</v>
      </c>
    </row>
    <row r="67" spans="1:7" ht="16.5" x14ac:dyDescent="0.25">
      <c r="B67" s="40"/>
    </row>
    <row r="68" spans="1:7" x14ac:dyDescent="0.25">
      <c r="A68" t="s">
        <v>237</v>
      </c>
    </row>
    <row r="69" spans="1:7" x14ac:dyDescent="0.25">
      <c r="B69" t="s">
        <v>238</v>
      </c>
    </row>
    <row r="72" spans="1:7" x14ac:dyDescent="0.25">
      <c r="A72" t="s">
        <v>239</v>
      </c>
    </row>
    <row r="73" spans="1:7" x14ac:dyDescent="0.25">
      <c r="B73" t="s">
        <v>240</v>
      </c>
    </row>
    <row r="74" spans="1:7" x14ac:dyDescent="0.25">
      <c r="B74" t="s">
        <v>241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4"/>
  <sheetViews>
    <sheetView topLeftCell="A52" workbookViewId="0">
      <selection activeCell="J45" sqref="J45"/>
    </sheetView>
  </sheetViews>
  <sheetFormatPr defaultRowHeight="15" x14ac:dyDescent="0.25"/>
  <cols>
    <col min="1" max="1" width="18.28515625" customWidth="1"/>
  </cols>
  <sheetData>
    <row r="1" spans="11:31" ht="15.75" thickBot="1" x14ac:dyDescent="0.3"/>
    <row r="2" spans="11:31" ht="15.75" thickBot="1" x14ac:dyDescent="0.3">
      <c r="K2" s="1" t="s">
        <v>168</v>
      </c>
      <c r="Z2" s="48" t="s">
        <v>169</v>
      </c>
      <c r="AA2" s="49"/>
      <c r="AB2" s="50"/>
      <c r="AC2" s="48" t="s">
        <v>170</v>
      </c>
      <c r="AD2" s="49"/>
      <c r="AE2" s="50"/>
    </row>
    <row r="3" spans="11:31" ht="15.75" thickBot="1" x14ac:dyDescent="0.3">
      <c r="K3" t="s">
        <v>171</v>
      </c>
      <c r="X3" s="48" t="s">
        <v>172</v>
      </c>
      <c r="Y3" s="50"/>
      <c r="Z3" s="20" t="s">
        <v>173</v>
      </c>
      <c r="AA3" s="21" t="s">
        <v>174</v>
      </c>
      <c r="AB3" s="22" t="s">
        <v>175</v>
      </c>
      <c r="AC3" s="20" t="s">
        <v>173</v>
      </c>
      <c r="AD3" s="21" t="s">
        <v>174</v>
      </c>
      <c r="AE3" s="22" t="s">
        <v>175</v>
      </c>
    </row>
    <row r="4" spans="11:31" ht="15.75" thickBot="1" x14ac:dyDescent="0.3">
      <c r="L4" t="s">
        <v>176</v>
      </c>
      <c r="X4" s="51" t="s">
        <v>177</v>
      </c>
      <c r="Y4" s="52"/>
      <c r="Z4" s="23"/>
      <c r="AA4" s="23"/>
      <c r="AB4" s="23"/>
      <c r="AC4" s="23"/>
      <c r="AD4" s="23"/>
      <c r="AE4" s="24"/>
    </row>
    <row r="5" spans="11:31" x14ac:dyDescent="0.25">
      <c r="L5" t="s">
        <v>178</v>
      </c>
      <c r="X5" s="44" t="s">
        <v>179</v>
      </c>
      <c r="Y5" s="53"/>
      <c r="Z5" s="25" t="s">
        <v>180</v>
      </c>
      <c r="AA5" s="25" t="s">
        <v>180</v>
      </c>
      <c r="AB5" s="26"/>
      <c r="AC5" s="25" t="s">
        <v>180</v>
      </c>
      <c r="AD5" s="25" t="s">
        <v>180</v>
      </c>
      <c r="AE5" s="27"/>
    </row>
    <row r="6" spans="11:31" x14ac:dyDescent="0.25">
      <c r="L6" t="s">
        <v>181</v>
      </c>
      <c r="X6" s="54"/>
      <c r="Y6" s="55"/>
      <c r="Z6" s="28" t="s">
        <v>182</v>
      </c>
      <c r="AA6" s="28" t="s">
        <v>182</v>
      </c>
      <c r="AB6" s="29" t="s">
        <v>183</v>
      </c>
      <c r="AC6" s="28" t="s">
        <v>184</v>
      </c>
      <c r="AD6" s="28" t="s">
        <v>184</v>
      </c>
      <c r="AE6" s="30"/>
    </row>
    <row r="7" spans="11:31" ht="15.75" thickBot="1" x14ac:dyDescent="0.3">
      <c r="X7" s="46"/>
      <c r="Y7" s="56"/>
      <c r="Z7" s="31" t="s">
        <v>184</v>
      </c>
      <c r="AA7" s="31" t="s">
        <v>184</v>
      </c>
      <c r="AB7" s="32"/>
      <c r="AC7" s="33"/>
      <c r="AD7" s="33"/>
      <c r="AE7" s="34"/>
    </row>
    <row r="8" spans="11:31" x14ac:dyDescent="0.25">
      <c r="K8" t="s">
        <v>185</v>
      </c>
      <c r="X8" s="44" t="s">
        <v>186</v>
      </c>
      <c r="Y8" s="53"/>
      <c r="Z8" s="25" t="s">
        <v>180</v>
      </c>
      <c r="AA8" s="25" t="s">
        <v>180</v>
      </c>
      <c r="AB8" s="26"/>
      <c r="AC8" s="25" t="s">
        <v>180</v>
      </c>
      <c r="AD8" s="25" t="s">
        <v>180</v>
      </c>
      <c r="AE8" s="27"/>
    </row>
    <row r="9" spans="11:31" x14ac:dyDescent="0.25">
      <c r="L9" t="s">
        <v>187</v>
      </c>
      <c r="X9" s="54"/>
      <c r="Y9" s="55"/>
      <c r="Z9" s="28" t="s">
        <v>182</v>
      </c>
      <c r="AA9" s="28" t="s">
        <v>182</v>
      </c>
      <c r="AB9" s="29" t="s">
        <v>183</v>
      </c>
      <c r="AC9" s="28" t="s">
        <v>184</v>
      </c>
      <c r="AD9" s="28" t="s">
        <v>184</v>
      </c>
      <c r="AE9" s="30"/>
    </row>
    <row r="10" spans="11:31" ht="15.75" thickBot="1" x14ac:dyDescent="0.3">
      <c r="L10" t="s">
        <v>188</v>
      </c>
      <c r="X10" s="46"/>
      <c r="Y10" s="56"/>
      <c r="Z10" s="33" t="s">
        <v>184</v>
      </c>
      <c r="AA10" s="33" t="s">
        <v>184</v>
      </c>
      <c r="AB10" s="35"/>
      <c r="AC10" s="33"/>
      <c r="AD10" s="33"/>
      <c r="AE10" s="34"/>
    </row>
    <row r="11" spans="11:31" x14ac:dyDescent="0.25">
      <c r="L11" t="s">
        <v>189</v>
      </c>
      <c r="X11" s="44" t="s">
        <v>190</v>
      </c>
      <c r="Y11" s="45"/>
      <c r="Z11" s="36" t="s">
        <v>183</v>
      </c>
      <c r="AA11" s="36" t="s">
        <v>183</v>
      </c>
      <c r="AB11" s="37" t="s">
        <v>191</v>
      </c>
      <c r="AC11" s="36"/>
      <c r="AD11" s="36"/>
      <c r="AE11" s="37" t="s">
        <v>191</v>
      </c>
    </row>
    <row r="12" spans="11:31" ht="15.75" thickBot="1" x14ac:dyDescent="0.3">
      <c r="X12" s="46"/>
      <c r="Y12" s="47"/>
      <c r="Z12" s="38"/>
      <c r="AA12" s="38"/>
      <c r="AB12" s="39"/>
      <c r="AC12" s="38"/>
      <c r="AD12" s="38"/>
      <c r="AE12" s="39"/>
    </row>
    <row r="13" spans="11:31" x14ac:dyDescent="0.25">
      <c r="K13" t="s">
        <v>192</v>
      </c>
    </row>
    <row r="14" spans="11:31" x14ac:dyDescent="0.25">
      <c r="L14" t="s">
        <v>193</v>
      </c>
    </row>
    <row r="15" spans="11:31" x14ac:dyDescent="0.25">
      <c r="L15" t="s">
        <v>194</v>
      </c>
    </row>
    <row r="17" spans="1:18" x14ac:dyDescent="0.25">
      <c r="K17" s="1" t="s">
        <v>195</v>
      </c>
    </row>
    <row r="18" spans="1:18" x14ac:dyDescent="0.25">
      <c r="K18" t="s">
        <v>196</v>
      </c>
    </row>
    <row r="19" spans="1:18" x14ac:dyDescent="0.25">
      <c r="K19" t="s">
        <v>197</v>
      </c>
    </row>
    <row r="20" spans="1:18" x14ac:dyDescent="0.25">
      <c r="L20" t="s">
        <v>198</v>
      </c>
    </row>
    <row r="21" spans="1:18" x14ac:dyDescent="0.25">
      <c r="B21" s="1"/>
      <c r="M21" t="s">
        <v>199</v>
      </c>
    </row>
    <row r="22" spans="1:18" x14ac:dyDescent="0.25">
      <c r="N22" t="s">
        <v>200</v>
      </c>
    </row>
    <row r="23" spans="1:18" x14ac:dyDescent="0.25">
      <c r="O23" t="s">
        <v>201</v>
      </c>
    </row>
    <row r="24" spans="1:18" x14ac:dyDescent="0.25">
      <c r="D24" s="2" t="s">
        <v>202</v>
      </c>
    </row>
    <row r="28" spans="1:18" x14ac:dyDescent="0.25">
      <c r="A28" s="1" t="s">
        <v>203</v>
      </c>
      <c r="F28" s="1" t="s">
        <v>204</v>
      </c>
      <c r="L28" s="1" t="s">
        <v>205</v>
      </c>
      <c r="R28" s="1" t="s">
        <v>206</v>
      </c>
    </row>
    <row r="29" spans="1:18" x14ac:dyDescent="0.25">
      <c r="A29" t="s">
        <v>207</v>
      </c>
      <c r="G29" s="9" t="s">
        <v>208</v>
      </c>
      <c r="M29" t="s">
        <v>209</v>
      </c>
      <c r="N29" t="s">
        <v>179</v>
      </c>
      <c r="O29" t="s">
        <v>190</v>
      </c>
      <c r="P29" t="s">
        <v>210</v>
      </c>
      <c r="R29" t="s">
        <v>211</v>
      </c>
    </row>
    <row r="30" spans="1:18" x14ac:dyDescent="0.25">
      <c r="A30" t="s">
        <v>212</v>
      </c>
      <c r="G30" t="s">
        <v>209</v>
      </c>
      <c r="H30" t="s">
        <v>179</v>
      </c>
      <c r="I30" t="s">
        <v>190</v>
      </c>
      <c r="J30" t="s">
        <v>210</v>
      </c>
      <c r="L30" t="s">
        <v>213</v>
      </c>
      <c r="R30" t="s">
        <v>214</v>
      </c>
    </row>
    <row r="31" spans="1:18" x14ac:dyDescent="0.25">
      <c r="A31" t="s">
        <v>215</v>
      </c>
      <c r="F31" t="s">
        <v>216</v>
      </c>
      <c r="H31" t="s">
        <v>217</v>
      </c>
      <c r="L31" t="s">
        <v>218</v>
      </c>
      <c r="R31" t="s">
        <v>219</v>
      </c>
    </row>
    <row r="32" spans="1:18" x14ac:dyDescent="0.25">
      <c r="A32" t="s">
        <v>220</v>
      </c>
      <c r="F32" t="s">
        <v>221</v>
      </c>
      <c r="G32" t="s">
        <v>217</v>
      </c>
      <c r="H32" t="s">
        <v>217</v>
      </c>
      <c r="L32" t="s">
        <v>222</v>
      </c>
      <c r="R32" t="s">
        <v>223</v>
      </c>
    </row>
    <row r="33" spans="1:20" x14ac:dyDescent="0.25">
      <c r="A33" t="s">
        <v>224</v>
      </c>
      <c r="F33" t="s">
        <v>225</v>
      </c>
      <c r="G33" t="s">
        <v>217</v>
      </c>
      <c r="H33" t="s">
        <v>217</v>
      </c>
      <c r="I33" t="s">
        <v>217</v>
      </c>
      <c r="L33" t="s">
        <v>226</v>
      </c>
    </row>
    <row r="34" spans="1:20" x14ac:dyDescent="0.25">
      <c r="L34" t="s">
        <v>227</v>
      </c>
      <c r="R34" t="s">
        <v>228</v>
      </c>
    </row>
    <row r="37" spans="1:20" x14ac:dyDescent="0.25">
      <c r="J37" s="42" t="s">
        <v>102</v>
      </c>
      <c r="K37" s="42"/>
      <c r="L37" s="42"/>
      <c r="M37" s="42"/>
      <c r="N37" s="42"/>
      <c r="O37" s="42"/>
      <c r="P37" s="42"/>
      <c r="Q37" s="42"/>
      <c r="R37" s="42"/>
      <c r="S37" s="43" t="s">
        <v>19</v>
      </c>
      <c r="T37" s="43"/>
    </row>
    <row r="38" spans="1:20" x14ac:dyDescent="0.25">
      <c r="A38" s="15" t="s">
        <v>103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6"/>
      <c r="T38" s="16"/>
    </row>
    <row r="39" spans="1:20" x14ac:dyDescent="0.25">
      <c r="A39" s="5" t="s">
        <v>104</v>
      </c>
      <c r="B39" s="1" t="s">
        <v>105</v>
      </c>
      <c r="C39" s="12" t="s">
        <v>106</v>
      </c>
      <c r="D39" s="12"/>
      <c r="E39" s="12"/>
      <c r="F39" s="12"/>
      <c r="G39" s="12"/>
      <c r="H39" s="12"/>
      <c r="I39" s="12"/>
      <c r="J39" s="12" t="s">
        <v>107</v>
      </c>
      <c r="K39" s="12" t="s">
        <v>108</v>
      </c>
      <c r="L39" s="12" t="s">
        <v>109</v>
      </c>
      <c r="M39" s="12" t="s">
        <v>110</v>
      </c>
      <c r="N39" s="12" t="s">
        <v>111</v>
      </c>
      <c r="O39" s="12"/>
      <c r="P39" s="12" t="s">
        <v>112</v>
      </c>
      <c r="Q39" s="12" t="s">
        <v>113</v>
      </c>
      <c r="R39" s="12" t="s">
        <v>39</v>
      </c>
      <c r="S39" s="16"/>
      <c r="T39" s="16"/>
    </row>
    <row r="40" spans="1:20" x14ac:dyDescent="0.25">
      <c r="A40" s="5"/>
      <c r="J40" s="11"/>
      <c r="K40" s="11"/>
      <c r="L40" s="11"/>
      <c r="M40" s="11"/>
      <c r="N40" s="11"/>
      <c r="O40" s="11"/>
      <c r="P40" s="11"/>
      <c r="Q40" s="11"/>
      <c r="R40" s="11"/>
      <c r="S40" s="16"/>
      <c r="T40" s="16"/>
    </row>
    <row r="41" spans="1:20" x14ac:dyDescent="0.25">
      <c r="A41" s="5" t="s">
        <v>114</v>
      </c>
      <c r="B41" t="s">
        <v>115</v>
      </c>
      <c r="F41" t="s">
        <v>116</v>
      </c>
      <c r="J41" s="11" t="s">
        <v>16</v>
      </c>
      <c r="K41" s="11" t="s">
        <v>117</v>
      </c>
      <c r="L41" s="11" t="s">
        <v>16</v>
      </c>
      <c r="M41" s="11" t="s">
        <v>118</v>
      </c>
      <c r="N41" s="11" t="s">
        <v>119</v>
      </c>
      <c r="O41" s="11"/>
      <c r="P41" s="11" t="s">
        <v>120</v>
      </c>
      <c r="Q41" s="11" t="s">
        <v>121</v>
      </c>
      <c r="R41" s="11" t="s">
        <v>122</v>
      </c>
      <c r="S41" s="16"/>
      <c r="T41" s="16"/>
    </row>
    <row r="42" spans="1:20" x14ac:dyDescent="0.25">
      <c r="A42" s="5" t="s">
        <v>123</v>
      </c>
      <c r="B42" t="s">
        <v>124</v>
      </c>
      <c r="G42" t="s">
        <v>125</v>
      </c>
      <c r="J42" s="11"/>
      <c r="K42" s="11" t="s">
        <v>126</v>
      </c>
      <c r="L42" s="11" t="s">
        <v>127</v>
      </c>
      <c r="M42" s="11"/>
      <c r="N42" s="11"/>
      <c r="O42" s="11"/>
      <c r="P42" s="11"/>
      <c r="Q42" s="11"/>
      <c r="R42" s="11"/>
      <c r="S42" s="16"/>
      <c r="T42" s="16"/>
    </row>
    <row r="43" spans="1:20" x14ac:dyDescent="0.25">
      <c r="A43" s="5"/>
      <c r="B43" s="2" t="s">
        <v>128</v>
      </c>
      <c r="G43" t="s">
        <v>129</v>
      </c>
      <c r="J43" s="11"/>
      <c r="K43" s="11"/>
      <c r="L43" s="11"/>
      <c r="M43" s="11"/>
      <c r="N43" s="11"/>
      <c r="O43" s="11"/>
      <c r="P43" s="11"/>
      <c r="Q43" s="11"/>
      <c r="R43" s="11"/>
      <c r="S43" s="16"/>
      <c r="T43" s="16"/>
    </row>
    <row r="44" spans="1:20" x14ac:dyDescent="0.25">
      <c r="A44" s="5"/>
      <c r="J44" s="11"/>
      <c r="K44" s="11"/>
      <c r="L44" s="11"/>
      <c r="M44" s="11"/>
      <c r="N44" s="11"/>
      <c r="O44" s="11"/>
      <c r="P44" s="11"/>
      <c r="Q44" s="11"/>
      <c r="R44" s="11"/>
      <c r="S44" s="16"/>
      <c r="T44" s="16"/>
    </row>
    <row r="45" spans="1:20" x14ac:dyDescent="0.25">
      <c r="A45" s="5"/>
      <c r="F45" t="s">
        <v>130</v>
      </c>
      <c r="J45" s="11"/>
      <c r="K45" s="11"/>
      <c r="L45" s="11"/>
      <c r="M45" s="11"/>
      <c r="N45" s="11"/>
      <c r="O45" s="11"/>
      <c r="P45" s="11"/>
      <c r="Q45" s="11"/>
      <c r="R45" s="11"/>
      <c r="S45" s="16"/>
      <c r="T45" s="16"/>
    </row>
    <row r="46" spans="1:20" x14ac:dyDescent="0.25">
      <c r="A46" s="5"/>
      <c r="C46" s="2" t="s">
        <v>131</v>
      </c>
      <c r="G46" s="2" t="s">
        <v>132</v>
      </c>
      <c r="J46" s="11"/>
      <c r="K46" s="11"/>
      <c r="L46" s="11"/>
      <c r="M46" s="11"/>
      <c r="N46" s="11"/>
      <c r="O46" s="11"/>
      <c r="P46" s="11"/>
      <c r="Q46" s="11"/>
      <c r="R46" s="11"/>
      <c r="S46" s="16" t="s">
        <v>133</v>
      </c>
      <c r="T46" s="16"/>
    </row>
    <row r="47" spans="1:20" x14ac:dyDescent="0.25">
      <c r="A47" s="5"/>
      <c r="G47" t="s">
        <v>134</v>
      </c>
      <c r="J47" s="11"/>
      <c r="K47" s="11"/>
      <c r="L47" s="11"/>
      <c r="M47" s="11"/>
      <c r="N47" s="11"/>
      <c r="O47" s="11"/>
      <c r="P47" s="11"/>
      <c r="Q47" s="11"/>
      <c r="R47" s="11"/>
      <c r="S47" s="16" t="s">
        <v>48</v>
      </c>
      <c r="T47" s="16"/>
    </row>
    <row r="48" spans="1:20" x14ac:dyDescent="0.25">
      <c r="A48" s="5"/>
      <c r="G48" t="s">
        <v>135</v>
      </c>
      <c r="J48" s="11"/>
      <c r="K48" s="11"/>
      <c r="L48" s="11"/>
      <c r="M48" s="11"/>
      <c r="N48" s="11"/>
      <c r="O48" s="11"/>
      <c r="P48" s="11"/>
      <c r="Q48" s="11"/>
      <c r="R48" s="11"/>
      <c r="S48" s="16" t="s">
        <v>136</v>
      </c>
      <c r="T48" s="16"/>
    </row>
    <row r="49" spans="1:20" x14ac:dyDescent="0.25">
      <c r="A49" s="15" t="s">
        <v>137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 t="s">
        <v>138</v>
      </c>
      <c r="T49" s="16" t="s">
        <v>139</v>
      </c>
    </row>
    <row r="50" spans="1:20" x14ac:dyDescent="0.25">
      <c r="A50" s="17" t="s">
        <v>104</v>
      </c>
      <c r="B50" s="1" t="s">
        <v>105</v>
      </c>
      <c r="J50" s="11"/>
      <c r="K50" s="11"/>
      <c r="L50" s="11"/>
      <c r="M50" s="11"/>
      <c r="N50" s="11"/>
      <c r="O50" s="11"/>
      <c r="P50" s="11"/>
      <c r="Q50" s="11"/>
      <c r="R50" s="11"/>
      <c r="S50" s="16"/>
      <c r="T50" s="16" t="s">
        <v>140</v>
      </c>
    </row>
    <row r="51" spans="1:20" x14ac:dyDescent="0.25">
      <c r="A51" s="5" t="s">
        <v>141</v>
      </c>
      <c r="B51" t="s">
        <v>142</v>
      </c>
      <c r="G51" s="2" t="s">
        <v>143</v>
      </c>
      <c r="J51" s="11" t="s">
        <v>127</v>
      </c>
      <c r="K51" s="11" t="s">
        <v>127</v>
      </c>
      <c r="L51" s="11" t="s">
        <v>127</v>
      </c>
      <c r="M51" s="11" t="s">
        <v>118</v>
      </c>
      <c r="N51" s="11" t="s">
        <v>119</v>
      </c>
      <c r="O51" s="11"/>
      <c r="P51" s="11" t="s">
        <v>119</v>
      </c>
      <c r="Q51" s="11" t="s">
        <v>121</v>
      </c>
      <c r="R51" s="11" t="s">
        <v>122</v>
      </c>
      <c r="S51" s="16"/>
      <c r="T51" s="16" t="s">
        <v>144</v>
      </c>
    </row>
    <row r="52" spans="1:20" x14ac:dyDescent="0.25">
      <c r="A52" s="5"/>
      <c r="B52" t="s">
        <v>145</v>
      </c>
      <c r="J52" s="11"/>
      <c r="K52" s="11"/>
      <c r="L52" s="11"/>
      <c r="M52" s="11"/>
      <c r="N52" s="11"/>
      <c r="O52" s="11"/>
      <c r="P52" s="11"/>
      <c r="Q52" s="11"/>
      <c r="R52" s="11"/>
      <c r="S52" s="16"/>
      <c r="T52" s="16" t="s">
        <v>146</v>
      </c>
    </row>
    <row r="53" spans="1:20" x14ac:dyDescent="0.25">
      <c r="A53" s="18" t="s">
        <v>147</v>
      </c>
      <c r="B53" t="s">
        <v>148</v>
      </c>
      <c r="G53" s="2" t="s">
        <v>149</v>
      </c>
      <c r="J53" s="11"/>
      <c r="K53" s="11"/>
      <c r="L53" s="11"/>
      <c r="M53" s="11"/>
      <c r="N53" s="11"/>
      <c r="O53" s="11"/>
      <c r="P53" s="11"/>
      <c r="Q53" s="11"/>
      <c r="R53" s="11"/>
      <c r="S53" s="19"/>
      <c r="T53" s="16" t="s">
        <v>150</v>
      </c>
    </row>
    <row r="54" spans="1:20" x14ac:dyDescent="0.25">
      <c r="A54" s="5" t="s">
        <v>151</v>
      </c>
      <c r="B54" t="s">
        <v>152</v>
      </c>
      <c r="G54" s="2" t="s">
        <v>149</v>
      </c>
      <c r="J54" s="11"/>
      <c r="K54" s="11"/>
      <c r="L54" s="11"/>
      <c r="M54" s="11"/>
      <c r="N54" s="11"/>
      <c r="O54" s="11"/>
      <c r="P54" s="11"/>
      <c r="Q54" s="11"/>
      <c r="R54" s="11"/>
      <c r="S54" s="16" t="s">
        <v>153</v>
      </c>
      <c r="T54" s="16" t="s">
        <v>154</v>
      </c>
    </row>
    <row r="55" spans="1:20" x14ac:dyDescent="0.25">
      <c r="A55" s="15" t="s">
        <v>155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/>
      <c r="T55" s="16" t="s">
        <v>54</v>
      </c>
    </row>
    <row r="56" spans="1:20" x14ac:dyDescent="0.25">
      <c r="A56" s="5" t="s">
        <v>156</v>
      </c>
      <c r="B56" t="s">
        <v>157</v>
      </c>
      <c r="J56" s="11" t="s">
        <v>158</v>
      </c>
      <c r="K56" s="11" t="s">
        <v>158</v>
      </c>
      <c r="L56" s="11" t="s">
        <v>158</v>
      </c>
      <c r="M56" s="11" t="s">
        <v>118</v>
      </c>
      <c r="N56" s="11" t="s">
        <v>159</v>
      </c>
      <c r="O56" s="11"/>
      <c r="P56" s="11" t="s">
        <v>119</v>
      </c>
      <c r="Q56" s="11" t="s">
        <v>121</v>
      </c>
      <c r="R56" s="11" t="s">
        <v>122</v>
      </c>
      <c r="S56" s="16" t="s">
        <v>160</v>
      </c>
      <c r="T56" s="16"/>
    </row>
    <row r="57" spans="1:20" x14ac:dyDescent="0.25">
      <c r="A57" s="5" t="s">
        <v>161</v>
      </c>
      <c r="B57" t="s">
        <v>162</v>
      </c>
      <c r="J57" s="11"/>
      <c r="K57" s="11"/>
      <c r="L57" s="11"/>
      <c r="M57" s="11"/>
      <c r="N57" s="11"/>
      <c r="O57" s="11"/>
      <c r="P57" s="11"/>
      <c r="Q57" s="11"/>
      <c r="R57" s="11"/>
      <c r="S57" s="16"/>
      <c r="T57" s="16"/>
    </row>
    <row r="58" spans="1:20" x14ac:dyDescent="0.25">
      <c r="A58" s="15" t="s">
        <v>163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6"/>
      <c r="T58" s="16"/>
    </row>
    <row r="59" spans="1:20" x14ac:dyDescent="0.25">
      <c r="A59" s="5" t="s">
        <v>164</v>
      </c>
      <c r="B59" t="s">
        <v>157</v>
      </c>
      <c r="J59" s="11" t="s">
        <v>127</v>
      </c>
      <c r="K59" s="11" t="s">
        <v>127</v>
      </c>
      <c r="L59" s="11"/>
      <c r="M59" s="11"/>
      <c r="N59" s="11"/>
      <c r="O59" s="11"/>
      <c r="P59" s="11"/>
      <c r="Q59" s="11" t="s">
        <v>121</v>
      </c>
      <c r="R59" s="11" t="s">
        <v>122</v>
      </c>
      <c r="S59" s="16"/>
      <c r="T59" s="16"/>
    </row>
    <row r="60" spans="1:20" x14ac:dyDescent="0.25">
      <c r="A60" s="5" t="s">
        <v>165</v>
      </c>
      <c r="B60" t="s">
        <v>166</v>
      </c>
      <c r="J60" s="11"/>
      <c r="K60" s="11"/>
      <c r="L60" s="11"/>
      <c r="M60" s="11"/>
      <c r="N60" s="11"/>
      <c r="O60" s="11"/>
      <c r="P60" s="11"/>
      <c r="Q60" s="11"/>
      <c r="R60" s="11"/>
      <c r="S60" s="16"/>
      <c r="T60" s="16"/>
    </row>
    <row r="61" spans="1:20" x14ac:dyDescent="0.25">
      <c r="A61" s="5"/>
      <c r="B61" t="s">
        <v>166</v>
      </c>
      <c r="J61" s="11"/>
      <c r="K61" s="11"/>
      <c r="L61" s="11"/>
      <c r="M61" s="11"/>
      <c r="N61" s="11"/>
      <c r="O61" s="11"/>
      <c r="P61" s="11"/>
      <c r="Q61" s="11"/>
      <c r="R61" s="11"/>
      <c r="S61" s="16"/>
      <c r="T61" s="16"/>
    </row>
    <row r="62" spans="1:20" x14ac:dyDescent="0.25">
      <c r="A62" s="15" t="s">
        <v>167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6"/>
      <c r="T62" s="16"/>
    </row>
    <row r="63" spans="1:20" x14ac:dyDescent="0.25">
      <c r="A63" s="5" t="s">
        <v>164</v>
      </c>
      <c r="B63" t="s">
        <v>157</v>
      </c>
      <c r="J63" s="11" t="s">
        <v>127</v>
      </c>
      <c r="K63" s="11" t="s">
        <v>127</v>
      </c>
      <c r="L63" s="11"/>
      <c r="M63" s="11"/>
      <c r="N63" s="11"/>
      <c r="O63" s="11"/>
      <c r="P63" s="11"/>
      <c r="Q63" s="11" t="s">
        <v>121</v>
      </c>
      <c r="R63" s="11" t="s">
        <v>122</v>
      </c>
      <c r="S63" s="16"/>
      <c r="T63" s="16"/>
    </row>
    <row r="64" spans="1:20" x14ac:dyDescent="0.25">
      <c r="A64" s="5"/>
      <c r="B64" t="s">
        <v>166</v>
      </c>
      <c r="J64" s="11"/>
      <c r="K64" s="11"/>
      <c r="L64" s="11"/>
      <c r="M64" s="11"/>
      <c r="N64" s="11"/>
      <c r="O64" s="11"/>
      <c r="P64" s="11"/>
      <c r="Q64" s="11"/>
      <c r="R64" s="11"/>
      <c r="S64" s="16"/>
      <c r="T64" s="16"/>
    </row>
  </sheetData>
  <mergeCells count="9">
    <mergeCell ref="J37:R37"/>
    <mergeCell ref="S37:T37"/>
    <mergeCell ref="X11:Y12"/>
    <mergeCell ref="Z2:AB2"/>
    <mergeCell ref="AC2:AE2"/>
    <mergeCell ref="X3:Y3"/>
    <mergeCell ref="X4:Y4"/>
    <mergeCell ref="X5:Y7"/>
    <mergeCell ref="X8:Y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82"/>
  <sheetViews>
    <sheetView tabSelected="1" topLeftCell="H6" zoomScale="80" zoomScaleNormal="80" workbookViewId="0">
      <selection activeCell="AC32" sqref="AC32"/>
    </sheetView>
  </sheetViews>
  <sheetFormatPr defaultRowHeight="15" x14ac:dyDescent="0.25"/>
  <sheetData>
    <row r="2" spans="1:27" x14ac:dyDescent="0.25">
      <c r="P2" s="14" t="s">
        <v>94</v>
      </c>
    </row>
    <row r="3" spans="1:27" x14ac:dyDescent="0.25">
      <c r="P3" s="14" t="s">
        <v>95</v>
      </c>
    </row>
    <row r="4" spans="1:27" x14ac:dyDescent="0.25">
      <c r="P4" s="14" t="s">
        <v>96</v>
      </c>
    </row>
    <row r="5" spans="1:27" x14ac:dyDescent="0.25">
      <c r="P5" s="14" t="s">
        <v>97</v>
      </c>
    </row>
    <row r="8" spans="1:27" x14ac:dyDescent="0.25">
      <c r="A8" t="s">
        <v>36</v>
      </c>
      <c r="B8" s="10"/>
      <c r="C8" s="10"/>
      <c r="D8" s="10"/>
      <c r="E8" s="10"/>
      <c r="F8" s="5"/>
      <c r="G8" s="5"/>
      <c r="H8" s="5"/>
      <c r="I8" s="5"/>
      <c r="J8" s="5"/>
      <c r="K8" s="5"/>
      <c r="L8" s="5"/>
      <c r="T8" s="5"/>
      <c r="U8" s="5"/>
      <c r="V8" s="5"/>
      <c r="W8" s="5"/>
      <c r="X8" s="5"/>
      <c r="Y8" s="5"/>
      <c r="Z8" s="5"/>
      <c r="AA8" s="5"/>
    </row>
    <row r="9" spans="1:27" x14ac:dyDescent="0.25">
      <c r="B9" s="10"/>
      <c r="C9" s="10"/>
      <c r="D9" s="10"/>
      <c r="E9" s="10"/>
      <c r="F9" s="5"/>
      <c r="G9" s="5"/>
      <c r="H9" s="5"/>
      <c r="I9" s="5"/>
      <c r="J9" s="5"/>
      <c r="K9" s="5"/>
      <c r="L9" s="5"/>
      <c r="T9" s="5"/>
      <c r="U9" s="5"/>
      <c r="V9" s="5"/>
      <c r="W9" s="5"/>
      <c r="X9" s="5"/>
      <c r="Y9" s="5"/>
      <c r="Z9" s="5"/>
      <c r="AA9" s="5"/>
    </row>
    <row r="10" spans="1:27" x14ac:dyDescent="0.25">
      <c r="B10" s="10"/>
      <c r="C10" s="10"/>
      <c r="D10" s="10"/>
      <c r="E10" s="10"/>
      <c r="F10" s="5"/>
      <c r="G10" s="5"/>
      <c r="H10" s="5"/>
      <c r="I10" s="5"/>
      <c r="J10" s="5"/>
      <c r="K10" s="5"/>
      <c r="L10" s="5"/>
      <c r="M10" t="s">
        <v>37</v>
      </c>
      <c r="T10" s="5"/>
      <c r="U10" s="5"/>
      <c r="V10" s="5"/>
      <c r="W10" s="5"/>
      <c r="X10" s="5"/>
      <c r="Y10" s="5"/>
      <c r="Z10" s="5"/>
      <c r="AA10" s="5"/>
    </row>
    <row r="11" spans="1:27" x14ac:dyDescent="0.25">
      <c r="B11" s="10"/>
      <c r="C11" s="10"/>
      <c r="D11" s="10"/>
      <c r="E11" s="10"/>
      <c r="F11" s="5"/>
      <c r="G11" s="5"/>
      <c r="H11" s="5"/>
      <c r="I11" s="5"/>
      <c r="J11" s="5"/>
      <c r="K11" s="5"/>
      <c r="L11" s="5"/>
      <c r="T11" s="5"/>
      <c r="U11" s="5"/>
      <c r="V11" s="5"/>
      <c r="W11" s="5"/>
      <c r="X11" s="5"/>
      <c r="Y11" s="5"/>
      <c r="Z11" s="5"/>
      <c r="AA11" s="5"/>
    </row>
    <row r="12" spans="1:27" x14ac:dyDescent="0.25">
      <c r="B12" s="10"/>
      <c r="C12" s="10"/>
      <c r="D12" s="10"/>
      <c r="E12" s="10"/>
      <c r="F12" s="5"/>
      <c r="G12" s="5"/>
      <c r="H12" s="5"/>
      <c r="I12" s="5"/>
      <c r="J12" s="5"/>
      <c r="K12" s="5"/>
      <c r="L12" s="5"/>
      <c r="T12" s="5"/>
      <c r="U12" s="5"/>
      <c r="V12" s="5"/>
      <c r="W12" s="5"/>
      <c r="X12" s="5"/>
      <c r="Y12" s="5"/>
      <c r="Z12" s="5"/>
      <c r="AA12" s="5"/>
    </row>
    <row r="13" spans="1:27" x14ac:dyDescent="0.25">
      <c r="B13" s="10"/>
      <c r="C13" s="10"/>
      <c r="D13" s="10"/>
      <c r="E13" s="10"/>
      <c r="F13" s="5"/>
      <c r="G13" s="5"/>
      <c r="H13" s="5"/>
      <c r="I13" s="5"/>
      <c r="J13" s="5"/>
      <c r="K13" s="5"/>
      <c r="L13" s="5"/>
      <c r="T13" s="5"/>
      <c r="U13" s="5"/>
      <c r="V13" s="5"/>
      <c r="W13" s="5"/>
      <c r="X13" s="5"/>
      <c r="Y13" s="5"/>
      <c r="Z13" s="5"/>
      <c r="AA13" s="5"/>
    </row>
    <row r="14" spans="1:27" x14ac:dyDescent="0.25">
      <c r="B14" s="10"/>
      <c r="C14" s="10"/>
      <c r="D14" s="10"/>
      <c r="E14" s="10"/>
      <c r="F14" s="5"/>
      <c r="G14" s="5"/>
      <c r="H14" s="5"/>
      <c r="I14" s="5"/>
      <c r="J14" s="5"/>
      <c r="K14" s="5"/>
      <c r="L14" s="5"/>
      <c r="T14" s="5"/>
      <c r="U14" s="5"/>
      <c r="V14" s="5"/>
      <c r="W14" s="5"/>
      <c r="X14" s="5"/>
      <c r="Y14" s="5"/>
      <c r="Z14" s="5"/>
      <c r="AA14" s="5"/>
    </row>
    <row r="15" spans="1:27" x14ac:dyDescent="0.25">
      <c r="B15" s="10"/>
      <c r="C15" s="10"/>
      <c r="D15" s="10"/>
      <c r="E15" s="10"/>
      <c r="F15" s="10"/>
      <c r="G15" s="10"/>
      <c r="H15" s="10"/>
      <c r="I15" s="10"/>
      <c r="J15" s="5"/>
      <c r="K15" s="5"/>
      <c r="L15" s="5"/>
      <c r="T15" s="5"/>
      <c r="U15" s="5"/>
      <c r="V15" s="5"/>
      <c r="W15" s="5"/>
      <c r="X15" s="5"/>
      <c r="Y15" s="5"/>
      <c r="Z15" s="5"/>
      <c r="AA15" s="5"/>
    </row>
    <row r="16" spans="1:27" x14ac:dyDescent="0.25">
      <c r="B16" s="10"/>
      <c r="C16" s="10"/>
      <c r="D16" s="10"/>
      <c r="E16" s="10"/>
      <c r="F16" s="10"/>
      <c r="G16" s="10"/>
      <c r="H16" s="10"/>
      <c r="I16" s="10"/>
      <c r="J16" s="5"/>
      <c r="K16" s="5"/>
      <c r="L16" s="5"/>
      <c r="T16" s="5"/>
      <c r="U16" s="5"/>
      <c r="V16" s="5"/>
      <c r="W16" s="5"/>
      <c r="X16" s="5"/>
      <c r="Y16" s="5"/>
      <c r="Z16" s="5"/>
      <c r="AA16" s="5"/>
    </row>
    <row r="17" spans="2:27" x14ac:dyDescent="0.25">
      <c r="B17" s="10"/>
      <c r="C17" s="10"/>
      <c r="D17" s="10"/>
      <c r="E17" s="10"/>
      <c r="F17" s="10"/>
      <c r="G17" s="10"/>
      <c r="H17" s="10"/>
      <c r="I17" s="10"/>
      <c r="J17" s="5"/>
      <c r="K17" s="5"/>
      <c r="L17" s="5"/>
      <c r="T17" s="5"/>
      <c r="U17" s="5"/>
      <c r="V17" s="5"/>
      <c r="W17" s="5"/>
      <c r="X17" s="5"/>
      <c r="Y17" s="5"/>
      <c r="Z17" s="5"/>
      <c r="AA17" s="5"/>
    </row>
    <row r="18" spans="2:27" x14ac:dyDescent="0.25">
      <c r="B18" s="10"/>
      <c r="C18" s="10"/>
      <c r="D18" s="10"/>
      <c r="E18" s="10"/>
      <c r="F18" s="10"/>
      <c r="G18" s="10"/>
      <c r="H18" s="10"/>
      <c r="I18" s="10"/>
      <c r="J18" s="5"/>
      <c r="K18" s="5"/>
      <c r="L18" s="5"/>
      <c r="T18" s="5"/>
      <c r="U18" s="5"/>
      <c r="V18" s="5"/>
      <c r="W18" s="5"/>
      <c r="X18" s="5"/>
      <c r="Y18" s="5"/>
      <c r="Z18" s="5"/>
      <c r="AA18" s="5"/>
    </row>
    <row r="19" spans="2:27" x14ac:dyDescent="0.25">
      <c r="B19" s="10"/>
      <c r="C19" s="10"/>
      <c r="D19" s="10"/>
      <c r="E19" s="10"/>
      <c r="F19" s="10"/>
      <c r="G19" s="10"/>
      <c r="H19" s="10"/>
      <c r="I19" s="10"/>
      <c r="J19" s="5"/>
      <c r="K19" s="5"/>
      <c r="L19" s="5"/>
      <c r="T19" s="5"/>
      <c r="U19" s="5"/>
      <c r="V19" s="5"/>
      <c r="W19" s="5"/>
      <c r="X19" s="5"/>
      <c r="Y19" s="5"/>
      <c r="Z19" s="5"/>
      <c r="AA19" s="5"/>
    </row>
    <row r="20" spans="2:27" x14ac:dyDescent="0.25">
      <c r="B20" s="10"/>
      <c r="C20" s="10"/>
      <c r="D20" s="10"/>
      <c r="E20" s="10"/>
      <c r="F20" s="10"/>
      <c r="G20" s="10"/>
      <c r="H20" s="10"/>
      <c r="I20" s="10"/>
      <c r="J20" s="5"/>
      <c r="K20" s="5"/>
      <c r="L20" s="5"/>
      <c r="O20" t="s">
        <v>19</v>
      </c>
      <c r="T20" s="5"/>
      <c r="U20" s="5"/>
      <c r="V20" s="5"/>
      <c r="W20" s="5"/>
      <c r="X20" s="5"/>
      <c r="Y20" s="5"/>
      <c r="Z20" s="5"/>
      <c r="AA20" s="5"/>
    </row>
    <row r="21" spans="2:27" x14ac:dyDescent="0.25">
      <c r="B21" s="10"/>
      <c r="C21" s="10"/>
      <c r="D21" s="10"/>
      <c r="E21" s="10"/>
      <c r="F21" s="10"/>
      <c r="G21" s="10"/>
      <c r="H21" s="10"/>
      <c r="I21" s="10"/>
      <c r="J21" s="5"/>
      <c r="K21" s="5"/>
      <c r="L21" s="5"/>
      <c r="O21" s="2" t="s">
        <v>75</v>
      </c>
      <c r="T21" s="5"/>
      <c r="U21" s="5"/>
      <c r="V21" s="5"/>
      <c r="W21" s="5"/>
      <c r="X21" s="5"/>
      <c r="Y21" s="5"/>
      <c r="Z21" s="5"/>
      <c r="AA21" s="5"/>
    </row>
    <row r="22" spans="2:27" x14ac:dyDescent="0.25">
      <c r="B22" s="10"/>
      <c r="C22" s="10"/>
      <c r="D22" s="10"/>
      <c r="E22" s="10"/>
      <c r="F22" s="10"/>
      <c r="G22" s="10"/>
      <c r="H22" s="10"/>
      <c r="I22" s="10"/>
      <c r="J22" s="5"/>
      <c r="K22" s="5"/>
      <c r="L22" s="5"/>
      <c r="T22" s="5"/>
      <c r="U22" s="5"/>
      <c r="V22" s="5"/>
      <c r="W22" s="5"/>
      <c r="X22" s="5"/>
      <c r="Y22" s="5"/>
      <c r="Z22" s="5"/>
      <c r="AA22" s="5"/>
    </row>
    <row r="23" spans="2:27" x14ac:dyDescent="0.25">
      <c r="B23" s="10"/>
      <c r="C23" s="10"/>
      <c r="D23" s="10"/>
      <c r="E23" s="10"/>
      <c r="F23" s="10"/>
      <c r="G23" s="10"/>
      <c r="H23" s="10"/>
      <c r="I23" s="10"/>
      <c r="J23" s="5"/>
      <c r="K23" s="5"/>
      <c r="L23" s="5"/>
    </row>
    <row r="24" spans="2:27" x14ac:dyDescent="0.25">
      <c r="B24" s="10"/>
      <c r="C24" s="10"/>
      <c r="D24" s="10"/>
      <c r="E24" s="10"/>
      <c r="F24" s="10"/>
      <c r="G24" s="10"/>
      <c r="H24" s="10"/>
      <c r="I24" s="10"/>
      <c r="J24" s="5"/>
      <c r="K24" s="5"/>
      <c r="L24" s="5"/>
      <c r="X24" s="12"/>
      <c r="Y24" s="12"/>
      <c r="Z24" s="12"/>
      <c r="AA24" s="12"/>
    </row>
    <row r="25" spans="2:27" x14ac:dyDescent="0.25">
      <c r="B25" s="10"/>
      <c r="C25" s="10"/>
      <c r="D25" s="10"/>
      <c r="E25" s="10"/>
      <c r="F25" s="10"/>
      <c r="G25" s="10"/>
      <c r="H25" s="10"/>
      <c r="I25" s="10"/>
      <c r="J25" s="5"/>
      <c r="K25" s="5"/>
      <c r="L25" s="5"/>
      <c r="X25" s="12"/>
      <c r="Y25" s="12"/>
      <c r="Z25" s="12"/>
      <c r="AA25" s="12"/>
    </row>
    <row r="26" spans="2:27" x14ac:dyDescent="0.25">
      <c r="B26" s="10" t="s">
        <v>37</v>
      </c>
      <c r="C26" s="10"/>
      <c r="D26" s="10"/>
      <c r="E26" s="10"/>
      <c r="F26" s="10"/>
      <c r="G26" s="10"/>
      <c r="H26" s="10"/>
      <c r="I26" s="10"/>
      <c r="J26" s="5"/>
      <c r="K26" s="5"/>
      <c r="L26" s="5"/>
      <c r="X26" s="12"/>
      <c r="Y26" s="12"/>
      <c r="Z26" s="12"/>
      <c r="AA26" s="12"/>
    </row>
    <row r="27" spans="2:27" x14ac:dyDescent="0.25">
      <c r="B27" s="10"/>
      <c r="C27" s="10"/>
      <c r="D27" s="10"/>
      <c r="E27" s="10"/>
      <c r="F27" s="10"/>
      <c r="G27" s="10" t="s">
        <v>37</v>
      </c>
      <c r="H27" s="10"/>
      <c r="I27" s="10"/>
      <c r="J27" s="5"/>
      <c r="K27" s="5"/>
      <c r="L27" s="5"/>
      <c r="X27" s="12"/>
      <c r="Y27" s="12"/>
      <c r="Z27" s="12"/>
      <c r="AA27" s="12"/>
    </row>
    <row r="28" spans="2:27" x14ac:dyDescent="0.25">
      <c r="X28" s="12"/>
      <c r="Y28" s="12"/>
      <c r="Z28" s="12"/>
      <c r="AA28" s="12"/>
    </row>
    <row r="29" spans="2:27" x14ac:dyDescent="0.25">
      <c r="X29" s="12"/>
      <c r="Y29" s="12"/>
      <c r="Z29" s="12"/>
      <c r="AA29" s="12"/>
    </row>
    <row r="31" spans="2:27" x14ac:dyDescent="0.25">
      <c r="B31" s="10"/>
      <c r="C31" t="s">
        <v>89</v>
      </c>
    </row>
    <row r="32" spans="2:27" x14ac:dyDescent="0.25">
      <c r="B32" s="5"/>
      <c r="C32" t="s">
        <v>90</v>
      </c>
      <c r="X32" s="13"/>
      <c r="Y32" s="13"/>
      <c r="Z32" s="11"/>
      <c r="AA32" s="11"/>
    </row>
    <row r="33" spans="2:27" x14ac:dyDescent="0.25">
      <c r="B33" s="12"/>
      <c r="C33" t="s">
        <v>91</v>
      </c>
      <c r="X33" s="13"/>
      <c r="Y33" s="13"/>
      <c r="Z33" s="11"/>
      <c r="AA33" s="11"/>
    </row>
    <row r="34" spans="2:27" x14ac:dyDescent="0.25">
      <c r="B34" s="11"/>
      <c r="C34" t="s">
        <v>92</v>
      </c>
      <c r="X34" s="13"/>
      <c r="Y34" s="13"/>
      <c r="Z34" s="11"/>
      <c r="AA34" s="11"/>
    </row>
    <row r="35" spans="2:27" x14ac:dyDescent="0.25">
      <c r="B35" s="13"/>
      <c r="C35" t="s">
        <v>93</v>
      </c>
      <c r="X35" s="13"/>
      <c r="Y35" s="13"/>
      <c r="Z35" s="11"/>
      <c r="AA35" s="11"/>
    </row>
    <row r="49" spans="15:22" x14ac:dyDescent="0.25">
      <c r="O49" t="s">
        <v>77</v>
      </c>
    </row>
    <row r="51" spans="15:22" x14ac:dyDescent="0.25">
      <c r="O51" t="s">
        <v>86</v>
      </c>
      <c r="S51" t="s">
        <v>82</v>
      </c>
    </row>
    <row r="52" spans="15:22" x14ac:dyDescent="0.25">
      <c r="O52" t="s">
        <v>82</v>
      </c>
      <c r="S52" t="s">
        <v>83</v>
      </c>
    </row>
    <row r="54" spans="15:22" x14ac:dyDescent="0.25">
      <c r="O54" t="s">
        <v>78</v>
      </c>
      <c r="S54" t="s">
        <v>84</v>
      </c>
    </row>
    <row r="56" spans="15:22" x14ac:dyDescent="0.25">
      <c r="O56" t="s">
        <v>79</v>
      </c>
      <c r="S56" t="s">
        <v>85</v>
      </c>
    </row>
    <row r="58" spans="15:22" x14ac:dyDescent="0.25">
      <c r="O58" t="s">
        <v>80</v>
      </c>
    </row>
    <row r="60" spans="15:22" x14ac:dyDescent="0.25">
      <c r="O60" t="s">
        <v>81</v>
      </c>
    </row>
    <row r="64" spans="15:22" x14ac:dyDescent="0.25">
      <c r="V64" t="s">
        <v>246</v>
      </c>
    </row>
    <row r="73" spans="1:4" x14ac:dyDescent="0.25">
      <c r="A73" t="s">
        <v>229</v>
      </c>
    </row>
    <row r="74" spans="1:4" x14ac:dyDescent="0.25">
      <c r="A74" t="s">
        <v>101</v>
      </c>
    </row>
    <row r="75" spans="1:4" x14ac:dyDescent="0.25">
      <c r="A75" t="s">
        <v>98</v>
      </c>
      <c r="B75" t="s">
        <v>99</v>
      </c>
      <c r="C75" t="s">
        <v>100</v>
      </c>
    </row>
    <row r="76" spans="1:4" x14ac:dyDescent="0.25">
      <c r="A76">
        <v>0</v>
      </c>
      <c r="B76">
        <v>10</v>
      </c>
      <c r="C76">
        <v>0.02</v>
      </c>
      <c r="D76">
        <f>B76*C76</f>
        <v>0.2</v>
      </c>
    </row>
    <row r="77" spans="1:4" x14ac:dyDescent="0.25">
      <c r="A77">
        <v>11</v>
      </c>
      <c r="B77">
        <v>20</v>
      </c>
      <c r="C77">
        <v>0.04</v>
      </c>
      <c r="D77">
        <f t="shared" ref="D77:D82" si="0">B77*C77</f>
        <v>0.8</v>
      </c>
    </row>
    <row r="78" spans="1:4" x14ac:dyDescent="0.25">
      <c r="A78">
        <v>21</v>
      </c>
      <c r="B78">
        <v>30</v>
      </c>
      <c r="C78">
        <v>0.06</v>
      </c>
      <c r="D78">
        <f t="shared" si="0"/>
        <v>1.7999999999999998</v>
      </c>
    </row>
    <row r="79" spans="1:4" x14ac:dyDescent="0.25">
      <c r="A79">
        <v>31</v>
      </c>
      <c r="B79">
        <v>40</v>
      </c>
      <c r="C79">
        <v>0.08</v>
      </c>
      <c r="D79">
        <f t="shared" si="0"/>
        <v>3.2</v>
      </c>
    </row>
    <row r="80" spans="1:4" x14ac:dyDescent="0.25">
      <c r="A80">
        <v>41</v>
      </c>
      <c r="B80">
        <v>50</v>
      </c>
      <c r="C80">
        <v>0.1</v>
      </c>
      <c r="D80">
        <f t="shared" si="0"/>
        <v>5</v>
      </c>
    </row>
    <row r="81" spans="1:4" x14ac:dyDescent="0.25">
      <c r="A81">
        <v>51</v>
      </c>
      <c r="B81">
        <v>100</v>
      </c>
      <c r="C81">
        <v>0.2</v>
      </c>
      <c r="D81">
        <f t="shared" si="0"/>
        <v>20</v>
      </c>
    </row>
    <row r="82" spans="1:4" x14ac:dyDescent="0.25">
      <c r="A82">
        <v>101</v>
      </c>
      <c r="B82">
        <v>150</v>
      </c>
      <c r="C82">
        <v>0.4</v>
      </c>
      <c r="D82">
        <f t="shared" si="0"/>
        <v>60</v>
      </c>
    </row>
  </sheetData>
  <pageMargins left="0.7" right="0.7" top="0.75" bottom="0.75" header="0.3" footer="0.3"/>
  <pageSetup orientation="portrait" horizontalDpi="90" verticalDpi="9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</vt:lpstr>
      <vt:lpstr>LOGIC FLOW</vt:lpstr>
      <vt:lpstr>FLOWCHART-TASK</vt:lpstr>
      <vt:lpstr>REVISED FLOWCHART</vt:lpstr>
    </vt:vector>
  </TitlesOfParts>
  <Company>Pimco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Kumari, Bhavana</dc:creator>
  <cp:lastModifiedBy>Kumari, Bhavana</cp:lastModifiedBy>
  <dcterms:created xsi:type="dcterms:W3CDTF">2021-06-30T06:10:11Z</dcterms:created>
  <dcterms:modified xsi:type="dcterms:W3CDTF">2021-07-27T14:18:43Z</dcterms:modified>
</cp:coreProperties>
</file>