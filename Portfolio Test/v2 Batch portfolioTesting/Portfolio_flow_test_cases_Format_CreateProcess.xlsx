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PortfolioTestCasefiles\Revised\"/>
    </mc:Choice>
  </mc:AlternateContent>
  <xr:revisionPtr revIDLastSave="0" documentId="13_ncr:1_{39536339-E29F-47DA-B74B-D21B7AD0D6C8}" xr6:coauthVersionLast="47" xr6:coauthVersionMax="47" xr10:uidLastSave="{00000000-0000-0000-0000-000000000000}"/>
  <bookViews>
    <workbookView xWindow="-108" yWindow="-108" windowWidth="23256" windowHeight="12456" tabRatio="879" activeTab="4" xr2:uid="{00000000-000D-0000-FFFF-FFFF00000000}"/>
  </bookViews>
  <sheets>
    <sheet name="04_Portfolio_Guidelines" sheetId="5" r:id="rId1"/>
    <sheet name="00_Instructions" sheetId="1" r:id="rId2"/>
    <sheet name="01_Portfolio" sheetId="2" r:id="rId3"/>
    <sheet name="06_Portfolio_Expenses" sheetId="7" r:id="rId4"/>
    <sheet name="07_Bound_Portfolio" sheetId="8" r:id="rId5"/>
    <sheet name="02_Transaction" sheetId="3" r:id="rId6"/>
    <sheet name="03_Mapping" sheetId="13" r:id="rId7"/>
    <sheet name="05_Pricing_Parameters" sheetId="6" state="hidden" r:id="rId8"/>
    <sheet name="Lookups" sheetId="11" state="hidden" r:id="rId9"/>
  </sheets>
  <definedNames>
    <definedName name="_xlnm._FilterDatabase" localSheetId="2" hidden="1">'01_Portfolio'!$A$5:$M$7</definedName>
    <definedName name="_xlnm._FilterDatabase" localSheetId="5" hidden="1">'02_Transaction'!$A$5:$AB$5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6" i="2"/>
</calcChain>
</file>

<file path=xl/sharedStrings.xml><?xml version="1.0" encoding="utf-8"?>
<sst xmlns="http://schemas.openxmlformats.org/spreadsheetml/2006/main" count="1159" uniqueCount="385">
  <si>
    <t>SCREEN 3 — TRANSACTION → ILS DEAL MAPPING  |  Test Cases</t>
  </si>
  <si>
    <t>► Test Control</t>
  </si>
  <si>
    <t>► Mapping Info</t>
  </si>
  <si>
    <t>► Test Result</t>
  </si>
  <si>
    <t>Test Case ID</t>
  </si>
  <si>
    <t>Action</t>
  </si>
  <si>
    <t>Transaction ID</t>
  </si>
  <si>
    <t>ILS Deal / Name</t>
  </si>
  <si>
    <t>Mapping Status</t>
  </si>
  <si>
    <t>Expected Result</t>
  </si>
  <si>
    <t>Actual Result</t>
  </si>
  <si>
    <t>Run DateTime</t>
  </si>
  <si>
    <t>Notes</t>
  </si>
  <si>
    <t>[Auto-generated]</t>
  </si>
  <si>
    <t>[Add / Edit / Delete]</t>
  </si>
  <si>
    <t>[TransactionID]</t>
  </si>
  <si>
    <t>[ILSName]</t>
  </si>
  <si>
    <t>[MappingStatus]</t>
  </si>
  <si>
    <t>[Expected]</t>
  </si>
  <si>
    <t>[—]</t>
  </si>
  <si>
    <t>★ Required</t>
  </si>
  <si>
    <t>Optional</t>
  </si>
  <si>
    <t>Read-only</t>
  </si>
  <si>
    <t>Add</t>
  </si>
  <si>
    <t>TC_TR_001</t>
  </si>
  <si>
    <t>CB-Nakama Re Pte. Ltd. Series 2024-1 Class 1 Reset 2025</t>
  </si>
  <si>
    <t>TC_TR_002</t>
  </si>
  <si>
    <t>TC_TR_003</t>
  </si>
  <si>
    <t>CB-Blue Ridge Re Ltd. Series 2023-1 Class A Reset 2025</t>
  </si>
  <si>
    <t>TC_TR_004</t>
  </si>
  <si>
    <t>TC_TR_005</t>
  </si>
  <si>
    <t>CB-Ursa Re Ltd. Series 2023-3 Class AA Reset 2024</t>
  </si>
  <si>
    <t>TC_TR_006</t>
  </si>
  <si>
    <t>CB-Veraison Re Ltd. Series 2025-1 Class A</t>
  </si>
  <si>
    <t>TC_TR_007</t>
  </si>
  <si>
    <t>TC_TR_008</t>
  </si>
  <si>
    <t>TC_TR_009</t>
  </si>
  <si>
    <t>TC_TR_010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</si>
  <si>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</si>
  <si>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</si>
  <si>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</si>
  <si>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</si>
  <si>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</si>
  <si>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</si>
  <si>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</si>
  <si>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</si>
  <si>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</si>
  <si>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</si>
  <si>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</si>
  <si>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</si>
  <si>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</si>
  <si>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</si>
  <si>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</si>
  <si>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</si>
  <si>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</si>
  <si>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</si>
  <si>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</si>
  <si>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</si>
  <si>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</si>
  <si>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</si>
  <si>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</si>
  <si>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</si>
  <si>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</si>
  <si>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</si>
  <si>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</si>
  <si>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</si>
  <si>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</si>
  <si>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</si>
  <si>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</si>
  <si>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</si>
  <si>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</si>
  <si>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</si>
  <si>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</si>
  <si>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</si>
  <si>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</si>
  <si>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</si>
  <si>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</si>
  <si>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</si>
  <si>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</si>
  <si>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</si>
  <si>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</si>
  <si>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</si>
  <si>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</si>
  <si>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</si>
  <si>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</si>
  <si>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</si>
  <si>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</si>
  <si>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</si>
  <si>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</si>
  <si>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</si>
  <si>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</si>
  <si>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</si>
  <si>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</si>
  <si>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</si>
  <si>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</si>
  <si>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</si>
  <si>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</si>
  <si>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</si>
  <si>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</si>
  <si>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</si>
  <si>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</si>
  <si>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</si>
  <si>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</si>
  <si>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</si>
  <si>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</si>
  <si>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</si>
  <si>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</si>
  <si>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</si>
  <si>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</si>
  <si>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</si>
  <si>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► Portfolio Details</t>
  </si>
  <si>
    <t>Portfolio Name</t>
  </si>
  <si>
    <t>Vendor</t>
  </si>
  <si>
    <t>Create Date</t>
  </si>
  <si>
    <t>[Name]</t>
  </si>
  <si>
    <t>[Vendor]</t>
  </si>
  <si>
    <t>[CreateDate]</t>
  </si>
  <si>
    <t>TC_PF_001</t>
  </si>
  <si>
    <t>AIR</t>
  </si>
  <si>
    <t>PASS</t>
  </si>
  <si>
    <t>► Transaction Info (Required)</t>
  </si>
  <si>
    <t>► Transaction Info (Optional)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</si>
  <si>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</si>
  <si>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</si>
  <si>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</si>
  <si>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</si>
  <si>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</si>
  <si>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</si>
  <si>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</si>
  <si>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</si>
  <si>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</si>
  <si>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</si>
  <si>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</si>
  <si>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</si>
  <si>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</si>
  <si>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</si>
  <si>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</si>
  <si>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[PortfolioID]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</si>
  <si>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</si>
  <si>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</si>
  <si>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</si>
  <si>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</si>
  <si>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</si>
  <si>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</si>
  <si>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</si>
  <si>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</si>
  <si>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</si>
  <si>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</si>
  <si>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</si>
  <si>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</si>
  <si>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</si>
  <si>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</si>
  <si>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Class 1</t>
  </si>
  <si>
    <t>2024-1</t>
  </si>
  <si>
    <t>Buy</t>
  </si>
  <si>
    <t>62984JAC2</t>
  </si>
  <si>
    <t>Cat Bond</t>
  </si>
  <si>
    <t>BH</t>
  </si>
  <si>
    <t>Pending</t>
  </si>
  <si>
    <t>Class B</t>
  </si>
  <si>
    <t>2025-1</t>
  </si>
  <si>
    <t>613752AE4</t>
  </si>
  <si>
    <t>RBC</t>
  </si>
  <si>
    <t>FAIL</t>
  </si>
  <si>
    <t>Class A</t>
  </si>
  <si>
    <t>2023-1</t>
  </si>
  <si>
    <t>096003AA6</t>
  </si>
  <si>
    <t>Class B-1</t>
  </si>
  <si>
    <t>2022-1</t>
  </si>
  <si>
    <t>89009PAB4</t>
  </si>
  <si>
    <t>Class AA</t>
  </si>
  <si>
    <t>2023-3</t>
  </si>
  <si>
    <t>90323WAP5</t>
  </si>
  <si>
    <t>92335TAD1</t>
  </si>
  <si>
    <t>► Context</t>
  </si>
  <si>
    <t>► Constraint (Required)</t>
  </si>
  <si>
    <t>► Limits &amp; Settings</t>
  </si>
  <si>
    <t>Portfolio ID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</si>
  <si>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</si>
  <si>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</si>
  <si>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</si>
  <si>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</si>
  <si>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</si>
  <si>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</si>
  <si>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</si>
  <si>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</si>
  <si>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</si>
  <si>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</si>
  <si>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</si>
  <si>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</si>
  <si>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</si>
  <si>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Cedant</t>
  </si>
  <si>
    <t xml:space="preserve">Single Cedent (including business fronted by Allianz Risk Transfer) </t>
  </si>
  <si>
    <t>Issuer</t>
  </si>
  <si>
    <t>ILW Long</t>
  </si>
  <si>
    <t>ILW Short</t>
  </si>
  <si>
    <t>Side Car</t>
  </si>
  <si>
    <t>Retro XOL</t>
  </si>
  <si>
    <t>Retro QS</t>
  </si>
  <si>
    <t>Allianz</t>
  </si>
  <si>
    <t>Reinsurance</t>
  </si>
  <si>
    <t>Single</t>
  </si>
  <si>
    <t>CAT Bond</t>
  </si>
  <si>
    <t>Cash</t>
  </si>
  <si>
    <t>PerilRegion</t>
  </si>
  <si>
    <t>US Hurricanes</t>
  </si>
  <si>
    <t>OEP</t>
  </si>
  <si>
    <t>Florida Hurricane</t>
  </si>
  <si>
    <t>Gulf of Mexico WS</t>
  </si>
  <si>
    <t>Japan Typhoon</t>
  </si>
  <si>
    <t>Europe Tropical Cyclone</t>
  </si>
  <si>
    <t>Texas Hurricane</t>
  </si>
  <si>
    <t>California Earthquake</t>
  </si>
  <si>
    <t>Japan Earthquake</t>
  </si>
  <si>
    <t>All other WS</t>
  </si>
  <si>
    <t>all other EQ</t>
  </si>
  <si>
    <t>WildFire</t>
  </si>
  <si>
    <t>InlandFlood</t>
  </si>
  <si>
    <t>SevereStorm</t>
  </si>
  <si>
    <t>Terrorism</t>
  </si>
  <si>
    <t>AEP</t>
  </si>
  <si>
    <t>Northeast Hurricane</t>
  </si>
  <si>
    <t>Southeast Hurricane</t>
  </si>
  <si>
    <t>Louisiana Hurricane</t>
  </si>
  <si>
    <t>Mexico Hurricane</t>
  </si>
  <si>
    <t>US Earthquake xl CA</t>
  </si>
  <si>
    <t>Mexico Earthquake</t>
  </si>
  <si>
    <t>South America Earthquake</t>
  </si>
  <si>
    <t>Europe Earthquake</t>
  </si>
  <si>
    <t>US Winter Storm</t>
  </si>
  <si>
    <t>US WildFire</t>
  </si>
  <si>
    <t>US Severe Storm</t>
  </si>
  <si>
    <t>US Inland Flood</t>
  </si>
  <si>
    <t>WWAP</t>
  </si>
  <si>
    <t>ReinsuranceType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</si>
  <si>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</si>
  <si>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</si>
  <si>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</si>
  <si>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</si>
  <si>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</si>
  <si>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</si>
  <si>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</si>
  <si>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</si>
  <si>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</si>
  <si>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</si>
  <si>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</si>
  <si>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[Save / Delete]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</si>
  <si>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</si>
  <si>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</si>
  <si>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</si>
  <si>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</si>
  <si>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</si>
  <si>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</si>
  <si>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</si>
  <si>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</si>
  <si>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</si>
  <si>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</si>
  <si>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Save</t>
  </si>
  <si>
    <t>2026-07-10 13:57:37</t>
  </si>
  <si>
    <t>Default values</t>
  </si>
  <si>
    <t>Different vendor</t>
  </si>
  <si>
    <t>► Expense Details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</si>
  <si>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</si>
  <si>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</si>
  <si>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</si>
  <si>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</si>
  <si>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</si>
  <si>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</si>
  <si>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</si>
  <si>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</si>
  <si>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</si>
  <si>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</si>
  <si>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</si>
  <si>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</si>
  <si>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</si>
  <si>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</si>
  <si>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</si>
  <si>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</si>
  <si>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</si>
  <si>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</si>
  <si>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</si>
  <si>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</si>
  <si>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</si>
  <si>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</si>
  <si>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</si>
  <si>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</si>
  <si>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</si>
  <si>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</si>
  <si>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Hard</t>
  </si>
  <si>
    <t>► Bound Portfolio Info</t>
  </si>
  <si>
    <t>Name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</si>
  <si>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</si>
  <si>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</si>
  <si>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</si>
  <si>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</si>
  <si>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</si>
  <si>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</si>
  <si>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</si>
  <si>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</si>
  <si>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</si>
  <si>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</si>
  <si>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</si>
  <si>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</si>
  <si>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</si>
  <si>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</si>
  <si>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</si>
  <si>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</si>
  <si>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</si>
  <si>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</si>
  <si>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USD</t>
  </si>
  <si>
    <t>v12.0</t>
  </si>
  <si>
    <t>Initial bound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</si>
  <si>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</si>
  <si>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</si>
  <si>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</si>
  <si>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</si>
  <si>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</si>
  <si>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</si>
  <si>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</si>
  <si>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</si>
  <si>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</si>
  <si>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</si>
  <si>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0</t>
  </si>
  <si>
    <t>Edit</t>
  </si>
  <si>
    <t>Sell</t>
  </si>
  <si>
    <t>RMS</t>
  </si>
  <si>
    <t>EUR</t>
  </si>
  <si>
    <t>1</t>
  </si>
  <si>
    <t>Absolute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</si>
  <si>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</si>
  <si>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</si>
  <si>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</si>
  <si>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</si>
  <si>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</si>
  <si>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</si>
  <si>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</si>
  <si>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</si>
  <si>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</si>
  <si>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</si>
  <si>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</si>
  <si>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</si>
  <si>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</si>
  <si>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</si>
  <si>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</si>
  <si>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 xml:space="preserve">SCREEN 1 — PORTFOLIO </t>
  </si>
  <si>
    <t xml:space="preserve">SCREEN 4 — PORTFOLIO GUIDELINES </t>
  </si>
  <si>
    <t>SCREEN 6 — PORTFOLIO EXPENSES</t>
  </si>
  <si>
    <t>SCREEN 7 — BOUND PORTFOLIO</t>
  </si>
  <si>
    <t>SCREEN 2 — TRANSACTION</t>
  </si>
  <si>
    <t>Add Guidelines</t>
  </si>
  <si>
    <t>Add Expenses</t>
  </si>
  <si>
    <t>Add Transactions</t>
  </si>
  <si>
    <t>Yes</t>
  </si>
  <si>
    <t>TC_PF_002</t>
  </si>
  <si>
    <t>Test_Portfolio_001</t>
  </si>
  <si>
    <t>Test_Portfolio_002</t>
  </si>
  <si>
    <t>CA EQ</t>
  </si>
  <si>
    <t>Single Cedent</t>
  </si>
  <si>
    <t xml:space="preserve">Nakama Re Pte. Ltd. Series 2024-1 </t>
  </si>
  <si>
    <t>CB-Fuchsia 2 Series 2024-1 Class A Reset 2025</t>
  </si>
  <si>
    <t>CB-Fish Pond Re Ltd. Series 2024-1 Class A Reset 2025</t>
  </si>
  <si>
    <t>CB-Baldwin Re Ltd. Series 2023-1 Class A Reset 2025</t>
  </si>
  <si>
    <t>CB-Sanders Re III Ltd. Series 2023-1 Class A Reset 2025</t>
  </si>
  <si>
    <t xml:space="preserve">Montoya Re Ltd. Series 2025-1 </t>
  </si>
  <si>
    <t xml:space="preserve">Blue Ridge Re Ltd. Series 2023-1 </t>
  </si>
  <si>
    <t xml:space="preserve">Tomoni Re Pte. Ltd. Series 2022-1 </t>
  </si>
  <si>
    <t xml:space="preserve">Ursa Re Ltd. Series 2023-3 </t>
  </si>
  <si>
    <t xml:space="preserve">Veraison Re Ltd. Series 2025-1 </t>
  </si>
  <si>
    <t xml:space="preserve">Fuchsia 2 Series 2024-1 </t>
  </si>
  <si>
    <t xml:space="preserve">Fish Pond Re Ltd. Series 2024-1 </t>
  </si>
  <si>
    <t xml:space="preserve">Baldwin Re Ltd. Series 2023-1 </t>
  </si>
  <si>
    <t xml:space="preserve">Sanders Re III Ltd. Series 2023-1 </t>
  </si>
  <si>
    <t>2025</t>
  </si>
  <si>
    <t>2024</t>
  </si>
  <si>
    <t/>
  </si>
  <si>
    <t>541917AA8</t>
  </si>
  <si>
    <t>33774EAA2</t>
  </si>
  <si>
    <t>05826BAB2</t>
  </si>
  <si>
    <t>80001QAA1</t>
  </si>
  <si>
    <t>WW</t>
  </si>
  <si>
    <t>Worldwide data with 5 transactions</t>
  </si>
  <si>
    <t>CB-Montoya Re Ltd. Series 2025-1 Class A Reset 2025</t>
  </si>
  <si>
    <t>CB-Tomoni Re Pte. Ltd. Series 2022-1 Class A-1 Reset 2025</t>
  </si>
  <si>
    <t>UI Testcase 002</t>
  </si>
  <si>
    <t>UI Testcase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</si>
</sst>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"/>
    <numFmt numFmtId="165" formatCode="_(* #,##0.000000_);_(* \(#,##0.000000\);_(* &quot;-&quot;??_);_(@_)"/>
    <numFmt numFmtId="166" formatCode="_(* #,##0.0000000_);_(* \(#,##0.0000000\);_(* &quot;-&quot;??_);_(@_)"/>
  </numFmts>
  <fonts count="2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b/>
      <sz val="10"/>
      <name val="Arial"/>
      <family val="2"/>
    </font>
    <font>
      <sz val="8"/>
      <name val="Calibri"/>
      <family val="2"/>
      <charset val="1"/>
    </font>
    <font>
      <sz val="10"/>
      <color theme="1"/>
      <name val="Aptos Narrow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17" fillId="0" borderId="0"/>
    <xf numFmtId="43" fontId="1" fillId="0" borderId="0"/>
  </cellStyleXfs>
  <cellXfs count="5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6" fillId="0" borderId="0" xfId="0" applyFont="1"/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wrapText="1"/>
    </xf>
    <xf numFmtId="0" fontId="0" fillId="0" borderId="2" xfId="0" applyBorder="1"/>
    <xf numFmtId="14" fontId="0" fillId="0" borderId="2" xfId="0" applyNumberFormat="1" applyBorder="1"/>
    <xf numFmtId="0" fontId="5" fillId="7" borderId="2" xfId="0" applyFont="1" applyFill="1" applyBorder="1" applyAlignment="1">
      <alignment horizontal="left" vertical="center"/>
    </xf>
    <xf numFmtId="0" fontId="18" fillId="12" borderId="1" xfId="0" applyFont="1" applyFill="1" applyBorder="1" applyAlignment="1">
      <alignment horizontal="center"/>
    </xf>
    <xf numFmtId="0" fontId="0" fillId="0" borderId="4" xfId="0" applyBorder="1"/>
    <xf numFmtId="164" fontId="20" fillId="0" borderId="2" xfId="0" applyNumberFormat="1" applyFont="1" applyBorder="1"/>
    <xf numFmtId="0" fontId="20" fillId="0" borderId="2" xfId="1" applyNumberFormat="1" applyFont="1" applyBorder="1"/>
    <xf numFmtId="14" fontId="20" fillId="0" borderId="2" xfId="0" applyNumberFormat="1" applyFont="1" applyBorder="1"/>
    <xf numFmtId="165" fontId="17" fillId="0" borderId="2" xfId="1" applyNumberFormat="1" applyBorder="1"/>
    <xf numFmtId="166" fontId="17" fillId="0" borderId="2" xfId="1" applyNumberFormat="1" applyBorder="1"/>
    <xf numFmtId="0" fontId="21" fillId="7" borderId="1" xfId="0" applyFont="1" applyFill="1" applyBorder="1" applyAlignment="1">
      <alignment horizontal="left" vertical="center" wrapText="1"/>
    </xf>
    <xf numFmtId="14" fontId="21" fillId="7" borderId="1" xfId="0" applyNumberFormat="1" applyFont="1" applyFill="1" applyBorder="1" applyAlignment="1">
      <alignment horizontal="left" vertical="center" wrapText="1"/>
    </xf>
    <xf numFmtId="0" fontId="22" fillId="7" borderId="1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23" fillId="0" borderId="0" xfId="0" applyFont="1"/>
    <xf numFmtId="0" fontId="10" fillId="6" borderId="3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2" fillId="2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12" fillId="0" borderId="0" xfId="0" applyFont="1"/>
    <xf numFmtId="0" fontId="14" fillId="8" borderId="0" xfId="0" applyFont="1" applyFill="1" applyAlignment="1">
      <alignment horizontal="left" vertical="center"/>
    </xf>
    <xf numFmtId="0" fontId="13" fillId="6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</cellXfs>
  <cellStyles count="3">
    <cellStyle name="Comma" xfId="1" builtinId="3"/>
    <cellStyle name="Comma 2 27" xfId="2" xr:uid="{22FAEA73-965A-4995-8A8A-F0542931D893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J109"/>
  <sheetViews>
    <sheetView zoomScaleNormal="100" workbookViewId="0">
      <pane ySplit="5" topLeftCell="A102" activePane="bottomLeft" state="frozen"/>
      <selection pane="bottomLeft" activeCell="E83" sqref="E8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40" customWidth="1"/>
  </cols>
  <sheetData>
    <row r="1" spans="1:10" ht="25.5" customHeight="1" x14ac:dyDescent="0.3">
      <c r="A1" s="45" t="s">
        <v>345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9.5" customHeight="1" x14ac:dyDescent="0.3">
      <c r="A2" s="47" t="s">
        <v>1</v>
      </c>
      <c r="B2" s="48"/>
      <c r="C2" s="1" t="s">
        <v>174</v>
      </c>
      <c r="D2" s="47" t="s">
        <v>175</v>
      </c>
      <c r="E2" s="48"/>
      <c r="F2" s="47" t="s">
        <v>176</v>
      </c>
      <c r="G2" s="49"/>
      <c r="H2" s="49"/>
      <c r="I2" s="48"/>
      <c r="J2" s="31"/>
    </row>
    <row r="3" spans="1:10" ht="36" customHeight="1" x14ac:dyDescent="0.3">
      <c r="A3" s="9" t="s">
        <v>4</v>
      </c>
      <c r="B3" s="9" t="s">
        <v>5</v>
      </c>
      <c r="C3" s="9" t="s">
        <v>177</v>
      </c>
      <c r="D3" s="9" t="s">
        <v>178</v>
      </c>
      <c r="E3" s="10" t="s">
        <v>179</v>
      </c>
      <c r="F3" s="10" t="s">
        <v>180</v>
      </c>
      <c r="G3" s="10" t="s">
        <v>181</v>
      </c>
      <c r="H3" s="10" t="s">
        <v>182</v>
      </c>
      <c r="I3" s="10" t="s">
        <v>183</v>
      </c>
      <c r="J3" s="10" t="s">
        <v>12</v>
      </c>
    </row>
    <row r="4" spans="1:10" ht="24" customHeight="1" x14ac:dyDescent="0.3">
      <c r="A4" s="12" t="s">
        <v>13</v>
      </c>
      <c r="B4" s="12" t="s">
        <v>14</v>
      </c>
      <c r="C4" s="12" t="s">
        <v>184</v>
      </c>
      <c r="D4" s="12" t="s">
        <v>185</v>
      </c>
      <c r="E4" s="12" t="s">
        <v>186</v>
      </c>
      <c r="F4" s="12" t="s">
        <v>187</v>
      </c>
      <c r="G4" s="12" t="s">
        <v>188</v>
      </c>
      <c r="H4" s="12" t="s">
        <v>189</v>
      </c>
      <c r="I4" s="12" t="s">
        <v>190</v>
      </c>
      <c r="J4" s="12" t="s">
        <v>19</v>
      </c>
    </row>
    <row r="5" spans="1:10" ht="18" customHeight="1" x14ac:dyDescent="0.3">
      <c r="A5" s="24" t="s">
        <v>20</v>
      </c>
      <c r="B5" s="24" t="s">
        <v>20</v>
      </c>
      <c r="C5" s="24" t="s">
        <v>20</v>
      </c>
      <c r="D5" s="24" t="s">
        <v>20</v>
      </c>
      <c r="E5" s="25" t="s">
        <v>21</v>
      </c>
      <c r="F5" s="25" t="s">
        <v>21</v>
      </c>
      <c r="G5" s="25" t="s">
        <v>21</v>
      </c>
      <c r="H5" s="25" t="s">
        <v>21</v>
      </c>
      <c r="I5" s="25" t="s">
        <v>21</v>
      </c>
      <c r="J5" s="25" t="s">
        <v>21</v>
      </c>
    </row>
    <row r="6" spans="1:10" ht="18" customHeight="1" x14ac:dyDescent="0.3">
      <c r="A6" s="16" t="s">
        <v>117</v>
      </c>
      <c r="B6" s="26" t="s">
        <v>23</v>
      </c>
      <c r="C6" s="26">
        <v>1</v>
      </c>
      <c r="D6" s="29" t="s">
        <v>191</v>
      </c>
      <c r="E6" s="29" t="s">
        <v>192</v>
      </c>
      <c r="F6" s="26">
        <v>0</v>
      </c>
      <c r="G6" s="26">
        <v>0.15</v>
      </c>
      <c r="H6" s="26"/>
      <c r="I6" s="26">
        <v>0</v>
      </c>
      <c r="J6" s="26"/>
    </row>
    <row r="7" spans="1:10" ht="18" customHeight="1" x14ac:dyDescent="0.3">
      <c r="A7" s="16" t="s">
        <v>117</v>
      </c>
      <c r="B7" s="26" t="s">
        <v>23</v>
      </c>
      <c r="C7" s="26">
        <v>1</v>
      </c>
      <c r="D7" s="29" t="s">
        <v>193</v>
      </c>
      <c r="E7" s="29" t="s">
        <v>202</v>
      </c>
      <c r="F7" s="26">
        <v>0</v>
      </c>
      <c r="G7" s="26">
        <v>0.1</v>
      </c>
      <c r="H7" s="26"/>
      <c r="I7" s="26">
        <v>0</v>
      </c>
      <c r="J7" s="26"/>
    </row>
    <row r="8" spans="1:10" ht="18" customHeight="1" x14ac:dyDescent="0.3">
      <c r="A8" s="16" t="s">
        <v>117</v>
      </c>
      <c r="B8" s="26" t="s">
        <v>23</v>
      </c>
      <c r="C8" s="26">
        <v>1</v>
      </c>
      <c r="D8" s="29" t="s">
        <v>193</v>
      </c>
      <c r="E8" s="29" t="s">
        <v>194</v>
      </c>
      <c r="F8" s="26">
        <v>0</v>
      </c>
      <c r="G8" s="26">
        <v>0.3</v>
      </c>
      <c r="H8" s="26"/>
      <c r="I8" s="26">
        <v>0</v>
      </c>
      <c r="J8" s="26"/>
    </row>
    <row r="9" spans="1:10" ht="18" customHeight="1" x14ac:dyDescent="0.3">
      <c r="A9" s="16" t="s">
        <v>117</v>
      </c>
      <c r="B9" s="26" t="s">
        <v>23</v>
      </c>
      <c r="C9" s="26">
        <v>1</v>
      </c>
      <c r="D9" s="29" t="s">
        <v>193</v>
      </c>
      <c r="E9" s="29" t="s">
        <v>195</v>
      </c>
      <c r="F9" s="26">
        <v>0</v>
      </c>
      <c r="G9" s="26">
        <v>0.3</v>
      </c>
      <c r="H9" s="26"/>
      <c r="I9" s="26">
        <v>0</v>
      </c>
      <c r="J9" s="26"/>
    </row>
    <row r="10" spans="1:10" ht="18" customHeight="1" x14ac:dyDescent="0.3">
      <c r="A10" s="16" t="s">
        <v>117</v>
      </c>
      <c r="B10" s="26" t="s">
        <v>23</v>
      </c>
      <c r="C10" s="26">
        <v>1</v>
      </c>
      <c r="D10" s="29" t="s">
        <v>193</v>
      </c>
      <c r="E10" s="29" t="s">
        <v>196</v>
      </c>
      <c r="F10" s="26">
        <v>0</v>
      </c>
      <c r="G10" s="26">
        <v>0.3</v>
      </c>
      <c r="H10" s="26"/>
      <c r="I10" s="26">
        <v>0</v>
      </c>
      <c r="J10" s="26"/>
    </row>
    <row r="11" spans="1:10" ht="18" customHeight="1" x14ac:dyDescent="0.3">
      <c r="A11" s="16" t="s">
        <v>117</v>
      </c>
      <c r="B11" s="26" t="s">
        <v>23</v>
      </c>
      <c r="C11" s="26">
        <v>1</v>
      </c>
      <c r="D11" s="29" t="s">
        <v>193</v>
      </c>
      <c r="E11" s="29" t="s">
        <v>197</v>
      </c>
      <c r="F11" s="26">
        <v>0</v>
      </c>
      <c r="G11" s="26">
        <v>0.3</v>
      </c>
      <c r="H11" s="26"/>
      <c r="I11" s="26">
        <v>0</v>
      </c>
      <c r="J11" s="26"/>
    </row>
    <row r="12" spans="1:10" ht="18" customHeight="1" x14ac:dyDescent="0.3">
      <c r="A12" s="16" t="s">
        <v>117</v>
      </c>
      <c r="B12" s="26" t="s">
        <v>23</v>
      </c>
      <c r="C12" s="26">
        <v>1</v>
      </c>
      <c r="D12" s="29" t="s">
        <v>193</v>
      </c>
      <c r="E12" s="29" t="s">
        <v>198</v>
      </c>
      <c r="F12" s="26">
        <v>0</v>
      </c>
      <c r="G12" s="26">
        <v>0.3</v>
      </c>
      <c r="H12" s="26"/>
      <c r="I12" s="26">
        <v>0</v>
      </c>
      <c r="J12" s="26"/>
    </row>
    <row r="13" spans="1:10" ht="18" customHeight="1" x14ac:dyDescent="0.3">
      <c r="A13" s="16" t="s">
        <v>117</v>
      </c>
      <c r="B13" s="26" t="s">
        <v>23</v>
      </c>
      <c r="C13" s="26">
        <v>1</v>
      </c>
      <c r="D13" s="29" t="s">
        <v>193</v>
      </c>
      <c r="E13" s="29" t="s">
        <v>199</v>
      </c>
      <c r="F13" s="26">
        <v>0</v>
      </c>
      <c r="G13" s="26">
        <v>0.3</v>
      </c>
      <c r="H13" s="26"/>
      <c r="I13" s="26">
        <v>0</v>
      </c>
      <c r="J13" s="26"/>
    </row>
    <row r="14" spans="1:10" ht="18" customHeight="1" x14ac:dyDescent="0.3">
      <c r="A14" s="16" t="s">
        <v>117</v>
      </c>
      <c r="B14" s="26" t="s">
        <v>23</v>
      </c>
      <c r="C14" s="26">
        <v>1</v>
      </c>
      <c r="D14" s="29" t="s">
        <v>193</v>
      </c>
      <c r="E14" s="29" t="s">
        <v>200</v>
      </c>
      <c r="F14" s="26">
        <v>0</v>
      </c>
      <c r="G14" s="26">
        <v>0.3</v>
      </c>
      <c r="H14" s="26"/>
      <c r="I14" s="26">
        <v>0</v>
      </c>
      <c r="J14" s="26"/>
    </row>
    <row r="15" spans="1:10" ht="18" customHeight="1" x14ac:dyDescent="0.3">
      <c r="A15" s="16" t="s">
        <v>117</v>
      </c>
      <c r="B15" s="26" t="s">
        <v>23</v>
      </c>
      <c r="C15" s="26">
        <v>1</v>
      </c>
      <c r="D15" s="29" t="s">
        <v>201</v>
      </c>
      <c r="E15" s="29" t="s">
        <v>202</v>
      </c>
      <c r="F15" s="26">
        <v>0</v>
      </c>
      <c r="G15" s="26">
        <v>0.05</v>
      </c>
      <c r="H15" s="26"/>
      <c r="I15" s="26">
        <v>0</v>
      </c>
      <c r="J15" s="26"/>
    </row>
    <row r="16" spans="1:10" ht="18" customHeight="1" x14ac:dyDescent="0.3">
      <c r="A16" s="16" t="s">
        <v>117</v>
      </c>
      <c r="B16" s="26" t="s">
        <v>23</v>
      </c>
      <c r="C16" s="26">
        <v>1</v>
      </c>
      <c r="D16" s="29" t="s">
        <v>201</v>
      </c>
      <c r="E16" s="29" t="s">
        <v>195</v>
      </c>
      <c r="F16" s="26">
        <v>0</v>
      </c>
      <c r="G16" s="26">
        <v>2.5000000000000001E-2</v>
      </c>
      <c r="H16" s="26"/>
      <c r="I16" s="26">
        <v>0</v>
      </c>
      <c r="J16" s="26"/>
    </row>
    <row r="17" spans="1:10" ht="18" customHeight="1" x14ac:dyDescent="0.3">
      <c r="A17" s="16" t="s">
        <v>117</v>
      </c>
      <c r="B17" s="26" t="s">
        <v>23</v>
      </c>
      <c r="C17" s="26">
        <v>1</v>
      </c>
      <c r="D17" s="29" t="s">
        <v>201</v>
      </c>
      <c r="E17" s="29" t="s">
        <v>196</v>
      </c>
      <c r="F17" s="26">
        <v>0</v>
      </c>
      <c r="G17" s="26">
        <v>0.4</v>
      </c>
      <c r="H17" s="26"/>
      <c r="I17" s="26">
        <v>0</v>
      </c>
      <c r="J17" s="26"/>
    </row>
    <row r="18" spans="1:10" ht="18" customHeight="1" x14ac:dyDescent="0.3">
      <c r="A18" s="16" t="s">
        <v>117</v>
      </c>
      <c r="B18" s="26" t="s">
        <v>23</v>
      </c>
      <c r="C18" s="26">
        <v>1</v>
      </c>
      <c r="D18" s="29" t="s">
        <v>201</v>
      </c>
      <c r="E18" s="29" t="s">
        <v>198</v>
      </c>
      <c r="F18" s="26">
        <v>0</v>
      </c>
      <c r="G18" s="26">
        <v>0.4</v>
      </c>
      <c r="H18" s="26"/>
      <c r="I18" s="26">
        <v>0</v>
      </c>
      <c r="J18" s="26"/>
    </row>
    <row r="19" spans="1:10" ht="18" customHeight="1" x14ac:dyDescent="0.3">
      <c r="A19" s="16" t="s">
        <v>117</v>
      </c>
      <c r="B19" s="26" t="s">
        <v>23</v>
      </c>
      <c r="C19" s="26">
        <v>1</v>
      </c>
      <c r="D19" s="29" t="s">
        <v>201</v>
      </c>
      <c r="E19" s="29" t="s">
        <v>197</v>
      </c>
      <c r="F19" s="26">
        <v>0</v>
      </c>
      <c r="G19" s="26">
        <v>0.05</v>
      </c>
      <c r="H19" s="26"/>
      <c r="I19" s="26">
        <v>0</v>
      </c>
      <c r="J19" s="26"/>
    </row>
    <row r="20" spans="1:10" ht="18" customHeight="1" x14ac:dyDescent="0.3">
      <c r="A20" s="16" t="s">
        <v>117</v>
      </c>
      <c r="B20" s="26" t="s">
        <v>23</v>
      </c>
      <c r="C20" s="26">
        <v>1</v>
      </c>
      <c r="D20" s="29" t="s">
        <v>201</v>
      </c>
      <c r="E20" s="29" t="s">
        <v>200</v>
      </c>
      <c r="F20" s="26">
        <v>0</v>
      </c>
      <c r="G20" s="26">
        <v>0.1</v>
      </c>
      <c r="H20" s="26"/>
      <c r="I20" s="26">
        <v>0</v>
      </c>
      <c r="J20" s="26"/>
    </row>
    <row r="21" spans="1:10" ht="18" customHeight="1" x14ac:dyDescent="0.3">
      <c r="A21" s="16" t="s">
        <v>117</v>
      </c>
      <c r="B21" s="26" t="s">
        <v>23</v>
      </c>
      <c r="C21" s="26">
        <v>1</v>
      </c>
      <c r="D21" s="29" t="s">
        <v>201</v>
      </c>
      <c r="E21" s="29" t="s">
        <v>194</v>
      </c>
      <c r="F21" s="26">
        <v>0</v>
      </c>
      <c r="G21" s="26">
        <v>0.1</v>
      </c>
      <c r="H21" s="26"/>
      <c r="I21" s="26">
        <v>0</v>
      </c>
      <c r="J21" s="26"/>
    </row>
    <row r="22" spans="1:10" ht="18" customHeight="1" x14ac:dyDescent="0.3">
      <c r="A22" s="16" t="s">
        <v>117</v>
      </c>
      <c r="B22" s="26" t="s">
        <v>23</v>
      </c>
      <c r="C22" s="26">
        <v>1</v>
      </c>
      <c r="D22" s="29" t="s">
        <v>201</v>
      </c>
      <c r="E22" s="29" t="s">
        <v>203</v>
      </c>
      <c r="F22" s="26">
        <v>0</v>
      </c>
      <c r="G22" s="26">
        <v>0</v>
      </c>
      <c r="H22" s="26"/>
      <c r="I22" s="26">
        <v>0</v>
      </c>
      <c r="J22" s="26"/>
    </row>
    <row r="23" spans="1:10" ht="18" customHeight="1" x14ac:dyDescent="0.3">
      <c r="A23" s="16" t="s">
        <v>117</v>
      </c>
      <c r="B23" s="26" t="s">
        <v>23</v>
      </c>
      <c r="C23" s="26">
        <v>1</v>
      </c>
      <c r="D23" s="29" t="s">
        <v>204</v>
      </c>
      <c r="E23" s="29" t="s">
        <v>205</v>
      </c>
      <c r="F23" s="26">
        <v>0</v>
      </c>
      <c r="G23" s="26">
        <v>0.35</v>
      </c>
      <c r="H23" s="26" t="s">
        <v>206</v>
      </c>
      <c r="I23" s="26">
        <v>100</v>
      </c>
      <c r="J23" s="26"/>
    </row>
    <row r="24" spans="1:10" ht="18" customHeight="1" x14ac:dyDescent="0.3">
      <c r="A24" s="16" t="s">
        <v>117</v>
      </c>
      <c r="B24" s="26" t="s">
        <v>23</v>
      </c>
      <c r="C24" s="26">
        <v>1</v>
      </c>
      <c r="D24" s="29" t="s">
        <v>204</v>
      </c>
      <c r="E24" s="29" t="s">
        <v>207</v>
      </c>
      <c r="F24" s="26">
        <v>0</v>
      </c>
      <c r="G24" s="26">
        <v>0.3</v>
      </c>
      <c r="H24" s="26" t="s">
        <v>206</v>
      </c>
      <c r="I24" s="26">
        <v>100</v>
      </c>
      <c r="J24" s="26"/>
    </row>
    <row r="25" spans="1:10" ht="18" customHeight="1" x14ac:dyDescent="0.3">
      <c r="A25" s="16" t="s">
        <v>117</v>
      </c>
      <c r="B25" s="26" t="s">
        <v>23</v>
      </c>
      <c r="C25" s="26">
        <v>1</v>
      </c>
      <c r="D25" s="29" t="s">
        <v>204</v>
      </c>
      <c r="E25" s="29" t="s">
        <v>208</v>
      </c>
      <c r="F25" s="26">
        <v>0</v>
      </c>
      <c r="G25" s="26">
        <v>0.3</v>
      </c>
      <c r="H25" s="26" t="s">
        <v>206</v>
      </c>
      <c r="I25" s="26">
        <v>100</v>
      </c>
      <c r="J25" s="26"/>
    </row>
    <row r="26" spans="1:10" ht="18" customHeight="1" x14ac:dyDescent="0.3">
      <c r="A26" s="16" t="s">
        <v>117</v>
      </c>
      <c r="B26" s="26" t="s">
        <v>23</v>
      </c>
      <c r="C26" s="26">
        <v>1</v>
      </c>
      <c r="D26" s="29" t="s">
        <v>204</v>
      </c>
      <c r="E26" s="29" t="s">
        <v>209</v>
      </c>
      <c r="F26" s="26">
        <v>0</v>
      </c>
      <c r="G26" s="26">
        <v>0.3</v>
      </c>
      <c r="H26" s="26" t="s">
        <v>206</v>
      </c>
      <c r="I26" s="26">
        <v>100</v>
      </c>
      <c r="J26" s="26"/>
    </row>
    <row r="27" spans="1:10" ht="18" customHeight="1" x14ac:dyDescent="0.3">
      <c r="A27" s="16" t="s">
        <v>117</v>
      </c>
      <c r="B27" s="26" t="s">
        <v>23</v>
      </c>
      <c r="C27" s="26">
        <v>1</v>
      </c>
      <c r="D27" s="29" t="s">
        <v>204</v>
      </c>
      <c r="E27" s="29" t="s">
        <v>210</v>
      </c>
      <c r="F27" s="26">
        <v>0</v>
      </c>
      <c r="G27" s="26">
        <v>0.3</v>
      </c>
      <c r="H27" s="26" t="s">
        <v>206</v>
      </c>
      <c r="I27" s="26">
        <v>100</v>
      </c>
      <c r="J27" s="26"/>
    </row>
    <row r="28" spans="1:10" ht="18" customHeight="1" x14ac:dyDescent="0.3">
      <c r="A28" s="16" t="s">
        <v>117</v>
      </c>
      <c r="B28" s="26" t="s">
        <v>23</v>
      </c>
      <c r="C28" s="26">
        <v>1</v>
      </c>
      <c r="D28" s="29" t="s">
        <v>204</v>
      </c>
      <c r="E28" s="29" t="s">
        <v>211</v>
      </c>
      <c r="F28" s="26">
        <v>0</v>
      </c>
      <c r="G28" s="26">
        <v>0.3</v>
      </c>
      <c r="H28" s="26" t="s">
        <v>206</v>
      </c>
      <c r="I28" s="26">
        <v>100</v>
      </c>
      <c r="J28" s="26"/>
    </row>
    <row r="29" spans="1:10" ht="18" customHeight="1" x14ac:dyDescent="0.3">
      <c r="A29" s="16" t="s">
        <v>117</v>
      </c>
      <c r="B29" s="26" t="s">
        <v>23</v>
      </c>
      <c r="C29" s="26">
        <v>1</v>
      </c>
      <c r="D29" s="29" t="s">
        <v>204</v>
      </c>
      <c r="E29" s="29" t="s">
        <v>212</v>
      </c>
      <c r="F29" s="26">
        <v>0</v>
      </c>
      <c r="G29" s="26">
        <v>0.2</v>
      </c>
      <c r="H29" s="26" t="s">
        <v>206</v>
      </c>
      <c r="I29" s="26">
        <v>100</v>
      </c>
      <c r="J29" s="26"/>
    </row>
    <row r="30" spans="1:10" ht="18" customHeight="1" x14ac:dyDescent="0.3">
      <c r="A30" s="16" t="s">
        <v>117</v>
      </c>
      <c r="B30" s="26" t="s">
        <v>23</v>
      </c>
      <c r="C30" s="26">
        <v>1</v>
      </c>
      <c r="D30" s="29" t="s">
        <v>204</v>
      </c>
      <c r="E30" s="29" t="s">
        <v>213</v>
      </c>
      <c r="F30" s="26">
        <v>0</v>
      </c>
      <c r="G30" s="26">
        <v>0.2</v>
      </c>
      <c r="H30" s="26" t="s">
        <v>206</v>
      </c>
      <c r="I30" s="26">
        <v>100</v>
      </c>
      <c r="J30" s="26"/>
    </row>
    <row r="31" spans="1:10" ht="18" customHeight="1" x14ac:dyDescent="0.3">
      <c r="A31" s="16" t="s">
        <v>117</v>
      </c>
      <c r="B31" s="26" t="s">
        <v>23</v>
      </c>
      <c r="C31" s="26">
        <v>1</v>
      </c>
      <c r="D31" s="29" t="s">
        <v>204</v>
      </c>
      <c r="E31" s="29" t="s">
        <v>214</v>
      </c>
      <c r="F31" s="26">
        <v>0</v>
      </c>
      <c r="G31" s="26">
        <v>0.3</v>
      </c>
      <c r="H31" s="26" t="s">
        <v>206</v>
      </c>
      <c r="I31" s="26">
        <v>100</v>
      </c>
      <c r="J31" s="26"/>
    </row>
    <row r="32" spans="1:10" ht="18" customHeight="1" x14ac:dyDescent="0.3">
      <c r="A32" s="16" t="s">
        <v>117</v>
      </c>
      <c r="B32" s="26" t="s">
        <v>23</v>
      </c>
      <c r="C32" s="26">
        <v>1</v>
      </c>
      <c r="D32" s="29" t="s">
        <v>204</v>
      </c>
      <c r="E32" s="29" t="s">
        <v>215</v>
      </c>
      <c r="F32" s="26">
        <v>0</v>
      </c>
      <c r="G32" s="26">
        <v>0.2</v>
      </c>
      <c r="H32" s="26" t="s">
        <v>206</v>
      </c>
      <c r="I32" s="26">
        <v>100</v>
      </c>
      <c r="J32" s="26"/>
    </row>
    <row r="33" spans="1:10" ht="18" customHeight="1" x14ac:dyDescent="0.3">
      <c r="A33" s="16" t="s">
        <v>117</v>
      </c>
      <c r="B33" s="26" t="s">
        <v>23</v>
      </c>
      <c r="C33" s="26">
        <v>1</v>
      </c>
      <c r="D33" s="29" t="s">
        <v>204</v>
      </c>
      <c r="E33" s="29" t="s">
        <v>216</v>
      </c>
      <c r="F33" s="26">
        <v>0</v>
      </c>
      <c r="G33" s="26">
        <v>0.15</v>
      </c>
      <c r="H33" s="26" t="s">
        <v>206</v>
      </c>
      <c r="I33" s="26">
        <v>100</v>
      </c>
      <c r="J33" s="26"/>
    </row>
    <row r="34" spans="1:10" ht="18" customHeight="1" x14ac:dyDescent="0.3">
      <c r="A34" s="16" t="s">
        <v>117</v>
      </c>
      <c r="B34" s="26" t="s">
        <v>23</v>
      </c>
      <c r="C34" s="26">
        <v>1</v>
      </c>
      <c r="D34" s="29" t="s">
        <v>204</v>
      </c>
      <c r="E34" s="29" t="s">
        <v>217</v>
      </c>
      <c r="F34" s="26">
        <v>0</v>
      </c>
      <c r="G34" s="26">
        <v>0.15</v>
      </c>
      <c r="H34" s="26" t="s">
        <v>206</v>
      </c>
      <c r="I34" s="26">
        <v>100</v>
      </c>
      <c r="J34" s="26"/>
    </row>
    <row r="35" spans="1:10" ht="18" customHeight="1" x14ac:dyDescent="0.3">
      <c r="A35" s="16" t="s">
        <v>117</v>
      </c>
      <c r="B35" s="26" t="s">
        <v>23</v>
      </c>
      <c r="C35" s="26">
        <v>1</v>
      </c>
      <c r="D35" s="29" t="s">
        <v>204</v>
      </c>
      <c r="E35" s="29" t="s">
        <v>218</v>
      </c>
      <c r="F35" s="26">
        <v>0</v>
      </c>
      <c r="G35" s="26">
        <v>0.15</v>
      </c>
      <c r="H35" s="26" t="s">
        <v>206</v>
      </c>
      <c r="I35" s="26">
        <v>100</v>
      </c>
      <c r="J35" s="26"/>
    </row>
    <row r="36" spans="1:10" ht="18" customHeight="1" x14ac:dyDescent="0.3">
      <c r="A36" s="16" t="s">
        <v>117</v>
      </c>
      <c r="B36" s="26" t="s">
        <v>23</v>
      </c>
      <c r="C36" s="26">
        <v>1</v>
      </c>
      <c r="D36" s="29" t="s">
        <v>204</v>
      </c>
      <c r="E36" s="29" t="s">
        <v>219</v>
      </c>
      <c r="F36" s="26">
        <v>0</v>
      </c>
      <c r="G36" s="26">
        <v>0.15</v>
      </c>
      <c r="H36" s="26" t="s">
        <v>206</v>
      </c>
      <c r="I36" s="26">
        <v>100</v>
      </c>
      <c r="J36" s="26"/>
    </row>
    <row r="37" spans="1:10" ht="18" customHeight="1" x14ac:dyDescent="0.3">
      <c r="A37" s="16" t="s">
        <v>117</v>
      </c>
      <c r="B37" s="26" t="s">
        <v>23</v>
      </c>
      <c r="C37" s="26">
        <v>1</v>
      </c>
      <c r="D37" s="29" t="s">
        <v>204</v>
      </c>
      <c r="E37" s="29" t="s">
        <v>205</v>
      </c>
      <c r="F37" s="26">
        <v>0</v>
      </c>
      <c r="G37" s="26">
        <v>0.5</v>
      </c>
      <c r="H37" s="26" t="s">
        <v>220</v>
      </c>
      <c r="I37" s="26">
        <v>500</v>
      </c>
      <c r="J37" s="26"/>
    </row>
    <row r="38" spans="1:10" ht="18" customHeight="1" x14ac:dyDescent="0.3">
      <c r="A38" s="16" t="s">
        <v>117</v>
      </c>
      <c r="B38" s="26" t="s">
        <v>23</v>
      </c>
      <c r="C38" s="26">
        <v>1</v>
      </c>
      <c r="D38" s="29" t="s">
        <v>204</v>
      </c>
      <c r="E38" s="29" t="s">
        <v>207</v>
      </c>
      <c r="F38" s="26">
        <v>0</v>
      </c>
      <c r="G38" s="26">
        <v>0.5</v>
      </c>
      <c r="H38" s="26" t="s">
        <v>220</v>
      </c>
      <c r="I38" s="26">
        <v>500</v>
      </c>
      <c r="J38" s="26"/>
    </row>
    <row r="39" spans="1:10" ht="18" customHeight="1" x14ac:dyDescent="0.3">
      <c r="A39" s="16" t="s">
        <v>117</v>
      </c>
      <c r="B39" s="26" t="s">
        <v>23</v>
      </c>
      <c r="C39" s="26">
        <v>1</v>
      </c>
      <c r="D39" s="29" t="s">
        <v>204</v>
      </c>
      <c r="E39" s="29" t="s">
        <v>208</v>
      </c>
      <c r="F39" s="26">
        <v>0</v>
      </c>
      <c r="G39" s="26">
        <v>0.5</v>
      </c>
      <c r="H39" s="26" t="s">
        <v>220</v>
      </c>
      <c r="I39" s="26">
        <v>500</v>
      </c>
      <c r="J39" s="26"/>
    </row>
    <row r="40" spans="1:10" ht="18" customHeight="1" x14ac:dyDescent="0.3">
      <c r="A40" s="16" t="s">
        <v>117</v>
      </c>
      <c r="B40" s="26" t="s">
        <v>23</v>
      </c>
      <c r="C40" s="26">
        <v>1</v>
      </c>
      <c r="D40" s="29" t="s">
        <v>204</v>
      </c>
      <c r="E40" s="29" t="s">
        <v>209</v>
      </c>
      <c r="F40" s="26">
        <v>0</v>
      </c>
      <c r="G40" s="26">
        <v>0.5</v>
      </c>
      <c r="H40" s="26" t="s">
        <v>220</v>
      </c>
      <c r="I40" s="26">
        <v>500</v>
      </c>
      <c r="J40" s="26"/>
    </row>
    <row r="41" spans="1:10" ht="18" customHeight="1" x14ac:dyDescent="0.3">
      <c r="A41" s="16" t="s">
        <v>117</v>
      </c>
      <c r="B41" s="26" t="s">
        <v>23</v>
      </c>
      <c r="C41" s="26">
        <v>1</v>
      </c>
      <c r="D41" s="29" t="s">
        <v>204</v>
      </c>
      <c r="E41" s="29" t="s">
        <v>210</v>
      </c>
      <c r="F41" s="26">
        <v>0</v>
      </c>
      <c r="G41" s="26">
        <v>0.5</v>
      </c>
      <c r="H41" s="26" t="s">
        <v>220</v>
      </c>
      <c r="I41" s="26">
        <v>500</v>
      </c>
      <c r="J41" s="26"/>
    </row>
    <row r="42" spans="1:10" ht="18" customHeight="1" x14ac:dyDescent="0.3">
      <c r="A42" s="16" t="s">
        <v>117</v>
      </c>
      <c r="B42" s="26" t="s">
        <v>23</v>
      </c>
      <c r="C42" s="26">
        <v>1</v>
      </c>
      <c r="D42" s="29" t="s">
        <v>204</v>
      </c>
      <c r="E42" s="29" t="s">
        <v>211</v>
      </c>
      <c r="F42" s="26">
        <v>0</v>
      </c>
      <c r="G42" s="26">
        <v>0.5</v>
      </c>
      <c r="H42" s="26" t="s">
        <v>220</v>
      </c>
      <c r="I42" s="26">
        <v>500</v>
      </c>
      <c r="J42" s="26"/>
    </row>
    <row r="43" spans="1:10" ht="18" customHeight="1" x14ac:dyDescent="0.3">
      <c r="A43" s="16" t="s">
        <v>117</v>
      </c>
      <c r="B43" s="26" t="s">
        <v>23</v>
      </c>
      <c r="C43" s="26">
        <v>1</v>
      </c>
      <c r="D43" s="29" t="s">
        <v>204</v>
      </c>
      <c r="E43" s="29" t="s">
        <v>212</v>
      </c>
      <c r="F43" s="26">
        <v>0</v>
      </c>
      <c r="G43" s="26">
        <v>0.35</v>
      </c>
      <c r="H43" s="26" t="s">
        <v>220</v>
      </c>
      <c r="I43" s="26">
        <v>500</v>
      </c>
      <c r="J43" s="26"/>
    </row>
    <row r="44" spans="1:10" ht="18" customHeight="1" x14ac:dyDescent="0.3">
      <c r="A44" s="16" t="s">
        <v>117</v>
      </c>
      <c r="B44" s="26" t="s">
        <v>23</v>
      </c>
      <c r="C44" s="26">
        <v>1</v>
      </c>
      <c r="D44" s="29" t="s">
        <v>204</v>
      </c>
      <c r="E44" s="29" t="s">
        <v>213</v>
      </c>
      <c r="F44" s="26">
        <v>0</v>
      </c>
      <c r="G44" s="26">
        <v>0.3</v>
      </c>
      <c r="H44" s="26" t="s">
        <v>220</v>
      </c>
      <c r="I44" s="26">
        <v>500</v>
      </c>
      <c r="J44" s="26"/>
    </row>
    <row r="45" spans="1:10" ht="18" customHeight="1" x14ac:dyDescent="0.3">
      <c r="A45" s="16" t="s">
        <v>117</v>
      </c>
      <c r="B45" s="26" t="s">
        <v>23</v>
      </c>
      <c r="C45" s="26">
        <v>1</v>
      </c>
      <c r="D45" s="29" t="s">
        <v>204</v>
      </c>
      <c r="E45" s="29" t="s">
        <v>214</v>
      </c>
      <c r="F45" s="26">
        <v>0</v>
      </c>
      <c r="G45" s="26">
        <v>0.5</v>
      </c>
      <c r="H45" s="26" t="s">
        <v>220</v>
      </c>
      <c r="I45" s="26">
        <v>500</v>
      </c>
      <c r="J45" s="26"/>
    </row>
    <row r="46" spans="1:10" ht="18" customHeight="1" x14ac:dyDescent="0.3">
      <c r="A46" s="16" t="s">
        <v>117</v>
      </c>
      <c r="B46" s="26" t="s">
        <v>23</v>
      </c>
      <c r="C46" s="26">
        <v>1</v>
      </c>
      <c r="D46" s="29" t="s">
        <v>204</v>
      </c>
      <c r="E46" s="29" t="s">
        <v>215</v>
      </c>
      <c r="F46" s="26">
        <v>0</v>
      </c>
      <c r="G46" s="26">
        <v>0.3</v>
      </c>
      <c r="H46" s="26" t="s">
        <v>220</v>
      </c>
      <c r="I46" s="26">
        <v>500</v>
      </c>
      <c r="J46" s="26"/>
    </row>
    <row r="47" spans="1:10" ht="18" customHeight="1" x14ac:dyDescent="0.3">
      <c r="A47" s="16" t="s">
        <v>117</v>
      </c>
      <c r="B47" s="26" t="s">
        <v>23</v>
      </c>
      <c r="C47" s="26">
        <v>1</v>
      </c>
      <c r="D47" s="29" t="s">
        <v>204</v>
      </c>
      <c r="E47" s="29" t="s">
        <v>216</v>
      </c>
      <c r="F47" s="26">
        <v>0</v>
      </c>
      <c r="G47" s="26">
        <v>0.25</v>
      </c>
      <c r="H47" s="26" t="s">
        <v>220</v>
      </c>
      <c r="I47" s="26">
        <v>500</v>
      </c>
      <c r="J47" s="26"/>
    </row>
    <row r="48" spans="1:10" ht="18" customHeight="1" x14ac:dyDescent="0.3">
      <c r="A48" s="16" t="s">
        <v>117</v>
      </c>
      <c r="B48" s="26" t="s">
        <v>23</v>
      </c>
      <c r="C48" s="26">
        <v>1</v>
      </c>
      <c r="D48" s="29" t="s">
        <v>204</v>
      </c>
      <c r="E48" s="29" t="s">
        <v>217</v>
      </c>
      <c r="F48" s="26">
        <v>0</v>
      </c>
      <c r="G48" s="26">
        <v>0.25</v>
      </c>
      <c r="H48" s="26" t="s">
        <v>220</v>
      </c>
      <c r="I48" s="26">
        <v>500</v>
      </c>
      <c r="J48" s="26"/>
    </row>
    <row r="49" spans="1:10" ht="18" customHeight="1" x14ac:dyDescent="0.3">
      <c r="A49" s="16" t="s">
        <v>117</v>
      </c>
      <c r="B49" s="26" t="s">
        <v>23</v>
      </c>
      <c r="C49" s="26">
        <v>1</v>
      </c>
      <c r="D49" s="29" t="s">
        <v>204</v>
      </c>
      <c r="E49" s="29" t="s">
        <v>218</v>
      </c>
      <c r="F49" s="26">
        <v>0</v>
      </c>
      <c r="G49" s="26">
        <v>0.25</v>
      </c>
      <c r="H49" s="26" t="s">
        <v>220</v>
      </c>
      <c r="I49" s="26">
        <v>500</v>
      </c>
      <c r="J49" s="26"/>
    </row>
    <row r="50" spans="1:10" ht="18" customHeight="1" x14ac:dyDescent="0.3">
      <c r="A50" s="16" t="s">
        <v>117</v>
      </c>
      <c r="B50" s="26" t="s">
        <v>23</v>
      </c>
      <c r="C50" s="26">
        <v>1</v>
      </c>
      <c r="D50" s="29" t="s">
        <v>204</v>
      </c>
      <c r="E50" s="29" t="s">
        <v>219</v>
      </c>
      <c r="F50" s="26">
        <v>0</v>
      </c>
      <c r="G50" s="26">
        <v>0.25</v>
      </c>
      <c r="H50" s="26" t="s">
        <v>220</v>
      </c>
      <c r="I50" s="26">
        <v>500</v>
      </c>
      <c r="J50" s="26"/>
    </row>
    <row r="51" spans="1:10" ht="18" customHeight="1" x14ac:dyDescent="0.3">
      <c r="A51" s="16" t="s">
        <v>117</v>
      </c>
      <c r="B51" s="26" t="s">
        <v>23</v>
      </c>
      <c r="C51" s="26">
        <v>1</v>
      </c>
      <c r="D51" s="29" t="s">
        <v>204</v>
      </c>
      <c r="E51" s="29" t="s">
        <v>221</v>
      </c>
      <c r="F51" s="26">
        <v>0</v>
      </c>
      <c r="G51" s="26">
        <v>0.4</v>
      </c>
      <c r="H51" s="26" t="s">
        <v>206</v>
      </c>
      <c r="I51" s="26">
        <v>100</v>
      </c>
      <c r="J51" s="26"/>
    </row>
    <row r="52" spans="1:10" ht="18" customHeight="1" x14ac:dyDescent="0.3">
      <c r="A52" s="16" t="s">
        <v>117</v>
      </c>
      <c r="B52" s="26" t="s">
        <v>23</v>
      </c>
      <c r="C52" s="26">
        <v>1</v>
      </c>
      <c r="D52" s="29" t="s">
        <v>204</v>
      </c>
      <c r="E52" s="29" t="s">
        <v>221</v>
      </c>
      <c r="F52" s="26">
        <v>0</v>
      </c>
      <c r="G52" s="26">
        <v>0.65</v>
      </c>
      <c r="H52" s="26" t="s">
        <v>220</v>
      </c>
      <c r="I52" s="26">
        <v>500</v>
      </c>
      <c r="J52" s="26"/>
    </row>
    <row r="53" spans="1:10" ht="18" customHeight="1" x14ac:dyDescent="0.3">
      <c r="A53" s="16" t="s">
        <v>117</v>
      </c>
      <c r="B53" s="26" t="s">
        <v>23</v>
      </c>
      <c r="C53" s="26">
        <v>1</v>
      </c>
      <c r="D53" s="29" t="s">
        <v>204</v>
      </c>
      <c r="E53" s="29" t="s">
        <v>222</v>
      </c>
      <c r="F53" s="26">
        <v>0</v>
      </c>
      <c r="G53" s="26">
        <v>0.65</v>
      </c>
      <c r="H53" s="26" t="s">
        <v>220</v>
      </c>
      <c r="I53" s="26">
        <v>500</v>
      </c>
      <c r="J53" s="26"/>
    </row>
    <row r="54" spans="1:10" ht="18" customHeight="1" x14ac:dyDescent="0.3">
      <c r="A54" s="16" t="s">
        <v>117</v>
      </c>
      <c r="B54" s="26" t="s">
        <v>23</v>
      </c>
      <c r="C54" s="26">
        <v>1</v>
      </c>
      <c r="D54" s="29" t="s">
        <v>204</v>
      </c>
      <c r="E54" s="29" t="s">
        <v>222</v>
      </c>
      <c r="F54" s="26">
        <v>0</v>
      </c>
      <c r="G54" s="26">
        <v>0.4</v>
      </c>
      <c r="H54" s="26" t="s">
        <v>206</v>
      </c>
      <c r="I54" s="26">
        <v>100</v>
      </c>
      <c r="J54" s="26"/>
    </row>
    <row r="55" spans="1:10" ht="18" customHeight="1" x14ac:dyDescent="0.3">
      <c r="A55" s="16" t="s">
        <v>117</v>
      </c>
      <c r="B55" s="26" t="s">
        <v>23</v>
      </c>
      <c r="C55" s="26">
        <v>1</v>
      </c>
      <c r="D55" s="29" t="s">
        <v>204</v>
      </c>
      <c r="E55" s="29" t="s">
        <v>223</v>
      </c>
      <c r="F55" s="26">
        <v>0</v>
      </c>
      <c r="G55" s="26">
        <v>0.4</v>
      </c>
      <c r="H55" s="26" t="s">
        <v>206</v>
      </c>
      <c r="I55" s="26">
        <v>100</v>
      </c>
      <c r="J55" s="26"/>
    </row>
    <row r="56" spans="1:10" ht="18" customHeight="1" x14ac:dyDescent="0.3">
      <c r="A56" s="16" t="s">
        <v>117</v>
      </c>
      <c r="B56" s="26" t="s">
        <v>23</v>
      </c>
      <c r="C56" s="26">
        <v>1</v>
      </c>
      <c r="D56" s="29" t="s">
        <v>204</v>
      </c>
      <c r="E56" s="29" t="s">
        <v>223</v>
      </c>
      <c r="F56" s="26">
        <v>0</v>
      </c>
      <c r="G56" s="26">
        <v>0.65</v>
      </c>
      <c r="H56" s="26" t="s">
        <v>220</v>
      </c>
      <c r="I56" s="26">
        <v>500</v>
      </c>
      <c r="J56" s="26"/>
    </row>
    <row r="57" spans="1:10" ht="18" customHeight="1" x14ac:dyDescent="0.3">
      <c r="A57" s="16" t="s">
        <v>117</v>
      </c>
      <c r="B57" s="26" t="s">
        <v>23</v>
      </c>
      <c r="C57" s="26">
        <v>1</v>
      </c>
      <c r="D57" s="29" t="s">
        <v>204</v>
      </c>
      <c r="E57" s="29" t="s">
        <v>224</v>
      </c>
      <c r="F57" s="26">
        <v>0</v>
      </c>
      <c r="G57" s="26">
        <v>0.65</v>
      </c>
      <c r="H57" s="26" t="s">
        <v>220</v>
      </c>
      <c r="I57" s="26">
        <v>500</v>
      </c>
      <c r="J57" s="26"/>
    </row>
    <row r="58" spans="1:10" ht="18" customHeight="1" x14ac:dyDescent="0.3">
      <c r="A58" s="16" t="s">
        <v>117</v>
      </c>
      <c r="B58" s="26" t="s">
        <v>23</v>
      </c>
      <c r="C58" s="26">
        <v>1</v>
      </c>
      <c r="D58" s="29" t="s">
        <v>204</v>
      </c>
      <c r="E58" s="29" t="s">
        <v>224</v>
      </c>
      <c r="F58" s="26">
        <v>0</v>
      </c>
      <c r="G58" s="26">
        <v>0.4</v>
      </c>
      <c r="H58" s="26" t="s">
        <v>206</v>
      </c>
      <c r="I58" s="26">
        <v>100</v>
      </c>
      <c r="J58" s="26"/>
    </row>
    <row r="59" spans="1:10" ht="18" customHeight="1" x14ac:dyDescent="0.3">
      <c r="A59" s="16" t="s">
        <v>117</v>
      </c>
      <c r="B59" s="26" t="s">
        <v>23</v>
      </c>
      <c r="C59" s="26">
        <v>1</v>
      </c>
      <c r="D59" s="29" t="s">
        <v>204</v>
      </c>
      <c r="E59" s="29" t="s">
        <v>225</v>
      </c>
      <c r="F59" s="26">
        <v>0</v>
      </c>
      <c r="G59" s="26">
        <v>0.3</v>
      </c>
      <c r="H59" s="26" t="s">
        <v>206</v>
      </c>
      <c r="I59" s="26">
        <v>100</v>
      </c>
      <c r="J59" s="26"/>
    </row>
    <row r="60" spans="1:10" ht="18" customHeight="1" x14ac:dyDescent="0.3">
      <c r="A60" s="16" t="s">
        <v>117</v>
      </c>
      <c r="B60" s="26" t="s">
        <v>23</v>
      </c>
      <c r="C60" s="26">
        <v>1</v>
      </c>
      <c r="D60" s="29" t="s">
        <v>204</v>
      </c>
      <c r="E60" s="29" t="s">
        <v>225</v>
      </c>
      <c r="F60" s="26">
        <v>0</v>
      </c>
      <c r="G60" s="26">
        <v>0.45</v>
      </c>
      <c r="H60" s="26" t="s">
        <v>220</v>
      </c>
      <c r="I60" s="26">
        <v>500</v>
      </c>
      <c r="J60" s="26"/>
    </row>
    <row r="61" spans="1:10" ht="18" customHeight="1" x14ac:dyDescent="0.3">
      <c r="A61" s="16" t="s">
        <v>117</v>
      </c>
      <c r="B61" s="26" t="s">
        <v>23</v>
      </c>
      <c r="C61" s="26">
        <v>1</v>
      </c>
      <c r="D61" s="29" t="s">
        <v>204</v>
      </c>
      <c r="E61" s="29" t="s">
        <v>226</v>
      </c>
      <c r="F61" s="26">
        <v>0</v>
      </c>
      <c r="G61" s="26">
        <v>0.45</v>
      </c>
      <c r="H61" s="26" t="s">
        <v>220</v>
      </c>
      <c r="I61" s="26">
        <v>500</v>
      </c>
      <c r="J61" s="26"/>
    </row>
    <row r="62" spans="1:10" ht="18" customHeight="1" x14ac:dyDescent="0.3">
      <c r="A62" s="16" t="s">
        <v>117</v>
      </c>
      <c r="B62" s="26" t="s">
        <v>23</v>
      </c>
      <c r="C62" s="26">
        <v>1</v>
      </c>
      <c r="D62" s="29" t="s">
        <v>204</v>
      </c>
      <c r="E62" s="29" t="s">
        <v>226</v>
      </c>
      <c r="F62" s="26">
        <v>0</v>
      </c>
      <c r="G62" s="26">
        <v>0.3</v>
      </c>
      <c r="H62" s="26" t="s">
        <v>206</v>
      </c>
      <c r="I62" s="26">
        <v>100</v>
      </c>
      <c r="J62" s="26"/>
    </row>
    <row r="63" spans="1:10" ht="18" customHeight="1" x14ac:dyDescent="0.3">
      <c r="A63" s="16" t="s">
        <v>117</v>
      </c>
      <c r="B63" s="26" t="s">
        <v>23</v>
      </c>
      <c r="C63" s="26">
        <v>1</v>
      </c>
      <c r="D63" s="29" t="s">
        <v>204</v>
      </c>
      <c r="E63" s="29" t="s">
        <v>227</v>
      </c>
      <c r="F63" s="26">
        <v>0</v>
      </c>
      <c r="G63" s="26">
        <v>0.3</v>
      </c>
      <c r="H63" s="26" t="s">
        <v>206</v>
      </c>
      <c r="I63" s="26">
        <v>100</v>
      </c>
      <c r="J63" s="26"/>
    </row>
    <row r="64" spans="1:10" ht="18" customHeight="1" x14ac:dyDescent="0.3">
      <c r="A64" s="16" t="s">
        <v>117</v>
      </c>
      <c r="B64" s="26" t="s">
        <v>23</v>
      </c>
      <c r="C64" s="26">
        <v>1</v>
      </c>
      <c r="D64" s="29" t="s">
        <v>204</v>
      </c>
      <c r="E64" s="29" t="s">
        <v>227</v>
      </c>
      <c r="F64" s="26">
        <v>0</v>
      </c>
      <c r="G64" s="26">
        <v>0.45</v>
      </c>
      <c r="H64" s="26" t="s">
        <v>220</v>
      </c>
      <c r="I64" s="26">
        <v>500</v>
      </c>
      <c r="J64" s="26"/>
    </row>
    <row r="65" spans="1:10" ht="18" customHeight="1" x14ac:dyDescent="0.3">
      <c r="A65" s="16" t="s">
        <v>117</v>
      </c>
      <c r="B65" s="26" t="s">
        <v>23</v>
      </c>
      <c r="C65" s="26">
        <v>1</v>
      </c>
      <c r="D65" s="29" t="s">
        <v>204</v>
      </c>
      <c r="E65" s="29" t="s">
        <v>228</v>
      </c>
      <c r="F65" s="26">
        <v>0</v>
      </c>
      <c r="G65" s="26">
        <v>0.3</v>
      </c>
      <c r="H65" s="26" t="s">
        <v>206</v>
      </c>
      <c r="I65" s="26">
        <v>100</v>
      </c>
      <c r="J65" s="26"/>
    </row>
    <row r="66" spans="1:10" ht="18" customHeight="1" x14ac:dyDescent="0.3">
      <c r="A66" s="16" t="s">
        <v>117</v>
      </c>
      <c r="B66" s="26" t="s">
        <v>23</v>
      </c>
      <c r="C66" s="26">
        <v>1</v>
      </c>
      <c r="D66" s="29" t="s">
        <v>204</v>
      </c>
      <c r="E66" s="29" t="s">
        <v>229</v>
      </c>
      <c r="F66" s="26">
        <v>0</v>
      </c>
      <c r="G66" s="26">
        <v>0.2</v>
      </c>
      <c r="H66" s="26" t="s">
        <v>206</v>
      </c>
      <c r="I66" s="26">
        <v>100</v>
      </c>
      <c r="J66" s="26"/>
    </row>
    <row r="67" spans="1:10" ht="18" customHeight="1" x14ac:dyDescent="0.3">
      <c r="A67" s="16" t="s">
        <v>117</v>
      </c>
      <c r="B67" s="26" t="s">
        <v>23</v>
      </c>
      <c r="C67" s="26">
        <v>1</v>
      </c>
      <c r="D67" s="29" t="s">
        <v>204</v>
      </c>
      <c r="E67" s="29" t="s">
        <v>230</v>
      </c>
      <c r="F67" s="26">
        <v>0</v>
      </c>
      <c r="G67" s="26">
        <v>0.2</v>
      </c>
      <c r="H67" s="26" t="s">
        <v>206</v>
      </c>
      <c r="I67" s="26">
        <v>100</v>
      </c>
      <c r="J67" s="26"/>
    </row>
    <row r="68" spans="1:10" ht="18" customHeight="1" x14ac:dyDescent="0.3">
      <c r="A68" s="16" t="s">
        <v>117</v>
      </c>
      <c r="B68" s="26" t="s">
        <v>23</v>
      </c>
      <c r="C68" s="26">
        <v>1</v>
      </c>
      <c r="D68" s="29" t="s">
        <v>204</v>
      </c>
      <c r="E68" s="29" t="s">
        <v>231</v>
      </c>
      <c r="F68" s="26">
        <v>0</v>
      </c>
      <c r="G68" s="26">
        <v>0.2</v>
      </c>
      <c r="H68" s="26" t="s">
        <v>206</v>
      </c>
      <c r="I68" s="26">
        <v>100</v>
      </c>
      <c r="J68" s="26"/>
    </row>
    <row r="69" spans="1:10" ht="18" customHeight="1" x14ac:dyDescent="0.3">
      <c r="A69" s="16" t="s">
        <v>117</v>
      </c>
      <c r="B69" s="26" t="s">
        <v>23</v>
      </c>
      <c r="C69" s="26">
        <v>1</v>
      </c>
      <c r="D69" s="29" t="s">
        <v>204</v>
      </c>
      <c r="E69" s="29" t="s">
        <v>232</v>
      </c>
      <c r="F69" s="26">
        <v>0</v>
      </c>
      <c r="G69" s="26">
        <v>0.2</v>
      </c>
      <c r="H69" s="26" t="s">
        <v>206</v>
      </c>
      <c r="I69" s="26">
        <v>100</v>
      </c>
      <c r="J69" s="26"/>
    </row>
    <row r="70" spans="1:10" ht="18" customHeight="1" x14ac:dyDescent="0.3">
      <c r="A70" s="16" t="s">
        <v>117</v>
      </c>
      <c r="B70" s="26" t="s">
        <v>23</v>
      </c>
      <c r="C70" s="26">
        <v>1</v>
      </c>
      <c r="D70" s="29" t="s">
        <v>204</v>
      </c>
      <c r="E70" s="29" t="s">
        <v>228</v>
      </c>
      <c r="F70" s="26">
        <v>0</v>
      </c>
      <c r="G70" s="26">
        <v>0.45</v>
      </c>
      <c r="H70" s="26" t="s">
        <v>220</v>
      </c>
      <c r="I70" s="26">
        <v>500</v>
      </c>
      <c r="J70" s="26"/>
    </row>
    <row r="71" spans="1:10" ht="18" customHeight="1" x14ac:dyDescent="0.3">
      <c r="A71" s="16" t="s">
        <v>117</v>
      </c>
      <c r="B71" s="26" t="s">
        <v>23</v>
      </c>
      <c r="C71" s="26">
        <v>1</v>
      </c>
      <c r="D71" s="29" t="s">
        <v>204</v>
      </c>
      <c r="E71" s="29" t="s">
        <v>229</v>
      </c>
      <c r="F71" s="26">
        <v>0</v>
      </c>
      <c r="G71" s="26">
        <v>0.35</v>
      </c>
      <c r="H71" s="26" t="s">
        <v>220</v>
      </c>
      <c r="I71" s="26">
        <v>500</v>
      </c>
      <c r="J71" s="26"/>
    </row>
    <row r="72" spans="1:10" ht="18" customHeight="1" x14ac:dyDescent="0.3">
      <c r="A72" s="16" t="s">
        <v>117</v>
      </c>
      <c r="B72" s="26" t="s">
        <v>23</v>
      </c>
      <c r="C72" s="26">
        <v>1</v>
      </c>
      <c r="D72" s="29" t="s">
        <v>204</v>
      </c>
      <c r="E72" s="29" t="s">
        <v>230</v>
      </c>
      <c r="F72" s="26">
        <v>0</v>
      </c>
      <c r="G72" s="26">
        <v>0.35</v>
      </c>
      <c r="H72" s="26" t="s">
        <v>220</v>
      </c>
      <c r="I72" s="26">
        <v>500</v>
      </c>
      <c r="J72" s="26"/>
    </row>
    <row r="73" spans="1:10" ht="18" customHeight="1" x14ac:dyDescent="0.3">
      <c r="A73" s="16" t="s">
        <v>117</v>
      </c>
      <c r="B73" s="26" t="s">
        <v>23</v>
      </c>
      <c r="C73" s="26">
        <v>1</v>
      </c>
      <c r="D73" s="29" t="s">
        <v>204</v>
      </c>
      <c r="E73" s="29" t="s">
        <v>231</v>
      </c>
      <c r="F73" s="26">
        <v>0</v>
      </c>
      <c r="G73" s="26">
        <v>0.35</v>
      </c>
      <c r="H73" s="26" t="s">
        <v>220</v>
      </c>
      <c r="I73" s="26">
        <v>500</v>
      </c>
      <c r="J73" s="26"/>
    </row>
    <row r="74" spans="1:10" ht="18" customHeight="1" x14ac:dyDescent="0.3">
      <c r="A74" s="16" t="s">
        <v>117</v>
      </c>
      <c r="B74" s="26" t="s">
        <v>23</v>
      </c>
      <c r="C74" s="26">
        <v>1</v>
      </c>
      <c r="D74" s="29" t="s">
        <v>204</v>
      </c>
      <c r="E74" s="29" t="s">
        <v>232</v>
      </c>
      <c r="F74" s="26">
        <v>0</v>
      </c>
      <c r="G74" s="26">
        <v>0.35</v>
      </c>
      <c r="H74" s="26" t="s">
        <v>220</v>
      </c>
      <c r="I74" s="26">
        <v>500</v>
      </c>
      <c r="J74" s="26"/>
    </row>
    <row r="75" spans="1:10" ht="18" customHeight="1" x14ac:dyDescent="0.3">
      <c r="A75" s="16" t="s">
        <v>117</v>
      </c>
      <c r="B75" s="26" t="s">
        <v>23</v>
      </c>
      <c r="C75" s="26">
        <v>1</v>
      </c>
      <c r="D75" s="29" t="s">
        <v>204</v>
      </c>
      <c r="E75" s="29" t="s">
        <v>233</v>
      </c>
      <c r="F75" s="26">
        <v>0</v>
      </c>
      <c r="G75" s="26">
        <v>0.45</v>
      </c>
      <c r="H75" s="26" t="s">
        <v>206</v>
      </c>
      <c r="I75" s="26">
        <v>100</v>
      </c>
      <c r="J75" s="26"/>
    </row>
    <row r="76" spans="1:10" ht="18" customHeight="1" x14ac:dyDescent="0.3">
      <c r="A76" s="16" t="s">
        <v>117</v>
      </c>
      <c r="B76" s="26" t="s">
        <v>23</v>
      </c>
      <c r="C76" s="26">
        <v>1</v>
      </c>
      <c r="D76" s="29" t="s">
        <v>204</v>
      </c>
      <c r="E76" s="29" t="s">
        <v>233</v>
      </c>
      <c r="F76" s="26">
        <v>0</v>
      </c>
      <c r="G76" s="26">
        <v>0.45</v>
      </c>
      <c r="H76" s="26" t="s">
        <v>220</v>
      </c>
      <c r="I76" s="26">
        <v>500</v>
      </c>
      <c r="J76" s="26"/>
    </row>
    <row r="77" spans="1:10" ht="18" customHeight="1" x14ac:dyDescent="0.3">
      <c r="A77" s="16" t="s">
        <v>117</v>
      </c>
      <c r="B77" s="26" t="s">
        <v>23</v>
      </c>
      <c r="C77" s="26">
        <v>1</v>
      </c>
      <c r="D77" s="29" t="s">
        <v>234</v>
      </c>
      <c r="E77" s="29" t="s">
        <v>202</v>
      </c>
      <c r="F77" s="26">
        <v>0</v>
      </c>
      <c r="G77" s="26">
        <v>0.5</v>
      </c>
      <c r="H77" s="26"/>
      <c r="I77" s="26">
        <v>0</v>
      </c>
      <c r="J77" s="26"/>
    </row>
    <row r="78" spans="1:10" ht="18" customHeight="1" x14ac:dyDescent="0.3">
      <c r="A78" s="16" t="s">
        <v>117</v>
      </c>
      <c r="B78" s="26" t="s">
        <v>23</v>
      </c>
      <c r="C78" s="26">
        <v>1</v>
      </c>
      <c r="D78" s="29" t="s">
        <v>234</v>
      </c>
      <c r="E78" s="29" t="s">
        <v>195</v>
      </c>
      <c r="F78" s="26">
        <v>0</v>
      </c>
      <c r="G78" s="26">
        <v>0.3</v>
      </c>
      <c r="H78" s="26"/>
      <c r="I78" s="26">
        <v>0</v>
      </c>
      <c r="J78" s="26"/>
    </row>
    <row r="79" spans="1:10" ht="18" customHeight="1" x14ac:dyDescent="0.3">
      <c r="A79" s="16" t="s">
        <v>117</v>
      </c>
      <c r="B79" s="26" t="s">
        <v>23</v>
      </c>
      <c r="C79" s="26">
        <v>1</v>
      </c>
      <c r="D79" s="29" t="s">
        <v>234</v>
      </c>
      <c r="E79" s="29" t="s">
        <v>196</v>
      </c>
      <c r="F79" s="26">
        <v>0</v>
      </c>
      <c r="G79" s="26">
        <v>0.7</v>
      </c>
      <c r="H79" s="26"/>
      <c r="I79" s="26">
        <v>0</v>
      </c>
      <c r="J79" s="26"/>
    </row>
    <row r="80" spans="1:10" ht="18" customHeight="1" x14ac:dyDescent="0.3">
      <c r="A80" s="16" t="s">
        <v>117</v>
      </c>
      <c r="B80" s="26" t="s">
        <v>23</v>
      </c>
      <c r="C80" s="26">
        <v>1</v>
      </c>
      <c r="D80" s="29" t="s">
        <v>234</v>
      </c>
      <c r="E80" s="29" t="s">
        <v>198</v>
      </c>
      <c r="F80" s="26">
        <v>0</v>
      </c>
      <c r="G80" s="26">
        <v>0.7</v>
      </c>
      <c r="H80" s="26"/>
      <c r="I80" s="26">
        <v>0</v>
      </c>
      <c r="J80" s="26"/>
    </row>
    <row r="81" spans="1:10" ht="18" customHeight="1" x14ac:dyDescent="0.3">
      <c r="A81" s="16" t="s">
        <v>117</v>
      </c>
      <c r="B81" s="26" t="s">
        <v>23</v>
      </c>
      <c r="C81" s="26">
        <v>1</v>
      </c>
      <c r="D81" s="29" t="s">
        <v>234</v>
      </c>
      <c r="E81" s="29" t="s">
        <v>197</v>
      </c>
      <c r="F81" s="26">
        <v>0</v>
      </c>
      <c r="G81" s="26">
        <v>0.3</v>
      </c>
      <c r="H81" s="26"/>
      <c r="I81" s="26">
        <v>0</v>
      </c>
      <c r="J81" s="26"/>
    </row>
    <row r="82" spans="1:10" ht="18" customHeight="1" x14ac:dyDescent="0.3">
      <c r="A82" s="16" t="s">
        <v>117</v>
      </c>
      <c r="B82" s="26" t="s">
        <v>23</v>
      </c>
      <c r="C82" s="26">
        <v>1</v>
      </c>
      <c r="D82" s="29" t="s">
        <v>234</v>
      </c>
      <c r="E82" s="29" t="s">
        <v>200</v>
      </c>
      <c r="F82" s="26">
        <v>0</v>
      </c>
      <c r="G82" s="26">
        <v>0.75</v>
      </c>
      <c r="H82" s="26"/>
      <c r="I82" s="26">
        <v>0</v>
      </c>
      <c r="J82" s="26"/>
    </row>
    <row r="83" spans="1:10" ht="18" customHeight="1" x14ac:dyDescent="0.3">
      <c r="A83" s="16" t="s">
        <v>117</v>
      </c>
      <c r="B83" s="26" t="s">
        <v>23</v>
      </c>
      <c r="C83" s="26">
        <v>1</v>
      </c>
      <c r="D83" s="29" t="s">
        <v>234</v>
      </c>
      <c r="E83" s="29" t="s">
        <v>194</v>
      </c>
      <c r="F83" s="26">
        <v>0</v>
      </c>
      <c r="G83" s="26">
        <v>0.15</v>
      </c>
      <c r="H83" s="26"/>
      <c r="I83" s="26">
        <v>0</v>
      </c>
      <c r="J83" s="26"/>
    </row>
    <row r="84" spans="1:10" x14ac:dyDescent="0.3">
      <c r="A84" s="16" t="s">
        <v>353</v>
      </c>
      <c r="B84" s="26" t="s">
        <v>23</v>
      </c>
      <c r="C84" s="26">
        <v>1</v>
      </c>
      <c r="D84" s="29" t="s">
        <v>191</v>
      </c>
      <c r="E84" s="29" t="s">
        <v>357</v>
      </c>
      <c r="F84" s="26">
        <v>0</v>
      </c>
      <c r="G84" s="26">
        <v>0.15</v>
      </c>
      <c r="H84" s="26"/>
      <c r="I84" s="26">
        <v>0</v>
      </c>
    </row>
    <row r="85" spans="1:10" x14ac:dyDescent="0.3">
      <c r="A85" s="16" t="s">
        <v>353</v>
      </c>
      <c r="B85" s="26" t="s">
        <v>23</v>
      </c>
      <c r="C85" s="26">
        <v>1</v>
      </c>
      <c r="D85" s="29" t="s">
        <v>193</v>
      </c>
      <c r="E85" s="29" t="s">
        <v>202</v>
      </c>
      <c r="F85" s="26">
        <v>0</v>
      </c>
      <c r="G85" s="26">
        <v>0.1</v>
      </c>
      <c r="H85" s="26"/>
      <c r="I85" s="26">
        <v>0</v>
      </c>
    </row>
    <row r="86" spans="1:10" x14ac:dyDescent="0.3">
      <c r="A86" s="16" t="s">
        <v>353</v>
      </c>
      <c r="B86" s="26" t="s">
        <v>23</v>
      </c>
      <c r="C86" s="26">
        <v>1</v>
      </c>
      <c r="D86" s="29" t="s">
        <v>201</v>
      </c>
      <c r="E86" s="29" t="s">
        <v>202</v>
      </c>
      <c r="F86" s="26">
        <v>0</v>
      </c>
      <c r="G86" s="26">
        <v>0.05</v>
      </c>
      <c r="H86" s="26"/>
      <c r="I86" s="26">
        <v>0</v>
      </c>
    </row>
    <row r="87" spans="1:10" x14ac:dyDescent="0.3">
      <c r="A87" s="16" t="s">
        <v>353</v>
      </c>
      <c r="B87" s="26" t="s">
        <v>23</v>
      </c>
      <c r="C87" s="26">
        <v>1</v>
      </c>
      <c r="D87" s="29" t="s">
        <v>201</v>
      </c>
      <c r="E87" s="29" t="s">
        <v>200</v>
      </c>
      <c r="F87" s="26">
        <v>0</v>
      </c>
      <c r="G87" s="26">
        <v>0.1</v>
      </c>
      <c r="H87" s="26"/>
      <c r="I87" s="26">
        <v>0</v>
      </c>
    </row>
    <row r="88" spans="1:10" x14ac:dyDescent="0.3">
      <c r="A88" s="16" t="s">
        <v>353</v>
      </c>
      <c r="B88" s="26" t="s">
        <v>23</v>
      </c>
      <c r="C88" s="26">
        <v>1</v>
      </c>
      <c r="D88" s="29" t="s">
        <v>201</v>
      </c>
      <c r="E88" s="29" t="s">
        <v>194</v>
      </c>
      <c r="F88" s="26">
        <v>0</v>
      </c>
      <c r="G88" s="26">
        <v>0.1</v>
      </c>
      <c r="H88" s="26"/>
      <c r="I88" s="26">
        <v>0</v>
      </c>
    </row>
    <row r="89" spans="1:10" x14ac:dyDescent="0.3">
      <c r="A89" s="16" t="s">
        <v>353</v>
      </c>
      <c r="B89" s="26" t="s">
        <v>23</v>
      </c>
      <c r="C89" s="26">
        <v>1</v>
      </c>
      <c r="D89" s="29" t="s">
        <v>201</v>
      </c>
      <c r="E89" s="29" t="s">
        <v>203</v>
      </c>
      <c r="F89" s="26">
        <v>0</v>
      </c>
      <c r="G89" s="26">
        <v>0</v>
      </c>
      <c r="H89" s="26"/>
      <c r="I89" s="26">
        <v>0</v>
      </c>
    </row>
    <row r="90" spans="1:10" x14ac:dyDescent="0.3">
      <c r="A90" s="16" t="s">
        <v>353</v>
      </c>
      <c r="B90" s="26" t="s">
        <v>23</v>
      </c>
      <c r="C90" s="26">
        <v>1</v>
      </c>
      <c r="D90" s="29" t="s">
        <v>204</v>
      </c>
      <c r="E90" s="29" t="s">
        <v>205</v>
      </c>
      <c r="F90" s="26">
        <v>0</v>
      </c>
      <c r="G90" s="26">
        <v>0.35</v>
      </c>
      <c r="H90" s="26" t="s">
        <v>206</v>
      </c>
      <c r="I90" s="26">
        <v>100</v>
      </c>
    </row>
    <row r="91" spans="1:10" x14ac:dyDescent="0.3">
      <c r="A91" s="16" t="s">
        <v>353</v>
      </c>
      <c r="B91" s="26" t="s">
        <v>23</v>
      </c>
      <c r="C91" s="26">
        <v>1</v>
      </c>
      <c r="D91" s="29" t="s">
        <v>204</v>
      </c>
      <c r="E91" s="29" t="s">
        <v>207</v>
      </c>
      <c r="F91" s="26">
        <v>0</v>
      </c>
      <c r="G91" s="26">
        <v>0.3</v>
      </c>
      <c r="H91" s="26" t="s">
        <v>206</v>
      </c>
      <c r="I91" s="26">
        <v>100</v>
      </c>
    </row>
    <row r="92" spans="1:10" x14ac:dyDescent="0.3">
      <c r="A92" s="16" t="s">
        <v>353</v>
      </c>
      <c r="B92" s="26" t="s">
        <v>23</v>
      </c>
      <c r="C92" s="26">
        <v>1</v>
      </c>
      <c r="D92" s="29" t="s">
        <v>204</v>
      </c>
      <c r="E92" s="29" t="s">
        <v>208</v>
      </c>
      <c r="F92" s="26">
        <v>0</v>
      </c>
      <c r="G92" s="26">
        <v>0.3</v>
      </c>
      <c r="H92" s="26" t="s">
        <v>206</v>
      </c>
      <c r="I92" s="26">
        <v>100</v>
      </c>
    </row>
    <row r="93" spans="1:10" x14ac:dyDescent="0.3">
      <c r="A93" s="16" t="s">
        <v>353</v>
      </c>
      <c r="B93" s="26" t="s">
        <v>23</v>
      </c>
      <c r="C93" s="26">
        <v>1</v>
      </c>
      <c r="D93" s="29" t="s">
        <v>204</v>
      </c>
      <c r="E93" s="29" t="s">
        <v>211</v>
      </c>
      <c r="F93" s="26">
        <v>0</v>
      </c>
      <c r="G93" s="26">
        <v>0.3</v>
      </c>
      <c r="H93" s="26" t="s">
        <v>206</v>
      </c>
      <c r="I93" s="26">
        <v>100</v>
      </c>
    </row>
    <row r="94" spans="1:10" x14ac:dyDescent="0.3">
      <c r="A94" s="16" t="s">
        <v>353</v>
      </c>
      <c r="B94" s="26" t="s">
        <v>23</v>
      </c>
      <c r="C94" s="26">
        <v>1</v>
      </c>
      <c r="D94" s="29" t="s">
        <v>204</v>
      </c>
      <c r="E94" s="29" t="s">
        <v>214</v>
      </c>
      <c r="F94" s="26">
        <v>0</v>
      </c>
      <c r="G94" s="26">
        <v>0.3</v>
      </c>
      <c r="H94" s="26" t="s">
        <v>206</v>
      </c>
      <c r="I94" s="26">
        <v>100</v>
      </c>
    </row>
    <row r="95" spans="1:10" x14ac:dyDescent="0.3">
      <c r="A95" s="16" t="s">
        <v>353</v>
      </c>
      <c r="B95" s="26" t="s">
        <v>23</v>
      </c>
      <c r="C95" s="26">
        <v>1</v>
      </c>
      <c r="D95" s="29" t="s">
        <v>204</v>
      </c>
      <c r="E95" s="29" t="s">
        <v>205</v>
      </c>
      <c r="F95" s="26">
        <v>0</v>
      </c>
      <c r="G95" s="26">
        <v>0.5</v>
      </c>
      <c r="H95" s="26" t="s">
        <v>220</v>
      </c>
      <c r="I95" s="26">
        <v>500</v>
      </c>
    </row>
    <row r="96" spans="1:10" x14ac:dyDescent="0.3">
      <c r="A96" s="16" t="s">
        <v>353</v>
      </c>
      <c r="B96" s="26" t="s">
        <v>23</v>
      </c>
      <c r="C96" s="26">
        <v>1</v>
      </c>
      <c r="D96" s="29" t="s">
        <v>204</v>
      </c>
      <c r="E96" s="29" t="s">
        <v>207</v>
      </c>
      <c r="F96" s="26">
        <v>0</v>
      </c>
      <c r="G96" s="26">
        <v>0.5</v>
      </c>
      <c r="H96" s="26" t="s">
        <v>220</v>
      </c>
      <c r="I96" s="26">
        <v>500</v>
      </c>
    </row>
    <row r="97" spans="1:9" x14ac:dyDescent="0.3">
      <c r="A97" s="16" t="s">
        <v>353</v>
      </c>
      <c r="B97" s="26" t="s">
        <v>23</v>
      </c>
      <c r="C97" s="26">
        <v>1</v>
      </c>
      <c r="D97" s="29" t="s">
        <v>204</v>
      </c>
      <c r="E97" s="29" t="s">
        <v>208</v>
      </c>
      <c r="F97" s="26">
        <v>0</v>
      </c>
      <c r="G97" s="26">
        <v>0.5</v>
      </c>
      <c r="H97" s="26" t="s">
        <v>220</v>
      </c>
      <c r="I97" s="26">
        <v>500</v>
      </c>
    </row>
    <row r="98" spans="1:9" x14ac:dyDescent="0.3">
      <c r="A98" s="16" t="s">
        <v>353</v>
      </c>
      <c r="B98" s="26" t="s">
        <v>23</v>
      </c>
      <c r="C98" s="26">
        <v>1</v>
      </c>
      <c r="D98" s="29" t="s">
        <v>204</v>
      </c>
      <c r="E98" s="29" t="s">
        <v>211</v>
      </c>
      <c r="F98" s="26">
        <v>0</v>
      </c>
      <c r="G98" s="26">
        <v>0.5</v>
      </c>
      <c r="H98" s="26" t="s">
        <v>220</v>
      </c>
      <c r="I98" s="26">
        <v>500</v>
      </c>
    </row>
    <row r="99" spans="1:9" x14ac:dyDescent="0.3">
      <c r="A99" s="16" t="s">
        <v>353</v>
      </c>
      <c r="B99" s="26" t="s">
        <v>23</v>
      </c>
      <c r="C99" s="26">
        <v>1</v>
      </c>
      <c r="D99" s="29" t="s">
        <v>204</v>
      </c>
      <c r="E99" s="29" t="s">
        <v>214</v>
      </c>
      <c r="F99" s="26">
        <v>0</v>
      </c>
      <c r="G99" s="26">
        <v>0.5</v>
      </c>
      <c r="H99" s="26" t="s">
        <v>220</v>
      </c>
      <c r="I99" s="26">
        <v>500</v>
      </c>
    </row>
    <row r="100" spans="1:9" x14ac:dyDescent="0.3">
      <c r="A100" s="16" t="s">
        <v>353</v>
      </c>
      <c r="B100" s="26" t="s">
        <v>23</v>
      </c>
      <c r="C100" s="26">
        <v>1</v>
      </c>
      <c r="D100" s="29" t="s">
        <v>204</v>
      </c>
      <c r="E100" s="29" t="s">
        <v>221</v>
      </c>
      <c r="F100" s="26">
        <v>0</v>
      </c>
      <c r="G100" s="26">
        <v>0.4</v>
      </c>
      <c r="H100" s="26" t="s">
        <v>206</v>
      </c>
      <c r="I100" s="26">
        <v>100</v>
      </c>
    </row>
    <row r="101" spans="1:9" x14ac:dyDescent="0.3">
      <c r="A101" s="16" t="s">
        <v>353</v>
      </c>
      <c r="B101" s="26" t="s">
        <v>23</v>
      </c>
      <c r="C101" s="26">
        <v>1</v>
      </c>
      <c r="D101" s="29" t="s">
        <v>204</v>
      </c>
      <c r="E101" s="29" t="s">
        <v>221</v>
      </c>
      <c r="F101" s="26">
        <v>0</v>
      </c>
      <c r="G101" s="26">
        <v>0.65</v>
      </c>
      <c r="H101" s="26" t="s">
        <v>220</v>
      </c>
      <c r="I101" s="26">
        <v>500</v>
      </c>
    </row>
    <row r="102" spans="1:9" x14ac:dyDescent="0.3">
      <c r="A102" s="16" t="s">
        <v>353</v>
      </c>
      <c r="B102" s="26" t="s">
        <v>23</v>
      </c>
      <c r="C102" s="26">
        <v>1</v>
      </c>
      <c r="D102" s="29" t="s">
        <v>204</v>
      </c>
      <c r="E102" s="29" t="s">
        <v>222</v>
      </c>
      <c r="F102" s="26">
        <v>0</v>
      </c>
      <c r="G102" s="26">
        <v>0.65</v>
      </c>
      <c r="H102" s="26" t="s">
        <v>220</v>
      </c>
      <c r="I102" s="26">
        <v>500</v>
      </c>
    </row>
    <row r="103" spans="1:9" x14ac:dyDescent="0.3">
      <c r="A103" s="16" t="s">
        <v>353</v>
      </c>
      <c r="B103" s="26" t="s">
        <v>23</v>
      </c>
      <c r="C103" s="26">
        <v>1</v>
      </c>
      <c r="D103" s="29" t="s">
        <v>204</v>
      </c>
      <c r="E103" s="29" t="s">
        <v>222</v>
      </c>
      <c r="F103" s="26">
        <v>0</v>
      </c>
      <c r="G103" s="26">
        <v>0.4</v>
      </c>
      <c r="H103" s="26" t="s">
        <v>206</v>
      </c>
      <c r="I103" s="26">
        <v>100</v>
      </c>
    </row>
    <row r="104" spans="1:9" x14ac:dyDescent="0.3">
      <c r="A104" s="16" t="s">
        <v>353</v>
      </c>
      <c r="B104" s="26" t="s">
        <v>23</v>
      </c>
      <c r="C104" s="26">
        <v>1</v>
      </c>
      <c r="D104" s="29" t="s">
        <v>204</v>
      </c>
      <c r="E104" s="29" t="s">
        <v>223</v>
      </c>
      <c r="F104" s="26">
        <v>0</v>
      </c>
      <c r="G104" s="26">
        <v>0.4</v>
      </c>
      <c r="H104" s="26" t="s">
        <v>206</v>
      </c>
      <c r="I104" s="26">
        <v>100</v>
      </c>
    </row>
    <row r="105" spans="1:9" x14ac:dyDescent="0.3">
      <c r="A105" s="16" t="s">
        <v>353</v>
      </c>
      <c r="B105" s="26" t="s">
        <v>23</v>
      </c>
      <c r="C105" s="26">
        <v>1</v>
      </c>
      <c r="D105" s="29" t="s">
        <v>204</v>
      </c>
      <c r="E105" s="29" t="s">
        <v>223</v>
      </c>
      <c r="F105" s="26">
        <v>0</v>
      </c>
      <c r="G105" s="26">
        <v>0.65</v>
      </c>
      <c r="H105" s="26" t="s">
        <v>220</v>
      </c>
      <c r="I105" s="26">
        <v>500</v>
      </c>
    </row>
    <row r="106" spans="1:9" x14ac:dyDescent="0.3">
      <c r="A106" s="16" t="s">
        <v>353</v>
      </c>
      <c r="B106" s="26" t="s">
        <v>23</v>
      </c>
      <c r="C106" s="26">
        <v>1</v>
      </c>
      <c r="D106" s="29" t="s">
        <v>204</v>
      </c>
      <c r="E106" s="29" t="s">
        <v>233</v>
      </c>
      <c r="F106" s="26">
        <v>0</v>
      </c>
      <c r="G106" s="26">
        <v>0.45</v>
      </c>
      <c r="H106" s="26" t="s">
        <v>206</v>
      </c>
      <c r="I106" s="26">
        <v>100</v>
      </c>
    </row>
    <row r="107" spans="1:9" x14ac:dyDescent="0.3">
      <c r="A107" s="16" t="s">
        <v>353</v>
      </c>
      <c r="B107" s="26" t="s">
        <v>23</v>
      </c>
      <c r="C107" s="26">
        <v>1</v>
      </c>
      <c r="D107" s="29" t="s">
        <v>204</v>
      </c>
      <c r="E107" s="29" t="s">
        <v>233</v>
      </c>
      <c r="F107" s="26">
        <v>0</v>
      </c>
      <c r="G107" s="26">
        <v>0.45</v>
      </c>
      <c r="H107" s="26" t="s">
        <v>220</v>
      </c>
      <c r="I107" s="26">
        <v>500</v>
      </c>
    </row>
    <row r="108" spans="1:9" x14ac:dyDescent="0.3">
      <c r="A108" s="16" t="s">
        <v>353</v>
      </c>
      <c r="B108" s="26" t="s">
        <v>23</v>
      </c>
      <c r="C108" s="26">
        <v>1</v>
      </c>
      <c r="D108" s="29" t="s">
        <v>234</v>
      </c>
      <c r="E108" s="29" t="s">
        <v>202</v>
      </c>
      <c r="F108" s="26">
        <v>0</v>
      </c>
      <c r="G108" s="26">
        <v>0.5</v>
      </c>
      <c r="H108" s="26"/>
      <c r="I108" s="26">
        <v>0</v>
      </c>
    </row>
    <row r="109" spans="1:9" x14ac:dyDescent="0.3">
      <c r="A109" s="16" t="s">
        <v>353</v>
      </c>
      <c r="B109" s="26" t="s">
        <v>23</v>
      </c>
      <c r="C109" s="26">
        <v>1</v>
      </c>
      <c r="D109" s="29" t="s">
        <v>234</v>
      </c>
      <c r="E109" s="29" t="s">
        <v>200</v>
      </c>
      <c r="F109" s="26">
        <v>0</v>
      </c>
      <c r="G109" s="26">
        <v>0.75</v>
      </c>
      <c r="H109" s="26"/>
      <c r="I109" s="26">
        <v>0</v>
      </c>
    </row>
  </sheetData>
  <mergeCells count="4">
    <mergeCell ref="A1:J1"/>
    <mergeCell ref="D2:E2"/>
    <mergeCell ref="F2:I2"/>
    <mergeCell ref="A2:B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50" t="s">
        <v>44</v>
      </c>
      <c r="B1" s="46"/>
    </row>
    <row r="2" spans="1:2" ht="15.75" customHeight="1" x14ac:dyDescent="0.3">
      <c r="A2" s="2" t="s">
        <v>45</v>
      </c>
      <c r="B2" s="3" t="s">
        <v>46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47</v>
      </c>
      <c r="B4" s="3"/>
    </row>
    <row r="5" spans="1:2" ht="15.75" customHeight="1" x14ac:dyDescent="0.3">
      <c r="A5" s="6" t="s">
        <v>48</v>
      </c>
      <c r="B5" s="7" t="s">
        <v>49</v>
      </c>
    </row>
    <row r="6" spans="1:2" ht="15.75" customHeight="1" x14ac:dyDescent="0.3">
      <c r="A6" s="6" t="s">
        <v>50</v>
      </c>
      <c r="B6" s="7" t="s">
        <v>51</v>
      </c>
    </row>
    <row r="7" spans="1:2" ht="15.75" customHeight="1" x14ac:dyDescent="0.3">
      <c r="A7" s="6" t="s">
        <v>52</v>
      </c>
      <c r="B7" s="7" t="s">
        <v>53</v>
      </c>
    </row>
    <row r="8" spans="1:2" ht="15.75" customHeight="1" x14ac:dyDescent="0.3">
      <c r="A8" s="6" t="s">
        <v>54</v>
      </c>
      <c r="B8" s="7" t="s">
        <v>55</v>
      </c>
    </row>
    <row r="9" spans="1:2" ht="15.75" customHeight="1" x14ac:dyDescent="0.3">
      <c r="A9" s="6" t="s">
        <v>56</v>
      </c>
      <c r="B9" s="7" t="s">
        <v>57</v>
      </c>
    </row>
    <row r="10" spans="1:2" ht="15.75" customHeight="1" x14ac:dyDescent="0.3">
      <c r="A10" s="6" t="s">
        <v>58</v>
      </c>
      <c r="B10" s="7" t="s">
        <v>59</v>
      </c>
    </row>
    <row r="11" spans="1:2" ht="15.75" customHeight="1" x14ac:dyDescent="0.3">
      <c r="A11" s="6" t="s">
        <v>60</v>
      </c>
      <c r="B11" s="7" t="s">
        <v>61</v>
      </c>
    </row>
    <row r="12" spans="1:2" ht="15.75" customHeight="1" x14ac:dyDescent="0.3">
      <c r="A12" s="6" t="s">
        <v>62</v>
      </c>
      <c r="B12" s="7" t="s">
        <v>63</v>
      </c>
    </row>
    <row r="13" spans="1:2" ht="15.75" customHeight="1" x14ac:dyDescent="0.3">
      <c r="A13" s="6" t="s">
        <v>64</v>
      </c>
      <c r="B13" s="7" t="s">
        <v>65</v>
      </c>
    </row>
    <row r="14" spans="1:2" ht="15.75" customHeight="1" x14ac:dyDescent="0.3">
      <c r="A14" s="6" t="s">
        <v>66</v>
      </c>
      <c r="B14" s="7" t="s">
        <v>67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68</v>
      </c>
      <c r="B16" s="3"/>
    </row>
    <row r="17" spans="1:2" ht="15.75" customHeight="1" x14ac:dyDescent="0.3">
      <c r="A17" s="6" t="s">
        <v>69</v>
      </c>
      <c r="B17" s="7" t="s">
        <v>70</v>
      </c>
    </row>
    <row r="18" spans="1:2" ht="15.75" customHeight="1" x14ac:dyDescent="0.3">
      <c r="A18" s="6" t="s">
        <v>71</v>
      </c>
      <c r="B18" s="7" t="s">
        <v>72</v>
      </c>
    </row>
    <row r="19" spans="1:2" ht="15.75" customHeight="1" x14ac:dyDescent="0.3">
      <c r="A19" s="6" t="s">
        <v>73</v>
      </c>
      <c r="B19" s="7" t="s">
        <v>74</v>
      </c>
    </row>
    <row r="20" spans="1:2" ht="15.75" customHeight="1" x14ac:dyDescent="0.3">
      <c r="A20" s="6" t="s">
        <v>75</v>
      </c>
      <c r="B20" s="7" t="s">
        <v>76</v>
      </c>
    </row>
    <row r="21" spans="1:2" ht="15.75" customHeight="1" x14ac:dyDescent="0.3">
      <c r="A21" s="6" t="s">
        <v>77</v>
      </c>
      <c r="B21" s="7" t="s">
        <v>78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79</v>
      </c>
      <c r="B23" s="3"/>
    </row>
    <row r="24" spans="1:2" ht="15.75" customHeight="1" x14ac:dyDescent="0.3">
      <c r="A24" s="8" t="s">
        <v>80</v>
      </c>
      <c r="B24" s="7" t="s">
        <v>81</v>
      </c>
    </row>
    <row r="25" spans="1:2" ht="15.75" customHeight="1" x14ac:dyDescent="0.3">
      <c r="A25" s="8" t="s">
        <v>82</v>
      </c>
      <c r="B25" s="7" t="s">
        <v>83</v>
      </c>
    </row>
    <row r="26" spans="1:2" ht="15.75" customHeight="1" x14ac:dyDescent="0.3">
      <c r="A26" s="8" t="s">
        <v>84</v>
      </c>
      <c r="B26" s="7" t="s">
        <v>85</v>
      </c>
    </row>
    <row r="27" spans="1:2" ht="15.75" customHeight="1" x14ac:dyDescent="0.3">
      <c r="A27" s="8" t="s">
        <v>86</v>
      </c>
      <c r="B27" s="7" t="s">
        <v>87</v>
      </c>
    </row>
    <row r="28" spans="1:2" ht="15.75" customHeight="1" x14ac:dyDescent="0.3">
      <c r="A28" s="8" t="s">
        <v>88</v>
      </c>
      <c r="B28" s="7" t="s">
        <v>89</v>
      </c>
    </row>
    <row r="29" spans="1:2" ht="15.75" customHeight="1" x14ac:dyDescent="0.3">
      <c r="A29" s="8" t="s">
        <v>90</v>
      </c>
      <c r="B29" s="7" t="s">
        <v>91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92</v>
      </c>
      <c r="B31" s="3"/>
    </row>
    <row r="32" spans="1:2" ht="15.75" customHeight="1" x14ac:dyDescent="0.3">
      <c r="A32" s="8" t="s">
        <v>93</v>
      </c>
      <c r="B32" s="7" t="s">
        <v>94</v>
      </c>
    </row>
    <row r="33" spans="1:2" ht="15.75" customHeight="1" x14ac:dyDescent="0.3">
      <c r="A33" s="8" t="s">
        <v>95</v>
      </c>
      <c r="B33" s="7" t="s">
        <v>96</v>
      </c>
    </row>
    <row r="34" spans="1:2" ht="15.75" customHeight="1" x14ac:dyDescent="0.3">
      <c r="A34" s="8" t="s">
        <v>97</v>
      </c>
      <c r="B34" s="7" t="s">
        <v>98</v>
      </c>
    </row>
    <row r="35" spans="1:2" ht="15.75" customHeight="1" x14ac:dyDescent="0.3">
      <c r="A35" s="8" t="s">
        <v>99</v>
      </c>
      <c r="B35" s="7" t="s">
        <v>100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101</v>
      </c>
      <c r="B37" s="3"/>
    </row>
    <row r="38" spans="1:2" ht="15.75" customHeight="1" x14ac:dyDescent="0.3">
      <c r="A38" s="8" t="s">
        <v>102</v>
      </c>
      <c r="B38" s="7" t="s">
        <v>103</v>
      </c>
    </row>
    <row r="39" spans="1:2" ht="15.75" customHeight="1" x14ac:dyDescent="0.3">
      <c r="A39" s="8" t="s">
        <v>104</v>
      </c>
      <c r="B39" s="7" t="s">
        <v>105</v>
      </c>
    </row>
    <row r="40" spans="1:2" ht="15.75" customHeight="1" x14ac:dyDescent="0.3">
      <c r="A40" s="8" t="s">
        <v>106</v>
      </c>
      <c r="B40" s="7" t="s">
        <v>107</v>
      </c>
    </row>
    <row r="41" spans="1:2" ht="15.75" customHeight="1" x14ac:dyDescent="0.3">
      <c r="A41" s="8" t="s">
        <v>108</v>
      </c>
      <c r="B41" s="7" t="s">
        <v>109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7"/>
  <sheetViews>
    <sheetView zoomScaleNormal="100" workbookViewId="0">
      <pane ySplit="5" topLeftCell="A6" activePane="bottomLeft" state="frozen"/>
      <selection pane="bottomLeft" activeCell="B7" sqref="B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10" width="20" customWidth="1"/>
    <col min="11" max="11" width="48.77734375" bestFit="1" customWidth="1"/>
    <col min="12" max="12" width="54" customWidth="1"/>
    <col min="13" max="13" width="16.77734375" customWidth="1"/>
  </cols>
  <sheetData>
    <row r="1" spans="1:12" ht="16.8" x14ac:dyDescent="0.3">
      <c r="A1" s="45" t="s">
        <v>344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2" x14ac:dyDescent="0.3">
      <c r="A2" s="47" t="s">
        <v>1</v>
      </c>
      <c r="B2" s="48"/>
      <c r="C2" s="47" t="s">
        <v>110</v>
      </c>
      <c r="D2" s="49"/>
      <c r="E2" s="48"/>
      <c r="F2" s="49"/>
      <c r="G2" s="49"/>
      <c r="H2" s="49"/>
      <c r="I2" s="49"/>
      <c r="J2" s="49"/>
      <c r="K2" s="48"/>
    </row>
    <row r="3" spans="1:12" x14ac:dyDescent="0.3">
      <c r="A3" s="9" t="s">
        <v>4</v>
      </c>
      <c r="B3" s="9" t="s">
        <v>5</v>
      </c>
      <c r="C3" s="9" t="s">
        <v>111</v>
      </c>
      <c r="D3" s="20" t="s">
        <v>112</v>
      </c>
      <c r="E3" s="10" t="s">
        <v>113</v>
      </c>
      <c r="F3" s="11" t="s">
        <v>11</v>
      </c>
      <c r="G3" s="11" t="s">
        <v>349</v>
      </c>
      <c r="H3" s="11" t="s">
        <v>350</v>
      </c>
      <c r="I3" s="11" t="s">
        <v>351</v>
      </c>
      <c r="J3" s="11"/>
      <c r="K3" s="10" t="s">
        <v>12</v>
      </c>
    </row>
    <row r="4" spans="1:12" ht="22.8" x14ac:dyDescent="0.3">
      <c r="A4" s="12" t="s">
        <v>13</v>
      </c>
      <c r="B4" s="12" t="s">
        <v>14</v>
      </c>
      <c r="C4" s="12" t="s">
        <v>114</v>
      </c>
      <c r="D4" s="21" t="s">
        <v>115</v>
      </c>
      <c r="E4" s="12" t="s">
        <v>116</v>
      </c>
      <c r="F4" s="12" t="s">
        <v>19</v>
      </c>
      <c r="G4" s="12"/>
      <c r="H4" s="12"/>
      <c r="I4" s="12"/>
      <c r="J4" s="12"/>
      <c r="K4" s="12" t="s">
        <v>19</v>
      </c>
    </row>
    <row r="5" spans="1:12" x14ac:dyDescent="0.3">
      <c r="A5" s="13" t="s">
        <v>20</v>
      </c>
      <c r="B5" s="13" t="s">
        <v>20</v>
      </c>
      <c r="C5" s="13" t="s">
        <v>20</v>
      </c>
      <c r="D5" s="22" t="s">
        <v>20</v>
      </c>
      <c r="E5" s="14" t="s">
        <v>21</v>
      </c>
      <c r="F5" s="15" t="s">
        <v>22</v>
      </c>
      <c r="G5" s="15"/>
      <c r="H5" s="15"/>
      <c r="I5" s="15"/>
      <c r="J5" s="15"/>
      <c r="K5" s="14" t="s">
        <v>21</v>
      </c>
    </row>
    <row r="6" spans="1:12" s="41" customFormat="1" x14ac:dyDescent="0.3">
      <c r="A6" s="37" t="s">
        <v>117</v>
      </c>
      <c r="B6" s="37" t="s">
        <v>23</v>
      </c>
      <c r="C6" s="37" t="s">
        <v>354</v>
      </c>
      <c r="D6" s="37" t="s">
        <v>118</v>
      </c>
      <c r="E6" s="38"/>
      <c r="F6" s="38">
        <f ca="1">TODAY()</f>
        <v>46225</v>
      </c>
      <c r="G6" s="37" t="s">
        <v>352</v>
      </c>
      <c r="H6" s="37" t="s">
        <v>352</v>
      </c>
      <c r="I6" s="37" t="s">
        <v>352</v>
      </c>
      <c r="J6" s="37"/>
      <c r="K6" s="37" t="s">
        <v>380</v>
      </c>
      <c r="L6" s="40"/>
    </row>
    <row r="7" spans="1:12" s="41" customFormat="1" x14ac:dyDescent="0.3">
      <c r="A7" s="37" t="s">
        <v>353</v>
      </c>
      <c r="B7" s="37" t="s">
        <v>23</v>
      </c>
      <c r="C7" s="37" t="s">
        <v>355</v>
      </c>
      <c r="D7" s="37" t="s">
        <v>118</v>
      </c>
      <c r="E7" s="38"/>
      <c r="F7" s="38">
        <f ca="1">TODAY()</f>
        <v>46225</v>
      </c>
      <c r="G7" s="37" t="s">
        <v>352</v>
      </c>
      <c r="H7" s="37" t="s">
        <v>352</v>
      </c>
      <c r="I7" s="37" t="s">
        <v>352</v>
      </c>
      <c r="J7" s="37"/>
      <c r="K7" s="37" t="s">
        <v>356</v>
      </c>
    </row>
  </sheetData>
  <mergeCells count="4">
    <mergeCell ref="C2:E2"/>
    <mergeCell ref="A2:B2"/>
    <mergeCell ref="F2:K2"/>
    <mergeCell ref="A1:K1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P7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28.6640625" customWidth="1"/>
    <col min="2" max="2" width="12" customWidth="1"/>
    <col min="3" max="3" width="18" customWidth="1"/>
    <col min="4" max="4" width="12" customWidth="1"/>
    <col min="5" max="5" width="16" customWidth="1"/>
    <col min="6" max="6" width="12" customWidth="1"/>
    <col min="7" max="7" width="14" customWidth="1"/>
    <col min="8" max="8" width="20" customWidth="1"/>
    <col min="9" max="9" width="10" customWidth="1"/>
    <col min="10" max="11" width="18" customWidth="1"/>
    <col min="12" max="12" width="16" customWidth="1"/>
    <col min="13" max="13" width="22" customWidth="1"/>
    <col min="14" max="14" width="24" customWidth="1"/>
    <col min="15" max="15" width="20" customWidth="1"/>
    <col min="16" max="16" width="40" customWidth="1"/>
  </cols>
  <sheetData>
    <row r="1" spans="1:16" ht="25.5" customHeight="1" x14ac:dyDescent="0.3">
      <c r="A1" s="45" t="s">
        <v>346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ht="19.5" customHeight="1" x14ac:dyDescent="0.3">
      <c r="A2" s="47" t="s">
        <v>1</v>
      </c>
      <c r="B2" s="48"/>
      <c r="C2" s="47" t="s">
        <v>261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8"/>
      <c r="P2" s="31"/>
    </row>
    <row r="3" spans="1:16" ht="36" customHeight="1" x14ac:dyDescent="0.3">
      <c r="A3" s="9" t="s">
        <v>4</v>
      </c>
      <c r="B3" s="9" t="s">
        <v>5</v>
      </c>
      <c r="C3" s="10" t="s">
        <v>262</v>
      </c>
      <c r="D3" s="10" t="s">
        <v>263</v>
      </c>
      <c r="E3" s="10" t="s">
        <v>264</v>
      </c>
      <c r="F3" s="10" t="s">
        <v>265</v>
      </c>
      <c r="G3" s="10" t="s">
        <v>266</v>
      </c>
      <c r="H3" s="10" t="s">
        <v>267</v>
      </c>
      <c r="I3" s="10" t="s">
        <v>268</v>
      </c>
      <c r="J3" s="10" t="s">
        <v>269</v>
      </c>
      <c r="K3" s="10" t="s">
        <v>270</v>
      </c>
      <c r="L3" s="10" t="s">
        <v>271</v>
      </c>
      <c r="M3" s="10" t="s">
        <v>272</v>
      </c>
      <c r="N3" s="10" t="s">
        <v>273</v>
      </c>
      <c r="O3" s="10" t="s">
        <v>274</v>
      </c>
      <c r="P3" s="10" t="s">
        <v>12</v>
      </c>
    </row>
    <row r="4" spans="1:16" ht="24" customHeight="1" x14ac:dyDescent="0.3">
      <c r="A4" s="12" t="s">
        <v>13</v>
      </c>
      <c r="B4" s="12" t="s">
        <v>246</v>
      </c>
      <c r="C4" s="12" t="s">
        <v>275</v>
      </c>
      <c r="D4" s="12" t="s">
        <v>276</v>
      </c>
      <c r="E4" s="12" t="s">
        <v>277</v>
      </c>
      <c r="F4" s="12" t="s">
        <v>278</v>
      </c>
      <c r="G4" s="12" t="s">
        <v>279</v>
      </c>
      <c r="H4" s="12" t="s">
        <v>280</v>
      </c>
      <c r="I4" s="12" t="s">
        <v>281</v>
      </c>
      <c r="J4" s="12" t="s">
        <v>282</v>
      </c>
      <c r="K4" s="12" t="s">
        <v>283</v>
      </c>
      <c r="L4" s="12" t="s">
        <v>284</v>
      </c>
      <c r="M4" s="12" t="s">
        <v>285</v>
      </c>
      <c r="N4" s="12" t="s">
        <v>286</v>
      </c>
      <c r="O4" s="12" t="s">
        <v>287</v>
      </c>
      <c r="P4" s="12" t="s">
        <v>19</v>
      </c>
    </row>
    <row r="5" spans="1:16" ht="18" customHeight="1" x14ac:dyDescent="0.3">
      <c r="A5" s="13" t="s">
        <v>20</v>
      </c>
      <c r="B5" s="13" t="s">
        <v>20</v>
      </c>
      <c r="C5" s="14" t="s">
        <v>21</v>
      </c>
      <c r="D5" s="14" t="s">
        <v>21</v>
      </c>
      <c r="E5" s="14" t="s">
        <v>21</v>
      </c>
      <c r="F5" s="14" t="s">
        <v>21</v>
      </c>
      <c r="G5" s="14" t="s">
        <v>21</v>
      </c>
      <c r="H5" s="14" t="s">
        <v>21</v>
      </c>
      <c r="I5" s="14" t="s">
        <v>21</v>
      </c>
      <c r="J5" s="14" t="s">
        <v>21</v>
      </c>
      <c r="K5" s="14" t="s">
        <v>21</v>
      </c>
      <c r="L5" s="14" t="s">
        <v>21</v>
      </c>
      <c r="M5" s="14" t="s">
        <v>21</v>
      </c>
      <c r="N5" s="14" t="s">
        <v>21</v>
      </c>
      <c r="O5" s="14" t="s">
        <v>21</v>
      </c>
      <c r="P5" s="14" t="s">
        <v>21</v>
      </c>
    </row>
    <row r="6" spans="1:16" ht="18" customHeight="1" x14ac:dyDescent="0.3">
      <c r="A6" s="17" t="s">
        <v>117</v>
      </c>
      <c r="B6" s="17" t="s">
        <v>23</v>
      </c>
      <c r="C6" s="17">
        <v>1.2E-2</v>
      </c>
      <c r="D6" s="17">
        <v>0</v>
      </c>
      <c r="E6" s="17" t="s">
        <v>288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3.8E-3</v>
      </c>
      <c r="L6" s="17">
        <v>3.8699999999999998E-2</v>
      </c>
      <c r="M6" s="17">
        <v>0</v>
      </c>
      <c r="N6" s="17">
        <v>0</v>
      </c>
      <c r="O6" s="17">
        <v>0</v>
      </c>
      <c r="P6" s="17"/>
    </row>
    <row r="7" spans="1:16" ht="18" customHeight="1" x14ac:dyDescent="0.3">
      <c r="A7" s="17" t="s">
        <v>353</v>
      </c>
      <c r="B7" s="17" t="s">
        <v>23</v>
      </c>
      <c r="C7" s="17">
        <v>1.2E-2</v>
      </c>
      <c r="D7" s="17">
        <v>0</v>
      </c>
      <c r="E7" s="17" t="s">
        <v>288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3.8E-3</v>
      </c>
      <c r="L7" s="17">
        <v>3.8699999999999998E-2</v>
      </c>
      <c r="M7" s="17">
        <v>0</v>
      </c>
      <c r="N7" s="17">
        <v>0</v>
      </c>
      <c r="O7" s="17">
        <v>0</v>
      </c>
      <c r="P7" s="17"/>
    </row>
  </sheetData>
  <mergeCells count="3">
    <mergeCell ref="C2:O2"/>
    <mergeCell ref="A1:P1"/>
    <mergeCell ref="A2:B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30"/>
  <sheetViews>
    <sheetView tabSelected="1" zoomScaleNormal="100" workbookViewId="0">
      <pane ySplit="5" topLeftCell="A6" activePane="bottomLeft" state="frozen"/>
      <selection pane="bottomLeft" activeCell="D7" sqref="D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</cols>
  <sheetData>
    <row r="1" spans="1:14" ht="25.5" customHeight="1" x14ac:dyDescent="0.3">
      <c r="A1" s="45" t="s">
        <v>347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9.5" customHeight="1" x14ac:dyDescent="0.3">
      <c r="A2" s="47" t="s">
        <v>1</v>
      </c>
      <c r="B2" s="48"/>
      <c r="C2" s="47" t="s">
        <v>289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8"/>
    </row>
    <row r="3" spans="1:14" ht="36" customHeight="1" x14ac:dyDescent="0.3">
      <c r="A3" s="9" t="s">
        <v>4</v>
      </c>
      <c r="B3" s="9" t="s">
        <v>5</v>
      </c>
      <c r="C3" s="9" t="s">
        <v>177</v>
      </c>
      <c r="D3" s="9" t="s">
        <v>290</v>
      </c>
      <c r="E3" s="9" t="s">
        <v>112</v>
      </c>
      <c r="F3" s="9" t="s">
        <v>291</v>
      </c>
      <c r="G3" s="10" t="s">
        <v>292</v>
      </c>
      <c r="H3" s="10" t="s">
        <v>293</v>
      </c>
      <c r="I3" s="10" t="s">
        <v>294</v>
      </c>
      <c r="J3" s="10" t="s">
        <v>295</v>
      </c>
      <c r="K3" s="10" t="s">
        <v>296</v>
      </c>
      <c r="L3" s="10" t="s">
        <v>297</v>
      </c>
      <c r="M3" s="10" t="s">
        <v>298</v>
      </c>
      <c r="N3" s="10" t="s">
        <v>299</v>
      </c>
    </row>
    <row r="4" spans="1:14" ht="24" customHeight="1" x14ac:dyDescent="0.3">
      <c r="A4" s="12" t="s">
        <v>13</v>
      </c>
      <c r="B4" s="12" t="s">
        <v>14</v>
      </c>
      <c r="C4" s="12" t="s">
        <v>137</v>
      </c>
      <c r="D4" s="12" t="s">
        <v>114</v>
      </c>
      <c r="E4" s="12" t="s">
        <v>115</v>
      </c>
      <c r="F4" s="12" t="s">
        <v>300</v>
      </c>
      <c r="G4" s="12" t="s">
        <v>301</v>
      </c>
      <c r="H4" s="12" t="s">
        <v>302</v>
      </c>
      <c r="I4" s="12" t="s">
        <v>303</v>
      </c>
      <c r="J4" s="12" t="s">
        <v>304</v>
      </c>
      <c r="K4" s="12" t="s">
        <v>305</v>
      </c>
      <c r="L4" s="12" t="s">
        <v>306</v>
      </c>
      <c r="M4" s="12" t="s">
        <v>307</v>
      </c>
      <c r="N4" s="12" t="s">
        <v>308</v>
      </c>
    </row>
    <row r="5" spans="1:14" ht="18" customHeight="1" x14ac:dyDescent="0.3">
      <c r="A5" s="13" t="s">
        <v>20</v>
      </c>
      <c r="B5" s="13" t="s">
        <v>20</v>
      </c>
      <c r="C5" s="13" t="s">
        <v>20</v>
      </c>
      <c r="D5" s="13" t="s">
        <v>20</v>
      </c>
      <c r="E5" s="13" t="s">
        <v>20</v>
      </c>
      <c r="F5" s="13" t="s">
        <v>20</v>
      </c>
      <c r="G5" s="14" t="s">
        <v>21</v>
      </c>
      <c r="H5" s="14" t="s">
        <v>21</v>
      </c>
      <c r="I5" s="14" t="s">
        <v>21</v>
      </c>
      <c r="J5" s="14" t="s">
        <v>21</v>
      </c>
      <c r="K5" s="14" t="s">
        <v>21</v>
      </c>
      <c r="L5" s="14" t="s">
        <v>21</v>
      </c>
      <c r="M5" s="14" t="s">
        <v>21</v>
      </c>
      <c r="N5" s="14" t="s">
        <v>21</v>
      </c>
    </row>
    <row r="6" spans="1:14" ht="18" customHeight="1" x14ac:dyDescent="0.3">
      <c r="A6" s="16" t="s">
        <v>117</v>
      </c>
      <c r="B6" s="17" t="s">
        <v>23</v>
      </c>
      <c r="C6" s="17">
        <v>1</v>
      </c>
      <c r="D6" s="17" t="s">
        <v>384</v>
      </c>
      <c r="E6" s="17" t="s">
        <v>118</v>
      </c>
      <c r="F6" s="17" t="s">
        <v>309</v>
      </c>
      <c r="G6" s="17">
        <v>0</v>
      </c>
      <c r="H6" s="17">
        <v>1</v>
      </c>
      <c r="I6" s="17">
        <v>12000000</v>
      </c>
      <c r="J6" s="17">
        <v>11925000</v>
      </c>
      <c r="K6" s="17" t="s">
        <v>310</v>
      </c>
      <c r="L6" s="23">
        <v>46202</v>
      </c>
      <c r="M6" s="17"/>
      <c r="N6" s="17" t="s">
        <v>311</v>
      </c>
    </row>
    <row r="7" spans="1:14" ht="18" customHeight="1" x14ac:dyDescent="0.3">
      <c r="A7" s="16" t="s">
        <v>353</v>
      </c>
      <c r="B7" s="17" t="s">
        <v>23</v>
      </c>
      <c r="C7" s="17">
        <v>1</v>
      </c>
      <c r="D7" s="17" t="s">
        <v>383</v>
      </c>
      <c r="E7" s="17" t="s">
        <v>118</v>
      </c>
      <c r="F7" s="17" t="s">
        <v>309</v>
      </c>
      <c r="G7" s="17">
        <v>0</v>
      </c>
      <c r="H7" s="17">
        <v>1</v>
      </c>
      <c r="I7" s="17">
        <v>3000000</v>
      </c>
      <c r="J7" s="17">
        <v>2545683</v>
      </c>
      <c r="K7" s="17" t="s">
        <v>310</v>
      </c>
      <c r="L7" s="23">
        <v>46202</v>
      </c>
      <c r="M7" s="17"/>
      <c r="N7" s="17" t="s">
        <v>311</v>
      </c>
    </row>
    <row r="8" spans="1:14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3"/>
      <c r="M8" s="23"/>
      <c r="N8" s="17"/>
    </row>
    <row r="9" spans="1:14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</row>
    <row r="10" spans="1:14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23"/>
      <c r="M10" s="17"/>
      <c r="N10" s="17"/>
    </row>
    <row r="11" spans="1:14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</row>
    <row r="12" spans="1:14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</row>
    <row r="14" spans="1:14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spans="1:14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</row>
    <row r="16" spans="1:14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</row>
    <row r="17" spans="1:14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</row>
    <row r="18" spans="1:14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</row>
    <row r="19" spans="1:14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</row>
    <row r="20" spans="1:14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</row>
    <row r="21" spans="1:14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</row>
    <row r="22" spans="1:14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spans="1:14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</row>
    <row r="25" spans="1:14" x14ac:dyDescent="0.3">
      <c r="A25" s="53" t="s">
        <v>38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</row>
    <row r="26" spans="1:14" x14ac:dyDescent="0.3">
      <c r="A26" s="51" t="s">
        <v>39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</row>
    <row r="27" spans="1:14" x14ac:dyDescent="0.3">
      <c r="A27" s="56" t="s">
        <v>40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</row>
    <row r="28" spans="1:14" x14ac:dyDescent="0.3">
      <c r="A28" s="55" t="s">
        <v>41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</row>
    <row r="29" spans="1:14" x14ac:dyDescent="0.3">
      <c r="A29" s="54" t="s">
        <v>42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</row>
    <row r="30" spans="1:14" x14ac:dyDescent="0.3">
      <c r="A30" s="52" t="s">
        <v>43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</row>
  </sheetData>
  <mergeCells count="9">
    <mergeCell ref="A1:N1"/>
    <mergeCell ref="A26:N26"/>
    <mergeCell ref="A30:N30"/>
    <mergeCell ref="A25:N25"/>
    <mergeCell ref="A29:N29"/>
    <mergeCell ref="A2:B2"/>
    <mergeCell ref="A28:N28"/>
    <mergeCell ref="C2:N2"/>
    <mergeCell ref="A27:N2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15"/>
  <sheetViews>
    <sheetView zoomScale="90" zoomScaleNormal="90" workbookViewId="0">
      <pane ySplit="5" topLeftCell="A6" activePane="bottomLeft" state="frozen"/>
      <selection pane="bottomLeft" activeCell="A11" sqref="A11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22" customWidth="1"/>
    <col min="5" max="5" width="53.88671875" bestFit="1" customWidth="1"/>
    <col min="6" max="8" width="14.6640625" customWidth="1"/>
    <col min="9" max="9" width="16" customWidth="1"/>
    <col min="10" max="10" width="18" customWidth="1"/>
    <col min="11" max="11" width="14" customWidth="1"/>
    <col min="12" max="12" width="16" customWidth="1"/>
    <col min="13" max="13" width="12" customWidth="1"/>
    <col min="14" max="14" width="20" customWidth="1"/>
    <col min="15" max="15" width="14" customWidth="1"/>
    <col min="16" max="16" width="18" customWidth="1"/>
    <col min="17" max="17" width="14" customWidth="1"/>
    <col min="18" max="18" width="12" customWidth="1"/>
    <col min="19" max="19" width="16" customWidth="1"/>
    <col min="20" max="20" width="18" customWidth="1"/>
    <col min="21" max="21" width="40" customWidth="1"/>
  </cols>
  <sheetData>
    <row r="1" spans="1:28" ht="25.5" customHeight="1" x14ac:dyDescent="0.3">
      <c r="A1" s="45" t="s">
        <v>348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8" ht="19.5" customHeight="1" x14ac:dyDescent="0.3">
      <c r="A2" s="47" t="s">
        <v>1</v>
      </c>
      <c r="B2" s="48"/>
      <c r="C2" s="31"/>
      <c r="D2" s="47" t="s">
        <v>120</v>
      </c>
      <c r="E2" s="49"/>
      <c r="F2" s="49"/>
      <c r="G2" s="49"/>
      <c r="H2" s="49"/>
      <c r="I2" s="49"/>
      <c r="J2" s="49"/>
      <c r="K2" s="48"/>
      <c r="L2" s="47" t="s">
        <v>121</v>
      </c>
      <c r="M2" s="49"/>
      <c r="N2" s="49"/>
      <c r="O2" s="49"/>
      <c r="P2" s="49"/>
      <c r="Q2" s="49"/>
      <c r="R2" s="49"/>
      <c r="S2" s="49"/>
      <c r="T2" s="48"/>
      <c r="U2" s="49"/>
      <c r="V2" s="49"/>
      <c r="W2" s="49"/>
      <c r="X2" s="49"/>
      <c r="Y2" s="49"/>
      <c r="Z2" s="49"/>
      <c r="AA2" s="49"/>
      <c r="AB2" s="48"/>
    </row>
    <row r="3" spans="1:28" ht="36" customHeight="1" x14ac:dyDescent="0.3">
      <c r="A3" s="9" t="s">
        <v>4</v>
      </c>
      <c r="B3" s="9" t="s">
        <v>5</v>
      </c>
      <c r="C3" s="9" t="s">
        <v>6</v>
      </c>
      <c r="D3" s="9" t="s">
        <v>111</v>
      </c>
      <c r="E3" s="9" t="s">
        <v>122</v>
      </c>
      <c r="F3" s="9" t="s">
        <v>123</v>
      </c>
      <c r="G3" s="9" t="s">
        <v>124</v>
      </c>
      <c r="H3" s="9" t="s">
        <v>125</v>
      </c>
      <c r="I3" s="9" t="s">
        <v>126</v>
      </c>
      <c r="J3" s="9" t="s">
        <v>127</v>
      </c>
      <c r="K3" s="9" t="s">
        <v>128</v>
      </c>
      <c r="L3" s="10" t="s">
        <v>129</v>
      </c>
      <c r="M3" s="10" t="s">
        <v>130</v>
      </c>
      <c r="N3" s="10" t="s">
        <v>131</v>
      </c>
      <c r="O3" s="10" t="s">
        <v>132</v>
      </c>
      <c r="P3" s="10" t="s">
        <v>133</v>
      </c>
      <c r="Q3" s="10" t="s">
        <v>134</v>
      </c>
      <c r="R3" s="10" t="s">
        <v>135</v>
      </c>
      <c r="S3" s="10" t="s">
        <v>136</v>
      </c>
      <c r="T3" s="10" t="s">
        <v>8</v>
      </c>
      <c r="U3" s="10" t="s">
        <v>12</v>
      </c>
    </row>
    <row r="4" spans="1:28" ht="24" customHeight="1" x14ac:dyDescent="0.3">
      <c r="A4" s="12" t="s">
        <v>13</v>
      </c>
      <c r="B4" s="12" t="s">
        <v>14</v>
      </c>
      <c r="C4" s="12" t="s">
        <v>15</v>
      </c>
      <c r="D4" s="12" t="s">
        <v>137</v>
      </c>
      <c r="E4" s="12" t="s">
        <v>16</v>
      </c>
      <c r="F4" s="12" t="s">
        <v>138</v>
      </c>
      <c r="G4" s="12" t="s">
        <v>139</v>
      </c>
      <c r="H4" s="12" t="s">
        <v>140</v>
      </c>
      <c r="I4" s="12" t="s">
        <v>141</v>
      </c>
      <c r="J4" s="12" t="s">
        <v>142</v>
      </c>
      <c r="K4" s="12" t="s">
        <v>143</v>
      </c>
      <c r="L4" s="12" t="s">
        <v>144</v>
      </c>
      <c r="M4" s="12" t="s">
        <v>145</v>
      </c>
      <c r="N4" s="12" t="s">
        <v>146</v>
      </c>
      <c r="O4" s="12" t="s">
        <v>147</v>
      </c>
      <c r="P4" s="12" t="s">
        <v>148</v>
      </c>
      <c r="Q4" s="12" t="s">
        <v>149</v>
      </c>
      <c r="R4" s="12" t="s">
        <v>150</v>
      </c>
      <c r="S4" s="12" t="s">
        <v>151</v>
      </c>
      <c r="T4" s="12" t="s">
        <v>17</v>
      </c>
      <c r="U4" s="12" t="s">
        <v>19</v>
      </c>
    </row>
    <row r="5" spans="1:28" ht="18" customHeight="1" x14ac:dyDescent="0.3">
      <c r="A5" s="24" t="s">
        <v>20</v>
      </c>
      <c r="B5" s="24" t="s">
        <v>20</v>
      </c>
      <c r="C5" s="24" t="s">
        <v>20</v>
      </c>
      <c r="D5" s="24" t="s">
        <v>20</v>
      </c>
      <c r="E5" s="24" t="s">
        <v>20</v>
      </c>
      <c r="F5" s="24" t="s">
        <v>20</v>
      </c>
      <c r="G5" s="24" t="s">
        <v>20</v>
      </c>
      <c r="H5" s="24" t="s">
        <v>20</v>
      </c>
      <c r="I5" s="24" t="s">
        <v>20</v>
      </c>
      <c r="J5" s="24" t="s">
        <v>20</v>
      </c>
      <c r="K5" s="24" t="s">
        <v>20</v>
      </c>
      <c r="L5" s="25" t="s">
        <v>21</v>
      </c>
      <c r="M5" s="25" t="s">
        <v>21</v>
      </c>
      <c r="N5" s="25" t="s">
        <v>21</v>
      </c>
      <c r="O5" s="25" t="s">
        <v>21</v>
      </c>
      <c r="P5" s="25" t="s">
        <v>21</v>
      </c>
      <c r="Q5" s="25" t="s">
        <v>21</v>
      </c>
      <c r="R5" s="25" t="s">
        <v>21</v>
      </c>
      <c r="S5" s="25" t="s">
        <v>21</v>
      </c>
      <c r="T5" s="25" t="s">
        <v>21</v>
      </c>
      <c r="U5" s="25" t="s">
        <v>21</v>
      </c>
    </row>
    <row r="6" spans="1:28" ht="18" customHeight="1" x14ac:dyDescent="0.3">
      <c r="A6" s="39" t="s">
        <v>117</v>
      </c>
      <c r="B6" s="26" t="s">
        <v>23</v>
      </c>
      <c r="C6" s="26" t="s">
        <v>24</v>
      </c>
      <c r="D6" s="17" t="s">
        <v>354</v>
      </c>
      <c r="E6" s="27" t="s">
        <v>358</v>
      </c>
      <c r="F6" s="27" t="s">
        <v>152</v>
      </c>
      <c r="G6" s="27" t="s">
        <v>153</v>
      </c>
      <c r="H6" s="27" t="s">
        <v>372</v>
      </c>
      <c r="I6" s="26" t="s">
        <v>154</v>
      </c>
      <c r="J6" s="32">
        <v>45749</v>
      </c>
      <c r="K6" s="33">
        <v>250000</v>
      </c>
      <c r="L6" s="34" t="s">
        <v>155</v>
      </c>
      <c r="M6" s="26">
        <v>101</v>
      </c>
      <c r="N6" s="28" t="s">
        <v>156</v>
      </c>
      <c r="O6" s="26">
        <v>101</v>
      </c>
      <c r="P6" s="26" t="s">
        <v>157</v>
      </c>
      <c r="Q6" s="35">
        <v>6.1507199764251702E-2</v>
      </c>
      <c r="R6" s="35">
        <v>5.6114689999999995E-2</v>
      </c>
      <c r="S6" s="36">
        <v>1.6666666666666668E-3</v>
      </c>
      <c r="T6" s="26" t="s">
        <v>158</v>
      </c>
      <c r="U6" s="26" t="s">
        <v>379</v>
      </c>
    </row>
    <row r="7" spans="1:28" ht="18" customHeight="1" x14ac:dyDescent="0.3">
      <c r="A7" s="39" t="s">
        <v>117</v>
      </c>
      <c r="B7" s="26" t="s">
        <v>23</v>
      </c>
      <c r="C7" s="26" t="s">
        <v>26</v>
      </c>
      <c r="D7" s="17" t="s">
        <v>354</v>
      </c>
      <c r="E7" s="27" t="s">
        <v>363</v>
      </c>
      <c r="F7" s="27" t="s">
        <v>159</v>
      </c>
      <c r="G7" s="27" t="s">
        <v>160</v>
      </c>
      <c r="H7" s="27" t="s">
        <v>372</v>
      </c>
      <c r="I7" s="26" t="s">
        <v>154</v>
      </c>
      <c r="J7" s="32">
        <v>45751</v>
      </c>
      <c r="K7" s="33">
        <v>250000</v>
      </c>
      <c r="L7" s="34" t="s">
        <v>161</v>
      </c>
      <c r="M7" s="26">
        <v>100.2</v>
      </c>
      <c r="N7" s="28" t="s">
        <v>156</v>
      </c>
      <c r="O7" s="26">
        <v>100.2</v>
      </c>
      <c r="P7" s="26" t="s">
        <v>162</v>
      </c>
      <c r="Q7" s="35">
        <v>0.1041071997642517</v>
      </c>
      <c r="R7" s="35">
        <v>0.10300053000000001</v>
      </c>
      <c r="S7" s="36">
        <v>8.3333333333333332E-3</v>
      </c>
      <c r="T7" s="26" t="s">
        <v>158</v>
      </c>
      <c r="U7" s="26" t="s">
        <v>379</v>
      </c>
    </row>
    <row r="8" spans="1:28" ht="18" customHeight="1" x14ac:dyDescent="0.3">
      <c r="A8" s="39" t="s">
        <v>117</v>
      </c>
      <c r="B8" s="26" t="s">
        <v>23</v>
      </c>
      <c r="C8" s="26" t="s">
        <v>27</v>
      </c>
      <c r="D8" s="17" t="s">
        <v>354</v>
      </c>
      <c r="E8" s="27" t="s">
        <v>364</v>
      </c>
      <c r="F8" s="27" t="s">
        <v>164</v>
      </c>
      <c r="G8" s="27" t="s">
        <v>165</v>
      </c>
      <c r="H8" s="27" t="s">
        <v>372</v>
      </c>
      <c r="I8" s="26" t="s">
        <v>154</v>
      </c>
      <c r="J8" s="32">
        <v>45751</v>
      </c>
      <c r="K8" s="33">
        <v>250000</v>
      </c>
      <c r="L8" s="34" t="s">
        <v>166</v>
      </c>
      <c r="M8" s="26">
        <v>102.85</v>
      </c>
      <c r="N8" s="28" t="s">
        <v>156</v>
      </c>
      <c r="O8" s="26">
        <v>102.85</v>
      </c>
      <c r="P8" s="26" t="s">
        <v>157</v>
      </c>
      <c r="Q8" s="35">
        <v>9.0999999999999998E-2</v>
      </c>
      <c r="R8" s="35">
        <v>7.670283E-2</v>
      </c>
      <c r="S8" s="36">
        <v>1.25E-3</v>
      </c>
      <c r="T8" s="26" t="s">
        <v>158</v>
      </c>
      <c r="U8" s="26" t="s">
        <v>379</v>
      </c>
    </row>
    <row r="9" spans="1:28" ht="18" customHeight="1" x14ac:dyDescent="0.3">
      <c r="A9" s="39" t="s">
        <v>117</v>
      </c>
      <c r="B9" s="26" t="s">
        <v>23</v>
      </c>
      <c r="C9" s="26" t="s">
        <v>29</v>
      </c>
      <c r="D9" s="17" t="s">
        <v>354</v>
      </c>
      <c r="E9" s="27" t="s">
        <v>365</v>
      </c>
      <c r="F9" s="27" t="s">
        <v>167</v>
      </c>
      <c r="G9" s="27" t="s">
        <v>168</v>
      </c>
      <c r="H9" s="27" t="s">
        <v>372</v>
      </c>
      <c r="I9" s="26" t="s">
        <v>154</v>
      </c>
      <c r="J9" s="32">
        <v>45751</v>
      </c>
      <c r="K9" s="33">
        <v>250000</v>
      </c>
      <c r="L9" s="34" t="s">
        <v>169</v>
      </c>
      <c r="M9" s="26">
        <v>101</v>
      </c>
      <c r="N9" s="28" t="s">
        <v>156</v>
      </c>
      <c r="O9" s="26">
        <v>101</v>
      </c>
      <c r="P9" s="26" t="s">
        <v>157</v>
      </c>
      <c r="Q9" s="35">
        <v>6.699999999999999E-2</v>
      </c>
      <c r="R9" s="35">
        <v>5.9638299999999998E-2</v>
      </c>
      <c r="S9" s="36">
        <v>2.0833333333333333E-3</v>
      </c>
      <c r="T9" s="26" t="s">
        <v>158</v>
      </c>
      <c r="U9" s="26" t="s">
        <v>379</v>
      </c>
    </row>
    <row r="10" spans="1:28" ht="18" customHeight="1" x14ac:dyDescent="0.3">
      <c r="A10" s="39" t="s">
        <v>117</v>
      </c>
      <c r="B10" s="26" t="s">
        <v>23</v>
      </c>
      <c r="C10" s="26" t="s">
        <v>30</v>
      </c>
      <c r="D10" s="17" t="s">
        <v>354</v>
      </c>
      <c r="E10" s="27" t="s">
        <v>366</v>
      </c>
      <c r="F10" s="27" t="s">
        <v>170</v>
      </c>
      <c r="G10" s="27" t="s">
        <v>171</v>
      </c>
      <c r="H10" s="27" t="s">
        <v>373</v>
      </c>
      <c r="I10" s="26" t="s">
        <v>154</v>
      </c>
      <c r="J10" s="32">
        <v>45751</v>
      </c>
      <c r="K10" s="33">
        <v>250000</v>
      </c>
      <c r="L10" s="34" t="s">
        <v>172</v>
      </c>
      <c r="M10" s="26">
        <v>103.95</v>
      </c>
      <c r="N10" s="28" t="s">
        <v>156</v>
      </c>
      <c r="O10" s="26">
        <v>103.95</v>
      </c>
      <c r="P10" s="26" t="s">
        <v>162</v>
      </c>
      <c r="Q10" s="35">
        <v>9.3599999999999989E-2</v>
      </c>
      <c r="R10" s="35">
        <v>7.1220699999999998E-2</v>
      </c>
      <c r="S10" s="36">
        <v>8.3333333333333339E-4</v>
      </c>
      <c r="T10" s="26" t="s">
        <v>158</v>
      </c>
      <c r="U10" s="26" t="s">
        <v>379</v>
      </c>
    </row>
    <row r="11" spans="1:28" ht="18" customHeight="1" x14ac:dyDescent="0.3">
      <c r="A11" s="39" t="s">
        <v>353</v>
      </c>
      <c r="B11" s="26" t="s">
        <v>23</v>
      </c>
      <c r="C11" s="26" t="s">
        <v>32</v>
      </c>
      <c r="D11" s="17" t="s">
        <v>355</v>
      </c>
      <c r="E11" s="27" t="s">
        <v>367</v>
      </c>
      <c r="F11" s="27" t="s">
        <v>164</v>
      </c>
      <c r="G11" s="27" t="s">
        <v>160</v>
      </c>
      <c r="H11" s="27" t="s">
        <v>374</v>
      </c>
      <c r="I11" s="26" t="s">
        <v>154</v>
      </c>
      <c r="J11" s="32">
        <v>45755</v>
      </c>
      <c r="K11" s="33">
        <v>250000</v>
      </c>
      <c r="L11" s="34" t="s">
        <v>173</v>
      </c>
      <c r="M11" s="26">
        <v>100.25</v>
      </c>
      <c r="N11" s="28" t="s">
        <v>156</v>
      </c>
      <c r="O11" s="26">
        <v>100.25</v>
      </c>
      <c r="P11" s="26" t="s">
        <v>157</v>
      </c>
      <c r="Q11" s="35">
        <v>7.3784539999999996E-2</v>
      </c>
      <c r="R11" s="35">
        <v>7.5587660000000001E-2</v>
      </c>
      <c r="S11" s="36">
        <v>8.3333333333333339E-4</v>
      </c>
      <c r="T11" s="26" t="s">
        <v>158</v>
      </c>
      <c r="U11" s="26" t="s">
        <v>379</v>
      </c>
    </row>
    <row r="12" spans="1:28" ht="18" customHeight="1" x14ac:dyDescent="0.3">
      <c r="A12" s="39" t="s">
        <v>353</v>
      </c>
      <c r="B12" s="26" t="s">
        <v>23</v>
      </c>
      <c r="C12" s="26" t="s">
        <v>34</v>
      </c>
      <c r="D12" s="17" t="s">
        <v>355</v>
      </c>
      <c r="E12" s="27" t="s">
        <v>368</v>
      </c>
      <c r="F12" s="27" t="s">
        <v>164</v>
      </c>
      <c r="G12" s="27" t="s">
        <v>153</v>
      </c>
      <c r="H12" s="27" t="s">
        <v>372</v>
      </c>
      <c r="I12" s="26" t="s">
        <v>154</v>
      </c>
      <c r="J12" s="32">
        <v>45755</v>
      </c>
      <c r="K12" s="33">
        <v>250000</v>
      </c>
      <c r="L12" s="34" t="s">
        <v>375</v>
      </c>
      <c r="M12" s="26">
        <v>100.65</v>
      </c>
      <c r="N12" s="28" t="s">
        <v>156</v>
      </c>
      <c r="O12" s="26">
        <v>100.65</v>
      </c>
      <c r="P12" s="26" t="s">
        <v>162</v>
      </c>
      <c r="Q12" s="35">
        <v>8.9900000000000008E-2</v>
      </c>
      <c r="R12" s="35">
        <v>9.0425339999999993E-2</v>
      </c>
      <c r="S12" s="36">
        <v>1.25E-3</v>
      </c>
      <c r="T12" s="26" t="s">
        <v>158</v>
      </c>
      <c r="U12" s="26" t="s">
        <v>379</v>
      </c>
    </row>
    <row r="13" spans="1:28" ht="18" customHeight="1" x14ac:dyDescent="0.3">
      <c r="A13" s="39" t="s">
        <v>353</v>
      </c>
      <c r="B13" s="26" t="s">
        <v>23</v>
      </c>
      <c r="C13" s="26" t="s">
        <v>35</v>
      </c>
      <c r="D13" s="17" t="s">
        <v>355</v>
      </c>
      <c r="E13" s="27" t="s">
        <v>369</v>
      </c>
      <c r="F13" s="27" t="s">
        <v>164</v>
      </c>
      <c r="G13" s="27" t="s">
        <v>153</v>
      </c>
      <c r="H13" s="27" t="s">
        <v>372</v>
      </c>
      <c r="I13" s="26" t="s">
        <v>154</v>
      </c>
      <c r="J13" s="32">
        <v>45756</v>
      </c>
      <c r="K13" s="33">
        <v>250000</v>
      </c>
      <c r="L13" s="34" t="s">
        <v>376</v>
      </c>
      <c r="M13" s="26">
        <v>102.3</v>
      </c>
      <c r="N13" s="28" t="s">
        <v>156</v>
      </c>
      <c r="O13" s="26">
        <v>102.3</v>
      </c>
      <c r="P13" s="26" t="s">
        <v>157</v>
      </c>
      <c r="Q13" s="35">
        <v>7.8799999999999995E-2</v>
      </c>
      <c r="R13" s="35">
        <v>6.796395999999999E-2</v>
      </c>
      <c r="S13" s="36">
        <v>9.8039215686274508E-4</v>
      </c>
      <c r="T13" s="26" t="s">
        <v>158</v>
      </c>
      <c r="U13" s="26" t="s">
        <v>379</v>
      </c>
    </row>
    <row r="14" spans="1:28" ht="18" customHeight="1" x14ac:dyDescent="0.3">
      <c r="A14" s="39" t="s">
        <v>353</v>
      </c>
      <c r="B14" s="26" t="s">
        <v>23</v>
      </c>
      <c r="C14" s="26" t="s">
        <v>36</v>
      </c>
      <c r="D14" s="17" t="s">
        <v>355</v>
      </c>
      <c r="E14" s="27" t="s">
        <v>370</v>
      </c>
      <c r="F14" s="27" t="s">
        <v>164</v>
      </c>
      <c r="G14" s="27" t="s">
        <v>165</v>
      </c>
      <c r="H14" s="27" t="s">
        <v>372</v>
      </c>
      <c r="I14" s="26" t="s">
        <v>154</v>
      </c>
      <c r="J14" s="32">
        <v>45756</v>
      </c>
      <c r="K14" s="33">
        <v>250000</v>
      </c>
      <c r="L14" s="34" t="s">
        <v>377</v>
      </c>
      <c r="M14" s="26">
        <v>102.2</v>
      </c>
      <c r="N14" s="28" t="s">
        <v>156</v>
      </c>
      <c r="O14" s="26">
        <v>102.2</v>
      </c>
      <c r="P14" s="26" t="s">
        <v>162</v>
      </c>
      <c r="Q14" s="35">
        <v>8.9099999999999999E-2</v>
      </c>
      <c r="R14" s="35">
        <v>8.1303790000000001E-2</v>
      </c>
      <c r="S14" s="36">
        <v>2.5000000000000001E-3</v>
      </c>
      <c r="T14" s="26" t="s">
        <v>158</v>
      </c>
      <c r="U14" s="26" t="s">
        <v>379</v>
      </c>
    </row>
    <row r="15" spans="1:28" ht="18" customHeight="1" x14ac:dyDescent="0.3">
      <c r="A15" s="39" t="s">
        <v>353</v>
      </c>
      <c r="B15" s="26" t="s">
        <v>23</v>
      </c>
      <c r="C15" s="26" t="s">
        <v>37</v>
      </c>
      <c r="D15" s="17" t="s">
        <v>355</v>
      </c>
      <c r="E15" s="27" t="s">
        <v>371</v>
      </c>
      <c r="F15" s="27" t="s">
        <v>164</v>
      </c>
      <c r="G15" s="27" t="s">
        <v>165</v>
      </c>
      <c r="H15" s="27" t="s">
        <v>372</v>
      </c>
      <c r="I15" s="26" t="s">
        <v>154</v>
      </c>
      <c r="J15" s="32">
        <v>45756</v>
      </c>
      <c r="K15" s="33">
        <v>250000</v>
      </c>
      <c r="L15" s="34" t="s">
        <v>378</v>
      </c>
      <c r="M15" s="26">
        <v>102.6</v>
      </c>
      <c r="N15" s="28" t="s">
        <v>156</v>
      </c>
      <c r="O15" s="26">
        <v>102.6</v>
      </c>
      <c r="P15" s="26" t="s">
        <v>162</v>
      </c>
      <c r="Q15" s="35">
        <v>9.3299999999999994E-2</v>
      </c>
      <c r="R15" s="35">
        <v>8.2204429999999995E-2</v>
      </c>
      <c r="S15" s="36">
        <v>2.5000000000000001E-3</v>
      </c>
      <c r="T15" s="26" t="s">
        <v>158</v>
      </c>
      <c r="U15" s="26" t="s">
        <v>379</v>
      </c>
    </row>
  </sheetData>
  <sortState xmlns:xlrd2="http://schemas.microsoft.com/office/spreadsheetml/2017/richdata2" ref="B6:U15">
    <sortCondition ref="D6:D15"/>
  </sortState>
  <mergeCells count="5">
    <mergeCell ref="A1:U1"/>
    <mergeCell ref="A2:B2"/>
    <mergeCell ref="L2:T2"/>
    <mergeCell ref="D2:K2"/>
    <mergeCell ref="U2:AB2"/>
  </mergeCells>
  <phoneticPr fontId="1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DFB3A-0621-478B-8386-E18A08BD058A}">
  <dimension ref="A1:I15"/>
  <sheetViews>
    <sheetView zoomScaleNormal="100" workbookViewId="0">
      <pane ySplit="5" topLeftCell="A6" activePane="bottomLeft" state="frozen"/>
      <selection pane="bottomLeft" activeCell="D22" sqref="D2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1.441406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45" t="s">
        <v>0</v>
      </c>
      <c r="B1" s="46"/>
      <c r="C1" s="46"/>
      <c r="D1" s="46"/>
      <c r="E1" s="46"/>
      <c r="F1" s="46"/>
      <c r="G1" s="46"/>
      <c r="H1" s="46"/>
      <c r="I1" s="46"/>
    </row>
    <row r="2" spans="1:9" ht="19.5" customHeight="1" x14ac:dyDescent="0.3">
      <c r="A2" s="47" t="s">
        <v>1</v>
      </c>
      <c r="B2" s="48"/>
      <c r="C2" s="47" t="s">
        <v>2</v>
      </c>
      <c r="D2" s="49"/>
      <c r="E2" s="48"/>
      <c r="F2" s="47" t="s">
        <v>3</v>
      </c>
      <c r="G2" s="49"/>
      <c r="H2" s="49"/>
      <c r="I2" s="48"/>
    </row>
    <row r="3" spans="1:9" ht="36" customHeight="1" x14ac:dyDescent="0.3">
      <c r="A3" s="9" t="s">
        <v>4</v>
      </c>
      <c r="B3" s="9" t="s">
        <v>5</v>
      </c>
      <c r="C3" s="9" t="s">
        <v>6</v>
      </c>
      <c r="D3" s="9" t="s">
        <v>7</v>
      </c>
      <c r="E3" s="10" t="s">
        <v>8</v>
      </c>
      <c r="F3" s="9" t="s">
        <v>9</v>
      </c>
      <c r="G3" s="11" t="s">
        <v>10</v>
      </c>
      <c r="H3" s="11" t="s">
        <v>11</v>
      </c>
      <c r="I3" s="10" t="s">
        <v>12</v>
      </c>
    </row>
    <row r="4" spans="1:9" ht="24" customHeight="1" x14ac:dyDescent="0.3">
      <c r="A4" s="12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19</v>
      </c>
      <c r="I4" s="12" t="s">
        <v>19</v>
      </c>
    </row>
    <row r="5" spans="1:9" ht="18" customHeight="1" x14ac:dyDescent="0.3">
      <c r="A5" s="24" t="s">
        <v>20</v>
      </c>
      <c r="B5" s="24" t="s">
        <v>20</v>
      </c>
      <c r="C5" s="24" t="s">
        <v>20</v>
      </c>
      <c r="D5" s="24" t="s">
        <v>20</v>
      </c>
      <c r="E5" s="25" t="s">
        <v>21</v>
      </c>
      <c r="F5" s="24" t="s">
        <v>20</v>
      </c>
      <c r="G5" s="42" t="s">
        <v>22</v>
      </c>
      <c r="H5" s="42" t="s">
        <v>22</v>
      </c>
      <c r="I5" s="25" t="s">
        <v>21</v>
      </c>
    </row>
    <row r="6" spans="1:9" x14ac:dyDescent="0.3">
      <c r="A6" s="43" t="s">
        <v>117</v>
      </c>
      <c r="B6" s="29" t="s">
        <v>23</v>
      </c>
      <c r="C6" s="29" t="s">
        <v>24</v>
      </c>
      <c r="D6" s="27" t="s">
        <v>25</v>
      </c>
      <c r="E6" s="29"/>
      <c r="F6" s="44"/>
      <c r="G6" s="29"/>
      <c r="H6" s="29"/>
      <c r="I6" s="29"/>
    </row>
    <row r="7" spans="1:9" x14ac:dyDescent="0.3">
      <c r="A7" s="43" t="s">
        <v>117</v>
      </c>
      <c r="B7" s="29" t="s">
        <v>23</v>
      </c>
      <c r="C7" s="29" t="s">
        <v>26</v>
      </c>
      <c r="D7" s="27" t="s">
        <v>381</v>
      </c>
      <c r="E7" s="29"/>
      <c r="F7" s="44"/>
      <c r="G7" s="29"/>
      <c r="H7" s="29"/>
      <c r="I7" s="29"/>
    </row>
    <row r="8" spans="1:9" x14ac:dyDescent="0.3">
      <c r="A8" s="43" t="s">
        <v>117</v>
      </c>
      <c r="B8" s="29" t="s">
        <v>23</v>
      </c>
      <c r="C8" s="29" t="s">
        <v>27</v>
      </c>
      <c r="D8" s="27" t="s">
        <v>28</v>
      </c>
      <c r="E8" s="29"/>
      <c r="F8" s="44"/>
      <c r="G8" s="29"/>
      <c r="H8" s="29"/>
      <c r="I8" s="29"/>
    </row>
    <row r="9" spans="1:9" x14ac:dyDescent="0.3">
      <c r="A9" s="43" t="s">
        <v>117</v>
      </c>
      <c r="B9" s="29" t="s">
        <v>23</v>
      </c>
      <c r="C9" s="29" t="s">
        <v>29</v>
      </c>
      <c r="D9" s="27" t="s">
        <v>382</v>
      </c>
      <c r="E9" s="29"/>
      <c r="F9" s="44"/>
      <c r="G9" s="29"/>
      <c r="H9" s="29"/>
      <c r="I9" s="29"/>
    </row>
    <row r="10" spans="1:9" x14ac:dyDescent="0.3">
      <c r="A10" s="43" t="s">
        <v>117</v>
      </c>
      <c r="B10" s="29" t="s">
        <v>23</v>
      </c>
      <c r="C10" s="29" t="s">
        <v>30</v>
      </c>
      <c r="D10" s="27" t="s">
        <v>31</v>
      </c>
      <c r="E10" s="29"/>
      <c r="F10" s="44"/>
      <c r="G10" s="29"/>
      <c r="H10" s="29"/>
      <c r="I10" s="29"/>
    </row>
    <row r="11" spans="1:9" x14ac:dyDescent="0.3">
      <c r="A11" s="43" t="s">
        <v>353</v>
      </c>
      <c r="B11" s="29" t="s">
        <v>23</v>
      </c>
      <c r="C11" s="29" t="s">
        <v>32</v>
      </c>
      <c r="D11" s="27" t="s">
        <v>33</v>
      </c>
      <c r="E11" s="29"/>
      <c r="F11" s="44"/>
      <c r="G11" s="29"/>
      <c r="H11" s="29"/>
      <c r="I11" s="29"/>
    </row>
    <row r="12" spans="1:9" x14ac:dyDescent="0.3">
      <c r="A12" s="43" t="s">
        <v>353</v>
      </c>
      <c r="B12" s="29" t="s">
        <v>23</v>
      </c>
      <c r="C12" s="29" t="s">
        <v>34</v>
      </c>
      <c r="D12" s="27" t="s">
        <v>359</v>
      </c>
      <c r="E12" s="29"/>
      <c r="F12" s="44"/>
      <c r="G12" s="29"/>
      <c r="H12" s="29"/>
      <c r="I12" s="29"/>
    </row>
    <row r="13" spans="1:9" x14ac:dyDescent="0.3">
      <c r="A13" s="43" t="s">
        <v>353</v>
      </c>
      <c r="B13" s="29" t="s">
        <v>23</v>
      </c>
      <c r="C13" s="29" t="s">
        <v>35</v>
      </c>
      <c r="D13" s="27" t="s">
        <v>360</v>
      </c>
      <c r="E13" s="29"/>
      <c r="F13" s="44"/>
      <c r="G13" s="29"/>
      <c r="H13" s="29"/>
      <c r="I13" s="29"/>
    </row>
    <row r="14" spans="1:9" x14ac:dyDescent="0.3">
      <c r="A14" s="43" t="s">
        <v>353</v>
      </c>
      <c r="B14" s="29" t="s">
        <v>23</v>
      </c>
      <c r="C14" s="29" t="s">
        <v>36</v>
      </c>
      <c r="D14" s="27" t="s">
        <v>361</v>
      </c>
      <c r="E14" s="29"/>
      <c r="F14" s="44"/>
      <c r="G14" s="29"/>
      <c r="H14" s="29"/>
      <c r="I14" s="29"/>
    </row>
    <row r="15" spans="1:9" x14ac:dyDescent="0.3">
      <c r="A15" s="43" t="s">
        <v>353</v>
      </c>
      <c r="B15" s="29" t="s">
        <v>23</v>
      </c>
      <c r="C15" s="29" t="s">
        <v>37</v>
      </c>
      <c r="D15" s="27" t="s">
        <v>362</v>
      </c>
      <c r="E15" s="29"/>
      <c r="F15" s="44"/>
      <c r="G15" s="29"/>
      <c r="H15" s="29"/>
      <c r="I15" s="29"/>
    </row>
  </sheetData>
  <mergeCells count="4">
    <mergeCell ref="A1:I1"/>
    <mergeCell ref="A2:B2"/>
    <mergeCell ref="C2:E2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45" t="s">
        <v>235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19.5" customHeight="1" x14ac:dyDescent="0.3">
      <c r="A2" s="47" t="s">
        <v>1</v>
      </c>
      <c r="B2" s="48"/>
      <c r="C2" s="1" t="s">
        <v>174</v>
      </c>
      <c r="D2" s="47" t="s">
        <v>236</v>
      </c>
      <c r="E2" s="49"/>
      <c r="F2" s="49"/>
      <c r="G2" s="49"/>
      <c r="H2" s="49"/>
      <c r="I2" s="49"/>
      <c r="J2" s="49"/>
      <c r="K2" s="49"/>
      <c r="L2" s="49"/>
      <c r="M2" s="48"/>
      <c r="N2" s="47" t="s">
        <v>3</v>
      </c>
      <c r="O2" s="49"/>
      <c r="P2" s="49"/>
      <c r="Q2" s="48"/>
    </row>
    <row r="3" spans="1:17" ht="36" customHeight="1" x14ac:dyDescent="0.3">
      <c r="A3" s="9" t="s">
        <v>4</v>
      </c>
      <c r="B3" s="9" t="s">
        <v>5</v>
      </c>
      <c r="C3" s="9" t="s">
        <v>177</v>
      </c>
      <c r="D3" s="9" t="s">
        <v>112</v>
      </c>
      <c r="E3" s="10" t="s">
        <v>237</v>
      </c>
      <c r="F3" s="10" t="s">
        <v>238</v>
      </c>
      <c r="G3" s="10" t="s">
        <v>239</v>
      </c>
      <c r="H3" s="10" t="s">
        <v>240</v>
      </c>
      <c r="I3" s="10" t="s">
        <v>241</v>
      </c>
      <c r="J3" s="10" t="s">
        <v>242</v>
      </c>
      <c r="K3" s="10" t="s">
        <v>243</v>
      </c>
      <c r="L3" s="10" t="s">
        <v>244</v>
      </c>
      <c r="M3" s="10" t="s">
        <v>245</v>
      </c>
      <c r="N3" s="9" t="s">
        <v>9</v>
      </c>
      <c r="O3" s="11" t="s">
        <v>10</v>
      </c>
      <c r="P3" s="11" t="s">
        <v>11</v>
      </c>
      <c r="Q3" s="10" t="s">
        <v>12</v>
      </c>
    </row>
    <row r="4" spans="1:17" ht="24" customHeight="1" x14ac:dyDescent="0.3">
      <c r="A4" s="12" t="s">
        <v>13</v>
      </c>
      <c r="B4" s="12" t="s">
        <v>246</v>
      </c>
      <c r="C4" s="12" t="s">
        <v>137</v>
      </c>
      <c r="D4" s="12" t="s">
        <v>115</v>
      </c>
      <c r="E4" s="12" t="s">
        <v>247</v>
      </c>
      <c r="F4" s="12" t="s">
        <v>248</v>
      </c>
      <c r="G4" s="12" t="s">
        <v>249</v>
      </c>
      <c r="H4" s="12" t="s">
        <v>250</v>
      </c>
      <c r="I4" s="12" t="s">
        <v>251</v>
      </c>
      <c r="J4" s="12" t="s">
        <v>252</v>
      </c>
      <c r="K4" s="12" t="s">
        <v>253</v>
      </c>
      <c r="L4" s="12" t="s">
        <v>254</v>
      </c>
      <c r="M4" s="12" t="s">
        <v>255</v>
      </c>
      <c r="N4" s="12" t="s">
        <v>18</v>
      </c>
      <c r="O4" s="12" t="s">
        <v>19</v>
      </c>
      <c r="P4" s="12" t="s">
        <v>19</v>
      </c>
      <c r="Q4" s="12" t="s">
        <v>19</v>
      </c>
    </row>
    <row r="5" spans="1:17" ht="18" customHeight="1" x14ac:dyDescent="0.3">
      <c r="A5" s="13" t="s">
        <v>20</v>
      </c>
      <c r="B5" s="13" t="s">
        <v>20</v>
      </c>
      <c r="C5" s="13" t="s">
        <v>20</v>
      </c>
      <c r="D5" s="13" t="s">
        <v>20</v>
      </c>
      <c r="E5" s="14" t="s">
        <v>21</v>
      </c>
      <c r="F5" s="14" t="s">
        <v>21</v>
      </c>
      <c r="G5" s="14" t="s">
        <v>21</v>
      </c>
      <c r="H5" s="14" t="s">
        <v>21</v>
      </c>
      <c r="I5" s="14" t="s">
        <v>21</v>
      </c>
      <c r="J5" s="14" t="s">
        <v>21</v>
      </c>
      <c r="K5" s="14" t="s">
        <v>21</v>
      </c>
      <c r="L5" s="14" t="s">
        <v>21</v>
      </c>
      <c r="M5" s="14" t="s">
        <v>21</v>
      </c>
      <c r="N5" s="13" t="s">
        <v>20</v>
      </c>
      <c r="O5" s="15" t="s">
        <v>22</v>
      </c>
      <c r="P5" s="15" t="s">
        <v>22</v>
      </c>
      <c r="Q5" s="14" t="s">
        <v>21</v>
      </c>
    </row>
    <row r="6" spans="1:17" ht="18" customHeight="1" x14ac:dyDescent="0.3">
      <c r="A6" s="16" t="s">
        <v>256</v>
      </c>
      <c r="B6" s="17" t="s">
        <v>257</v>
      </c>
      <c r="C6" s="17">
        <v>1</v>
      </c>
      <c r="D6" s="17" t="s">
        <v>118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119</v>
      </c>
      <c r="O6" s="30" t="s">
        <v>119</v>
      </c>
      <c r="P6" s="17" t="s">
        <v>258</v>
      </c>
      <c r="Q6" s="17" t="s">
        <v>259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260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53" t="s">
        <v>38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</row>
    <row r="23" spans="1:17" x14ac:dyDescent="0.3">
      <c r="A23" s="51" t="s">
        <v>39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</row>
    <row r="24" spans="1:17" x14ac:dyDescent="0.3">
      <c r="A24" s="56" t="s">
        <v>40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</row>
    <row r="25" spans="1:17" x14ac:dyDescent="0.3">
      <c r="A25" s="55" t="s">
        <v>41</v>
      </c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</row>
    <row r="26" spans="1:17" x14ac:dyDescent="0.3">
      <c r="A26" s="54" t="s">
        <v>42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</row>
    <row r="27" spans="1:17" x14ac:dyDescent="0.3">
      <c r="A27" s="52" t="s">
        <v>43</v>
      </c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19" t="s">
        <v>5</v>
      </c>
      <c r="B1" s="19" t="s">
        <v>312</v>
      </c>
      <c r="C1" s="19" t="s">
        <v>313</v>
      </c>
      <c r="D1" s="19" t="s">
        <v>314</v>
      </c>
      <c r="E1" s="19" t="s">
        <v>315</v>
      </c>
      <c r="F1" s="19" t="s">
        <v>112</v>
      </c>
      <c r="G1" s="19" t="s">
        <v>316</v>
      </c>
      <c r="H1" s="19" t="s">
        <v>317</v>
      </c>
      <c r="I1" s="19" t="s">
        <v>318</v>
      </c>
      <c r="J1" s="19" t="s">
        <v>319</v>
      </c>
      <c r="K1" s="19" t="s">
        <v>320</v>
      </c>
    </row>
    <row r="2" spans="1:11" x14ac:dyDescent="0.3">
      <c r="A2" t="s">
        <v>23</v>
      </c>
      <c r="B2" t="s">
        <v>154</v>
      </c>
      <c r="C2" t="s">
        <v>202</v>
      </c>
      <c r="D2" t="s">
        <v>321</v>
      </c>
      <c r="E2" t="s">
        <v>191</v>
      </c>
      <c r="F2" t="s">
        <v>118</v>
      </c>
      <c r="G2" t="s">
        <v>309</v>
      </c>
      <c r="H2" t="s">
        <v>322</v>
      </c>
      <c r="I2" t="s">
        <v>322</v>
      </c>
      <c r="J2" t="s">
        <v>265</v>
      </c>
      <c r="K2" t="s">
        <v>119</v>
      </c>
    </row>
    <row r="3" spans="1:11" x14ac:dyDescent="0.3">
      <c r="A3" t="s">
        <v>323</v>
      </c>
      <c r="B3" t="s">
        <v>324</v>
      </c>
      <c r="C3" t="s">
        <v>194</v>
      </c>
      <c r="D3" t="s">
        <v>158</v>
      </c>
      <c r="E3" t="s">
        <v>201</v>
      </c>
      <c r="F3" t="s">
        <v>325</v>
      </c>
      <c r="G3" t="s">
        <v>326</v>
      </c>
      <c r="H3" t="s">
        <v>327</v>
      </c>
      <c r="I3" t="s">
        <v>327</v>
      </c>
      <c r="J3" t="s">
        <v>328</v>
      </c>
      <c r="K3" t="s">
        <v>163</v>
      </c>
    </row>
    <row r="4" spans="1:11" x14ac:dyDescent="0.3">
      <c r="A4" t="s">
        <v>329</v>
      </c>
      <c r="C4" t="s">
        <v>195</v>
      </c>
      <c r="D4" t="s">
        <v>330</v>
      </c>
      <c r="E4" t="s">
        <v>193</v>
      </c>
      <c r="F4" t="s">
        <v>331</v>
      </c>
      <c r="G4" t="s">
        <v>332</v>
      </c>
      <c r="J4" t="s">
        <v>333</v>
      </c>
    </row>
    <row r="5" spans="1:11" x14ac:dyDescent="0.3">
      <c r="A5" t="s">
        <v>257</v>
      </c>
      <c r="C5" t="s">
        <v>200</v>
      </c>
      <c r="E5" t="s">
        <v>204</v>
      </c>
      <c r="F5" t="s">
        <v>334</v>
      </c>
      <c r="G5" t="s">
        <v>335</v>
      </c>
    </row>
    <row r="6" spans="1:11" x14ac:dyDescent="0.3">
      <c r="C6" t="s">
        <v>198</v>
      </c>
      <c r="E6" t="s">
        <v>234</v>
      </c>
      <c r="F6" t="s">
        <v>336</v>
      </c>
      <c r="G6" t="s">
        <v>337</v>
      </c>
    </row>
    <row r="7" spans="1:11" x14ac:dyDescent="0.3">
      <c r="C7" t="s">
        <v>197</v>
      </c>
      <c r="F7" t="s">
        <v>338</v>
      </c>
      <c r="G7" t="s">
        <v>339</v>
      </c>
    </row>
    <row r="8" spans="1:11" x14ac:dyDescent="0.3">
      <c r="C8" t="s">
        <v>196</v>
      </c>
      <c r="G8" t="s">
        <v>340</v>
      </c>
    </row>
    <row r="9" spans="1:11" x14ac:dyDescent="0.3">
      <c r="G9" t="s">
        <v>341</v>
      </c>
    </row>
    <row r="10" spans="1:11" x14ac:dyDescent="0.3">
      <c r="G10" t="s">
        <v>342</v>
      </c>
    </row>
    <row r="11" spans="1:11" x14ac:dyDescent="0.3">
      <c r="G11" t="s">
        <v>343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04_Portfolio_Guidelines</vt:lpstr>
      <vt:lpstr>00_Instructions</vt:lpstr>
      <vt:lpstr>01_Portfolio</vt:lpstr>
      <vt:lpstr>06_Portfolio_Expenses</vt:lpstr>
      <vt:lpstr>07_Bound_Portfolio</vt:lpstr>
      <vt:lpstr>02_Transaction</vt:lpstr>
      <vt:lpstr>03_Mapping</vt:lpstr>
      <vt:lpstr>05_Pricing_Parameters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2026-07-22T05:57:31Z</dcterms:modified>
  <dc:language>en-US</dc:language>
</cp:coreProperties>
</file>