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showInkAnnotation="0" codeName="ThisWorkbook" hidePivotFieldList="1"/>
  <mc:AlternateContent xmlns:mc="http://schemas.openxmlformats.org/markup-compatibility/2006">
    <mc:Choice Requires="x15">
      <x15ac:absPath xmlns:x15ac="http://schemas.microsoft.com/office/spreadsheetml/2010/11/ac" url="C:\Users\ARAPL_USER\Desktop\UI Testing\Portfolio Test\"/>
    </mc:Choice>
  </mc:AlternateContent>
  <xr:revisionPtr revIDLastSave="0" documentId="13_ncr:1_{3FA9E452-4C36-4090-A480-C9EDC40C0D51}" xr6:coauthVersionLast="47" xr6:coauthVersionMax="47" xr10:uidLastSave="{00000000-0000-0000-0000-000000000000}"/>
  <bookViews>
    <workbookView xWindow="-108" yWindow="-108" windowWidth="23256" windowHeight="12456" tabRatio="857" activeTab="6" xr2:uid="{00000000-000D-0000-FFFF-FFFF00000000}"/>
  </bookViews>
  <sheets>
    <sheet name="ETF Portfolio" sheetId="85" r:id="rId1"/>
    <sheet name="Control Checks" sheetId="75" state="hidden" r:id="rId2"/>
    <sheet name="ETF Portfolio OLD" sheetId="84" state="hidden" r:id="rId3"/>
    <sheet name="ILS Data pull" sheetId="77" r:id="rId4"/>
    <sheet name="Tasks" sheetId="78" r:id="rId5"/>
    <sheet name="Bound Portfolio Report" sheetId="70" r:id="rId6"/>
    <sheet name="BoundPortfolio" sheetId="74" r:id="rId7"/>
    <sheet name="Profit and Loss" sheetId="71" r:id="rId8"/>
    <sheet name="Historical Events Adjustment" sheetId="72" r:id="rId9"/>
    <sheet name="Guidelines" sheetId="73" r:id="rId10"/>
    <sheet name="BoundPortfolioDetails" sheetId="64" r:id="rId11"/>
    <sheet name="Setup" sheetId="65" r:id="rId12"/>
  </sheets>
  <functionGroups builtInGroupCount="19"/>
  <externalReferences>
    <externalReference r:id="rId13"/>
  </externalReferences>
  <definedNames>
    <definedName name="_100__Premium">#REF!</definedName>
    <definedName name="_100_AEP">#REF!</definedName>
    <definedName name="_500_AEP">#REF!</definedName>
    <definedName name="_xlnm._FilterDatabase" localSheetId="5" hidden="1">'Bound Portfolio Report'!$A$1:$AV$1</definedName>
    <definedName name="_xlnm._FilterDatabase" localSheetId="0" hidden="1">'ETF Portfolio'!$A$17:$AK$114</definedName>
    <definedName name="_xlnm._FilterDatabase" localSheetId="2" hidden="1">'ETF Portfolio OLD'!$A$7:$AK$98</definedName>
    <definedName name="_xlnm._FilterDatabase" localSheetId="3" hidden="1">'ILS Data pull'!$A$1:$H$335</definedName>
    <definedName name="Actual___of_AUM">#REF!</definedName>
    <definedName name="Aggregate_Limit__100">#REF!</definedName>
    <definedName name="AIR_ARe_LayerID">[1]BoundLayerDB!$D$3:$D$1048576</definedName>
    <definedName name="Avg_Rate_Change_Projection">#REF!</definedName>
    <definedName name="Bond_Price__Binding">#REF!</definedName>
    <definedName name="Bound_Date">#REF!</definedName>
    <definedName name="CipherID">#REF!</definedName>
    <definedName name="CIQWBGuid" hidden="1">"f0b1c0f7-41d0-47c3-b294-5242a657cad6"</definedName>
    <definedName name="Co_TVAR_100">#REF!</definedName>
    <definedName name="Co_TVAR_1000">#REF!</definedName>
    <definedName name="Collateral__Fronted">#REF!</definedName>
    <definedName name="Collateral_Fee">#REF!</definedName>
    <definedName name="Collateral_Premium">#REF!</definedName>
    <definedName name="Comment">#REF!</definedName>
    <definedName name="dMillion">1000000</definedName>
    <definedName name="dNoSH">#REF!</definedName>
    <definedName name="dSharePrice">#REF!</definedName>
    <definedName name="Exception_Approval">#REF!</definedName>
    <definedName name="Exp._Loss">#REF!</definedName>
    <definedName name="Expiration_Date">#REF!</definedName>
    <definedName name="Fronted">#REF!</definedName>
    <definedName name="Fronting">#REF!</definedName>
    <definedName name="Fronting_Fee">#REF!</definedName>
    <definedName name="Guideline_Check">#REF!</definedName>
    <definedName name="Hedges">#REF!</definedName>
    <definedName name="Initial_Fees">#REF!</definedName>
    <definedName name="Invested_AUM">#REF!</definedName>
    <definedName name="IQ_CH">110000</definedName>
    <definedName name="IQ_CQ">5000</definedName>
    <definedName name="IQ_CY">10000</definedName>
    <definedName name="IQ_DAILY">500000</definedName>
    <definedName name="IQ_DNTM" hidden="1">700000</definedName>
    <definedName name="IQ_EXPENSE_CODE_" hidden="1">"019802400"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42319.6118981481</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Issuer">#REF!</definedName>
    <definedName name="Layer_with_Analysis_Profile">#REF!</definedName>
    <definedName name="Layer_with_participation">#REF!</definedName>
    <definedName name="Layer_with_updated_expiry">#REF!</definedName>
    <definedName name="Loss_Ratio">#REF!</definedName>
    <definedName name="Name">#REF!</definedName>
    <definedName name="Non_Modeled___PIMCO_View">#REF!</definedName>
    <definedName name="Occ_Limit__100">#REF!</definedName>
    <definedName name="Original_Layer_ID">#REF!</definedName>
    <definedName name="Original_Layer_with_Participation">#REF!</definedName>
    <definedName name="PIMCO_Agg_Limit">#REF!</definedName>
    <definedName name="PIMCO_ARe_LayerID">[1]BoundLayerDB!$B$3:$B$1048576</definedName>
    <definedName name="PIMCO_Occ_Limit">#REF!</definedName>
    <definedName name="PIMCO_Share">#REF!</definedName>
    <definedName name="Premium">#REF!</definedName>
    <definedName name="Profit">#REF!</definedName>
    <definedName name="Return">#REF!</definedName>
    <definedName name="Return_on_Co_TVAR_100">#REF!</definedName>
    <definedName name="ROL">#REF!</definedName>
    <definedName name="SD">#REF!</definedName>
    <definedName name="Security_Instrument">#REF!</definedName>
    <definedName name="Single_Risk_Guideline">#REF!</definedName>
    <definedName name="SpreadsheetBuilder_1" hidden="1">#REF!</definedName>
    <definedName name="SpreadsheetBuilder_15" hidden="1">#REF!</definedName>
    <definedName name="SpreadsheetBuilder_16" hidden="1">#REF!</definedName>
    <definedName name="SpreadsheetBuilder_2" hidden="1">#REF!</definedName>
    <definedName name="SpreadsheetBuilder_3" hidden="1">#REF!</definedName>
    <definedName name="SpreadsheetBuilder_4" hidden="1">#REF!</definedName>
    <definedName name="SpreadsheetBuilder_5" hidden="1">#REF!</definedName>
    <definedName name="SpreadsheetBuilder_6" hidden="1">#REF!</definedName>
    <definedName name="TTM">#REF!</definedName>
    <definedName name="UW_Expenses">#REF!</definedName>
  </definedNames>
  <calcPr calcId="191029" iterateDelta="1E-4"/>
  <customWorkbookViews>
    <customWorkbookView name="Belambe, Mandar - Personal View" guid="{C32C0BC3-A762-4E97-BB37-2FAA4746F4FA}" mergeInterval="0" personalView="1" maximized="1" xWindow="-8" yWindow="-8" windowWidth="1382" windowHeight="754" tabRatio="926" activeSheetId="3"/>
    <customWorkbookView name="Manghnani, Vijay - Personal View" guid="{5FFA5C24-F31B-48DC-9A7B-9DABB8F4304A}" mergeInterval="0" personalView="1" maximized="1" xWindow="-8" yWindow="-8" windowWidth="2064" windowHeight="1138" tabRatio="926" activeSheetId="10"/>
    <customWorkbookView name="Mali, Akshaya - Personal View" guid="{D56A7A4B-BFD7-4A85-A4E7-6E1C9DD24B18}" mergeInterval="0" personalView="1" maximized="1" xWindow="-8" yWindow="-8" windowWidth="1382" windowHeight="754" tabRatio="926" activeSheetId="7"/>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19" i="85" l="1"/>
  <c r="AK20" i="85"/>
  <c r="AK21" i="85"/>
  <c r="AK22" i="85"/>
  <c r="AK23" i="85"/>
  <c r="AK24" i="85"/>
  <c r="AK25" i="85"/>
  <c r="AK26" i="85"/>
  <c r="AK27" i="85"/>
  <c r="AK28" i="85"/>
  <c r="AK29" i="85"/>
  <c r="AK30" i="85"/>
  <c r="AK31" i="85"/>
  <c r="AK32" i="85"/>
  <c r="AK33" i="85"/>
  <c r="AK34" i="85"/>
  <c r="AK35" i="85"/>
  <c r="AK36" i="85"/>
  <c r="AK37" i="85"/>
  <c r="AK38" i="85"/>
  <c r="AK39" i="85"/>
  <c r="AK40" i="85"/>
  <c r="AK41" i="85"/>
  <c r="AK42" i="85"/>
  <c r="AK43" i="85"/>
  <c r="AK44" i="85"/>
  <c r="AK45" i="85"/>
  <c r="AK46" i="85"/>
  <c r="AK47" i="85"/>
  <c r="AK48" i="85"/>
  <c r="AK49" i="85"/>
  <c r="AK50" i="85"/>
  <c r="AK51" i="85"/>
  <c r="AK52" i="85"/>
  <c r="AK53" i="85"/>
  <c r="AK54" i="85"/>
  <c r="AK55" i="85"/>
  <c r="AK56" i="85"/>
  <c r="AK57" i="85"/>
  <c r="AK58" i="85"/>
  <c r="AK59" i="85"/>
  <c r="AK60" i="85"/>
  <c r="AK61" i="85"/>
  <c r="AK62" i="85"/>
  <c r="AK63" i="85"/>
  <c r="AK64" i="85"/>
  <c r="AK65" i="85"/>
  <c r="AK66" i="85"/>
  <c r="AK67" i="85"/>
  <c r="AK68" i="85"/>
  <c r="AK69" i="85"/>
  <c r="AK70" i="85"/>
  <c r="AK71" i="85"/>
  <c r="AK72" i="85"/>
  <c r="AK73" i="85"/>
  <c r="AK74" i="85"/>
  <c r="AK75" i="85"/>
  <c r="AK76" i="85"/>
  <c r="AK77" i="85"/>
  <c r="AK78" i="85"/>
  <c r="AK79" i="85"/>
  <c r="AK80" i="85"/>
  <c r="AK81" i="85"/>
  <c r="AK82" i="85"/>
  <c r="AK83" i="85"/>
  <c r="AK84" i="85"/>
  <c r="AK85" i="85"/>
  <c r="AK86" i="85"/>
  <c r="AK87" i="85"/>
  <c r="AK88" i="85"/>
  <c r="AK89" i="85"/>
  <c r="AK90" i="85"/>
  <c r="AK91" i="85"/>
  <c r="AK92" i="85"/>
  <c r="AK93" i="85"/>
  <c r="AK94" i="85"/>
  <c r="AK95" i="85"/>
  <c r="AK96" i="85"/>
  <c r="AK97" i="85"/>
  <c r="AK98" i="85"/>
  <c r="AK99" i="85"/>
  <c r="AK100" i="85"/>
  <c r="AK101" i="85"/>
  <c r="AK18" i="85"/>
  <c r="AJ15" i="85"/>
  <c r="AJ14" i="85"/>
  <c r="AI15" i="85"/>
  <c r="AI14" i="85"/>
  <c r="AB15" i="85"/>
  <c r="AB14" i="85"/>
  <c r="AA15" i="85"/>
  <c r="AA14" i="85"/>
  <c r="H11" i="85" s="1"/>
  <c r="Z15" i="85"/>
  <c r="Z14" i="85"/>
  <c r="U14" i="85" l="1"/>
  <c r="U15" i="85"/>
  <c r="J8" i="75"/>
  <c r="J13" i="75"/>
  <c r="J14" i="75"/>
  <c r="J15" i="75"/>
  <c r="J16" i="75"/>
  <c r="J17" i="75"/>
  <c r="J18" i="75"/>
  <c r="J19" i="75"/>
  <c r="J11" i="75"/>
  <c r="J9" i="75"/>
  <c r="J7" i="75"/>
  <c r="J5" i="75"/>
  <c r="I12" i="75"/>
  <c r="J12" i="75" s="1"/>
  <c r="H10" i="85" l="1"/>
  <c r="H9" i="85"/>
  <c r="AK9" i="84" l="1"/>
  <c r="AK10" i="84"/>
  <c r="AK11" i="84"/>
  <c r="AK12" i="84"/>
  <c r="AK13" i="84"/>
  <c r="AK14" i="84"/>
  <c r="AK15" i="84"/>
  <c r="AK16" i="84"/>
  <c r="AK17" i="84"/>
  <c r="AK18" i="84"/>
  <c r="AK19" i="84"/>
  <c r="AK20" i="84"/>
  <c r="AK21" i="84"/>
  <c r="AK22" i="84"/>
  <c r="AK23" i="84"/>
  <c r="AK24" i="84"/>
  <c r="AK25" i="84"/>
  <c r="AK26" i="84"/>
  <c r="AK27" i="84"/>
  <c r="AK28" i="84"/>
  <c r="AK29" i="84"/>
  <c r="AK30" i="84"/>
  <c r="AK31" i="84"/>
  <c r="AK32" i="84"/>
  <c r="AK33" i="84"/>
  <c r="AK34" i="84"/>
  <c r="AK35" i="84"/>
  <c r="AK36" i="84"/>
  <c r="AK37" i="84"/>
  <c r="AK38" i="84"/>
  <c r="AK39" i="84"/>
  <c r="AK40" i="84"/>
  <c r="AK41" i="84"/>
  <c r="AK42" i="84"/>
  <c r="AK43" i="84"/>
  <c r="AK44" i="84"/>
  <c r="AK45" i="84"/>
  <c r="AK46" i="84"/>
  <c r="AK47" i="84"/>
  <c r="AK48" i="84"/>
  <c r="AK49" i="84"/>
  <c r="AK50" i="84"/>
  <c r="AK51" i="84"/>
  <c r="AK52" i="84"/>
  <c r="AK53" i="84"/>
  <c r="AK54" i="84"/>
  <c r="AK55" i="84"/>
  <c r="AK56" i="84"/>
  <c r="AK57" i="84"/>
  <c r="AK58" i="84"/>
  <c r="AK59" i="84"/>
  <c r="AK60" i="84"/>
  <c r="AK61" i="84"/>
  <c r="AK62" i="84"/>
  <c r="AK8" i="84"/>
  <c r="Z98" i="84" l="1"/>
  <c r="AA98" i="84" s="1"/>
  <c r="Z97" i="84"/>
  <c r="AA97" i="84" s="1"/>
  <c r="Z96" i="84"/>
  <c r="AA96" i="84" s="1"/>
  <c r="Z95" i="84"/>
  <c r="AA95" i="84" s="1"/>
  <c r="Z94" i="84"/>
  <c r="AA94" i="84" s="1"/>
  <c r="AI93" i="84"/>
  <c r="Z93" i="84"/>
  <c r="AA93" i="84" s="1"/>
  <c r="Z92" i="84"/>
  <c r="AA92" i="84" s="1"/>
  <c r="Z91" i="84"/>
  <c r="AA91" i="84" s="1"/>
  <c r="Z90" i="84"/>
  <c r="AA90" i="84" s="1"/>
  <c r="Z89" i="84"/>
  <c r="AA89" i="84" s="1"/>
  <c r="Z88" i="84"/>
  <c r="AA88" i="84" s="1"/>
  <c r="Z87" i="84"/>
  <c r="AA87" i="84" s="1"/>
  <c r="Z86" i="84"/>
  <c r="AA86" i="84" s="1"/>
  <c r="Z85" i="84"/>
  <c r="AA85" i="84" s="1"/>
  <c r="AJ84" i="84"/>
  <c r="Z84" i="84"/>
  <c r="AA84" i="84" s="1"/>
  <c r="AJ83" i="84"/>
  <c r="Z83" i="84"/>
  <c r="AA83" i="84" s="1"/>
  <c r="AJ82" i="84"/>
  <c r="Z82" i="84"/>
  <c r="AA82" i="84" s="1"/>
  <c r="AJ81" i="84"/>
  <c r="Z81" i="84"/>
  <c r="AA81" i="84" s="1"/>
  <c r="AJ80" i="84"/>
  <c r="Z80" i="84"/>
  <c r="AA80" i="84" s="1"/>
  <c r="AJ79" i="84"/>
  <c r="Z79" i="84"/>
  <c r="AA79" i="84" s="1"/>
  <c r="AJ78" i="84"/>
  <c r="Z78" i="84"/>
  <c r="AA78" i="84" s="1"/>
  <c r="AJ77" i="84"/>
  <c r="Z77" i="84"/>
  <c r="AA77" i="84" s="1"/>
  <c r="AJ76" i="84"/>
  <c r="Z76" i="84"/>
  <c r="AA76" i="84" s="1"/>
  <c r="AJ75" i="84"/>
  <c r="Z75" i="84"/>
  <c r="AA75" i="84" s="1"/>
  <c r="AJ74" i="84"/>
  <c r="Z74" i="84"/>
  <c r="AA74" i="84" s="1"/>
  <c r="AJ73" i="84"/>
  <c r="Z73" i="84"/>
  <c r="AA73" i="84" s="1"/>
  <c r="AJ72" i="84"/>
  <c r="Z72" i="84"/>
  <c r="AA72" i="84" s="1"/>
  <c r="AJ71" i="84"/>
  <c r="Z71" i="84"/>
  <c r="AA71" i="84" s="1"/>
  <c r="AJ70" i="84"/>
  <c r="Z70" i="84"/>
  <c r="AA70" i="84" s="1"/>
  <c r="AJ69" i="84"/>
  <c r="Z69" i="84"/>
  <c r="AA69" i="84" s="1"/>
  <c r="AJ68" i="84"/>
  <c r="Z68" i="84"/>
  <c r="AA68" i="84" s="1"/>
  <c r="AJ67" i="84"/>
  <c r="Z67" i="84"/>
  <c r="AA67" i="84" s="1"/>
  <c r="AJ66" i="84"/>
  <c r="Z66" i="84"/>
  <c r="AA66" i="84" s="1"/>
  <c r="AJ65" i="84"/>
  <c r="Z65" i="84"/>
  <c r="AA65" i="84" s="1"/>
  <c r="AJ64" i="84"/>
  <c r="Z64" i="84"/>
  <c r="AA64" i="84" s="1"/>
  <c r="AJ63" i="84"/>
  <c r="Z63" i="84"/>
  <c r="AA63" i="84" s="1"/>
  <c r="AJ62" i="84"/>
  <c r="AI62" i="84"/>
  <c r="AG62" i="84"/>
  <c r="AH62" i="84" s="1"/>
  <c r="AF62" i="84"/>
  <c r="Z62" i="84"/>
  <c r="AA62" i="84" s="1"/>
  <c r="AJ61" i="84"/>
  <c r="AI61" i="84"/>
  <c r="AG61" i="84"/>
  <c r="AH61" i="84" s="1"/>
  <c r="AF61" i="84"/>
  <c r="Z61" i="84"/>
  <c r="AA61" i="84" s="1"/>
  <c r="AJ60" i="84"/>
  <c r="AI60" i="84"/>
  <c r="AG60" i="84"/>
  <c r="AH60" i="84" s="1"/>
  <c r="AF60" i="84"/>
  <c r="Z60" i="84"/>
  <c r="AA60" i="84" s="1"/>
  <c r="AJ59" i="84"/>
  <c r="AI59" i="84"/>
  <c r="AG59" i="84"/>
  <c r="AH59" i="84" s="1"/>
  <c r="AF59" i="84"/>
  <c r="Z59" i="84"/>
  <c r="AA59" i="84" s="1"/>
  <c r="AJ58" i="84"/>
  <c r="AI58" i="84"/>
  <c r="AG58" i="84"/>
  <c r="AH58" i="84" s="1"/>
  <c r="AF58" i="84"/>
  <c r="Z58" i="84"/>
  <c r="AA58" i="84" s="1"/>
  <c r="AJ57" i="84"/>
  <c r="AI57" i="84"/>
  <c r="AG57" i="84"/>
  <c r="AH57" i="84" s="1"/>
  <c r="AF57" i="84"/>
  <c r="Z57" i="84"/>
  <c r="AA57" i="84" s="1"/>
  <c r="AJ56" i="84"/>
  <c r="AI56" i="84"/>
  <c r="AG56" i="84"/>
  <c r="AH56" i="84" s="1"/>
  <c r="AF56" i="84"/>
  <c r="Z56" i="84"/>
  <c r="AA56" i="84" s="1"/>
  <c r="AJ55" i="84"/>
  <c r="AI55" i="84"/>
  <c r="AG55" i="84"/>
  <c r="AH55" i="84" s="1"/>
  <c r="AF55" i="84"/>
  <c r="Z55" i="84"/>
  <c r="AA55" i="84" s="1"/>
  <c r="AJ54" i="84"/>
  <c r="AI54" i="84"/>
  <c r="AG54" i="84"/>
  <c r="AH54" i="84" s="1"/>
  <c r="AF54" i="84"/>
  <c r="Z54" i="84"/>
  <c r="AA54" i="84" s="1"/>
  <c r="AJ53" i="84"/>
  <c r="AI53" i="84"/>
  <c r="AG53" i="84"/>
  <c r="AH53" i="84" s="1"/>
  <c r="AF53" i="84"/>
  <c r="Z53" i="84"/>
  <c r="AA53" i="84" s="1"/>
  <c r="AJ52" i="84"/>
  <c r="AI52" i="84"/>
  <c r="AG52" i="84"/>
  <c r="AH52" i="84" s="1"/>
  <c r="AF52" i="84"/>
  <c r="Z52" i="84"/>
  <c r="AA52" i="84" s="1"/>
  <c r="AJ51" i="84"/>
  <c r="AI51" i="84"/>
  <c r="AG51" i="84"/>
  <c r="AH51" i="84" s="1"/>
  <c r="AF51" i="84"/>
  <c r="Z51" i="84"/>
  <c r="AA51" i="84" s="1"/>
  <c r="AJ50" i="84"/>
  <c r="AI50" i="84"/>
  <c r="AG50" i="84"/>
  <c r="AH50" i="84" s="1"/>
  <c r="AF50" i="84"/>
  <c r="Z50" i="84"/>
  <c r="AA50" i="84" s="1"/>
  <c r="AJ49" i="84"/>
  <c r="AI49" i="84"/>
  <c r="AG49" i="84"/>
  <c r="AH49" i="84" s="1"/>
  <c r="AF49" i="84"/>
  <c r="Z49" i="84"/>
  <c r="AA49" i="84" s="1"/>
  <c r="AJ48" i="84"/>
  <c r="AI48" i="84"/>
  <c r="AG48" i="84"/>
  <c r="AH48" i="84" s="1"/>
  <c r="AF48" i="84"/>
  <c r="Z48" i="84"/>
  <c r="AA48" i="84" s="1"/>
  <c r="AJ47" i="84"/>
  <c r="AI47" i="84"/>
  <c r="AG47" i="84"/>
  <c r="AH47" i="84" s="1"/>
  <c r="AF47" i="84"/>
  <c r="Z47" i="84"/>
  <c r="AA47" i="84" s="1"/>
  <c r="AJ46" i="84"/>
  <c r="AI46" i="84"/>
  <c r="AG46" i="84"/>
  <c r="AH46" i="84" s="1"/>
  <c r="AF46" i="84"/>
  <c r="Z46" i="84"/>
  <c r="AA46" i="84" s="1"/>
  <c r="AJ45" i="84"/>
  <c r="AI45" i="84"/>
  <c r="AG45" i="84"/>
  <c r="AH45" i="84" s="1"/>
  <c r="AF45" i="84"/>
  <c r="Z45" i="84"/>
  <c r="AA45" i="84" s="1"/>
  <c r="AJ44" i="84"/>
  <c r="AI44" i="84"/>
  <c r="AG44" i="84"/>
  <c r="AH44" i="84" s="1"/>
  <c r="AF44" i="84"/>
  <c r="Z44" i="84"/>
  <c r="AA44" i="84" s="1"/>
  <c r="AJ43" i="84"/>
  <c r="AI43" i="84"/>
  <c r="AG43" i="84"/>
  <c r="AH43" i="84" s="1"/>
  <c r="AF43" i="84"/>
  <c r="Z43" i="84"/>
  <c r="AA43" i="84" s="1"/>
  <c r="AJ42" i="84"/>
  <c r="AI42" i="84"/>
  <c r="AG42" i="84"/>
  <c r="AH42" i="84" s="1"/>
  <c r="AF42" i="84"/>
  <c r="Z42" i="84"/>
  <c r="AA42" i="84" s="1"/>
  <c r="AJ41" i="84"/>
  <c r="AI41" i="84"/>
  <c r="AG41" i="84"/>
  <c r="AH41" i="84" s="1"/>
  <c r="AF41" i="84"/>
  <c r="Z41" i="84"/>
  <c r="AA41" i="84" s="1"/>
  <c r="AJ40" i="84"/>
  <c r="AI40" i="84"/>
  <c r="AG40" i="84"/>
  <c r="AH40" i="84" s="1"/>
  <c r="AF40" i="84"/>
  <c r="Z40" i="84"/>
  <c r="AA40" i="84" s="1"/>
  <c r="AJ39" i="84"/>
  <c r="AI39" i="84"/>
  <c r="AG39" i="84"/>
  <c r="AH39" i="84" s="1"/>
  <c r="AF39" i="84"/>
  <c r="Z39" i="84"/>
  <c r="AA39" i="84" s="1"/>
  <c r="AJ38" i="84"/>
  <c r="AI38" i="84"/>
  <c r="AG38" i="84"/>
  <c r="AH38" i="84" s="1"/>
  <c r="AF38" i="84"/>
  <c r="Z38" i="84"/>
  <c r="AA38" i="84" s="1"/>
  <c r="AJ37" i="84"/>
  <c r="AI37" i="84"/>
  <c r="AG37" i="84"/>
  <c r="AH37" i="84" s="1"/>
  <c r="AF37" i="84"/>
  <c r="Z37" i="84"/>
  <c r="AA37" i="84" s="1"/>
  <c r="AJ36" i="84"/>
  <c r="AI36" i="84"/>
  <c r="AG36" i="84"/>
  <c r="AH36" i="84" s="1"/>
  <c r="AF36" i="84"/>
  <c r="Z36" i="84"/>
  <c r="AA36" i="84" s="1"/>
  <c r="AJ35" i="84"/>
  <c r="AI35" i="84"/>
  <c r="AG35" i="84"/>
  <c r="AH35" i="84" s="1"/>
  <c r="AF35" i="84"/>
  <c r="Z35" i="84"/>
  <c r="AA35" i="84" s="1"/>
  <c r="AJ34" i="84"/>
  <c r="AI34" i="84"/>
  <c r="AG34" i="84"/>
  <c r="AH34" i="84" s="1"/>
  <c r="AF34" i="84"/>
  <c r="Z34" i="84"/>
  <c r="AA34" i="84" s="1"/>
  <c r="AJ33" i="84"/>
  <c r="AI33" i="84"/>
  <c r="AG33" i="84"/>
  <c r="AH33" i="84" s="1"/>
  <c r="AF33" i="84"/>
  <c r="Z33" i="84"/>
  <c r="AA33" i="84" s="1"/>
  <c r="AJ32" i="84"/>
  <c r="AI32" i="84"/>
  <c r="AG32" i="84"/>
  <c r="AH32" i="84" s="1"/>
  <c r="AF32" i="84"/>
  <c r="Z32" i="84"/>
  <c r="AA32" i="84" s="1"/>
  <c r="AJ31" i="84"/>
  <c r="AI31" i="84"/>
  <c r="AG31" i="84"/>
  <c r="AH31" i="84" s="1"/>
  <c r="AF31" i="84"/>
  <c r="Z31" i="84"/>
  <c r="AA31" i="84" s="1"/>
  <c r="AJ30" i="84"/>
  <c r="AI30" i="84"/>
  <c r="AG30" i="84"/>
  <c r="AH30" i="84" s="1"/>
  <c r="AF30" i="84"/>
  <c r="Z30" i="84"/>
  <c r="AA30" i="84" s="1"/>
  <c r="AJ29" i="84"/>
  <c r="AI29" i="84"/>
  <c r="AG29" i="84"/>
  <c r="AH29" i="84" s="1"/>
  <c r="AF29" i="84"/>
  <c r="Z29" i="84"/>
  <c r="AA29" i="84" s="1"/>
  <c r="AJ28" i="84"/>
  <c r="AI28" i="84"/>
  <c r="AG28" i="84"/>
  <c r="AH28" i="84" s="1"/>
  <c r="AF28" i="84"/>
  <c r="Z28" i="84"/>
  <c r="AA28" i="84" s="1"/>
  <c r="AJ27" i="84"/>
  <c r="AI27" i="84"/>
  <c r="AG27" i="84"/>
  <c r="AH27" i="84" s="1"/>
  <c r="AF27" i="84"/>
  <c r="Z27" i="84"/>
  <c r="AA27" i="84" s="1"/>
  <c r="AJ26" i="84"/>
  <c r="AI26" i="84"/>
  <c r="AG26" i="84"/>
  <c r="AH26" i="84" s="1"/>
  <c r="AF26" i="84"/>
  <c r="Z26" i="84"/>
  <c r="AA26" i="84" s="1"/>
  <c r="AJ25" i="84"/>
  <c r="AI25" i="84"/>
  <c r="AG25" i="84"/>
  <c r="AH25" i="84" s="1"/>
  <c r="AF25" i="84"/>
  <c r="Z25" i="84"/>
  <c r="AA25" i="84" s="1"/>
  <c r="AJ24" i="84"/>
  <c r="AI24" i="84"/>
  <c r="AG24" i="84"/>
  <c r="AH24" i="84" s="1"/>
  <c r="AF24" i="84"/>
  <c r="Z24" i="84"/>
  <c r="AA24" i="84" s="1"/>
  <c r="AJ23" i="84"/>
  <c r="AI23" i="84"/>
  <c r="AG23" i="84"/>
  <c r="AH23" i="84" s="1"/>
  <c r="AF23" i="84"/>
  <c r="Z23" i="84"/>
  <c r="AA23" i="84" s="1"/>
  <c r="AJ22" i="84"/>
  <c r="AI22" i="84"/>
  <c r="AG22" i="84"/>
  <c r="AH22" i="84" s="1"/>
  <c r="AF22" i="84"/>
  <c r="Z22" i="84"/>
  <c r="AA22" i="84" s="1"/>
  <c r="AJ21" i="84"/>
  <c r="AI21" i="84"/>
  <c r="AG21" i="84"/>
  <c r="AH21" i="84" s="1"/>
  <c r="AF21" i="84"/>
  <c r="Z21" i="84"/>
  <c r="AA21" i="84" s="1"/>
  <c r="AJ20" i="84"/>
  <c r="AI20" i="84"/>
  <c r="AG20" i="84"/>
  <c r="AH20" i="84" s="1"/>
  <c r="AF20" i="84"/>
  <c r="Z20" i="84"/>
  <c r="AA20" i="84" s="1"/>
  <c r="AJ19" i="84"/>
  <c r="AI19" i="84"/>
  <c r="AG19" i="84"/>
  <c r="AH19" i="84" s="1"/>
  <c r="AF19" i="84"/>
  <c r="Z19" i="84"/>
  <c r="AA19" i="84" s="1"/>
  <c r="AJ18" i="84"/>
  <c r="AI18" i="84"/>
  <c r="AG18" i="84"/>
  <c r="AH18" i="84" s="1"/>
  <c r="AF18" i="84"/>
  <c r="Z18" i="84"/>
  <c r="AA18" i="84" s="1"/>
  <c r="AJ17" i="84"/>
  <c r="AI17" i="84"/>
  <c r="AG17" i="84"/>
  <c r="AH17" i="84" s="1"/>
  <c r="AF17" i="84"/>
  <c r="Z17" i="84"/>
  <c r="AA17" i="84" s="1"/>
  <c r="AJ16" i="84"/>
  <c r="AI16" i="84"/>
  <c r="AG16" i="84"/>
  <c r="AH16" i="84" s="1"/>
  <c r="AF16" i="84"/>
  <c r="Z16" i="84"/>
  <c r="AA16" i="84" s="1"/>
  <c r="AJ15" i="84"/>
  <c r="AI15" i="84"/>
  <c r="AG15" i="84"/>
  <c r="AH15" i="84" s="1"/>
  <c r="AF15" i="84"/>
  <c r="Z15" i="84"/>
  <c r="AA15" i="84" s="1"/>
  <c r="AJ14" i="84"/>
  <c r="AI14" i="84"/>
  <c r="AG14" i="84"/>
  <c r="AH14" i="84" s="1"/>
  <c r="AF14" i="84"/>
  <c r="Z14" i="84"/>
  <c r="AA14" i="84" s="1"/>
  <c r="AJ13" i="84"/>
  <c r="AI13" i="84"/>
  <c r="AG13" i="84"/>
  <c r="AH13" i="84" s="1"/>
  <c r="AF13" i="84"/>
  <c r="Z13" i="84"/>
  <c r="AA13" i="84" s="1"/>
  <c r="AJ12" i="84"/>
  <c r="AI12" i="84"/>
  <c r="AG12" i="84"/>
  <c r="AH12" i="84" s="1"/>
  <c r="AF12" i="84"/>
  <c r="Z12" i="84"/>
  <c r="AA12" i="84" s="1"/>
  <c r="AJ11" i="84"/>
  <c r="AI11" i="84"/>
  <c r="AG11" i="84"/>
  <c r="AH11" i="84" s="1"/>
  <c r="AF11" i="84"/>
  <c r="Z11" i="84"/>
  <c r="AA11" i="84" s="1"/>
  <c r="AJ10" i="84"/>
  <c r="AI10" i="84"/>
  <c r="AG10" i="84"/>
  <c r="AH10" i="84" s="1"/>
  <c r="AF10" i="84"/>
  <c r="Z10" i="84"/>
  <c r="AJ9" i="84"/>
  <c r="AI9" i="84"/>
  <c r="AG9" i="84"/>
  <c r="AH9" i="84" s="1"/>
  <c r="AF9" i="84"/>
  <c r="Z9" i="84"/>
  <c r="AA9" i="84" s="1"/>
  <c r="AJ8" i="84"/>
  <c r="AI8" i="84"/>
  <c r="AG8" i="84"/>
  <c r="AH8" i="84" s="1"/>
  <c r="AF8" i="84"/>
  <c r="Z8" i="84"/>
  <c r="AB5" i="84"/>
  <c r="U5" i="84"/>
  <c r="AB4" i="84"/>
  <c r="U4" i="84"/>
  <c r="AJ5" i="84" l="1"/>
  <c r="Z5" i="84"/>
  <c r="AI4" i="84"/>
  <c r="AI5" i="84"/>
  <c r="AJ4" i="84"/>
  <c r="AA10" i="84"/>
  <c r="Z4" i="84"/>
  <c r="AA8" i="84"/>
  <c r="AA4" i="84" l="1"/>
  <c r="AA5" i="84"/>
  <c r="D23" i="73" l="1"/>
  <c r="D24" i="73"/>
  <c r="D25" i="73"/>
  <c r="D26" i="73"/>
  <c r="D27" i="73"/>
  <c r="D28" i="73"/>
  <c r="D29" i="73"/>
  <c r="D30" i="73"/>
  <c r="D46" i="73" l="1"/>
  <c r="D47" i="73"/>
  <c r="D48" i="73"/>
  <c r="D49" i="73"/>
  <c r="D50" i="73"/>
  <c r="D51" i="73"/>
  <c r="D52" i="73"/>
  <c r="D53" i="73"/>
  <c r="D54" i="73"/>
  <c r="D55" i="73"/>
  <c r="D56" i="73"/>
  <c r="D57" i="73"/>
  <c r="D58" i="73"/>
  <c r="D45" i="73"/>
  <c r="D32" i="73"/>
  <c r="D33" i="73"/>
  <c r="D34" i="73"/>
  <c r="D35" i="73"/>
  <c r="D36" i="73"/>
  <c r="D37" i="73"/>
  <c r="D38" i="73"/>
  <c r="D39" i="73"/>
  <c r="D40" i="73"/>
  <c r="D41" i="73"/>
  <c r="D42" i="73"/>
  <c r="D43" i="73"/>
  <c r="D44" i="73"/>
  <c r="D31" i="73"/>
  <c r="D3" i="73"/>
  <c r="D2" i="73"/>
  <c r="E19" i="65" l="1"/>
  <c r="E18" i="65"/>
  <c r="E17" i="65"/>
  <c r="E16" i="65"/>
  <c r="E15" i="65"/>
  <c r="C18" i="65" l="1"/>
  <c r="D18" i="65" s="1"/>
  <c r="E81" i="64"/>
  <c r="E80" i="64"/>
  <c r="E79" i="64"/>
  <c r="E78" i="64"/>
  <c r="E77" i="64"/>
  <c r="E76" i="64"/>
  <c r="E59" i="64"/>
  <c r="E58" i="64"/>
  <c r="E57" i="64"/>
  <c r="E56" i="64"/>
  <c r="E55" i="64"/>
  <c r="E54" i="64"/>
  <c r="E52" i="64"/>
  <c r="E51" i="64"/>
  <c r="E71" i="64"/>
  <c r="E70" i="64"/>
  <c r="E69" i="64"/>
  <c r="E68" i="64"/>
  <c r="C15" i="65"/>
  <c r="C16" i="65" l="1"/>
  <c r="D16" i="65" s="1"/>
  <c r="C19" i="65"/>
  <c r="D19" i="65" s="1"/>
  <c r="C17" i="65"/>
  <c r="D17" i="65" s="1"/>
  <c r="D15" i="6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tc={9A5B99E5-5BA4-4CF3-81E8-365B37BF0E7E}</author>
    <author>tc={67C1B1A0-A334-465F-AE39-D9C4658B7072}</author>
    <author>tc={9EB7A050-B8C6-4E7E-8B73-F1508AD21BC6}</author>
  </authors>
  <commentList>
    <comment ref="H9" authorId="0" shapeId="0" xr:uid="{9A5B99E5-5BA4-4CF3-81E8-365B37BF0E7E}">
      <text>
        <t>[Threaded comment]
Your version of Excel allows you to read this threaded comment; however, any edits to it will get removed if the file is opened in a newer version of Excel. Learn more: https://go.microsoft.com/fwlink/?linkid=870924
Comment:
    Total Paid</t>
      </text>
    </comment>
    <comment ref="H11" authorId="1" shapeId="0" xr:uid="{67C1B1A0-A334-465F-AE39-D9C4658B7072}">
      <text>
        <t>[Threaded comment]
Your version of Excel allows you to read this threaded comment; however, any edits to it will get removed if the file is opened in a newer version of Excel. Learn more: https://go.microsoft.com/fwlink/?linkid=870924
Comment:
    AVG(Original Spread - Coupon)</t>
      </text>
    </comment>
    <comment ref="H13" authorId="2" shapeId="0" xr:uid="{9EB7A050-B8C6-4E7E-8B73-F1508AD21BC6}">
      <text>
        <t>[Threaded comment]
Your version of Excel allows you to read this threaded comment; however, any edits to it will get removed if the file is opened in a newer version of Excel. Learn more: https://go.microsoft.com/fwlink/?linkid=870924
Comment:
    Premium correspond to all Treasury 1.5m*3.7%</t>
      </text>
    </comment>
  </commentList>
</comments>
</file>

<file path=xl/sharedStrings.xml><?xml version="1.0" encoding="utf-8"?>
<sst xmlns="http://schemas.openxmlformats.org/spreadsheetml/2006/main" count="4161" uniqueCount="1386">
  <si>
    <t>CipherID</t>
  </si>
  <si>
    <t>Name</t>
  </si>
  <si>
    <t>Issuer</t>
  </si>
  <si>
    <t>Hedges</t>
  </si>
  <si>
    <t>Fronting</t>
  </si>
  <si>
    <t>ROL</t>
  </si>
  <si>
    <t>Fronting Fee</t>
  </si>
  <si>
    <t>Side Car</t>
  </si>
  <si>
    <t>CAT Bond</t>
  </si>
  <si>
    <t>WildFire</t>
  </si>
  <si>
    <t>InlandFlood</t>
  </si>
  <si>
    <t>SevereStorm</t>
  </si>
  <si>
    <t>Gulf of Mexico WS</t>
  </si>
  <si>
    <t>US Hurricanes</t>
  </si>
  <si>
    <t>Japan Earthquake</t>
  </si>
  <si>
    <t>California Earthquake</t>
  </si>
  <si>
    <t>Florida Hurricane</t>
  </si>
  <si>
    <t>Texas Hurricane</t>
  </si>
  <si>
    <t>Japan Typhoon</t>
  </si>
  <si>
    <t>Europe Tropical Cyclone</t>
  </si>
  <si>
    <t>PortfolioID</t>
  </si>
  <si>
    <t>Management Fee</t>
  </si>
  <si>
    <t>Carry</t>
  </si>
  <si>
    <t>Hurdle (Hard)</t>
  </si>
  <si>
    <t>Acquisition Expense</t>
  </si>
  <si>
    <t>FET</t>
  </si>
  <si>
    <t>Investment Inc</t>
  </si>
  <si>
    <t>Op/Org Expenses</t>
  </si>
  <si>
    <t>USD</t>
  </si>
  <si>
    <t>Reinsurance</t>
  </si>
  <si>
    <t>EventID</t>
  </si>
  <si>
    <t>EventName</t>
  </si>
  <si>
    <t>Cash</t>
  </si>
  <si>
    <t xml:space="preserve">Single Cedent (including business fronted by Allianz Risk Transfer) </t>
  </si>
  <si>
    <t>Allianz as cedent</t>
  </si>
  <si>
    <t>Allianz</t>
  </si>
  <si>
    <t>All other WS</t>
  </si>
  <si>
    <t>all other EQ</t>
  </si>
  <si>
    <t>Terrorism</t>
  </si>
  <si>
    <t>Bound Portfolio Report</t>
  </si>
  <si>
    <t>ILW Long</t>
  </si>
  <si>
    <t>ILW Short</t>
  </si>
  <si>
    <t>Retro XOL</t>
  </si>
  <si>
    <t>Retro QS</t>
  </si>
  <si>
    <t>Profit and Loss</t>
  </si>
  <si>
    <t>Guidelines</t>
  </si>
  <si>
    <t>CurrencyCode</t>
  </si>
  <si>
    <t>Sheet name</t>
  </si>
  <si>
    <t>VBA reference</t>
  </si>
  <si>
    <t>Server</t>
  </si>
  <si>
    <t>Database</t>
  </si>
  <si>
    <t>UID</t>
  </si>
  <si>
    <t>Password</t>
  </si>
  <si>
    <t>BoundPortfolioDetails</t>
  </si>
  <si>
    <t>Input</t>
  </si>
  <si>
    <t>VBA Data Type</t>
  </si>
  <si>
    <t>Length</t>
  </si>
  <si>
    <t>Column Number in Excel</t>
  </si>
  <si>
    <t>OptimizationLayerID</t>
  </si>
  <si>
    <t>String</t>
  </si>
  <si>
    <t>ILSName</t>
  </si>
  <si>
    <t>NotionalAUM</t>
  </si>
  <si>
    <t>CUSIP</t>
  </si>
  <si>
    <t>BoundDate</t>
  </si>
  <si>
    <t>Date</t>
  </si>
  <si>
    <t>ExpirationDate</t>
  </si>
  <si>
    <t>SecurityInstrument</t>
  </si>
  <si>
    <t>ReportDate</t>
  </si>
  <si>
    <t>OccurenceLimit</t>
  </si>
  <si>
    <t>Double</t>
  </si>
  <si>
    <t>Remarks</t>
  </si>
  <si>
    <t>AggregateLimit</t>
  </si>
  <si>
    <t>BondPrice</t>
  </si>
  <si>
    <t>InitialFees</t>
  </si>
  <si>
    <t>ExceptionApproval</t>
  </si>
  <si>
    <t>AvgRateChangeProjection</t>
  </si>
  <si>
    <t>Comments</t>
  </si>
  <si>
    <t>Long</t>
  </si>
  <si>
    <t>Report Date</t>
  </si>
  <si>
    <t>FrontingFee</t>
  </si>
  <si>
    <t>AcquisitionExpense</t>
  </si>
  <si>
    <t>Column Name in SQL</t>
  </si>
  <si>
    <t>Column Name In Excel</t>
  </si>
  <si>
    <t>Cedant</t>
  </si>
  <si>
    <t>PerilRegion</t>
  </si>
  <si>
    <t>ConstraintType</t>
  </si>
  <si>
    <t>LossType</t>
  </si>
  <si>
    <t>OEP</t>
  </si>
  <si>
    <t>AEP</t>
  </si>
  <si>
    <t>ReturnPeriod</t>
  </si>
  <si>
    <t>MaxLimit</t>
  </si>
  <si>
    <t>ConstraintName</t>
  </si>
  <si>
    <t>SingleLimit</t>
  </si>
  <si>
    <t>Single</t>
  </si>
  <si>
    <t>InputRowStart</t>
  </si>
  <si>
    <t>BoundPortfolioDetailsRowStart</t>
  </si>
  <si>
    <t>Location of Table Name in Input</t>
  </si>
  <si>
    <t>Notional AUM</t>
  </si>
  <si>
    <t>Tables to be Uploaded in crown DB</t>
  </si>
  <si>
    <t>Number of tables to be Uploaded</t>
  </si>
  <si>
    <t>Setup</t>
  </si>
  <si>
    <t>Reference Data</t>
  </si>
  <si>
    <t>Row Number of first Table to be Uploaded</t>
  </si>
  <si>
    <t>ColumnName</t>
  </si>
  <si>
    <t>DataType</t>
  </si>
  <si>
    <t>DataLength</t>
  </si>
  <si>
    <t>ResultSheetName</t>
  </si>
  <si>
    <t>ColumnSheetName</t>
  </si>
  <si>
    <t>References</t>
  </si>
  <si>
    <t>ILSName (has to be exactly same as ILS Name in Bound details)</t>
  </si>
  <si>
    <t>Additional Adjustment</t>
  </si>
  <si>
    <t>Event Name</t>
  </si>
  <si>
    <t>BoundPortfolio</t>
  </si>
  <si>
    <t>Historical Events Adjustment</t>
  </si>
  <si>
    <t>Worksheet name in Excel</t>
  </si>
  <si>
    <t>ReportID</t>
  </si>
  <si>
    <t>AdditionalAdjustment</t>
  </si>
  <si>
    <t>MgmtFees</t>
  </si>
  <si>
    <t>HurdleType</t>
  </si>
  <si>
    <t>Hurdle</t>
  </si>
  <si>
    <t>InvestmentIncome</t>
  </si>
  <si>
    <t>OpsExpenses</t>
  </si>
  <si>
    <t>BoundPortfolioID</t>
  </si>
  <si>
    <t>Series</t>
  </si>
  <si>
    <t>Class</t>
  </si>
  <si>
    <t>Reset</t>
  </si>
  <si>
    <t>Renewal</t>
  </si>
  <si>
    <t>Loss Basis</t>
  </si>
  <si>
    <t>Fronted</t>
  </si>
  <si>
    <t>LossBasis</t>
  </si>
  <si>
    <t>Reinstatements</t>
  </si>
  <si>
    <t>Variant</t>
  </si>
  <si>
    <t>BondInitialSpread</t>
  </si>
  <si>
    <t>BondRedemption</t>
  </si>
  <si>
    <t>No.ofReinstatement</t>
  </si>
  <si>
    <t>ContractWordingReceivedDate</t>
  </si>
  <si>
    <t>ContractWordingforwardedtoAON/ART</t>
  </si>
  <si>
    <t>AuthorizationDate</t>
  </si>
  <si>
    <t xml:space="preserve"> ConfirmationNoticeDate</t>
  </si>
  <si>
    <t>ContractExecutedDate</t>
  </si>
  <si>
    <t>TreatyType</t>
  </si>
  <si>
    <t>ContractWordingForwardedtoAONART</t>
  </si>
  <si>
    <t>ConfirmationNoticeDate</t>
  </si>
  <si>
    <t>Whether loss attched is Loss Occuring During (LOD) or Risk Attaching (RA)</t>
  </si>
  <si>
    <t>The sponsor who issues the insurance linked securities</t>
  </si>
  <si>
    <t xml:space="preserve">Whether we have hedged a deal or not. </t>
  </si>
  <si>
    <t>The deal number once the deal is in capital markets</t>
  </si>
  <si>
    <t>The date on which the deal is bound</t>
  </si>
  <si>
    <t>The date on which the deal expires</t>
  </si>
  <si>
    <t>Type of insurance linked securities</t>
  </si>
  <si>
    <t>The maximum amount a particular layer is responsible for a particular occurrence if that event is covered</t>
  </si>
  <si>
    <t>The maximum amount a particular layer is responsible for events occurred in entire year if those event are covered</t>
  </si>
  <si>
    <t>Is the event Fronted or not.</t>
  </si>
  <si>
    <t>Price of the bond</t>
  </si>
  <si>
    <t>Percentage of the layer covered by pimco</t>
  </si>
  <si>
    <t>The number of times the investor in that particular layer will cover after the exhaustion of that layer.</t>
  </si>
  <si>
    <t>Max ID of field ID in SQL. This ID will be common for all tables and reference for us to know what data was imported for a particular ID</t>
  </si>
  <si>
    <t>For Fund 1, it will be 1 and for fund 2 it will be 2</t>
  </si>
  <si>
    <t>Management fees</t>
  </si>
  <si>
    <t>Rate of hurdle</t>
  </si>
  <si>
    <t>Type of hurdle rate</t>
  </si>
  <si>
    <t>Operational Expense</t>
  </si>
  <si>
    <t>Investment income</t>
  </si>
  <si>
    <t>Name of the event</t>
  </si>
  <si>
    <t>Name of the deal in which we have invested</t>
  </si>
  <si>
    <t>BondRedemptionPrice</t>
  </si>
  <si>
    <t>Hard</t>
  </si>
  <si>
    <t>2012 Sandy (Cat 1)</t>
  </si>
  <si>
    <t>CoverageType</t>
  </si>
  <si>
    <t>Bond Coupon</t>
  </si>
  <si>
    <t>Bond Buy or Sell</t>
  </si>
  <si>
    <t>Bonds Buy Date</t>
  </si>
  <si>
    <t>Bond Sell Price</t>
  </si>
  <si>
    <t>Bond Sell Date</t>
  </si>
  <si>
    <t>Quantity Pledged</t>
  </si>
  <si>
    <t>Quantity</t>
  </si>
  <si>
    <t>BondCoupon</t>
  </si>
  <si>
    <t>BondTransactionType</t>
  </si>
  <si>
    <t>BondBuyDate</t>
  </si>
  <si>
    <t>BondSellPrice</t>
  </si>
  <si>
    <t>BondSellDate</t>
  </si>
  <si>
    <t>QuantityPledged</t>
  </si>
  <si>
    <t>Realized Gain</t>
  </si>
  <si>
    <t>RealizedGain</t>
  </si>
  <si>
    <t>Report Type</t>
  </si>
  <si>
    <t>AIR</t>
  </si>
  <si>
    <t>ReportType</t>
  </si>
  <si>
    <t>FUND 1</t>
  </si>
  <si>
    <t>Single Limit</t>
  </si>
  <si>
    <t>Min</t>
  </si>
  <si>
    <t>Max</t>
  </si>
  <si>
    <t>FUND 2</t>
  </si>
  <si>
    <t>Security Instrument</t>
  </si>
  <si>
    <t>Catastrophe Bond, ILW, and Retro issuances per cedent</t>
  </si>
  <si>
    <t>% of AUM</t>
  </si>
  <si>
    <t>Catastrophe Bond, ILW, and Retro XOL issuances per cedent</t>
  </si>
  <si>
    <t>Issuer/Sponsor Contraint</t>
  </si>
  <si>
    <t>Max occ prob</t>
  </si>
  <si>
    <t>Max Agg prob</t>
  </si>
  <si>
    <t>100 yr PML</t>
  </si>
  <si>
    <t>500 yr PML</t>
  </si>
  <si>
    <t>Region Peril</t>
  </si>
  <si>
    <t>Deployed AUM</t>
  </si>
  <si>
    <t>PIMCOVIEW</t>
  </si>
  <si>
    <t>ReinsuranceType</t>
  </si>
  <si>
    <t>NRE_ID</t>
  </si>
  <si>
    <t>CurrExchangeFactor</t>
  </si>
  <si>
    <t>RiskFreeRate</t>
  </si>
  <si>
    <t>Risk Free Rate</t>
  </si>
  <si>
    <t>ProFormaRateChange</t>
  </si>
  <si>
    <t>QS Attritional LR Worldwide</t>
  </si>
  <si>
    <t>Pro Forma Rate Change</t>
  </si>
  <si>
    <t>QS Attritional LR US Wind</t>
  </si>
  <si>
    <t>QSAttritionalLRUSWind</t>
  </si>
  <si>
    <t>QSAttritionalLRWorldwide</t>
  </si>
  <si>
    <t>CB-Tomoni Re Pte. Ltd. Series 2022-1 Class B-1 Reset 2025</t>
  </si>
  <si>
    <t>CB-Ursa Re Ltd. Series 2023-3 Class AA Reset 2024</t>
  </si>
  <si>
    <t>CB-Veraison Re Ltd. Series 2025-1 Class A</t>
  </si>
  <si>
    <t>CB-Fish Pond Re Ltd. Series 2024-1 Class A Reset 2025</t>
  </si>
  <si>
    <t>CB-Maschpark Re Ltd. Series 2024-1 Class A</t>
  </si>
  <si>
    <t>CB-Gateway Re Ltd. Series 2025-1 Class C2</t>
  </si>
  <si>
    <t>CB-Aragonite Re Ltd. Series 2024-1 Class A Reset 2025</t>
  </si>
  <si>
    <t>CB-Acorn Re Ltd. Series 2023-1 Class A</t>
  </si>
  <si>
    <t>CB-Foundation Re IV Ltd. Series 2023-1 Class A Reset 2025</t>
  </si>
  <si>
    <t>CB-Winston Re Ltd. Series 2025-1 Class A</t>
  </si>
  <si>
    <t>CB-Lightning Re Ltd. Series 2023-1 Class A Reset 2025</t>
  </si>
  <si>
    <t>CB-Titania Re Ltd. Series 2023-1 Class A Reset 2025</t>
  </si>
  <si>
    <t>CB-Logistics Re Ltd. Series 2024-1 Class A</t>
  </si>
  <si>
    <t>CB-Four Lakes Re Ltd. Series 2023-1 Class B Reset 2025</t>
  </si>
  <si>
    <t>LOD</t>
  </si>
  <si>
    <t>62984JAC2</t>
  </si>
  <si>
    <t>613752AE4</t>
  </si>
  <si>
    <t>ci01</t>
  </si>
  <si>
    <t>ci02</t>
  </si>
  <si>
    <t>Buy</t>
  </si>
  <si>
    <t>CompanyShare</t>
  </si>
  <si>
    <t>CB-Blue Ridge Re Ltd. Series 2023-1 Class A Reset 2025</t>
  </si>
  <si>
    <t>CB-Nakama Re Pte. Ltd. Series 2024-1 Class 1 Reset 2025</t>
  </si>
  <si>
    <t>CB-Montoya Re Ltd. Series 2025-1 Class B Reset 2025</t>
  </si>
  <si>
    <t>OPt01</t>
  </si>
  <si>
    <t>OPt02</t>
  </si>
  <si>
    <t>Northeast Hurricane</t>
  </si>
  <si>
    <t>Southeast Hurricane</t>
  </si>
  <si>
    <t>Louisiana Hurricane</t>
  </si>
  <si>
    <t>Mexico Hurricane</t>
  </si>
  <si>
    <t>US Earthquake xl CA</t>
  </si>
  <si>
    <t>Mexico Earthquake</t>
  </si>
  <si>
    <t>South America Earthquake</t>
  </si>
  <si>
    <t>Europe Earthquake</t>
  </si>
  <si>
    <t>US Winter Storm</t>
  </si>
  <si>
    <t>US WildFire</t>
  </si>
  <si>
    <t>US Severe Storm</t>
  </si>
  <si>
    <t>US Inland Flood</t>
  </si>
  <si>
    <t>WWAP</t>
  </si>
  <si>
    <t>Investment Premium</t>
  </si>
  <si>
    <t>Investment Income</t>
  </si>
  <si>
    <t xml:space="preserve">without Treasury </t>
  </si>
  <si>
    <t xml:space="preserve">with Treasury </t>
  </si>
  <si>
    <t>Premium CAT Bond</t>
  </si>
  <si>
    <t>Premium Incl Treasury</t>
  </si>
  <si>
    <t>AAL from Sheet</t>
  </si>
  <si>
    <t>Data Received Date</t>
  </si>
  <si>
    <t># Holdings</t>
  </si>
  <si>
    <t># Cat Bonds</t>
  </si>
  <si>
    <t>Risk free rate</t>
  </si>
  <si>
    <t>Current Mkt Value</t>
  </si>
  <si>
    <t>AUM</t>
  </si>
  <si>
    <t>without Treasury -------------&gt;</t>
  </si>
  <si>
    <t>with Treasury -------------&gt;</t>
  </si>
  <si>
    <t>Transaction Type</t>
  </si>
  <si>
    <t>Purchase Date</t>
  </si>
  <si>
    <t>Setltement Date</t>
  </si>
  <si>
    <t>Broker</t>
  </si>
  <si>
    <t>Security Description</t>
  </si>
  <si>
    <t>Cedent1</t>
  </si>
  <si>
    <t>Accumulation</t>
  </si>
  <si>
    <t>Trigger Type</t>
  </si>
  <si>
    <t>Issue Date</t>
  </si>
  <si>
    <t>Maturity Date</t>
  </si>
  <si>
    <t>Amount Outstanding</t>
  </si>
  <si>
    <t>Risk</t>
  </si>
  <si>
    <t>Swiss Re EL</t>
  </si>
  <si>
    <t>Original Spread</t>
  </si>
  <si>
    <t>Coupon</t>
  </si>
  <si>
    <t>ICE Price 9/2</t>
  </si>
  <si>
    <t>Price</t>
  </si>
  <si>
    <t>Unit</t>
  </si>
  <si>
    <t>Local Currency</t>
  </si>
  <si>
    <t>Local to USD Rate</t>
  </si>
  <si>
    <t>Acrrued Interest Paid (USD)</t>
  </si>
  <si>
    <t># Days of Interest Paid</t>
  </si>
  <si>
    <t>Invested AUM (USD)</t>
  </si>
  <si>
    <t>Total Paid (USD)</t>
  </si>
  <si>
    <t>Maturity (yrs)</t>
  </si>
  <si>
    <t>Yield to Maturity (YTM)</t>
  </si>
  <si>
    <t xml:space="preserve">Spread </t>
  </si>
  <si>
    <t>Net  Spread</t>
  </si>
  <si>
    <t>Loss Ratio</t>
  </si>
  <si>
    <t xml:space="preserve"> EL Multiple</t>
  </si>
  <si>
    <t>Premium (USD)</t>
  </si>
  <si>
    <t>AAL (USD)</t>
  </si>
  <si>
    <t>BH</t>
  </si>
  <si>
    <t>Nakama Re 2024-1 A</t>
  </si>
  <si>
    <t>Zenkyoren</t>
  </si>
  <si>
    <t>Aggregate</t>
  </si>
  <si>
    <t>Indemnity</t>
  </si>
  <si>
    <t>4/23/2024</t>
  </si>
  <si>
    <t>4/4/2029</t>
  </si>
  <si>
    <t>JP EQ</t>
  </si>
  <si>
    <t>RBC</t>
  </si>
  <si>
    <t>Montoya Re 2025-1 B </t>
  </si>
  <si>
    <t>Inigo Insurance</t>
  </si>
  <si>
    <t>Occurrence</t>
  </si>
  <si>
    <t>Industry Loss Index</t>
  </si>
  <si>
    <t>1/29/2025</t>
  </si>
  <si>
    <t>4/7/2028</t>
  </si>
  <si>
    <t>US WD / US &amp; CAD QK</t>
  </si>
  <si>
    <t>096003AA6</t>
  </si>
  <si>
    <t>Blue Ridge Re 2023-1 A</t>
  </si>
  <si>
    <t>NC Farm Bureau</t>
  </si>
  <si>
    <t>11/22/2023</t>
  </si>
  <si>
    <t>1/8/2027</t>
  </si>
  <si>
    <t>NC WD</t>
  </si>
  <si>
    <t>89009PAB4</t>
  </si>
  <si>
    <t>Tomoni Re 2022-1 B </t>
  </si>
  <si>
    <t>Mitsui Sumitomo</t>
  </si>
  <si>
    <t>3/30/2022</t>
  </si>
  <si>
    <t>4/7/2026</t>
  </si>
  <si>
    <t>JP WD &amp; FL</t>
  </si>
  <si>
    <t>90323WAP5</t>
  </si>
  <si>
    <t>Ursa Re 2023-3 AA</t>
  </si>
  <si>
    <t>CEA</t>
  </si>
  <si>
    <t>12/7/2023</t>
  </si>
  <si>
    <t>12/7/2026</t>
  </si>
  <si>
    <t>CA EQ</t>
  </si>
  <si>
    <t>92335TAD1</t>
  </si>
  <si>
    <t>Veraison Re 2025-1 A</t>
  </si>
  <si>
    <t>GeoVera</t>
  </si>
  <si>
    <t>2/5/2025</t>
  </si>
  <si>
    <t>3/8/2028</t>
  </si>
  <si>
    <t>US EQ</t>
  </si>
  <si>
    <t>541917AA8</t>
  </si>
  <si>
    <t xml:space="preserve">Fuchsia 2 2024-1 </t>
  </si>
  <si>
    <t>Beazley</t>
  </si>
  <si>
    <t>12/23/2024</t>
  </si>
  <si>
    <t>4/6/2028</t>
  </si>
  <si>
    <t>US &amp; CAD WD &amp; QK</t>
  </si>
  <si>
    <t>33774EAA2</t>
  </si>
  <si>
    <t xml:space="preserve">Fish Pond Re 2024-1 A </t>
  </si>
  <si>
    <t>Texaf Farm Bureau</t>
  </si>
  <si>
    <t>1/9/2024</t>
  </si>
  <si>
    <t>TX HU &amp; THD</t>
  </si>
  <si>
    <t>05826BAB2</t>
  </si>
  <si>
    <t xml:space="preserve">Baldwin Re 2023-1 A </t>
  </si>
  <si>
    <t>Vermont Mutual</t>
  </si>
  <si>
    <t>6/28/2023</t>
  </si>
  <si>
    <t>7/7/2027</t>
  </si>
  <si>
    <t>NE WD,QK,TH,WF</t>
  </si>
  <si>
    <t>80001QAA1</t>
  </si>
  <si>
    <t xml:space="preserve">Sanders Re III 2023-1 A </t>
  </si>
  <si>
    <t>AllState</t>
  </si>
  <si>
    <t>3/31/2023</t>
  </si>
  <si>
    <t>4/7/2027</t>
  </si>
  <si>
    <t>US WD (not FL) / TH/ US QK/WF</t>
  </si>
  <si>
    <t>574591AA1</t>
  </si>
  <si>
    <t>Maschpark Re 2024-1</t>
  </si>
  <si>
    <t>Talanx AG (Via Hannover Re)</t>
  </si>
  <si>
    <t>Parametric</t>
  </si>
  <si>
    <t>12/4/2024</t>
  </si>
  <si>
    <t>1/10/2028</t>
  </si>
  <si>
    <t>Chile, Peru, Bolivia, Argentina EQ</t>
  </si>
  <si>
    <t>36779CAN6</t>
  </si>
  <si>
    <t>Gateway Re 2025-1 C2</t>
  </si>
  <si>
    <t>SageSure</t>
  </si>
  <si>
    <t>Occ (2nd event)</t>
  </si>
  <si>
    <t>2/27/2025</t>
  </si>
  <si>
    <t>US WD</t>
  </si>
  <si>
    <t>74639NAC7</t>
  </si>
  <si>
    <t>Purple Re 2024-1 A</t>
  </si>
  <si>
    <t>Slide</t>
  </si>
  <si>
    <t>4/9/2024</t>
  </si>
  <si>
    <t>6/7/2027</t>
  </si>
  <si>
    <t>FL &amp; SC HU</t>
  </si>
  <si>
    <t>03851YAA7</t>
  </si>
  <si>
    <t xml:space="preserve">Aragonite Re 2024-1 A </t>
  </si>
  <si>
    <t>Brookfield Property</t>
  </si>
  <si>
    <t>3/28/2024</t>
  </si>
  <si>
    <t>US&amp;CAD WD&amp;QK</t>
  </si>
  <si>
    <t>00485YAD1</t>
  </si>
  <si>
    <t>Acorn Re 2023-1 A</t>
  </si>
  <si>
    <t>Oak Tree Insurance</t>
  </si>
  <si>
    <t>6/27/2023</t>
  </si>
  <si>
    <t>11/6/2026</t>
  </si>
  <si>
    <t>US CA EQ</t>
  </si>
  <si>
    <t xml:space="preserve">Foundation Re IV 2023-1 A </t>
  </si>
  <si>
    <t>Hartford</t>
  </si>
  <si>
    <t>12/27/2023</t>
  </si>
  <si>
    <t>US WD/ US QK</t>
  </si>
  <si>
    <t>203235AB2</t>
  </si>
  <si>
    <t xml:space="preserve">Commonwealth Re 2023-1 A </t>
  </si>
  <si>
    <t>Hannover Insurance</t>
  </si>
  <si>
    <t>6/21/2023</t>
  </si>
  <si>
    <t>7/8/2026</t>
  </si>
  <si>
    <t>NE US WD</t>
  </si>
  <si>
    <t>982533AB7</t>
  </si>
  <si>
    <t xml:space="preserve">Wrigley Re 2023-1 A </t>
  </si>
  <si>
    <t>Gryphon Mutual (Blackstone)</t>
  </si>
  <si>
    <t>7/19/2023</t>
  </si>
  <si>
    <t>8/7/2026</t>
  </si>
  <si>
    <t>159873AA6</t>
  </si>
  <si>
    <t xml:space="preserve">Charles River Re 2024-1 A </t>
  </si>
  <si>
    <t xml:space="preserve">American European Insurance </t>
  </si>
  <si>
    <t>4/11/2024</t>
  </si>
  <si>
    <t>5/10/2027</t>
  </si>
  <si>
    <t>US WD (MA,NJ,NY,SC)</t>
  </si>
  <si>
    <t>975660AC5</t>
  </si>
  <si>
    <t xml:space="preserve">Winston Re 2025-1 A </t>
  </si>
  <si>
    <t>Tower Hill Ins Exch</t>
  </si>
  <si>
    <t>2/13/2025</t>
  </si>
  <si>
    <t>2/21/2028</t>
  </si>
  <si>
    <t>US (FL) WD</t>
  </si>
  <si>
    <t>89141WAF9</t>
  </si>
  <si>
    <t xml:space="preserve">Torrey Pines Re 2023-1 A </t>
  </si>
  <si>
    <t>Palomar Specialty</t>
  </si>
  <si>
    <t>5/25/2023</t>
  </si>
  <si>
    <t>6/5/2026</t>
  </si>
  <si>
    <t>532242AA2</t>
  </si>
  <si>
    <t>FL Citizens</t>
  </si>
  <si>
    <t>3/24/2023</t>
  </si>
  <si>
    <t>3/31/2026</t>
  </si>
  <si>
    <t>FL HU</t>
  </si>
  <si>
    <t>011395AJ9</t>
  </si>
  <si>
    <t>TWIA</t>
  </si>
  <si>
    <t>4/19/2023</t>
  </si>
  <si>
    <t>6/7/2026</t>
  </si>
  <si>
    <t>US HU (TX Storms) &amp; TH</t>
  </si>
  <si>
    <t>07304LAA9</t>
  </si>
  <si>
    <t>LA Citizens</t>
  </si>
  <si>
    <t>5/18/2023</t>
  </si>
  <si>
    <t>5/26/2026</t>
  </si>
  <si>
    <t>LA HU</t>
  </si>
  <si>
    <t>69664FAA6</t>
  </si>
  <si>
    <t>FL Peninsula</t>
  </si>
  <si>
    <t>888329AC3</t>
  </si>
  <si>
    <t>Ariel Re</t>
  </si>
  <si>
    <t>2/23/2023</t>
  </si>
  <si>
    <t>2/27/2026</t>
  </si>
  <si>
    <t>US CAD &amp; PR WD &amp; QK</t>
  </si>
  <si>
    <t>54143LAB4</t>
  </si>
  <si>
    <t>Logistics Re 2024-1 A</t>
  </si>
  <si>
    <t>Prologis</t>
  </si>
  <si>
    <t>10/28/2024</t>
  </si>
  <si>
    <t>12/21/2027</t>
  </si>
  <si>
    <t>35087TAF5</t>
  </si>
  <si>
    <t>Four Lakes Re 2023-1 B</t>
  </si>
  <si>
    <t>American Family</t>
  </si>
  <si>
    <t>12/14/2023</t>
  </si>
  <si>
    <t>1/7/2027</t>
  </si>
  <si>
    <t>US WD/QK/TH/WS/WF</t>
  </si>
  <si>
    <t>33975CAP0</t>
  </si>
  <si>
    <t xml:space="preserve">Floodsmart Re 2024-1 A </t>
  </si>
  <si>
    <t>NFIP</t>
  </si>
  <si>
    <t>3/7/2024</t>
  </si>
  <si>
    <t>3/12/2027</t>
  </si>
  <si>
    <t xml:space="preserve">US FLOOD </t>
  </si>
  <si>
    <t>35087TAH1</t>
  </si>
  <si>
    <t>12/18/2024</t>
  </si>
  <si>
    <t>1/7/2028</t>
  </si>
  <si>
    <t>62426LAA7</t>
  </si>
  <si>
    <t xml:space="preserve">Mountain Re 2023-1 A </t>
  </si>
  <si>
    <t>Spinnaker Insurance</t>
  </si>
  <si>
    <t>5/31/2023</t>
  </si>
  <si>
    <t xml:space="preserve">US WD / US QK </t>
  </si>
  <si>
    <t>92335TAA7</t>
  </si>
  <si>
    <t>Tullet</t>
  </si>
  <si>
    <t>12/20/2022</t>
  </si>
  <si>
    <t>3/9/2026</t>
  </si>
  <si>
    <t>89141WAG7</t>
  </si>
  <si>
    <t>Torrey Pines Re 2023-1 B</t>
  </si>
  <si>
    <t>177510AM6</t>
  </si>
  <si>
    <t>Heritage</t>
  </si>
  <si>
    <t>5/11/2023</t>
  </si>
  <si>
    <t>74639NAB9</t>
  </si>
  <si>
    <t>7/5/2023</t>
  </si>
  <si>
    <t>912797PG6</t>
  </si>
  <si>
    <t>Treasury</t>
  </si>
  <si>
    <t>Treasury 7/31/25</t>
  </si>
  <si>
    <t>US Govt.</t>
  </si>
  <si>
    <t>912797MG9</t>
  </si>
  <si>
    <t>Treasury 8/7/25</t>
  </si>
  <si>
    <t>912797PN1</t>
  </si>
  <si>
    <t>Treasury 8/14/25</t>
  </si>
  <si>
    <t>Sell</t>
  </si>
  <si>
    <t>912797QE0</t>
  </si>
  <si>
    <t>Treasury 10/9/2025</t>
  </si>
  <si>
    <t>912797QF7</t>
  </si>
  <si>
    <t>Treasury 10/16/2025</t>
  </si>
  <si>
    <t>912797NA1</t>
  </si>
  <si>
    <t>Treasury 10/30/2025</t>
  </si>
  <si>
    <t>Matured</t>
  </si>
  <si>
    <t>912797QQ3</t>
  </si>
  <si>
    <t>Treasury 11/13/2025</t>
  </si>
  <si>
    <t>ILSInstrumentID</t>
  </si>
  <si>
    <t>CUSIP_ID</t>
  </si>
  <si>
    <t>PrincipalAmount</t>
  </si>
  <si>
    <t>OccurrenceLimit</t>
  </si>
  <si>
    <t>74528TAA2</t>
  </si>
  <si>
    <t>04227FAF2</t>
  </si>
  <si>
    <t>13947LAG7</t>
  </si>
  <si>
    <t>62983QAP8</t>
  </si>
  <si>
    <t>92335TAE9</t>
  </si>
  <si>
    <t>799927AA6</t>
  </si>
  <si>
    <t>975660AB7</t>
  </si>
  <si>
    <t>888329AG4</t>
  </si>
  <si>
    <t>975660AA9</t>
  </si>
  <si>
    <t>42703VAM5</t>
  </si>
  <si>
    <t>30014LAM6</t>
  </si>
  <si>
    <t>982533AC5</t>
  </si>
  <si>
    <t>011395AQ3</t>
  </si>
  <si>
    <t>86944RAE8</t>
  </si>
  <si>
    <t>092168AB9</t>
  </si>
  <si>
    <t>09610NAA0</t>
  </si>
  <si>
    <t>89141WAM4</t>
  </si>
  <si>
    <t>09785EAQ4</t>
  </si>
  <si>
    <t>OPt03</t>
  </si>
  <si>
    <t>ci03</t>
  </si>
  <si>
    <t>OPt04</t>
  </si>
  <si>
    <t>ci04</t>
  </si>
  <si>
    <t>OPt05</t>
  </si>
  <si>
    <t>ci05</t>
  </si>
  <si>
    <t>OPt06</t>
  </si>
  <si>
    <t>ci06</t>
  </si>
  <si>
    <t>OPt07</t>
  </si>
  <si>
    <t>ci07</t>
  </si>
  <si>
    <t>OPt08</t>
  </si>
  <si>
    <t>ci08</t>
  </si>
  <si>
    <t>OPt10</t>
  </si>
  <si>
    <t>ci10</t>
  </si>
  <si>
    <t>OPt11</t>
  </si>
  <si>
    <t>ci11</t>
  </si>
  <si>
    <t>349939AA6_1</t>
  </si>
  <si>
    <t>349939AA6_2</t>
  </si>
  <si>
    <t>Tasks</t>
  </si>
  <si>
    <t>S.No</t>
  </si>
  <si>
    <t>Details</t>
  </si>
  <si>
    <t>ETF Data Initial Validation</t>
  </si>
  <si>
    <t>Send an email on Thursday evening to Shiraj for ETF file and Broker data for the week</t>
  </si>
  <si>
    <t>Save the ETF Data file from shiraj in the current month Folder under Bound portfolio with date and month</t>
  </si>
  <si>
    <t>Compare the Curent ETF file against the last week to understand the change</t>
  </si>
  <si>
    <t>a</t>
  </si>
  <si>
    <t xml:space="preserve"> How many New Catbond Added comapred to last week</t>
  </si>
  <si>
    <t>b</t>
  </si>
  <si>
    <t xml:space="preserve"> How many treasury transaction are there compared to last week</t>
  </si>
  <si>
    <t>c</t>
  </si>
  <si>
    <t xml:space="preserve"> Is there any other Security type is reported?</t>
  </si>
  <si>
    <t>d</t>
  </si>
  <si>
    <t xml:space="preserve"> What is the Total AUM compared to last week?</t>
  </si>
  <si>
    <t>e</t>
  </si>
  <si>
    <t xml:space="preserve"> What is the Total Deployed AUM comapred to last week?</t>
  </si>
  <si>
    <t>f</t>
  </si>
  <si>
    <t xml:space="preserve"> What is cash in hand comapred to last week?</t>
  </si>
  <si>
    <t>g</t>
  </si>
  <si>
    <t xml:space="preserve"> What is the Total Investment comapred to Last week?</t>
  </si>
  <si>
    <t>h</t>
  </si>
  <si>
    <t xml:space="preserve"> What is the risk free rate comapred to last week?</t>
  </si>
  <si>
    <t>i</t>
  </si>
  <si>
    <t xml:space="preserve"> What is the inverstment income comapred to last week?</t>
  </si>
  <si>
    <t>j</t>
  </si>
  <si>
    <t>k</t>
  </si>
  <si>
    <t xml:space="preserve"> Any of the Cat bond has multiple transaction?</t>
  </si>
  <si>
    <t>m</t>
  </si>
  <si>
    <t xml:space="preserve"> If there is multiple transaction  for any Catbond or Treasury, check whether the data is making sense?</t>
  </si>
  <si>
    <t>n</t>
  </si>
  <si>
    <t xml:space="preserve"> What is Reported Total value invested compared to last week w or wo Treasury</t>
  </si>
  <si>
    <t>o</t>
  </si>
  <si>
    <t xml:space="preserve"> How much reported AAL has increase from last week?</t>
  </si>
  <si>
    <t>p</t>
  </si>
  <si>
    <t xml:space="preserve"> How much reported Premium as increase from last week?</t>
  </si>
  <si>
    <t>q</t>
  </si>
  <si>
    <t xml:space="preserve"> Is there any premium information for treasury where there is buy and sell is already settled or the instrument is already matured?</t>
  </si>
  <si>
    <t>r</t>
  </si>
  <si>
    <t xml:space="preserve"> Check whether all transactions are reported in USD ?</t>
  </si>
  <si>
    <t>Bound Import Template Prep</t>
  </si>
  <si>
    <t>Bound Portfolio Tab</t>
  </si>
  <si>
    <t>Update the portfolio ID as last week ID +1</t>
  </si>
  <si>
    <t>Update Report Type as AIR/ RMS</t>
  </si>
  <si>
    <t>Update name of the portfolio</t>
  </si>
  <si>
    <t>Update Notional AUM as Total AUM</t>
  </si>
  <si>
    <t>Update Deployed AUM</t>
  </si>
  <si>
    <t>Update Currency Code as USD</t>
  </si>
  <si>
    <t>Update Report date as cuurent date</t>
  </si>
  <si>
    <t>Profit and Loss tab</t>
  </si>
  <si>
    <t>Management Fee as % - got from SK</t>
  </si>
  <si>
    <t>Fronting fee</t>
  </si>
  <si>
    <t>Acquistion Expense</t>
  </si>
  <si>
    <t>op/Org Exp - got from SK</t>
  </si>
  <si>
    <t>Hurdle Type</t>
  </si>
  <si>
    <t>Risk free Rate - Got from SK</t>
  </si>
  <si>
    <t>l</t>
  </si>
  <si>
    <t>QS Attritional LR US Worldwide</t>
  </si>
  <si>
    <t>Pro From Rate Change</t>
  </si>
  <si>
    <t>Historical Event Adjsutment tab</t>
  </si>
  <si>
    <t>Not using it curently</t>
  </si>
  <si>
    <t>Guidelines tab</t>
  </si>
  <si>
    <t>Now we don’t receive any guidelines so use as is</t>
  </si>
  <si>
    <t>Bound Portfolio Report Tab</t>
  </si>
  <si>
    <t>Copy CusipIDs from ETF to this tab</t>
  </si>
  <si>
    <t>Use CUSIPIDs as Key, Update  ILS name for each CUSIPs  from  ILS active Bonds data</t>
  </si>
  <si>
    <t>Make sure any new Reset happened in the last week for any of the Securiteis in ETF file then make sure the recent one is used</t>
  </si>
  <si>
    <t>The below are formula driven using CUSIP as key to fetch data from ETF file. Please check the data goes in these fields</t>
  </si>
  <si>
    <t>Bound date</t>
  </si>
  <si>
    <t>Expiration Date</t>
  </si>
  <si>
    <t>Occurrence Limit</t>
  </si>
  <si>
    <t>Aggregate Limit</t>
  </si>
  <si>
    <t>Bond Price</t>
  </si>
  <si>
    <t>Company Share</t>
  </si>
  <si>
    <t>Bond Initial Spread</t>
  </si>
  <si>
    <t>ContractWordingReceivingDate</t>
  </si>
  <si>
    <t>s</t>
  </si>
  <si>
    <t>ConfriamtionNoticeDate</t>
  </si>
  <si>
    <t>t</t>
  </si>
  <si>
    <t>u</t>
  </si>
  <si>
    <t>v</t>
  </si>
  <si>
    <t xml:space="preserve">Run Bound Import Template </t>
  </si>
  <si>
    <t>Click on Import data to DB to push the data to AIRCloud</t>
  </si>
  <si>
    <t>SQL Data tables</t>
  </si>
  <si>
    <t>Check Bound Porfolio tab and update ReportID=ID for the current ID</t>
  </si>
  <si>
    <t>Update the below details in Bound portfolio details tab</t>
  </si>
  <si>
    <t>ILS Insutrument ID using ILS Instrument name as key in ILSData tbale and bound portfolio table</t>
  </si>
  <si>
    <t>Update ActivityID in Boundportfolio details tab using ILSData,ILSresults and ILSActiviti monitor table as ilsinstrumentID in ILSData is same as AccgrpID in ILSAcitvityMonitor table</t>
  </si>
  <si>
    <t>Update FrontingFee = 0, Fronted = '' and Fronting = '' to Boundportfoliodetails tab</t>
  </si>
  <si>
    <t>Adjsut the date in the SP: arapl_getBoundPortfolioDetails to report date to adjust Bound day and expiry day. Why we doing? Not sure</t>
  </si>
  <si>
    <t>Run Report Template</t>
  </si>
  <si>
    <t xml:space="preserve">Update Input table </t>
  </si>
  <si>
    <t>Vendor</t>
  </si>
  <si>
    <t>Clcik Run the stored Procedure Icon to extract the data from SQL to Excel</t>
  </si>
  <si>
    <t>Bound Data Tab</t>
  </si>
  <si>
    <t>This is the sheet SK Interested in. Copy paste CUSIPID from ETF file and then the rest fo the fields are vlookup from ETF file, Bound Portfolio report tab and Bound Position Tab</t>
  </si>
  <si>
    <t>Make sure row 2 to 5 has updated information related to current ETFs</t>
  </si>
  <si>
    <t>Pull the Last week AAL from previous week in column BT and BU and refresh the columns BV and BW</t>
  </si>
  <si>
    <t>Update the comment column if there is any big differnce in the AAL/EL% Compared to last report or VERISK report</t>
  </si>
  <si>
    <t>P&amp;L</t>
  </si>
  <si>
    <t>Make sure the numbers populated are correct using the check tab which has checks for all portfolio metrics</t>
  </si>
  <si>
    <t>Probability of loss is still updated manually by checking the EP curve data</t>
  </si>
  <si>
    <t>Compare the portfolio metrics from current to last and create a sumamry to share it with SK</t>
  </si>
  <si>
    <t>EP Curve</t>
  </si>
  <si>
    <t>Make sure the AAL and Std Dev reported in the EP Curve is matched to the one in PnL tab</t>
  </si>
  <si>
    <t>HistoricalEvents</t>
  </si>
  <si>
    <t>Formating of this sheet is still done manually where we need the columns to be in an order which is different from output.</t>
  </si>
  <si>
    <t>Make sure the PnL number formula is work properly with correct Net income from PnL tab in cell G30</t>
  </si>
  <si>
    <t>Sort the Deal loss columns from hoghest to smallest</t>
  </si>
  <si>
    <t>ILS Report- Combined</t>
  </si>
  <si>
    <t>Formulas need to be refreshed to make sure the numbers are populating correctly</t>
  </si>
  <si>
    <t>Matrix Tabs</t>
  </si>
  <si>
    <t>Data in CorrMxData and MarginalAEPMx Data has column C which concatenate column A and Column B</t>
  </si>
  <si>
    <t>Guidelines Summary</t>
  </si>
  <si>
    <t>We need Security instruments should in the following order, CatBond, Treaury and Cash under Limit by Security Instrument section.</t>
  </si>
  <si>
    <t xml:space="preserve">Add Treasury and cash details </t>
  </si>
  <si>
    <t>Check PML summary using Port YELT data</t>
  </si>
  <si>
    <t xml:space="preserve">Check issuer wise Exposeed limit is making sense and change the guidneline check to ok </t>
  </si>
  <si>
    <t>Make sure this tab is matched with Port YELT and also matched with numbers reported in Guidelines Summary tab - PML Summary</t>
  </si>
  <si>
    <t>AAL by Month</t>
  </si>
  <si>
    <t>Check Each Bond's Monthy AAL is 100% by summing the numbers from Jan to Dec</t>
  </si>
  <si>
    <t>Make sure Total AAL is matched to Reported premium in ETF sheet of SK</t>
  </si>
  <si>
    <t>Port YELT</t>
  </si>
  <si>
    <t>Check the ALL from this port YELT matches with the overall AAL of portfolio</t>
  </si>
  <si>
    <t>Yes</t>
  </si>
  <si>
    <t>No</t>
  </si>
  <si>
    <t>Lightning Re 2023-1 A</t>
  </si>
  <si>
    <t xml:space="preserve">Alamo Re 2023-1 A </t>
  </si>
  <si>
    <t xml:space="preserve">Bayou Re 2023-1 A </t>
  </si>
  <si>
    <t>Palm Re 2024-1 A</t>
  </si>
  <si>
    <t>Titania Re 2023-1 A</t>
  </si>
  <si>
    <t>Four Lakes Re 2024-1 B </t>
  </si>
  <si>
    <t>Veraison Re 2023-1 A</t>
  </si>
  <si>
    <t>Citrus Re 2023-1 B</t>
  </si>
  <si>
    <t>Purple Re 2023-2  A</t>
  </si>
  <si>
    <t>Swiss Re</t>
  </si>
  <si>
    <t>Matterhorn Re 2025-3 A</t>
  </si>
  <si>
    <t>577092AZ2</t>
  </si>
  <si>
    <t>US/CAN EQ</t>
  </si>
  <si>
    <t xml:space="preserve">Nakama Re 2023-1 2 </t>
  </si>
  <si>
    <t>4/24/2023</t>
  </si>
  <si>
    <t>5/9/2028</t>
  </si>
  <si>
    <t>Black Kite Re 2025-1 A</t>
  </si>
  <si>
    <t>Peak Re</t>
  </si>
  <si>
    <t>4/29/2025</t>
  </si>
  <si>
    <t>5/8/2028</t>
  </si>
  <si>
    <t>JP WS/EQ, CH EQ, IN EQ</t>
  </si>
  <si>
    <t>% chage</t>
  </si>
  <si>
    <t>Checked</t>
  </si>
  <si>
    <t>no</t>
  </si>
  <si>
    <t>yes</t>
  </si>
  <si>
    <t xml:space="preserve"> How many Transcations are there for each Security and within each security?</t>
  </si>
  <si>
    <t xml:space="preserve">Yes </t>
  </si>
  <si>
    <t>Alamo 2024-1 C</t>
  </si>
  <si>
    <t>Sanders 2024-1 A</t>
  </si>
  <si>
    <t>1/23/2024</t>
  </si>
  <si>
    <t>Winston 2024-1 A</t>
  </si>
  <si>
    <t>2/21/2024</t>
  </si>
  <si>
    <t>2/26/2027</t>
  </si>
  <si>
    <t xml:space="preserve">Winston Re 2024-1 B </t>
  </si>
  <si>
    <t>Everglades 2024-1 A</t>
  </si>
  <si>
    <t>5/22/2024</t>
  </si>
  <si>
    <t>5/13/2027</t>
  </si>
  <si>
    <t>ETF Bound Portfolio as of Nov 7, 2025</t>
  </si>
  <si>
    <t>Market Value as of 11/6</t>
  </si>
  <si>
    <t>349939AA6</t>
  </si>
  <si>
    <t>Residential Re 2025-2 2</t>
  </si>
  <si>
    <t>76091JAA6</t>
  </si>
  <si>
    <t>USAA</t>
  </si>
  <si>
    <t>US All Natural Perils (incl Auto)</t>
  </si>
  <si>
    <t>Herbie Re 2025-1 A</t>
  </si>
  <si>
    <t>Fidelis</t>
  </si>
  <si>
    <t>5/30/2025</t>
  </si>
  <si>
    <t>Global-Multiperil</t>
  </si>
  <si>
    <t>Veraison 2025-1 B</t>
  </si>
  <si>
    <t>Winston 2025-1 A</t>
  </si>
  <si>
    <t xml:space="preserve">Wrigley Re 2023-1 B </t>
  </si>
  <si>
    <t xml:space="preserve">Sutter Re 2023-1 B </t>
  </si>
  <si>
    <t>6/13/2023</t>
  </si>
  <si>
    <t>6/19/2026</t>
  </si>
  <si>
    <t>Blue Bonnet 2025-1 A</t>
  </si>
  <si>
    <t>5/14/2025</t>
  </si>
  <si>
    <t>6/7/2028</t>
  </si>
  <si>
    <t>Torrey Pines Re 2025-1 B</t>
  </si>
  <si>
    <t>4/30/2025</t>
  </si>
  <si>
    <t>Bonanza 2024-1 C</t>
  </si>
  <si>
    <t>Progressive</t>
  </si>
  <si>
    <t>12/19/2024</t>
  </si>
  <si>
    <t>12/19/2027</t>
  </si>
  <si>
    <t>US WD,QK,TH,WS,&amp; WF</t>
  </si>
  <si>
    <t xml:space="preserve">Armor Re 2024-2 A </t>
  </si>
  <si>
    <t>American Coastal</t>
  </si>
  <si>
    <t>12/20/2024</t>
  </si>
  <si>
    <t>Treasury 1/15/2026</t>
  </si>
  <si>
    <t>912797RJ8</t>
  </si>
  <si>
    <t xml:space="preserve">Deployed AUM </t>
  </si>
  <si>
    <t>574591AA1_1</t>
  </si>
  <si>
    <t>574591AA1_2</t>
  </si>
  <si>
    <t>975660AC5_1</t>
  </si>
  <si>
    <t>975660AC5_2</t>
  </si>
  <si>
    <t>OccurrenceRetention</t>
  </si>
  <si>
    <t>AggregateRetention</t>
  </si>
  <si>
    <t>ETF Bound Portfolio as of Nov 14, 2025</t>
  </si>
  <si>
    <t>26923N470</t>
  </si>
  <si>
    <t>Market Value as of 11/14</t>
  </si>
  <si>
    <t>Cat Bond</t>
  </si>
  <si>
    <t>Meadows Re 2025-1 A</t>
  </si>
  <si>
    <t>58320RAA9</t>
  </si>
  <si>
    <t>One William Street</t>
  </si>
  <si>
    <t>FL, PR, USVI WD</t>
  </si>
  <si>
    <t>Meadows Re 2025-1 C</t>
  </si>
  <si>
    <t>58320RAC5</t>
  </si>
  <si>
    <t>FL, SE, PR, USVI</t>
  </si>
  <si>
    <t>Titania Re 2025-1 A</t>
  </si>
  <si>
    <t>Syndicate 1910</t>
  </si>
  <si>
    <t>7/1/2025</t>
  </si>
  <si>
    <t>7/9/2029</t>
  </si>
  <si>
    <t>US/CAN WS, US/CAN EQ, US WF</t>
  </si>
  <si>
    <t xml:space="preserve">Cape Lookout Re 2025-1 A </t>
  </si>
  <si>
    <t>NCIUA</t>
  </si>
  <si>
    <t>3/6/2025</t>
  </si>
  <si>
    <t>3/13/2028</t>
  </si>
  <si>
    <t>Everglades 2024-1 A </t>
  </si>
  <si>
    <t>Puerto Rico Parametric </t>
  </si>
  <si>
    <t>Puerto Rico Government</t>
  </si>
  <si>
    <t>6/20/2024</t>
  </si>
  <si>
    <t>PR WD &amp; PR QK</t>
  </si>
  <si>
    <t>Treasury Value</t>
  </si>
  <si>
    <t>04227FAF2_1</t>
  </si>
  <si>
    <t>04227FAF2_2</t>
  </si>
  <si>
    <t>30014LAM6_1</t>
  </si>
  <si>
    <t>30014LAM6_2</t>
  </si>
  <si>
    <t>CB-Herbie Re Ltd. Series 2025-1 Class A LMF USSCS</t>
  </si>
  <si>
    <t>CB-FloodSmart Re Ltd. Series 2024-1 Class A Reset 2025_wLMF</t>
  </si>
  <si>
    <t>03843AAA0</t>
  </si>
  <si>
    <t>CB-Aquila Re I Ltd. Series 2023-1 Class A-1 Reset 2025</t>
  </si>
  <si>
    <t>03843AAB8</t>
  </si>
  <si>
    <t>CB-Aquila Re I Ltd. Series 2023-1 Class B-1 Reset 2025</t>
  </si>
  <si>
    <t>03843AAC6</t>
  </si>
  <si>
    <t>CB-Aquila Re I Ltd. Series 2023-1 Class C-1 Reset 2025</t>
  </si>
  <si>
    <t>037987AA2</t>
  </si>
  <si>
    <t>CB-Aquila Re I Ltd. Series 2024-1 Class A-1 Reset 2025</t>
  </si>
  <si>
    <t>037987AB0</t>
  </si>
  <si>
    <t>CB-Aquila Re I Ltd. Series 2024-1 Class B-1 Reset 2025</t>
  </si>
  <si>
    <t>68302QAA2</t>
  </si>
  <si>
    <t>CB-123 Lights Re Ltd. Series 2025-1 Class A</t>
  </si>
  <si>
    <t>79381MAC8</t>
  </si>
  <si>
    <t>CB-Sakura Re Ltd. Series 2022-1 Class A Reset 2024</t>
  </si>
  <si>
    <t>571253AA1</t>
  </si>
  <si>
    <t>CB-Marlon Ltd. Series 2024-1 Class A Reset 2025</t>
  </si>
  <si>
    <t>571253AB9</t>
  </si>
  <si>
    <t>CB-Marlon Ltd. Series 2024-1 Class B Reset 2025</t>
  </si>
  <si>
    <t>755933AA6</t>
  </si>
  <si>
    <t>CB-Recoletos Re DAC Series 2024-1 Class A</t>
  </si>
  <si>
    <t>85237TAA0</t>
  </si>
  <si>
    <t>CB-Stabilitas Re Ltd. Series 2023-1 Class A Reset 2025</t>
  </si>
  <si>
    <t>13947LAE2</t>
  </si>
  <si>
    <t>CB-Cape Lookout Re Ltd. Series 2023-1 Class A Reset 2025</t>
  </si>
  <si>
    <t>13947LAF9</t>
  </si>
  <si>
    <t>CB-Cape Lookout Re Ltd. Series 2024-1 Class A Reset 2025</t>
  </si>
  <si>
    <t>04401RAA5</t>
  </si>
  <si>
    <t>CB-Ashera Re Ltd. Series 2024-1 Class A Reset 2025</t>
  </si>
  <si>
    <t>751443AA0</t>
  </si>
  <si>
    <t>CB-Ramble Re Ltd. Series 2024-1 Class A Reset 2025</t>
  </si>
  <si>
    <t>36354TAN2</t>
  </si>
  <si>
    <t>CB-Galileo Re Ltd. Series 2023-1 Class A Reset 2025</t>
  </si>
  <si>
    <t>36354TAP7</t>
  </si>
  <si>
    <t>CB-Galileo Re Ltd. Series 2023-1 Class B Reset 2025</t>
  </si>
  <si>
    <t>XS2969300081</t>
  </si>
  <si>
    <t>CB-MMIFS Re Ltd. Series 2025-1 Class A</t>
  </si>
  <si>
    <t>09785EAN1</t>
  </si>
  <si>
    <t>CB-Bonanza Re Ltd. Series 2024-1 Class A</t>
  </si>
  <si>
    <t>09785EAP6</t>
  </si>
  <si>
    <t>CB-Bonanza Re Ltd. Series 2024-1 Class B</t>
  </si>
  <si>
    <t>CB-Bonanza Re Ltd. Series 2024-1 Class C</t>
  </si>
  <si>
    <t>80001RAB7</t>
  </si>
  <si>
    <t>CB-Sanders Re II Ltd. Series 2024-3 Class B Reset 2025</t>
  </si>
  <si>
    <t>80001RAA9</t>
  </si>
  <si>
    <t>CB-Sanders Re II Ltd. Series 2024-3 Class A Reset 2025</t>
  </si>
  <si>
    <t>747977AA4</t>
  </si>
  <si>
    <t>CB-Queen Street 2023 Re DAC Reset 2025</t>
  </si>
  <si>
    <t>76091DAA9</t>
  </si>
  <si>
    <t>CB-Res Re 2025 Ltd. Series 2025-I Class 13</t>
  </si>
  <si>
    <t>76091DAB7</t>
  </si>
  <si>
    <t>CB-Res Re 2025 Ltd. Series 2025-I Class 14</t>
  </si>
  <si>
    <t>76091DAC5</t>
  </si>
  <si>
    <t>CB-Res Re 2025 Ltd. Series 2025-I Class 15</t>
  </si>
  <si>
    <t>27777AAA9</t>
  </si>
  <si>
    <t>CB-Easton Re Ltd. Series 2024-1 Class A Reset 2025</t>
  </si>
  <si>
    <t>10807LAA5</t>
  </si>
  <si>
    <t>CB-Bridge Street Re Ltd. Series 2025-1 Class A</t>
  </si>
  <si>
    <t>76114NAE2</t>
  </si>
  <si>
    <t>CB-Res Re 2021 Ltd. Series 2021-II Class 2 Reset 2025</t>
  </si>
  <si>
    <t>76114NAF9</t>
  </si>
  <si>
    <t>CB-Res Re 2021 Ltd. Series 2021-II Class 3 Reset 2025</t>
  </si>
  <si>
    <t>76119YAF0</t>
  </si>
  <si>
    <t>CB-Res Re 2022 Ltd. Series 2022-II Class 3 Reset 2025</t>
  </si>
  <si>
    <t>76119YAG8</t>
  </si>
  <si>
    <t>CB-Res Re 2022 Ltd. Series 2022-II Class 5 Reset 2025</t>
  </si>
  <si>
    <t>76090WAB6</t>
  </si>
  <si>
    <t>CB-Res Re 2023 Ltd. Series 2023-II Class 3 Reset 2025</t>
  </si>
  <si>
    <t>76090WAC4</t>
  </si>
  <si>
    <t>CB-Res Re 2023 Ltd. Series 2023-II Class 5 Reset 2025</t>
  </si>
  <si>
    <t>76112AAC6</t>
  </si>
  <si>
    <t>CB-Res Re 2024 Ltd. Series 2024-II Class 2 Reset 2025</t>
  </si>
  <si>
    <t>76112AAD4</t>
  </si>
  <si>
    <t>CB-Res Re 2024 Ltd. Series 2024-II Class 3 Reset 2025</t>
  </si>
  <si>
    <t>76112AAE2</t>
  </si>
  <si>
    <t>CB-Res Re 2024 Ltd. Series 2024-II Class 4 Reset 2025</t>
  </si>
  <si>
    <t>05826BAC0</t>
  </si>
  <si>
    <t>CB-Baldwin Re Ltd. Series 2025-1 Class A</t>
  </si>
  <si>
    <t>CB-Baldwin Re Ltd. Series 2023-1 Class A Reset 2025</t>
  </si>
  <si>
    <t>57839MAA6</t>
  </si>
  <si>
    <t>CB-Mayflower Re Ltd. Series 2023-1 Class A Reset 2025</t>
  </si>
  <si>
    <t>57839MAB4</t>
  </si>
  <si>
    <t>CB-Mayflower Re Ltd. Series 2023-1 Class B Reset 2025</t>
  </si>
  <si>
    <t>57839MAC2</t>
  </si>
  <si>
    <t>CB-Mayflower Re Ltd. Series 2024-1 Class A Reset 2025</t>
  </si>
  <si>
    <t>57839MAD0</t>
  </si>
  <si>
    <t>CB-Mayflower Re Ltd. Series 2025-1 Class A</t>
  </si>
  <si>
    <t>76119YAB9</t>
  </si>
  <si>
    <t>CB-Res Re 2022 Ltd. Series 2022-I Class 11 Reset 2025</t>
  </si>
  <si>
    <t>76119YAC7</t>
  </si>
  <si>
    <t>CB-Res Re 2022 Ltd. Series 2022-I Class 12 Reset 2025</t>
  </si>
  <si>
    <t>76119YAD5</t>
  </si>
  <si>
    <t>CB-Res Re 2022 Ltd. Series 2022-I Class 13 Reset 2025</t>
  </si>
  <si>
    <t>76119YAE3</t>
  </si>
  <si>
    <t>CB-Res Re 2022 Ltd. Series 2022-I Class 14 Reset 2025</t>
  </si>
  <si>
    <t>76133XAA5</t>
  </si>
  <si>
    <t>CB-Res Re 2023 Ltd. Series 2023-I Class 13 Reset 2025</t>
  </si>
  <si>
    <t>76133XAB3</t>
  </si>
  <si>
    <t>CB-Res Re 2023 Ltd. Series 2023-I Class 14 Reset 2025</t>
  </si>
  <si>
    <t>76091BAB1</t>
  </si>
  <si>
    <t>CB-Res Re 2024 Ltd. Series 2024-I Class 13 Reset 2025</t>
  </si>
  <si>
    <t>76091BAC9</t>
  </si>
  <si>
    <t>CB-Res Re 2024 Ltd. Series 2024-I Class 14 Reset 2025</t>
  </si>
  <si>
    <t>36779CAM8</t>
  </si>
  <si>
    <t>CB-Gateway Re Ltd. Series 2025-1 Class AAA</t>
  </si>
  <si>
    <t>36779CAR7</t>
  </si>
  <si>
    <t>CB-Gateway Re Ltd. Series 2025-1 Class C1</t>
  </si>
  <si>
    <t>36779CAP1</t>
  </si>
  <si>
    <t>CB-Gateway Re Ltd. Series 2025-1 Class AA</t>
  </si>
  <si>
    <t>36779CAQ9</t>
  </si>
  <si>
    <t>CB-Gateway Re Ltd. Series 2025-1 Class A</t>
  </si>
  <si>
    <t>36779CAS5</t>
  </si>
  <si>
    <t>CB-Gateway Re Ltd. Series 2025-2 Class A</t>
  </si>
  <si>
    <t>59165HAD1</t>
  </si>
  <si>
    <t>CB-MetroCat Re Ltd. Series 2023-1 Class A</t>
  </si>
  <si>
    <t>XS2806459314</t>
  </si>
  <si>
    <t>CB-IBRD CAR Jamaica 2024</t>
  </si>
  <si>
    <t>XS2599161192</t>
  </si>
  <si>
    <t>CB-IBRD CAR Chile 2023</t>
  </si>
  <si>
    <t>37173WAA0</t>
  </si>
  <si>
    <t>CB-Genesee Street Re Ltd. Series 2025-1 Class A</t>
  </si>
  <si>
    <t>CB-Sanders Re III Ltd. Series 2024-1 Class A Reset 2025</t>
  </si>
  <si>
    <t>CB-Sanders Re III Ltd. Series 2023-1 Class A Reset 2025</t>
  </si>
  <si>
    <t>80001QAB9</t>
  </si>
  <si>
    <t>CB-Sanders Re III Ltd. Series 2023-1 Class B Reset 2025</t>
  </si>
  <si>
    <t>80000YAA5</t>
  </si>
  <si>
    <t>CB-Sanders Re III Ltd. Series 2022-3 Class A Reset 2025</t>
  </si>
  <si>
    <t>80000XAA7</t>
  </si>
  <si>
    <t>CB-Sanders Re III Ltd. Series 2022-1 Class A Reset 2025</t>
  </si>
  <si>
    <t>CB-Sanders Re III Ltd. Series 2022-1 Class B Reset 2025</t>
  </si>
  <si>
    <t>80000XAC3</t>
  </si>
  <si>
    <t>CB-Sanders Re III Ltd. Series 2022-1 Class C Reset 2025</t>
  </si>
  <si>
    <t>80001TAA5</t>
  </si>
  <si>
    <t>CB-Sanders Re II Ltd. Series 2025-1 Class A-1</t>
  </si>
  <si>
    <t>80001TAC1</t>
  </si>
  <si>
    <t>CB-Sanders Re II Ltd. Series 2025-1 Class B-1</t>
  </si>
  <si>
    <t>80001TAB3</t>
  </si>
  <si>
    <t>CB-Sanders Re II Ltd. Series 2025-1 Class A-2</t>
  </si>
  <si>
    <t>80001TAD9</t>
  </si>
  <si>
    <t>CB-Sanders Re II Ltd. Series 2025-1 Class B-2</t>
  </si>
  <si>
    <t>CB-Matterhorn Re Ltd. Series 2025-3 Class A</t>
  </si>
  <si>
    <t>577092BA6</t>
  </si>
  <si>
    <t>CB-Matterhorn Re Ltd. Series 2025-3 Class B</t>
  </si>
  <si>
    <t>04681FAA2</t>
  </si>
  <si>
    <t>CB-Atela Re Ltd. Series 2024-1 Class A Reset 2025</t>
  </si>
  <si>
    <t>04681FAB0</t>
  </si>
  <si>
    <t>CB-Atela Re Ltd. Series 2024-1 Class B Reset 2025</t>
  </si>
  <si>
    <t>83427GAA3</t>
  </si>
  <si>
    <t>CB-Solomon Re Ltd. Series 2023-1 Class A Reset 2025</t>
  </si>
  <si>
    <t>35087TAD0</t>
  </si>
  <si>
    <t>CB-Four Lakes Re Ltd. Series 2022-1 Class A Reset 2025</t>
  </si>
  <si>
    <t>35087TAE8</t>
  </si>
  <si>
    <t>CB-Four Lakes Re Ltd. Series 2023-1 Class A Reset 2025</t>
  </si>
  <si>
    <t>35087TAG3</t>
  </si>
  <si>
    <t>CB-Four Lakes Re Ltd. Series 2024-1 Class A</t>
  </si>
  <si>
    <t>CB-Four Lakes Re Ltd. Series 2024-1 Class B</t>
  </si>
  <si>
    <t>49407QAJ7</t>
  </si>
  <si>
    <t>CB-Kilimanjaro II Re Ltd. Series 2025-1 Class A-1</t>
  </si>
  <si>
    <t>49407QAK4</t>
  </si>
  <si>
    <t>CB-Kilimanjaro II Re Ltd. Series 2025-1 Class B-1</t>
  </si>
  <si>
    <t>49407QAL2</t>
  </si>
  <si>
    <t>CB-Kilimanjaro II Re Ltd. Series 2025-1 Class C-1</t>
  </si>
  <si>
    <t>49407QAM0</t>
  </si>
  <si>
    <t>CB-Kilimanjaro II Re Ltd. Series 2025-1 Class D-1</t>
  </si>
  <si>
    <t>49407QAN8</t>
  </si>
  <si>
    <t>CB-Kilimanjaro II Re Ltd. Series 2025-2 Class A-2</t>
  </si>
  <si>
    <t>49407QAP3</t>
  </si>
  <si>
    <t>CB-Kilimanjaro II Re Ltd. Series 2025-2 Class B-2</t>
  </si>
  <si>
    <t>49407QAQ1</t>
  </si>
  <si>
    <t>CB-Kilimanjaro II Re Ltd. Series 2025-2 Class C-2</t>
  </si>
  <si>
    <t>49407QAR9</t>
  </si>
  <si>
    <t>CB-Kilimanjaro II Re Ltd. Series 2025-2 Class D-2</t>
  </si>
  <si>
    <t>49407QAG3</t>
  </si>
  <si>
    <t>CB-Kilimanjaro II Re Ltd. Series 2024-1 Class A Reset 2025</t>
  </si>
  <si>
    <t>49407QAH1</t>
  </si>
  <si>
    <t>CB-Kilimanjaro II Re Ltd. Series 2024-1 Class B Reset 2025</t>
  </si>
  <si>
    <t>49407PAH3</t>
  </si>
  <si>
    <t>CB-Kilimanjaro III Re Ltd. Series 2021-2 Class A-2 Reset 2025</t>
  </si>
  <si>
    <t>49407PAJ9</t>
  </si>
  <si>
    <t>CB-Kilimanjaro III Re Ltd. Series 2021-2 Class B-2 Reset 2025</t>
  </si>
  <si>
    <t>49407PAK6</t>
  </si>
  <si>
    <t>CB-Kilimanjaro III Re Ltd. Series 2021-2 Class C-2 Reset 2025</t>
  </si>
  <si>
    <t>76870YAG7</t>
  </si>
  <si>
    <t>CB-Riverfront Re Ltd. Series 2025-1 Class B</t>
  </si>
  <si>
    <t>76870YAF9</t>
  </si>
  <si>
    <t>CB-Riverfront Re Ltd. Series 2025-1 Class A</t>
  </si>
  <si>
    <t>63901CAD3</t>
  </si>
  <si>
    <t>CB-Nature Coast Re Ltd. Series 2025-1 Class A Reset 2025</t>
  </si>
  <si>
    <t>54180CAA0</t>
  </si>
  <si>
    <t>CB-Lapis 2025-1 Series 2025-1</t>
  </si>
  <si>
    <t>36779CAF3</t>
  </si>
  <si>
    <t>CB-Gateway Re Ltd. Series 2023-3 Class A Reset 2025</t>
  </si>
  <si>
    <t>68252UAA3</t>
  </si>
  <si>
    <t>CB-1886 Re Ltd. Series 2025-1 Class A</t>
  </si>
  <si>
    <t>04227FAE5</t>
  </si>
  <si>
    <t>CB-Armor Re II Ltd. Series 2024-1 Class A Reset 2025</t>
  </si>
  <si>
    <t>CB-Torrey Pines Re Ltd. Series 2023-1 Class A Reset 2025</t>
  </si>
  <si>
    <t>CB-Torrey Pines Re Ltd. Series 2023-1 Class B Reset 2025</t>
  </si>
  <si>
    <t>89141WAH5</t>
  </si>
  <si>
    <t>CB-Torrey Pines Re Ltd. Series 2024-1 Class A Reset 2025</t>
  </si>
  <si>
    <t>89141WAJ1</t>
  </si>
  <si>
    <t>CB-Torrey Pines Re Ltd. Series 2024-1 Class B Reset 2025</t>
  </si>
  <si>
    <t>89141WAK8</t>
  </si>
  <si>
    <t>CB-Torrey Pines Re Ltd. Series 2024-1 Class C Reset 2025</t>
  </si>
  <si>
    <t>89141WAL6</t>
  </si>
  <si>
    <t>CB-Torrey Pines Re Ltd. Series 2025-1 Class A</t>
  </si>
  <si>
    <t>CB-Torrey Pines Re Ltd. Series 2025-1 Class B</t>
  </si>
  <si>
    <t>89141WAN2</t>
  </si>
  <si>
    <t>CB-Torrey Pines Re Ltd. Series 2025-1 Class C</t>
  </si>
  <si>
    <t>31771QAB0</t>
  </si>
  <si>
    <t>CB-Finca Re Ltd. Series 2025-1 Class A</t>
  </si>
  <si>
    <t>XS2799645515</t>
  </si>
  <si>
    <t>CB-IBRD CAR Mexico 2024 Class A</t>
  </si>
  <si>
    <t>XS2799645606</t>
  </si>
  <si>
    <t>CB-IBRD CAR Mexico 2024 Class B</t>
  </si>
  <si>
    <t>XS2799645788</t>
  </si>
  <si>
    <t>CB-IBRD CAR Mexico 2024 Class C</t>
  </si>
  <si>
    <t>XS2809694198</t>
  </si>
  <si>
    <t>CB-IBRD CAR Mexico 2024 Class D</t>
  </si>
  <si>
    <t>88577CAC5</t>
  </si>
  <si>
    <t>CB-3264 Re Ltd. Series 2024-1 Class A Reset 2025</t>
  </si>
  <si>
    <t>88577CAD3</t>
  </si>
  <si>
    <t>CB-3264 Re Ltd. Series 2024-1 Class B Reset 2025</t>
  </si>
  <si>
    <t>88577CAG6</t>
  </si>
  <si>
    <t>CB-3264 Re Ltd. Series 2025-2 Class A</t>
  </si>
  <si>
    <t>31969UAA5</t>
  </si>
  <si>
    <t>CB-First Coast Re IV Ltd. Series 2023-1 Class A Reset 2025</t>
  </si>
  <si>
    <t>54307MAA6</t>
  </si>
  <si>
    <t>CB-Longleaf Pine Re Ltd. Series 2024-1 Class A Reset 2025</t>
  </si>
  <si>
    <t>CB-Veraison Re Ltd. Series 2023-1 Class A Reset 2025</t>
  </si>
  <si>
    <t>92335TAB5</t>
  </si>
  <si>
    <t>CB-Veraison Re Ltd. Series 2023-1 Class B Reset 2025</t>
  </si>
  <si>
    <t>92335TAC3</t>
  </si>
  <si>
    <t>CB-Veraison Re Ltd. Series 2024-1 Class A Reset 2025</t>
  </si>
  <si>
    <t>CB-Veraison Re Ltd. Series 2025-1 Class B</t>
  </si>
  <si>
    <t>XS3019877813</t>
  </si>
  <si>
    <t>CB-Vision 2039 Series 2025-1 Class A</t>
  </si>
  <si>
    <t>CB-Puerto Rico Parametric Re Ltd. Series 2024-1 Class A</t>
  </si>
  <si>
    <t>CB-Black Kite Re Ltd. Series 2025-1 Class A</t>
  </si>
  <si>
    <t>177510AQ7</t>
  </si>
  <si>
    <t>CB-Citrus Re Ltd. Series 2025-1 Class A</t>
  </si>
  <si>
    <t>177510AR5</t>
  </si>
  <si>
    <t>CB-Citrus Re Ltd. Series 2025-1 Class B</t>
  </si>
  <si>
    <t>177510AL8</t>
  </si>
  <si>
    <t>CB-Citrus Re Ltd. Series 2023-1 Class A Reset 2025</t>
  </si>
  <si>
    <t>CB-Citrus Re Ltd. Series 2023-1 Class B Reset 2025</t>
  </si>
  <si>
    <t>177510AN4</t>
  </si>
  <si>
    <t>CB-Citrus Re Ltd. Series 2024-1 Class A Reset 2025</t>
  </si>
  <si>
    <t>177510AP9</t>
  </si>
  <si>
    <t>CB-Citrus Re Ltd. Series 2024-1 Class B Reset 2025</t>
  </si>
  <si>
    <t>096003AB4</t>
  </si>
  <si>
    <t>CB-Blue Ridge Re Ltd. Series 2023-1 Class B Reset 2025</t>
  </si>
  <si>
    <t>CB-Armor Re II Ltd. Series 2024-2 Class A</t>
  </si>
  <si>
    <t>CB-Cape Lookout Re Ltd. Series 2025-1 Class A</t>
  </si>
  <si>
    <t>CB-Bayou Re Ltd. Series 2023-1 Class A Reset 2025</t>
  </si>
  <si>
    <t>07304LAB7</t>
  </si>
  <si>
    <t>CB-Bayou Re Ltd. Series 2023-1 Class B Reset 2025</t>
  </si>
  <si>
    <t>74639NAD5</t>
  </si>
  <si>
    <t>CB-Purple Re Ltd. Series 2025-1 Class A</t>
  </si>
  <si>
    <t>74639NAE3</t>
  </si>
  <si>
    <t>CB-Purple Re Ltd. Series 2025-1 Class B</t>
  </si>
  <si>
    <t>CB-Purple Re Ltd. Series 2024-1 Class A Reset 2025</t>
  </si>
  <si>
    <t>CB-Purple Re Ltd. Series 2023-2 Class A Reset 2025</t>
  </si>
  <si>
    <t>74639NAA1</t>
  </si>
  <si>
    <t>CB-Purple Re Ltd. Series 2023-1 Class A Reset 2025</t>
  </si>
  <si>
    <t>62983QAN3</t>
  </si>
  <si>
    <t>CB-Nakama Re Ltd. Series 2023-1 Class 1 Reset 2025</t>
  </si>
  <si>
    <t>CB-Nakama Re Ltd. Series 2023-1 Class 2 Reset 2025</t>
  </si>
  <si>
    <t>62984JAD0</t>
  </si>
  <si>
    <t>CB-Nakama Re Pte. Ltd. Series 2025-1 Class 1</t>
  </si>
  <si>
    <t>62984JAA6</t>
  </si>
  <si>
    <t>CB-Nakama Re Pte. Ltd. Series 2021-1 Class 1 Reset 2023</t>
  </si>
  <si>
    <t>62984JAB4</t>
  </si>
  <si>
    <t>CB-Nakama Re Pte. Ltd. Series 2021-1 Class 2 Reset 2023</t>
  </si>
  <si>
    <t>049207AB9</t>
  </si>
  <si>
    <t>CB-Atlas Capital DAC Series 2024-1 Class A Reset 2025</t>
  </si>
  <si>
    <t>XS2411652642</t>
  </si>
  <si>
    <t>CB-Hexagon III Re Pte. Ltd. Series 2021-1 Class A Reset 2025</t>
  </si>
  <si>
    <t>XS2411653293</t>
  </si>
  <si>
    <t>CB-Hexagon III Re Pte. Ltd. Series 2021-1 Class B Reset 2025</t>
  </si>
  <si>
    <t>428270AA0</t>
  </si>
  <si>
    <t>CB-Hexagon IV Re Ltd. Series 2023-1 Class A Reset 2025</t>
  </si>
  <si>
    <t>428270AB8</t>
  </si>
  <si>
    <t>CB-Hexagon IV Re Ltd. Series 2023-1 Class B Reset 2025</t>
  </si>
  <si>
    <t>CB-Bluebonnet Re Ltd. Series 2025-1 Class A</t>
  </si>
  <si>
    <t>09610NAB8</t>
  </si>
  <si>
    <t>CB-Bluebonnet Re Ltd. Series 2025-1 Class B</t>
  </si>
  <si>
    <t>09610NAC6</t>
  </si>
  <si>
    <t>CB-Bluebonnet Re Ltd. Series 2025-1 Class C</t>
  </si>
  <si>
    <t>09610NAD4</t>
  </si>
  <si>
    <t>CB-Bluebonnet Re Ltd. Series 2025-2 Class A</t>
  </si>
  <si>
    <t>42815KAC6</t>
  </si>
  <si>
    <t>CB-Hestia Re Ltd. Series 2025-1 Class A</t>
  </si>
  <si>
    <t>42815KAD4</t>
  </si>
  <si>
    <t>CB-Hestia Re Ltd. Series 2025-1 Class B</t>
  </si>
  <si>
    <t>42815KAB8</t>
  </si>
  <si>
    <t>CB-Hestia Re Ltd. Series 2023-1 Class A Reset 2025</t>
  </si>
  <si>
    <t>44914CAD8</t>
  </si>
  <si>
    <t>CB-Hypatia Ltd. Series 2025-1 Class A</t>
  </si>
  <si>
    <t>36779CAT3</t>
  </si>
  <si>
    <t>CB-Gateway Re Ltd. Series 2025-3 Class A</t>
  </si>
  <si>
    <t>45870GAA4</t>
  </si>
  <si>
    <t>CB-Integrity Re III Ltd. Series 2025-1 Class A-1 Reset 2025</t>
  </si>
  <si>
    <t>45870GAC0</t>
  </si>
  <si>
    <t>CB-Integrity Re III Ltd. Series 2025-1 Class B-1 Reset 2025</t>
  </si>
  <si>
    <t>45870GAE6</t>
  </si>
  <si>
    <t>CB-Integrity Re III Ltd. Series 2025-1 Class C Reset 2025</t>
  </si>
  <si>
    <t>45870GAF3</t>
  </si>
  <si>
    <t>CB-Integrity Re III Ltd. Series 2025-1 Class D Reset 2025</t>
  </si>
  <si>
    <t>45870GAB2</t>
  </si>
  <si>
    <t>CB-Integrity Re III Ltd. Series 2025-1 Class A-2 Reset 2025</t>
  </si>
  <si>
    <t>45870GAD8</t>
  </si>
  <si>
    <t>CB-Integrity Re III Ltd. Series 2025-1 Class B-2 Reset 2025</t>
  </si>
  <si>
    <t>45833UAJ0</t>
  </si>
  <si>
    <t>CB-Integrity Re Ltd. Series 2024-1 Class A Reset 2025</t>
  </si>
  <si>
    <t>45833UAK7</t>
  </si>
  <si>
    <t>CB-Integrity Re Ltd. Series 2024-1 Class B Reset 2025</t>
  </si>
  <si>
    <t>45833UAL5</t>
  </si>
  <si>
    <t>CB-Integrity Re Ltd. Series 2024-1 Class C Reset 2025</t>
  </si>
  <si>
    <t>45833UAM3</t>
  </si>
  <si>
    <t>CB-Integrity Re Ltd. Series 2024-1 Class D Reset 2025</t>
  </si>
  <si>
    <t>675951AA5</t>
  </si>
  <si>
    <t>CB-Ocelot Re Ltd. Series 2023-1 Class A Reset 2025</t>
  </si>
  <si>
    <t>675951AB3</t>
  </si>
  <si>
    <t>CB-Ocelot Re Ltd. Series 2025-1 Class A</t>
  </si>
  <si>
    <t>675951AC1</t>
  </si>
  <si>
    <t>CB-Ocelot Re Ltd. Series 2025-1 Class B</t>
  </si>
  <si>
    <t>07304LAC5</t>
  </si>
  <si>
    <t>CB-Bayou Re Ltd. Series 2024-1 Class A Reset 2025</t>
  </si>
  <si>
    <t>07304LAD3</t>
  </si>
  <si>
    <t>CB-Bayou Re Ltd. Series 2024-1 Class B Reset 2025</t>
  </si>
  <si>
    <t>07304LAE1</t>
  </si>
  <si>
    <t>CB-Bayou Re Ltd. Series 2025-1 Class A</t>
  </si>
  <si>
    <t>547915AA6</t>
  </si>
  <si>
    <t>CB-Lower Ferry Re Ltd. Series 2023-1 Class A Reset 2025</t>
  </si>
  <si>
    <t>547915AB4</t>
  </si>
  <si>
    <t>CB-Lower Ferry Re Ltd. Series 2023-1 Class B Reset 2025</t>
  </si>
  <si>
    <t>54930CAA3</t>
  </si>
  <si>
    <t>CB-Luca Re Ltd. Series 2025-1 Class A</t>
  </si>
  <si>
    <t>577092AN9</t>
  </si>
  <si>
    <t>CB-Matterhorn Re Ltd. Series 2021-1 Class A Reset 2025</t>
  </si>
  <si>
    <t>577092AW9</t>
  </si>
  <si>
    <t>CB-Matterhorn Re Ltd. Series 2025-1 Class A</t>
  </si>
  <si>
    <t>577092AX7</t>
  </si>
  <si>
    <t>CB-Matterhorn Re Ltd. Series 2025-1 Class B</t>
  </si>
  <si>
    <t>577092AY5</t>
  </si>
  <si>
    <t>CB-Matterhorn Re Ltd. Series 2025-2 Class A</t>
  </si>
  <si>
    <t>49835JAB2</t>
  </si>
  <si>
    <t>CB-Kizuna Re III Pte. Ltd. Series 2024-1 Class A Reset 2025</t>
  </si>
  <si>
    <t>49835JAA4</t>
  </si>
  <si>
    <t>CB-Kizuna Re III Pte. Ltd. Series 2021-1 Class A Reset 2023</t>
  </si>
  <si>
    <t>89009PAA6</t>
  </si>
  <si>
    <t>CB-Tomoni Re Pte. Ltd. Series 2022-1 Class A-1 Reset 2025</t>
  </si>
  <si>
    <t>89009PAE8</t>
  </si>
  <si>
    <t>CB-Tomoni Re Pte. Ltd. Series 2024-1 Class A Reset 2025</t>
  </si>
  <si>
    <t>89009PAF5</t>
  </si>
  <si>
    <t>CB-Tomoni Re Pte. Ltd. Series 2024-1 Class B Reset 2025</t>
  </si>
  <si>
    <t>63901CAA9</t>
  </si>
  <si>
    <t>CB-Nature Coast Re Ltd. Series 2023-1 Class A Reset 2025</t>
  </si>
  <si>
    <t>63901CAB7</t>
  </si>
  <si>
    <t>CB-Nature Coast Re Ltd. Series 2023-1 Class B Reset 2025</t>
  </si>
  <si>
    <t>63901CAC5</t>
  </si>
  <si>
    <t>CB-Nature Coast Re Ltd. Series 2024-1 Class A Reset 2025</t>
  </si>
  <si>
    <t>63901CAE1</t>
  </si>
  <si>
    <t>CB-Nature Coast Re Ltd. Series 2025-2 Class A</t>
  </si>
  <si>
    <t>CB-Charles River Re Ltd. Series 2024-1 Class A Reset 2025</t>
  </si>
  <si>
    <t>367927AA8</t>
  </si>
  <si>
    <t>CB-Gateway Re II Ltd. Series 2023-1 Class A Reset 2025</t>
  </si>
  <si>
    <t>36779CAC0</t>
  </si>
  <si>
    <t>CB-Gateway Re Ltd. Series 2023-1 Class A Reset 2025</t>
  </si>
  <si>
    <t>36779CAD8</t>
  </si>
  <si>
    <t>CB-Gateway Re Ltd. Series 2023-1 Class B Reset 2025</t>
  </si>
  <si>
    <t>36779CAG1</t>
  </si>
  <si>
    <t>CB-Gateway Re Ltd. Series 2024-1 Class AA Reset 2025</t>
  </si>
  <si>
    <t>62865LAD9</t>
  </si>
  <si>
    <t>CB-Mystic Re IV Ltd. Series 2023-1 Class A Reset 2025</t>
  </si>
  <si>
    <t>39526JAA9</t>
  </si>
  <si>
    <t>CB-Greengrove Re Ltd. Series 2025-1 Class A</t>
  </si>
  <si>
    <t>XS3075449036</t>
  </si>
  <si>
    <t>CB-Lion Re DAC Series 2025-1 Class A</t>
  </si>
  <si>
    <t>XS3075450471</t>
  </si>
  <si>
    <t>CB-Lion Re DAC Series 2025-1 Class B</t>
  </si>
  <si>
    <t>53625HAA4</t>
  </si>
  <si>
    <t>CB-Liongate Re DAC</t>
  </si>
  <si>
    <t>16140YAC6</t>
  </si>
  <si>
    <t>CB-Chartwell Re Ltd. Series 2025-1 Class C</t>
  </si>
  <si>
    <t>16140YAB8</t>
  </si>
  <si>
    <t>CB-Chartwell Re Ltd. Series 2025-1 Class B</t>
  </si>
  <si>
    <t>16140YAA0</t>
  </si>
  <si>
    <t>CB-Chartwell Re Ltd. Series 2025-1 Class A</t>
  </si>
  <si>
    <t>44914CAC0</t>
  </si>
  <si>
    <t>CB-Hypatia Ltd. Series 2023-1 Class A Reset 2025</t>
  </si>
  <si>
    <t>CB-Commonwealth Re Ltd. Series 2023-1 Class A Reset 2025</t>
  </si>
  <si>
    <t>CB-Everglades Re II Ltd. Series 2024-1 Class A Reset 2025</t>
  </si>
  <si>
    <t>30014LAN4</t>
  </si>
  <si>
    <t>CB-Everglades Re II Ltd. Series 2024-1 Class B Reset 2025</t>
  </si>
  <si>
    <t>30014LAP9</t>
  </si>
  <si>
    <t>CB-Everglades Re II Ltd. Series 2024-1 Class C Reset 2025</t>
  </si>
  <si>
    <t>30014LAT1</t>
  </si>
  <si>
    <t>CB-Everglades Re II Ltd. Series 2025-1 Class A</t>
  </si>
  <si>
    <t>30014LAU8</t>
  </si>
  <si>
    <t>CB-Everglades Re II Ltd. Series 2025-1 Class B</t>
  </si>
  <si>
    <t>30014LAV6</t>
  </si>
  <si>
    <t>CB-Everglades Re II Ltd. Series 2025-1 Class C</t>
  </si>
  <si>
    <t>30014LAW4</t>
  </si>
  <si>
    <t>CB-Everglades Re II Ltd. Series 2025-1 Class D</t>
  </si>
  <si>
    <t>CB-Mountain Re Ltd. Series 2023-1 Class A Reset 2025</t>
  </si>
  <si>
    <t>62865LAE7</t>
  </si>
  <si>
    <t>CB-Mystic Re IV Ltd. Series 2024-1 Class A Reset 2025</t>
  </si>
  <si>
    <t>666842AF6</t>
  </si>
  <si>
    <t>CB-Northshore Re II Ltd. Series 2025-1 Class A</t>
  </si>
  <si>
    <t>67550LAA4</t>
  </si>
  <si>
    <t>CB-Oceanside Re Ltd. Series 2025-1 Class A</t>
  </si>
  <si>
    <t>CB-Palm Re Ltd. Series 2024-1 Class A Reset 2025</t>
  </si>
  <si>
    <t>CB-Winston Re Ltd. Series 2024-1 Class A Reset 2025</t>
  </si>
  <si>
    <t>CB-Winston Re Ltd. Series 2024-1 Class B Reset 2025</t>
  </si>
  <si>
    <t>69664FAB4</t>
  </si>
  <si>
    <t>CB-Palm Re Ltd. Series 2025-1 Class A</t>
  </si>
  <si>
    <t>00485YAE9</t>
  </si>
  <si>
    <t>CB-Acorn Re Ltd. Series 2024-1 Class A</t>
  </si>
  <si>
    <t>00485YAF6</t>
  </si>
  <si>
    <t>CB-Acorn Re Ltd. Series 2024-1 Class B</t>
  </si>
  <si>
    <t>91734PAF3</t>
  </si>
  <si>
    <t>CB-Ursa Re II Ltd. Series 2022-2 Class AA Reset 2024</t>
  </si>
  <si>
    <t>91734PAG1</t>
  </si>
  <si>
    <t>CB-Ursa Re II Ltd. Series 2022-2 Class C Reset 2024</t>
  </si>
  <si>
    <t>91734PAH9</t>
  </si>
  <si>
    <t>CB-Ursa Re II Ltd. Series 2025-1 Class G</t>
  </si>
  <si>
    <t>90323WAN0</t>
  </si>
  <si>
    <t>CB-Ursa Re Ltd. Series 2023-2 Class E Reset 2024</t>
  </si>
  <si>
    <t>90323WAQ3</t>
  </si>
  <si>
    <t>CB-Ursa Re Ltd. Series 2023-3 Class D Reset 2024</t>
  </si>
  <si>
    <t>90323WAL4</t>
  </si>
  <si>
    <t>CB-Ursa Re Ltd. Series 2023-1 Class AA Reset 2024</t>
  </si>
  <si>
    <t>90323WAM2</t>
  </si>
  <si>
    <t>CB-Ursa Re Ltd. Series 2023-1 Class C Reset 2024</t>
  </si>
  <si>
    <t>90323WAR1</t>
  </si>
  <si>
    <t>CB-Ursa Re Ltd. Series 2025-1 Class F</t>
  </si>
  <si>
    <t>613752AB0</t>
  </si>
  <si>
    <t>CB-Montoya Re Ltd. Series 2022-2 Class A Reset 2025</t>
  </si>
  <si>
    <t>XS2630523749</t>
  </si>
  <si>
    <t>CB-Totara Re Pte. Ltd. Series 2023-1 Class A Reset 2025</t>
  </si>
  <si>
    <t>33975CAM7</t>
  </si>
  <si>
    <t>CB-FloodSmart Re Ltd. Series 2023-1 Class A Reset 2025</t>
  </si>
  <si>
    <t>33975CAN5</t>
  </si>
  <si>
    <t>CB-FloodSmart Re Ltd. Series 2023-1 Class B Reset 2025</t>
  </si>
  <si>
    <t>CB-FloodSmart Re Ltd. Series 2024-1 Class A Reset 2025</t>
  </si>
  <si>
    <t>33975CAQ8</t>
  </si>
  <si>
    <t>CB-FloodSmart Re Ltd. Series 2024-1 Class B Reset 2025</t>
  </si>
  <si>
    <t>XS2865536135</t>
  </si>
  <si>
    <t>CB-Quercus Re DAC Reset 2025</t>
  </si>
  <si>
    <t>785628AA6</t>
  </si>
  <si>
    <t>CB-Sabine Re Ltd. Series 2024-1 Class A Reset 2025</t>
  </si>
  <si>
    <t>79381MAD6</t>
  </si>
  <si>
    <t>CB-Sakura Re Ltd. Series 2025-1 Class A</t>
  </si>
  <si>
    <t>83423TAA9</t>
  </si>
  <si>
    <t>CB-Solis Re Ltd. Series 2025-1 Class A</t>
  </si>
  <si>
    <t>87609TAA6</t>
  </si>
  <si>
    <t>CB-Taranis Re DAC Class A Reset 2025</t>
  </si>
  <si>
    <t>87609TAB4</t>
  </si>
  <si>
    <t>CB-Taranis Re DAC Class B Reset 2025</t>
  </si>
  <si>
    <t>CB-Wrigley Re Ltd. Series 2023-1 Class B Reset 2025</t>
  </si>
  <si>
    <t>CB-Wrigley Re Ltd. Series 2023-1 Class A Reset 2025</t>
  </si>
  <si>
    <t>98740RAB5</t>
  </si>
  <si>
    <t>CB-Yosemite Re Ltd. Series 2025-1 Class A</t>
  </si>
  <si>
    <t>613752AC8</t>
  </si>
  <si>
    <t>CB-Montoya Re Ltd. Series 2024-1 Class A Reset 2025</t>
  </si>
  <si>
    <t>54180TAA3</t>
  </si>
  <si>
    <t>CB-Fuchsia Series 2023-1 Class A Reset 2025</t>
  </si>
  <si>
    <t>CB-Fuchsia 2 Series 2024-1 Class A Reset 2025</t>
  </si>
  <si>
    <t>613752AD6</t>
  </si>
  <si>
    <t>CB-Montoya Re Ltd. Series 2025-1 Class A Reset 2025</t>
  </si>
  <si>
    <t>62865LAF4</t>
  </si>
  <si>
    <t>CB-Mystic Re IV Ltd. Series 2025-1 Class A</t>
  </si>
  <si>
    <t>62865LAG2</t>
  </si>
  <si>
    <t>CB-Mystic Re IV Ltd. Series 2025-1 Class B</t>
  </si>
  <si>
    <t>62865LAH0</t>
  </si>
  <si>
    <t>CB-Mystic Re IV Ltd. Series 2025-1 Class C</t>
  </si>
  <si>
    <t>CB-Alamo Re Ltd. Series 2023-1 Class A Reset 2025</t>
  </si>
  <si>
    <t>011395AN0</t>
  </si>
  <si>
    <t>CB-Alamo Re Ltd. Series 2024-1 Class A Reset 2025</t>
  </si>
  <si>
    <t>011395AP5</t>
  </si>
  <si>
    <t>CB-Alamo Re Ltd. Series 2024-1 Class B Reset 2025</t>
  </si>
  <si>
    <t>CB-Alamo Re Ltd. Series 2024-1 Class C Reset 2025</t>
  </si>
  <si>
    <t>89055TAA1</t>
  </si>
  <si>
    <t>CB-Topanga Re Ltd. Series 2021-1 Class A Reset 2025</t>
  </si>
  <si>
    <t>799925AA0</t>
  </si>
  <si>
    <t>CB-Sanders Re III Ltd. Series 2023-2 Class A Reset 2025</t>
  </si>
  <si>
    <t>608800AJ7</t>
  </si>
  <si>
    <t>CB-Mona Lisa Re Ltd. Series 2025-1 Class A</t>
  </si>
  <si>
    <t>608800AK4</t>
  </si>
  <si>
    <t>CB-Mona Lisa Re Ltd. Series 2025-1 Class B</t>
  </si>
  <si>
    <t>608800AH1</t>
  </si>
  <si>
    <t>CB-Mona Lisa Re Ltd. Series 2024-1 Class A Reset 2025</t>
  </si>
  <si>
    <t>608800AF5</t>
  </si>
  <si>
    <t>CB-Mona Lisa Re Ltd. Series 2023-1 Class A Reset 2025</t>
  </si>
  <si>
    <t>608800AG3</t>
  </si>
  <si>
    <t>CB-Mona Lisa Re Ltd. Series 2023-1 Class B Reset 2025</t>
  </si>
  <si>
    <t>CB-King Max Re DAC Reset 2025</t>
  </si>
  <si>
    <t>XS2931270180</t>
  </si>
  <si>
    <t>CB-Orange Capital Re DAC Series 2024-1 Class A</t>
  </si>
  <si>
    <t>XS2722275190</t>
  </si>
  <si>
    <t>CB-Orange Capital Re DAC Series 2023-1 Class A Reset 2025</t>
  </si>
  <si>
    <t>539694AA7</t>
  </si>
  <si>
    <t>CB-Locke Tavern Re Ltd. Series 2023-1 Class A Reset 2025</t>
  </si>
  <si>
    <t>42703VAG8</t>
  </si>
  <si>
    <t>CB-Herbie Re Ltd. Series 2024-1 Class A Reset 2025</t>
  </si>
  <si>
    <t>42703VAH6</t>
  </si>
  <si>
    <t>CB-Herbie Re Ltd. Series 2024-1 Class B Reset 2025</t>
  </si>
  <si>
    <t>42703VAJ2</t>
  </si>
  <si>
    <t>CB-Herbie Re Ltd. Series 2024-2 Class A</t>
  </si>
  <si>
    <t>42703VAK9</t>
  </si>
  <si>
    <t>CB-Herbie Re Ltd. Series 2024-2 Class B</t>
  </si>
  <si>
    <t>42703VAL7</t>
  </si>
  <si>
    <t>CB-Herbie Re Ltd. Series 2024-2 Class C</t>
  </si>
  <si>
    <t>42703VAF0</t>
  </si>
  <si>
    <t>CB-Herbie Re Ltd. Series 2022-1 Class A Reset 2025</t>
  </si>
  <si>
    <t>54279PAA3</t>
  </si>
  <si>
    <t>CB-Long Point Re IV Ltd. Series 2022-1 Class A Reset 2025</t>
  </si>
  <si>
    <t>CB-Sutter Re Ltd. Series 2023-1 Class B Reset 2025</t>
  </si>
  <si>
    <t>86944RAF5</t>
  </si>
  <si>
    <t>CB-Sutter Re Ltd. Series 2023-1 Class E Reset 2025</t>
  </si>
  <si>
    <t>XS2845137541</t>
  </si>
  <si>
    <t>CB-Windmill III Re DAC Series 2024-1 Class A Reset 2025</t>
  </si>
  <si>
    <t>888329AD1</t>
  </si>
  <si>
    <t>CB-Titania Re Ltd. Series 2023-1 Class B Reset 2025</t>
  </si>
  <si>
    <t>888329AE9</t>
  </si>
  <si>
    <t>CB-Titania Re Ltd. Series 2024-1 Class A</t>
  </si>
  <si>
    <t>888329AF6</t>
  </si>
  <si>
    <t>CB-Titania Re Ltd. Series 2024-1 Class B</t>
  </si>
  <si>
    <t>CB-Titania Re Ltd. Series 2025-1 Class A</t>
  </si>
  <si>
    <t>888329AH2</t>
  </si>
  <si>
    <t>CB-Titania Re Ltd. Series 2025-1 Class B</t>
  </si>
  <si>
    <t>48878QAD2</t>
  </si>
  <si>
    <t>CB-Kendall Re Ltd. Series 2024-1 Class A Reset 2025</t>
  </si>
  <si>
    <t>48878QAE0</t>
  </si>
  <si>
    <t>CB-Kendall Re Ltd. Series 2024-1 Class B Reset 2025</t>
  </si>
  <si>
    <t>80001AAA6</t>
  </si>
  <si>
    <t>CB-Sanders Re II Ltd. Series 2025-2 Class A</t>
  </si>
  <si>
    <t>429932AA4</t>
  </si>
  <si>
    <t>CB-High Point Re Ltd. Series 2023-1 Class A Reset 2025</t>
  </si>
  <si>
    <t>XS2788028178</t>
  </si>
  <si>
    <t>CB-Azzurro Re II DAC Series 2024-1 Class A Reset 2025</t>
  </si>
  <si>
    <t>09785EAK7</t>
  </si>
  <si>
    <t>CB-Bonanza Re Ltd. Series 2023-1 Class A Reset 2025</t>
  </si>
  <si>
    <t>09605UAA1</t>
  </si>
  <si>
    <t>CB-Blue Sky Re DAC Series 2023-1 Reset 2025</t>
  </si>
  <si>
    <t>XS2641776773</t>
  </si>
  <si>
    <t>CB-Eiffel Re Ltd. Series 2023-1 Class A Reset 2025</t>
  </si>
  <si>
    <t>049207AA1</t>
  </si>
  <si>
    <t>CB-Atlas Capital DAC Series 2023-1 Class A Reset 2025</t>
  </si>
  <si>
    <t>049207AC7</t>
  </si>
  <si>
    <t>CB-Atlas Capital DAC Series 2025-1 Class A</t>
  </si>
  <si>
    <t>203235AC0</t>
  </si>
  <si>
    <t>CB-Commonwealth Re Ltd. Series 2025-1 Class A</t>
  </si>
  <si>
    <t>31969UAC1</t>
  </si>
  <si>
    <t>CB-First Coast Re IV Ltd. Series 2025-1 Class B</t>
  </si>
  <si>
    <t>31969UAB3</t>
  </si>
  <si>
    <t>CB-First Coast Re IV Ltd. Series 2025-1 Class A</t>
  </si>
  <si>
    <t>88577CAF8</t>
  </si>
  <si>
    <t>CB-3264 Re Ltd. Series 2025-1 Class B</t>
  </si>
  <si>
    <t>88577CAE1</t>
  </si>
  <si>
    <t>CB-3264 Re Ltd. Series 2025-1 Class A</t>
  </si>
  <si>
    <t>90215BAB3</t>
  </si>
  <si>
    <t>CB-2001 CAT Re Ltd. Series 2023-1 Class A Reset 2025</t>
  </si>
  <si>
    <t>CB-Herbie Re Ltd. Series 2025-1 Class A</t>
  </si>
  <si>
    <t>CB-Res Re 2025 Ltd. Series 2025-II Class 2</t>
  </si>
  <si>
    <t>CB-Four Lakes Re Ltd. Series 2023-1 Class B Reset 2025_V12</t>
  </si>
  <si>
    <t>CB-Four Lakes Re Ltd. Series 2024-1 Class B_V12</t>
  </si>
  <si>
    <t>Duplicated</t>
  </si>
  <si>
    <t>CB-Meadows Ltd. Series 2025-1 Class A</t>
  </si>
  <si>
    <t>CB-Meadows Ltd. Series 2025-1 Class C</t>
  </si>
  <si>
    <t>SINDHU-LAPTOP</t>
  </si>
  <si>
    <t>2024-1</t>
  </si>
  <si>
    <t>Class 1</t>
  </si>
  <si>
    <t>2025</t>
  </si>
  <si>
    <t>2025-1</t>
  </si>
  <si>
    <t>Class B</t>
  </si>
  <si>
    <t>2023-1</t>
  </si>
  <si>
    <t>Class A</t>
  </si>
  <si>
    <t>2022-1</t>
  </si>
  <si>
    <t>Class B-1</t>
  </si>
  <si>
    <t>2023-3</t>
  </si>
  <si>
    <t>Class AA</t>
  </si>
  <si>
    <t>2024</t>
  </si>
  <si>
    <t/>
  </si>
  <si>
    <t>ARAPL_Configuration_v13</t>
  </si>
  <si>
    <t>OPt12</t>
  </si>
  <si>
    <t>ci12</t>
  </si>
  <si>
    <t>OPt13</t>
  </si>
  <si>
    <t>ci13</t>
  </si>
  <si>
    <t>OPt14</t>
  </si>
  <si>
    <t>ci14</t>
  </si>
  <si>
    <t>OPt15</t>
  </si>
  <si>
    <t>ci15</t>
  </si>
  <si>
    <t>OPt16</t>
  </si>
  <si>
    <t>ci16</t>
  </si>
  <si>
    <t>Class C2</t>
  </si>
  <si>
    <t>UI Testcase 5</t>
  </si>
  <si>
    <t>OPt17</t>
  </si>
  <si>
    <t>ci17</t>
  </si>
  <si>
    <t>OPt18</t>
  </si>
  <si>
    <t>ci18</t>
  </si>
  <si>
    <t>OPt19</t>
  </si>
  <si>
    <t>ci19</t>
  </si>
  <si>
    <t>OPt20</t>
  </si>
  <si>
    <t>ci20</t>
  </si>
  <si>
    <t>OPt21</t>
  </si>
  <si>
    <t>ci21</t>
  </si>
  <si>
    <t>TC 5</t>
  </si>
  <si>
    <t>Insert into BoundPortfolioDetails ([OptimizationLayerID],[CipherID],[ILSName],[Series],[Class],[Reset],[Renewal],[LossBasis],[Issuer],[Hedges],[CUSIP],[BoundDate],[ExpirationDate],[Fronting],[SecurityInstrument],[OccurenceLimit],[AggregateLimit],[Quantity],[Fronted],[BondPrice],[BondCoupon],[BondTransactionType],[BondBuyDate],[BondSellPrice],[BondSellDate],[CompanyShare],[BondInitialSpread],[BondRedemptionPrice],[ROL],[InitialFees],[ExceptionApproval],[AvgRateChangeProjection],[Comments],[Reinstatements],[ContractWordingReceivedDate],[ContractWordingForwardedtoAONART],[AuthorizationDate],[ConfirmationNoticeDate],[ContractExecutedDate],[TreatyType],[CoverageType],[QuantityPledged],[RealizedGain],[NRE_ID],[CurrExchangeFactor],[PortfolioID],[ReportID], [CurrencyCode]) VALUES ('OPt21','ci21','CB-Winston Re Ltd. Series 2025-1 Class A','2025-1','Class A','','','LOD','Tower Hill Ins Exch','','975660AC5','2/13/2025','2/21/2028','','Cat Bond',0,200000000,250000,'',99.85,0.1032,'Buy','5/7/2025',0,'',1.42857142857143E-03,6.49700005425526E-02,0,0.10708301,0,'0',0,'0',0,'5/7/2025','5/7/2025',5/7/2025,5/7/2025,5/7/2025,'Indemnity','Occurrence',0,0,'0',1,1,109,'USD')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</si>
</sst>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43" formatCode="_(* #,##0.00_);_(* \(#,##0.00\);_(* &quot;-&quot;??_);_(@_)"/>
    <numFmt numFmtId="164" formatCode="_(* #,##0_);_(* \(#,##0\);_(* &quot;-&quot;??_);_(@_)"/>
    <numFmt numFmtId="165" formatCode="0.0%"/>
    <numFmt numFmtId="166" formatCode="_(* #,##0.0000000_);_(* \(#,##0.0000000\);_(* &quot;-&quot;??_);_(@_)"/>
    <numFmt numFmtId="167" formatCode="0.00000"/>
    <numFmt numFmtId="168" formatCode="0.000%"/>
    <numFmt numFmtId="169" formatCode="d/m/yy;@"/>
    <numFmt numFmtId="170" formatCode="0.0000%"/>
  </numFmts>
  <fonts count="22" x14ac:knownFonts="1">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Arial"/>
      <family val="2"/>
    </font>
    <font>
      <sz val="11"/>
      <color theme="1"/>
      <name val="Calibri"/>
      <family val="2"/>
    </font>
    <font>
      <b/>
      <sz val="11"/>
      <color theme="1"/>
      <name val="Calibri"/>
      <family val="2"/>
    </font>
    <font>
      <b/>
      <sz val="11"/>
      <name val="Calibri"/>
      <family val="2"/>
      <scheme val="minor"/>
    </font>
    <font>
      <sz val="11"/>
      <color rgb="FF000000"/>
      <name val="Calibri"/>
      <family val="2"/>
    </font>
    <font>
      <sz val="9"/>
      <color theme="1"/>
      <name val="Calibri"/>
      <family val="2"/>
      <scheme val="minor"/>
    </font>
    <font>
      <sz val="11"/>
      <color rgb="FFFF0000"/>
      <name val="Calibri"/>
      <family val="2"/>
      <scheme val="minor"/>
    </font>
    <font>
      <b/>
      <sz val="10"/>
      <color theme="1"/>
      <name val="Calibri"/>
      <family val="2"/>
      <scheme val="minor"/>
    </font>
    <font>
      <b/>
      <sz val="16"/>
      <color rgb="FF0070C0"/>
      <name val="Calibri"/>
      <family val="2"/>
      <scheme val="minor"/>
    </font>
    <font>
      <b/>
      <sz val="9"/>
      <color theme="1"/>
      <name val="Calibri"/>
      <family val="2"/>
      <scheme val="minor"/>
    </font>
    <font>
      <sz val="10"/>
      <color theme="1"/>
      <name val="Calibri"/>
      <family val="2"/>
      <scheme val="minor"/>
    </font>
    <font>
      <b/>
      <sz val="9"/>
      <color indexed="9"/>
      <name val="Calibri"/>
      <family val="2"/>
      <scheme val="minor"/>
    </font>
    <font>
      <b/>
      <sz val="9.5"/>
      <color indexed="9"/>
      <name val="Calibri"/>
      <family val="2"/>
    </font>
    <font>
      <sz val="8"/>
      <name val="Calibri"/>
      <family val="2"/>
      <scheme val="minor"/>
    </font>
    <font>
      <b/>
      <sz val="10"/>
      <color theme="1"/>
      <name val="Arial"/>
      <family val="2"/>
    </font>
    <font>
      <b/>
      <sz val="13.5"/>
      <color theme="1"/>
      <name val="Calibri"/>
      <family val="2"/>
      <scheme val="minor"/>
    </font>
    <font>
      <sz val="8"/>
      <color rgb="FF22303E"/>
      <name val="Arial"/>
      <family val="2"/>
    </font>
  </fonts>
  <fills count="1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227ACB"/>
        <bgColor indexed="64"/>
      </patternFill>
    </fill>
    <fill>
      <patternFill patternType="solid">
        <fgColor theme="9" tint="-0.249977111117893"/>
        <bgColor indexed="64"/>
      </patternFill>
    </fill>
    <fill>
      <patternFill patternType="solid">
        <fgColor rgb="FFFFC000"/>
        <bgColor indexed="64"/>
      </patternFill>
    </fill>
    <fill>
      <patternFill patternType="solid">
        <fgColor indexed="56"/>
        <bgColor indexed="64"/>
      </patternFill>
    </fill>
    <fill>
      <patternFill patternType="solid">
        <fgColor theme="2" tint="-0.249977111117893"/>
        <bgColor indexed="64"/>
      </patternFill>
    </fill>
    <fill>
      <patternFill patternType="solid">
        <fgColor theme="3" tint="0.749992370372631"/>
        <bgColor indexed="64"/>
      </patternFill>
    </fill>
    <fill>
      <patternFill patternType="solid">
        <fgColor theme="2"/>
        <bgColor indexed="64"/>
      </patternFill>
    </fill>
    <fill>
      <patternFill patternType="solid">
        <fgColor theme="1" tint="0.499984740745262"/>
        <bgColor indexed="64"/>
      </patternFill>
    </fill>
    <fill>
      <patternFill patternType="solid">
        <fgColor rgb="FF00B050"/>
        <bgColor indexed="64"/>
      </patternFill>
    </fill>
    <fill>
      <patternFill patternType="solid">
        <fgColor rgb="FF00B0F0"/>
        <bgColor indexed="64"/>
      </patternFill>
    </fill>
    <fill>
      <patternFill patternType="solid">
        <fgColor theme="5" tint="0.59999389629810485"/>
        <bgColor indexed="64"/>
      </patternFill>
    </fill>
  </fills>
  <borders count="40">
    <border>
      <left/>
      <right/>
      <top/>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thin">
        <color indexed="64"/>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4" fillId="0" borderId="0"/>
    <xf numFmtId="0" fontId="5" fillId="0" borderId="0"/>
    <xf numFmtId="44" fontId="1" fillId="0" borderId="0" applyFont="0" applyFill="0" applyBorder="0" applyAlignment="0" applyProtection="0"/>
    <xf numFmtId="43" fontId="1" fillId="0" borderId="0" applyFont="0" applyFill="0" applyBorder="0" applyAlignment="0" applyProtection="0"/>
    <xf numFmtId="0" fontId="4" fillId="0" borderId="0"/>
    <xf numFmtId="0" fontId="1" fillId="0" borderId="0"/>
    <xf numFmtId="0" fontId="4" fillId="0" borderId="0"/>
  </cellStyleXfs>
  <cellXfs count="300">
    <xf numFmtId="0" fontId="0" fillId="0" borderId="0" xfId="0"/>
    <xf numFmtId="0" fontId="2" fillId="0" borderId="0" xfId="0" applyFont="1"/>
    <xf numFmtId="0" fontId="6" fillId="0" borderId="0" xfId="0" applyFont="1"/>
    <xf numFmtId="0" fontId="2" fillId="2" borderId="0" xfId="0" applyFont="1" applyFill="1"/>
    <xf numFmtId="0" fontId="0" fillId="0" borderId="0" xfId="0" applyAlignment="1">
      <alignment vertical="center"/>
    </xf>
    <xf numFmtId="0" fontId="0" fillId="0" borderId="2" xfId="0" applyBorder="1"/>
    <xf numFmtId="0" fontId="0" fillId="0" borderId="7" xfId="0" applyBorder="1"/>
    <xf numFmtId="0" fontId="2" fillId="0" borderId="10" xfId="0" applyFont="1" applyBorder="1"/>
    <xf numFmtId="0" fontId="2" fillId="0" borderId="9" xfId="0" applyFont="1" applyBorder="1"/>
    <xf numFmtId="0" fontId="2" fillId="0" borderId="11" xfId="0" applyFont="1" applyBorder="1"/>
    <xf numFmtId="0" fontId="6" fillId="0" borderId="2" xfId="0" applyFont="1" applyBorder="1"/>
    <xf numFmtId="0" fontId="0" fillId="0" borderId="1" xfId="0" applyBorder="1"/>
    <xf numFmtId="0" fontId="0" fillId="0" borderId="8" xfId="0" applyBorder="1"/>
    <xf numFmtId="0" fontId="0" fillId="0" borderId="4" xfId="0" applyBorder="1"/>
    <xf numFmtId="0" fontId="0" fillId="0" borderId="1" xfId="0" applyBorder="1" applyAlignment="1">
      <alignment horizontal="left"/>
    </xf>
    <xf numFmtId="165" fontId="1" fillId="0" borderId="2" xfId="2" applyNumberFormat="1" applyFont="1" applyFill="1" applyBorder="1"/>
    <xf numFmtId="14" fontId="0" fillId="0" borderId="8" xfId="0" applyNumberFormat="1" applyBorder="1"/>
    <xf numFmtId="14" fontId="0" fillId="0" borderId="0" xfId="0" applyNumberFormat="1"/>
    <xf numFmtId="0" fontId="0" fillId="0" borderId="5" xfId="0" applyBorder="1"/>
    <xf numFmtId="0" fontId="0" fillId="0" borderId="6" xfId="0" applyBorder="1"/>
    <xf numFmtId="0" fontId="0" fillId="0" borderId="3" xfId="0" applyBorder="1"/>
    <xf numFmtId="1" fontId="0" fillId="0" borderId="0" xfId="0" applyNumberFormat="1"/>
    <xf numFmtId="0" fontId="0" fillId="0" borderId="0" xfId="0" applyAlignment="1">
      <alignment horizontal="left"/>
    </xf>
    <xf numFmtId="9" fontId="6" fillId="0" borderId="8" xfId="0" applyNumberFormat="1" applyFont="1" applyBorder="1"/>
    <xf numFmtId="9" fontId="0" fillId="0" borderId="8" xfId="0" applyNumberFormat="1" applyBorder="1"/>
    <xf numFmtId="165" fontId="6" fillId="0" borderId="8" xfId="2" applyNumberFormat="1" applyFont="1" applyFill="1" applyBorder="1"/>
    <xf numFmtId="10" fontId="6" fillId="0" borderId="8" xfId="0" applyNumberFormat="1" applyFont="1" applyBorder="1"/>
    <xf numFmtId="0" fontId="7" fillId="0" borderId="10" xfId="0" applyFont="1" applyBorder="1"/>
    <xf numFmtId="0" fontId="7" fillId="0" borderId="9" xfId="0" applyFont="1" applyBorder="1"/>
    <xf numFmtId="0" fontId="7" fillId="0" borderId="11" xfId="0" applyFont="1" applyBorder="1"/>
    <xf numFmtId="0" fontId="3" fillId="0" borderId="0" xfId="0" applyFont="1" applyAlignment="1">
      <alignment horizontal="left"/>
    </xf>
    <xf numFmtId="0" fontId="0" fillId="2" borderId="0" xfId="0" applyFill="1"/>
    <xf numFmtId="10" fontId="8" fillId="0" borderId="9" xfId="2" applyNumberFormat="1" applyFont="1" applyFill="1" applyBorder="1" applyAlignment="1">
      <alignment horizontal="left"/>
    </xf>
    <xf numFmtId="0" fontId="2" fillId="0" borderId="6" xfId="0" applyFont="1" applyBorder="1"/>
    <xf numFmtId="43" fontId="0" fillId="0" borderId="0" xfId="0" applyNumberFormat="1"/>
    <xf numFmtId="0" fontId="0" fillId="3" borderId="0" xfId="0" applyFill="1"/>
    <xf numFmtId="43" fontId="0" fillId="3" borderId="0" xfId="0" applyNumberFormat="1" applyFill="1"/>
    <xf numFmtId="0" fontId="0" fillId="3" borderId="0" xfId="0" applyFill="1" applyAlignment="1">
      <alignment horizontal="left"/>
    </xf>
    <xf numFmtId="0" fontId="2" fillId="2" borderId="14" xfId="0" applyFont="1" applyFill="1" applyBorder="1"/>
    <xf numFmtId="0" fontId="2" fillId="0" borderId="5" xfId="0" applyFont="1" applyBorder="1"/>
    <xf numFmtId="165" fontId="2" fillId="0" borderId="0" xfId="2" applyNumberFormat="1" applyFont="1" applyFill="1"/>
    <xf numFmtId="0" fontId="2" fillId="0" borderId="3" xfId="0" applyFont="1" applyBorder="1"/>
    <xf numFmtId="165" fontId="2" fillId="0" borderId="6" xfId="2" applyNumberFormat="1" applyFont="1" applyFill="1" applyBorder="1"/>
    <xf numFmtId="165" fontId="2" fillId="0" borderId="3" xfId="2" applyNumberFormat="1" applyFont="1" applyFill="1" applyBorder="1"/>
    <xf numFmtId="9" fontId="0" fillId="0" borderId="0" xfId="0" applyNumberFormat="1"/>
    <xf numFmtId="165" fontId="0" fillId="0" borderId="0" xfId="2" applyNumberFormat="1" applyFont="1" applyFill="1"/>
    <xf numFmtId="9" fontId="0" fillId="0" borderId="1" xfId="2" applyFont="1" applyFill="1" applyBorder="1"/>
    <xf numFmtId="165" fontId="0" fillId="0" borderId="0" xfId="2" applyNumberFormat="1" applyFont="1" applyFill="1" applyBorder="1"/>
    <xf numFmtId="165" fontId="0" fillId="0" borderId="1" xfId="2" applyNumberFormat="1" applyFont="1" applyFill="1" applyBorder="1"/>
    <xf numFmtId="165" fontId="0" fillId="0" borderId="0" xfId="0" applyNumberFormat="1"/>
    <xf numFmtId="9" fontId="0" fillId="0" borderId="1" xfId="0" applyNumberFormat="1" applyBorder="1"/>
    <xf numFmtId="10" fontId="0" fillId="0" borderId="1" xfId="0" applyNumberFormat="1" applyBorder="1"/>
    <xf numFmtId="165" fontId="0" fillId="0" borderId="8" xfId="2" applyNumberFormat="1" applyFont="1" applyFill="1" applyBorder="1"/>
    <xf numFmtId="165" fontId="0" fillId="0" borderId="4" xfId="2" applyNumberFormat="1" applyFont="1" applyFill="1" applyBorder="1"/>
    <xf numFmtId="9" fontId="0" fillId="0" borderId="3" xfId="0" applyNumberFormat="1" applyBorder="1"/>
    <xf numFmtId="165" fontId="0" fillId="0" borderId="3" xfId="2" applyNumberFormat="1" applyFont="1" applyFill="1" applyBorder="1"/>
    <xf numFmtId="9" fontId="0" fillId="0" borderId="4" xfId="0" applyNumberFormat="1" applyBorder="1"/>
    <xf numFmtId="9" fontId="0" fillId="0" borderId="4" xfId="2" applyFont="1" applyFill="1" applyBorder="1"/>
    <xf numFmtId="165" fontId="2" fillId="0" borderId="0" xfId="2" applyNumberFormat="1" applyFont="1" applyFill="1" applyBorder="1"/>
    <xf numFmtId="165" fontId="2" fillId="0" borderId="1" xfId="2" applyNumberFormat="1" applyFont="1" applyFill="1" applyBorder="1"/>
    <xf numFmtId="0" fontId="2" fillId="0" borderId="2" xfId="0" applyFont="1" applyBorder="1"/>
    <xf numFmtId="0" fontId="0" fillId="0" borderId="15" xfId="0" applyBorder="1"/>
    <xf numFmtId="9" fontId="0" fillId="0" borderId="16" xfId="2" applyFont="1" applyFill="1" applyBorder="1"/>
    <xf numFmtId="9" fontId="0" fillId="0" borderId="17" xfId="2" applyFont="1" applyFill="1" applyBorder="1"/>
    <xf numFmtId="9" fontId="0" fillId="0" borderId="0" xfId="2" applyFont="1" applyFill="1" applyBorder="1"/>
    <xf numFmtId="0" fontId="0" fillId="0" borderId="18" xfId="0" applyBorder="1"/>
    <xf numFmtId="9" fontId="0" fillId="0" borderId="19" xfId="2" applyFont="1" applyFill="1" applyBorder="1"/>
    <xf numFmtId="9" fontId="0" fillId="0" borderId="20" xfId="2" applyFont="1" applyFill="1" applyBorder="1"/>
    <xf numFmtId="9" fontId="0" fillId="0" borderId="21" xfId="2" applyFont="1" applyFill="1" applyBorder="1"/>
    <xf numFmtId="9" fontId="0" fillId="0" borderId="22" xfId="2" applyFont="1" applyFill="1" applyBorder="1"/>
    <xf numFmtId="164" fontId="0" fillId="0" borderId="0" xfId="1" applyNumberFormat="1" applyFont="1" applyFill="1" applyBorder="1"/>
    <xf numFmtId="164" fontId="0" fillId="0" borderId="20" xfId="1" applyNumberFormat="1" applyFont="1" applyBorder="1" applyAlignment="1">
      <alignment horizontal="left"/>
    </xf>
    <xf numFmtId="9" fontId="0" fillId="0" borderId="0" xfId="2" applyFont="1"/>
    <xf numFmtId="0" fontId="0" fillId="0" borderId="12" xfId="0" applyBorder="1"/>
    <xf numFmtId="0" fontId="0" fillId="2" borderId="1" xfId="0" applyFill="1" applyBorder="1"/>
    <xf numFmtId="0" fontId="0" fillId="0" borderId="0" xfId="0" applyAlignment="1">
      <alignment horizontal="center"/>
    </xf>
    <xf numFmtId="10" fontId="6" fillId="2" borderId="8" xfId="0" applyNumberFormat="1" applyFont="1" applyFill="1" applyBorder="1"/>
    <xf numFmtId="14" fontId="10" fillId="0" borderId="0" xfId="0" applyNumberFormat="1" applyFont="1"/>
    <xf numFmtId="10" fontId="6" fillId="0" borderId="8" xfId="2" applyNumberFormat="1" applyFont="1" applyFill="1" applyBorder="1"/>
    <xf numFmtId="10" fontId="0" fillId="0" borderId="7" xfId="2" applyNumberFormat="1" applyFont="1" applyBorder="1"/>
    <xf numFmtId="10" fontId="6" fillId="0" borderId="4" xfId="0" applyNumberFormat="1" applyFont="1" applyBorder="1"/>
    <xf numFmtId="0" fontId="3" fillId="0" borderId="0" xfId="0" applyFont="1"/>
    <xf numFmtId="0" fontId="3" fillId="0" borderId="0" xfId="1" applyNumberFormat="1" applyFont="1" applyFill="1"/>
    <xf numFmtId="10" fontId="3" fillId="0" borderId="0" xfId="2" applyNumberFormat="1" applyFont="1" applyFill="1"/>
    <xf numFmtId="10" fontId="0" fillId="0" borderId="0" xfId="2" applyNumberFormat="1" applyFont="1" applyFill="1"/>
    <xf numFmtId="164" fontId="2" fillId="0" borderId="0" xfId="0" applyNumberFormat="1" applyFont="1"/>
    <xf numFmtId="166" fontId="0" fillId="0" borderId="0" xfId="1" applyNumberFormat="1" applyFont="1" applyFill="1"/>
    <xf numFmtId="167" fontId="3" fillId="0" borderId="0" xfId="1" applyNumberFormat="1" applyFont="1" applyFill="1"/>
    <xf numFmtId="3" fontId="10" fillId="0" borderId="0" xfId="1" applyNumberFormat="1" applyFont="1" applyFill="1"/>
    <xf numFmtId="167" fontId="0" fillId="0" borderId="0" xfId="0" applyNumberFormat="1"/>
    <xf numFmtId="0" fontId="8" fillId="4" borderId="9" xfId="0" applyFont="1" applyFill="1" applyBorder="1" applyAlignment="1">
      <alignment horizontal="left"/>
    </xf>
    <xf numFmtId="43" fontId="8" fillId="4" borderId="9" xfId="1" applyFont="1" applyFill="1" applyBorder="1" applyAlignment="1"/>
    <xf numFmtId="0" fontId="8" fillId="4" borderId="10" xfId="0" applyFont="1" applyFill="1" applyBorder="1" applyAlignment="1">
      <alignment horizontal="left"/>
    </xf>
    <xf numFmtId="0" fontId="8" fillId="5" borderId="9" xfId="0" applyFont="1" applyFill="1" applyBorder="1" applyAlignment="1">
      <alignment horizontal="left"/>
    </xf>
    <xf numFmtId="14" fontId="8" fillId="5" borderId="9" xfId="1" applyNumberFormat="1" applyFont="1" applyFill="1" applyBorder="1" applyAlignment="1"/>
    <xf numFmtId="0" fontId="8" fillId="5" borderId="9" xfId="1" applyNumberFormat="1" applyFont="1" applyFill="1" applyBorder="1" applyAlignment="1">
      <alignment horizontal="left"/>
    </xf>
    <xf numFmtId="43" fontId="8" fillId="5" borderId="9" xfId="1" applyFont="1" applyFill="1" applyBorder="1" applyAlignment="1"/>
    <xf numFmtId="10" fontId="8" fillId="5" borderId="9" xfId="2" applyNumberFormat="1" applyFont="1" applyFill="1" applyBorder="1" applyAlignment="1"/>
    <xf numFmtId="166" fontId="8" fillId="5" borderId="9" xfId="1" applyNumberFormat="1" applyFont="1" applyFill="1" applyBorder="1" applyAlignment="1">
      <alignment horizontal="left"/>
    </xf>
    <xf numFmtId="167" fontId="8" fillId="5" borderId="9" xfId="0" applyNumberFormat="1" applyFont="1" applyFill="1" applyBorder="1" applyAlignment="1">
      <alignment horizontal="left"/>
    </xf>
    <xf numFmtId="0" fontId="8" fillId="5" borderId="8" xfId="0" applyFont="1" applyFill="1" applyBorder="1" applyAlignment="1">
      <alignment horizontal="left"/>
    </xf>
    <xf numFmtId="0" fontId="8" fillId="5" borderId="13" xfId="0" applyFont="1" applyFill="1" applyBorder="1" applyAlignment="1">
      <alignment horizontal="left"/>
    </xf>
    <xf numFmtId="164" fontId="0" fillId="0" borderId="0" xfId="1" applyNumberFormat="1" applyFont="1"/>
    <xf numFmtId="0" fontId="2" fillId="4" borderId="23" xfId="0" applyFont="1" applyFill="1" applyBorder="1"/>
    <xf numFmtId="0" fontId="2" fillId="4" borderId="24" xfId="0" applyFont="1" applyFill="1" applyBorder="1"/>
    <xf numFmtId="0" fontId="2" fillId="4" borderId="25" xfId="0" applyFont="1" applyFill="1" applyBorder="1"/>
    <xf numFmtId="0" fontId="2" fillId="0" borderId="26" xfId="0" applyFont="1" applyBorder="1"/>
    <xf numFmtId="164" fontId="0" fillId="0" borderId="19" xfId="1" applyNumberFormat="1" applyFont="1" applyBorder="1"/>
    <xf numFmtId="164" fontId="0" fillId="0" borderId="20" xfId="1" applyNumberFormat="1" applyFont="1" applyBorder="1"/>
    <xf numFmtId="164" fontId="0" fillId="0" borderId="27" xfId="1" applyNumberFormat="1" applyFont="1" applyFill="1" applyBorder="1"/>
    <xf numFmtId="10" fontId="0" fillId="0" borderId="19" xfId="2" applyNumberFormat="1" applyFont="1" applyBorder="1"/>
    <xf numFmtId="10" fontId="0" fillId="0" borderId="20" xfId="2" applyNumberFormat="1" applyFont="1" applyBorder="1"/>
    <xf numFmtId="164" fontId="0" fillId="0" borderId="19" xfId="1" applyNumberFormat="1" applyFont="1" applyFill="1" applyBorder="1"/>
    <xf numFmtId="164" fontId="0" fillId="0" borderId="20" xfId="1" applyNumberFormat="1" applyFont="1" applyFill="1" applyBorder="1"/>
    <xf numFmtId="164" fontId="0" fillId="0" borderId="28" xfId="1" applyNumberFormat="1" applyFont="1" applyFill="1" applyBorder="1"/>
    <xf numFmtId="164" fontId="0" fillId="0" borderId="4" xfId="1" applyNumberFormat="1" applyFont="1" applyBorder="1"/>
    <xf numFmtId="0" fontId="2" fillId="4" borderId="29" xfId="0" applyFont="1" applyFill="1" applyBorder="1"/>
    <xf numFmtId="0" fontId="2" fillId="4" borderId="30" xfId="0" applyFont="1" applyFill="1" applyBorder="1"/>
    <xf numFmtId="14" fontId="2" fillId="4" borderId="30" xfId="0" applyNumberFormat="1" applyFont="1" applyFill="1" applyBorder="1"/>
    <xf numFmtId="14" fontId="2" fillId="4" borderId="13" xfId="0" applyNumberFormat="1" applyFont="1" applyFill="1" applyBorder="1"/>
    <xf numFmtId="0" fontId="2" fillId="0" borderId="33" xfId="0" applyFont="1" applyBorder="1"/>
    <xf numFmtId="164" fontId="0" fillId="0" borderId="31" xfId="1" applyNumberFormat="1" applyFont="1" applyBorder="1"/>
    <xf numFmtId="164" fontId="0" fillId="0" borderId="32" xfId="1" applyNumberFormat="1" applyFont="1" applyBorder="1"/>
    <xf numFmtId="14" fontId="0" fillId="0" borderId="17" xfId="0" applyNumberFormat="1" applyBorder="1"/>
    <xf numFmtId="14" fontId="0" fillId="0" borderId="16" xfId="0" applyNumberFormat="1" applyBorder="1"/>
    <xf numFmtId="0" fontId="12" fillId="0" borderId="0" xfId="0" applyFont="1" applyAlignment="1">
      <alignment horizontal="left"/>
    </xf>
    <xf numFmtId="14" fontId="8" fillId="0" borderId="9" xfId="1" applyNumberFormat="1" applyFont="1" applyFill="1" applyBorder="1" applyAlignment="1">
      <alignment horizontal="right"/>
    </xf>
    <xf numFmtId="0" fontId="10" fillId="0" borderId="0" xfId="0" applyFont="1"/>
    <xf numFmtId="0" fontId="10" fillId="0" borderId="0" xfId="0" applyFont="1" applyAlignment="1">
      <alignment horizontal="center"/>
    </xf>
    <xf numFmtId="164" fontId="10" fillId="0" borderId="0" xfId="1" applyNumberFormat="1" applyFont="1"/>
    <xf numFmtId="10" fontId="10" fillId="0" borderId="0" xfId="2" applyNumberFormat="1" applyFont="1"/>
    <xf numFmtId="43" fontId="10" fillId="0" borderId="0" xfId="1" applyFont="1"/>
    <xf numFmtId="0" fontId="13" fillId="0" borderId="0" xfId="0" applyFont="1"/>
    <xf numFmtId="0" fontId="12" fillId="3" borderId="0" xfId="0" applyFont="1" applyFill="1"/>
    <xf numFmtId="164" fontId="14" fillId="0" borderId="0" xfId="1" applyNumberFormat="1" applyFont="1"/>
    <xf numFmtId="0" fontId="14" fillId="0" borderId="0" xfId="3" applyFont="1" applyAlignment="1">
      <alignment horizontal="left" vertical="center"/>
    </xf>
    <xf numFmtId="0" fontId="14" fillId="0" borderId="0" xfId="3" applyFont="1" applyAlignment="1">
      <alignment horizontal="center" vertical="center" wrapText="1"/>
    </xf>
    <xf numFmtId="0" fontId="14" fillId="0" borderId="0" xfId="3" applyFont="1" applyAlignment="1">
      <alignment horizontal="left" vertical="center" wrapText="1"/>
    </xf>
    <xf numFmtId="164" fontId="14" fillId="0" borderId="0" xfId="1" applyNumberFormat="1" applyFont="1" applyAlignment="1">
      <alignment horizontal="left" vertical="center" wrapText="1"/>
    </xf>
    <xf numFmtId="164" fontId="10" fillId="0" borderId="0" xfId="1" applyNumberFormat="1" applyFont="1" applyBorder="1"/>
    <xf numFmtId="164" fontId="10" fillId="0" borderId="0" xfId="1" applyNumberFormat="1" applyFont="1" applyAlignment="1">
      <alignment horizontal="center"/>
    </xf>
    <xf numFmtId="43" fontId="10" fillId="0" borderId="0" xfId="1" applyFont="1" applyBorder="1"/>
    <xf numFmtId="0" fontId="16" fillId="7" borderId="0" xfId="3" applyFont="1" applyFill="1" applyAlignment="1">
      <alignment horizontal="left" vertical="center" wrapText="1"/>
    </xf>
    <xf numFmtId="0" fontId="16" fillId="7" borderId="0" xfId="3" applyFont="1" applyFill="1" applyAlignment="1">
      <alignment horizontal="center" vertical="center" wrapText="1"/>
    </xf>
    <xf numFmtId="164" fontId="17" fillId="7" borderId="0" xfId="1" applyNumberFormat="1" applyFont="1" applyFill="1" applyAlignment="1">
      <alignment horizontal="center" vertical="center" wrapText="1"/>
    </xf>
    <xf numFmtId="10" fontId="16" fillId="7" borderId="0" xfId="2" applyNumberFormat="1" applyFont="1" applyFill="1" applyBorder="1" applyAlignment="1">
      <alignment horizontal="center" vertical="center" wrapText="1"/>
    </xf>
    <xf numFmtId="164" fontId="14" fillId="8" borderId="0" xfId="1" applyNumberFormat="1" applyFont="1" applyFill="1" applyBorder="1" applyAlignment="1">
      <alignment horizontal="center" vertical="center" wrapText="1"/>
    </xf>
    <xf numFmtId="164" fontId="14" fillId="8" borderId="0" xfId="1" applyNumberFormat="1" applyFont="1" applyFill="1" applyAlignment="1">
      <alignment horizontal="center" vertical="center" wrapText="1"/>
    </xf>
    <xf numFmtId="164" fontId="14" fillId="6" borderId="0" xfId="1" applyNumberFormat="1" applyFont="1" applyFill="1" applyAlignment="1">
      <alignment horizontal="center" vertical="center" wrapText="1"/>
    </xf>
    <xf numFmtId="10" fontId="14" fillId="8" borderId="0" xfId="2" applyNumberFormat="1" applyFont="1" applyFill="1" applyAlignment="1">
      <alignment horizontal="center" vertical="center" wrapText="1"/>
    </xf>
    <xf numFmtId="43" fontId="10" fillId="0" borderId="0" xfId="2" applyNumberFormat="1" applyFont="1"/>
    <xf numFmtId="10" fontId="10" fillId="9" borderId="0" xfId="2" applyNumberFormat="1" applyFont="1" applyFill="1"/>
    <xf numFmtId="14" fontId="10" fillId="2" borderId="0" xfId="0" applyNumberFormat="1" applyFont="1" applyFill="1"/>
    <xf numFmtId="164" fontId="10" fillId="2" borderId="0" xfId="1" applyNumberFormat="1" applyFont="1" applyFill="1"/>
    <xf numFmtId="10" fontId="10" fillId="2" borderId="0" xfId="2" applyNumberFormat="1" applyFont="1" applyFill="1"/>
    <xf numFmtId="43" fontId="10" fillId="2" borderId="0" xfId="2" applyNumberFormat="1" applyFont="1" applyFill="1"/>
    <xf numFmtId="43" fontId="10" fillId="2" borderId="0" xfId="1" applyFont="1" applyFill="1"/>
    <xf numFmtId="0" fontId="10" fillId="2" borderId="0" xfId="0" applyFont="1" applyFill="1"/>
    <xf numFmtId="14" fontId="10" fillId="10" borderId="0" xfId="0" applyNumberFormat="1" applyFont="1" applyFill="1"/>
    <xf numFmtId="14" fontId="10" fillId="10" borderId="12" xfId="0" applyNumberFormat="1" applyFont="1" applyFill="1" applyBorder="1"/>
    <xf numFmtId="164" fontId="10" fillId="10" borderId="0" xfId="1" applyNumberFormat="1" applyFont="1" applyFill="1"/>
    <xf numFmtId="10" fontId="10" fillId="10" borderId="0" xfId="2" applyNumberFormat="1" applyFont="1" applyFill="1"/>
    <xf numFmtId="43" fontId="10" fillId="10" borderId="0" xfId="2" applyNumberFormat="1" applyFont="1" applyFill="1"/>
    <xf numFmtId="43" fontId="10" fillId="10" borderId="0" xfId="1" applyFont="1" applyFill="1"/>
    <xf numFmtId="0" fontId="10" fillId="10" borderId="0" xfId="0" applyFont="1" applyFill="1"/>
    <xf numFmtId="14" fontId="10" fillId="0" borderId="12" xfId="0" applyNumberFormat="1" applyFont="1" applyBorder="1"/>
    <xf numFmtId="0" fontId="0" fillId="11" borderId="0" xfId="0" applyFill="1"/>
    <xf numFmtId="0" fontId="10" fillId="11" borderId="0" xfId="0" applyFont="1" applyFill="1"/>
    <xf numFmtId="0" fontId="10" fillId="11" borderId="0" xfId="0" applyFont="1" applyFill="1" applyAlignment="1">
      <alignment horizontal="center"/>
    </xf>
    <xf numFmtId="164" fontId="10" fillId="11" borderId="0" xfId="1" applyNumberFormat="1" applyFont="1" applyFill="1"/>
    <xf numFmtId="10" fontId="10" fillId="11" borderId="0" xfId="2" applyNumberFormat="1" applyFont="1" applyFill="1"/>
    <xf numFmtId="43" fontId="10" fillId="11" borderId="0" xfId="1" applyFont="1" applyFill="1"/>
    <xf numFmtId="0" fontId="5" fillId="0" borderId="0" xfId="0" applyFont="1"/>
    <xf numFmtId="0" fontId="0" fillId="0" borderId="0" xfId="0" applyAlignment="1">
      <alignment wrapText="1"/>
    </xf>
    <xf numFmtId="0" fontId="2" fillId="0" borderId="0" xfId="0" applyFont="1" applyAlignment="1">
      <alignment wrapText="1"/>
    </xf>
    <xf numFmtId="0" fontId="2" fillId="12" borderId="5" xfId="0" applyFont="1" applyFill="1" applyBorder="1"/>
    <xf numFmtId="0" fontId="2" fillId="12" borderId="6" xfId="0" applyFont="1" applyFill="1" applyBorder="1"/>
    <xf numFmtId="0" fontId="2" fillId="12" borderId="3" xfId="0" applyFont="1" applyFill="1" applyBorder="1" applyAlignment="1">
      <alignment wrapText="1"/>
    </xf>
    <xf numFmtId="0" fontId="0" fillId="0" borderId="1" xfId="0" applyBorder="1" applyAlignment="1">
      <alignment wrapText="1"/>
    </xf>
    <xf numFmtId="0" fontId="0" fillId="0" borderId="4" xfId="0" applyBorder="1" applyAlignment="1">
      <alignment wrapText="1"/>
    </xf>
    <xf numFmtId="0" fontId="0" fillId="0" borderId="3" xfId="0" applyBorder="1" applyAlignment="1">
      <alignment wrapText="1"/>
    </xf>
    <xf numFmtId="0" fontId="2" fillId="13" borderId="10" xfId="0" applyFont="1" applyFill="1" applyBorder="1"/>
    <xf numFmtId="0" fontId="0" fillId="0" borderId="9" xfId="0" applyBorder="1"/>
    <xf numFmtId="0" fontId="0" fillId="0" borderId="11" xfId="0" applyBorder="1" applyAlignment="1">
      <alignment wrapText="1"/>
    </xf>
    <xf numFmtId="168" fontId="10" fillId="0" borderId="0" xfId="2" applyNumberFormat="1" applyFont="1"/>
    <xf numFmtId="14" fontId="0" fillId="0" borderId="34" xfId="0" applyNumberFormat="1" applyBorder="1"/>
    <xf numFmtId="164" fontId="0" fillId="0" borderId="35" xfId="1" applyNumberFormat="1" applyFont="1" applyBorder="1"/>
    <xf numFmtId="164" fontId="0" fillId="0" borderId="36" xfId="1" applyNumberFormat="1" applyFont="1" applyBorder="1"/>
    <xf numFmtId="10" fontId="0" fillId="0" borderId="36" xfId="2" applyNumberFormat="1" applyFont="1" applyBorder="1"/>
    <xf numFmtId="164" fontId="0" fillId="0" borderId="36" xfId="1" applyNumberFormat="1" applyFont="1" applyFill="1" applyBorder="1"/>
    <xf numFmtId="164" fontId="0" fillId="0" borderId="8" xfId="1" applyNumberFormat="1" applyFont="1" applyBorder="1"/>
    <xf numFmtId="165" fontId="0" fillId="0" borderId="23" xfId="2" applyNumberFormat="1" applyFont="1" applyBorder="1"/>
    <xf numFmtId="165" fontId="0" fillId="0" borderId="24" xfId="2" applyNumberFormat="1" applyFont="1" applyBorder="1"/>
    <xf numFmtId="0" fontId="2" fillId="0" borderId="0" xfId="0" applyFont="1" applyAlignment="1">
      <alignment horizontal="left" vertical="top" wrapText="1"/>
    </xf>
    <xf numFmtId="0" fontId="2" fillId="12" borderId="3" xfId="0" applyFont="1" applyFill="1" applyBorder="1" applyAlignment="1">
      <alignment horizontal="left" vertical="top" wrapText="1"/>
    </xf>
    <xf numFmtId="0" fontId="0" fillId="0" borderId="1" xfId="0" applyBorder="1" applyAlignment="1">
      <alignment horizontal="left" vertical="top" wrapText="1"/>
    </xf>
    <xf numFmtId="0" fontId="0" fillId="0" borderId="4" xfId="0" applyBorder="1" applyAlignment="1">
      <alignment horizontal="left" vertical="top" wrapText="1"/>
    </xf>
    <xf numFmtId="0" fontId="0" fillId="0" borderId="0" xfId="0" applyAlignment="1">
      <alignment horizontal="left" vertical="top" wrapText="1"/>
    </xf>
    <xf numFmtId="0" fontId="0" fillId="0" borderId="3" xfId="0" applyBorder="1" applyAlignment="1">
      <alignment horizontal="left" vertical="top" wrapText="1"/>
    </xf>
    <xf numFmtId="0" fontId="0" fillId="0" borderId="11" xfId="0" applyBorder="1" applyAlignment="1">
      <alignment horizontal="left" vertical="top" wrapText="1"/>
    </xf>
    <xf numFmtId="164" fontId="12" fillId="3" borderId="0" xfId="1" applyNumberFormat="1" applyFont="1" applyFill="1" applyAlignment="1">
      <alignment horizontal="center"/>
    </xf>
    <xf numFmtId="14" fontId="10" fillId="0" borderId="0" xfId="0" applyNumberFormat="1" applyFont="1" applyAlignment="1">
      <alignment horizontal="left"/>
    </xf>
    <xf numFmtId="164" fontId="0" fillId="0" borderId="1" xfId="1" applyNumberFormat="1" applyFont="1" applyFill="1" applyBorder="1" applyAlignment="1">
      <alignment horizontal="left" vertical="top" wrapText="1"/>
    </xf>
    <xf numFmtId="14" fontId="10" fillId="0" borderId="0" xfId="0" applyNumberFormat="1" applyFont="1" applyAlignment="1">
      <alignment wrapText="1"/>
    </xf>
    <xf numFmtId="0" fontId="11" fillId="0" borderId="0" xfId="0" applyFont="1"/>
    <xf numFmtId="14" fontId="11" fillId="0" borderId="0" xfId="0" applyNumberFormat="1" applyFont="1"/>
    <xf numFmtId="167" fontId="3" fillId="0" borderId="0" xfId="0" applyNumberFormat="1" applyFont="1"/>
    <xf numFmtId="164" fontId="5" fillId="0" borderId="0" xfId="1" applyNumberFormat="1" applyFont="1"/>
    <xf numFmtId="0" fontId="19" fillId="0" borderId="0" xfId="0" applyFont="1"/>
    <xf numFmtId="164" fontId="19" fillId="0" borderId="0" xfId="1" applyNumberFormat="1" applyFont="1"/>
    <xf numFmtId="0" fontId="4" fillId="0" borderId="0" xfId="0" applyFont="1" applyAlignment="1">
      <alignment horizontal="center"/>
    </xf>
    <xf numFmtId="14" fontId="2" fillId="0" borderId="0" xfId="0" applyNumberFormat="1" applyFont="1" applyAlignment="1">
      <alignment wrapText="1"/>
    </xf>
    <xf numFmtId="43" fontId="10" fillId="0" borderId="0" xfId="0" applyNumberFormat="1" applyFont="1"/>
    <xf numFmtId="14" fontId="10" fillId="2" borderId="0" xfId="0" applyNumberFormat="1" applyFont="1" applyFill="1" applyAlignment="1">
      <alignment horizontal="left"/>
    </xf>
    <xf numFmtId="0" fontId="15" fillId="0" borderId="0" xfId="0" applyFont="1"/>
    <xf numFmtId="14" fontId="15" fillId="0" borderId="0" xfId="0" applyNumberFormat="1" applyFont="1"/>
    <xf numFmtId="0" fontId="15" fillId="10" borderId="0" xfId="0" applyFont="1" applyFill="1"/>
    <xf numFmtId="0" fontId="15" fillId="11" borderId="0" xfId="0" applyFont="1" applyFill="1"/>
    <xf numFmtId="0" fontId="20" fillId="0" borderId="0" xfId="0" applyFont="1" applyAlignment="1">
      <alignment vertical="center"/>
    </xf>
    <xf numFmtId="164" fontId="0" fillId="0" borderId="0" xfId="0" applyNumberFormat="1"/>
    <xf numFmtId="14" fontId="2" fillId="4" borderId="37" xfId="0" applyNumberFormat="1" applyFont="1" applyFill="1" applyBorder="1"/>
    <xf numFmtId="14" fontId="2" fillId="4" borderId="14" xfId="0" applyNumberFormat="1" applyFont="1" applyFill="1" applyBorder="1"/>
    <xf numFmtId="165" fontId="0" fillId="0" borderId="38" xfId="2" applyNumberFormat="1" applyFont="1" applyBorder="1"/>
    <xf numFmtId="14" fontId="15" fillId="6" borderId="0" xfId="0" applyNumberFormat="1" applyFont="1" applyFill="1"/>
    <xf numFmtId="14" fontId="10" fillId="6" borderId="0" xfId="0" applyNumberFormat="1" applyFont="1" applyFill="1"/>
    <xf numFmtId="164" fontId="10" fillId="6" borderId="0" xfId="1" applyNumberFormat="1" applyFont="1" applyFill="1"/>
    <xf numFmtId="10" fontId="10" fillId="6" borderId="0" xfId="2" applyNumberFormat="1" applyFont="1" applyFill="1"/>
    <xf numFmtId="43" fontId="10" fillId="6" borderId="0" xfId="2" applyNumberFormat="1" applyFont="1" applyFill="1"/>
    <xf numFmtId="43" fontId="10" fillId="6" borderId="0" xfId="1" applyFont="1" applyFill="1"/>
    <xf numFmtId="0" fontId="10" fillId="6" borderId="0" xfId="0" applyFont="1" applyFill="1"/>
    <xf numFmtId="14" fontId="10" fillId="6" borderId="0" xfId="0" applyNumberFormat="1" applyFont="1" applyFill="1" applyAlignment="1">
      <alignment horizontal="left"/>
    </xf>
    <xf numFmtId="0" fontId="4" fillId="0" borderId="0" xfId="0" applyFont="1" applyAlignment="1">
      <alignment horizontal="left" vertical="top"/>
    </xf>
    <xf numFmtId="0" fontId="4" fillId="0" borderId="0" xfId="0" applyFont="1" applyAlignment="1">
      <alignment horizontal="left"/>
    </xf>
    <xf numFmtId="169" fontId="10" fillId="0" borderId="0" xfId="0" applyNumberFormat="1" applyFont="1"/>
    <xf numFmtId="2" fontId="10" fillId="0" borderId="0" xfId="0" applyNumberFormat="1" applyFont="1"/>
    <xf numFmtId="14" fontId="0" fillId="0" borderId="0" xfId="0" applyNumberFormat="1" applyAlignment="1">
      <alignment horizontal="right"/>
    </xf>
    <xf numFmtId="43" fontId="0" fillId="0" borderId="0" xfId="1" applyFont="1"/>
    <xf numFmtId="14" fontId="2" fillId="4" borderId="9" xfId="0" applyNumberFormat="1" applyFont="1" applyFill="1" applyBorder="1"/>
    <xf numFmtId="14" fontId="0" fillId="0" borderId="33" xfId="0" applyNumberFormat="1" applyBorder="1"/>
    <xf numFmtId="164" fontId="0" fillId="0" borderId="39" xfId="1" applyNumberFormat="1" applyFont="1" applyBorder="1"/>
    <xf numFmtId="164" fontId="0" fillId="0" borderId="26" xfId="1" applyNumberFormat="1" applyFont="1" applyBorder="1"/>
    <xf numFmtId="10" fontId="0" fillId="0" borderId="26" xfId="2" applyNumberFormat="1" applyFont="1" applyBorder="1"/>
    <xf numFmtId="10" fontId="10" fillId="0" borderId="0" xfId="2" applyNumberFormat="1" applyFont="1" applyBorder="1"/>
    <xf numFmtId="164" fontId="12" fillId="0" borderId="0" xfId="1" applyNumberFormat="1" applyFont="1" applyBorder="1"/>
    <xf numFmtId="10" fontId="14" fillId="0" borderId="0" xfId="2" applyNumberFormat="1" applyFont="1" applyBorder="1" applyAlignment="1">
      <alignment horizontal="center"/>
    </xf>
    <xf numFmtId="10" fontId="14" fillId="0" borderId="0" xfId="2" applyNumberFormat="1" applyFont="1" applyBorder="1"/>
    <xf numFmtId="168" fontId="10" fillId="0" borderId="0" xfId="2" applyNumberFormat="1" applyFont="1" applyBorder="1"/>
    <xf numFmtId="164" fontId="14" fillId="0" borderId="0" xfId="1" applyNumberFormat="1" applyFont="1" applyBorder="1"/>
    <xf numFmtId="10" fontId="15" fillId="0" borderId="0" xfId="2" applyNumberFormat="1" applyFont="1" applyBorder="1"/>
    <xf numFmtId="165" fontId="15" fillId="0" borderId="0" xfId="2" applyNumberFormat="1" applyFont="1" applyBorder="1"/>
    <xf numFmtId="164" fontId="10" fillId="0" borderId="0" xfId="2" applyNumberFormat="1" applyFont="1" applyBorder="1"/>
    <xf numFmtId="164" fontId="10" fillId="0" borderId="0" xfId="0" applyNumberFormat="1" applyFont="1"/>
    <xf numFmtId="0" fontId="12" fillId="0" borderId="0" xfId="0" applyFont="1" applyAlignment="1">
      <alignment horizontal="center"/>
    </xf>
    <xf numFmtId="164" fontId="21" fillId="0" borderId="0" xfId="1" applyNumberFormat="1" applyFont="1" applyBorder="1"/>
    <xf numFmtId="164" fontId="15" fillId="0" borderId="0" xfId="1" applyNumberFormat="1" applyFont="1" applyBorder="1"/>
    <xf numFmtId="9" fontId="15" fillId="0" borderId="0" xfId="2" applyFont="1" applyBorder="1"/>
    <xf numFmtId="14" fontId="12" fillId="0" borderId="0" xfId="0" applyNumberFormat="1" applyFont="1" applyAlignment="1">
      <alignment horizontal="center"/>
    </xf>
    <xf numFmtId="43" fontId="15" fillId="0" borderId="0" xfId="1" applyFont="1" applyBorder="1"/>
    <xf numFmtId="10" fontId="12" fillId="0" borderId="0" xfId="2" applyNumberFormat="1" applyFont="1" applyAlignment="1">
      <alignment horizontal="center"/>
    </xf>
    <xf numFmtId="164" fontId="12" fillId="0" borderId="0" xfId="1" applyNumberFormat="1" applyFont="1" applyAlignment="1">
      <alignment horizontal="left"/>
    </xf>
    <xf numFmtId="170" fontId="15" fillId="0" borderId="0" xfId="2" applyNumberFormat="1" applyFont="1" applyBorder="1"/>
    <xf numFmtId="9" fontId="10" fillId="0" borderId="0" xfId="2" applyFont="1" applyBorder="1"/>
    <xf numFmtId="170" fontId="10" fillId="0" borderId="0" xfId="2" applyNumberFormat="1" applyFont="1" applyBorder="1"/>
    <xf numFmtId="164" fontId="10" fillId="0" borderId="0" xfId="1" applyNumberFormat="1" applyFont="1" applyFill="1"/>
    <xf numFmtId="10" fontId="10" fillId="0" borderId="0" xfId="2" applyNumberFormat="1" applyFont="1" applyFill="1"/>
    <xf numFmtId="43" fontId="10" fillId="0" borderId="0" xfId="2" applyNumberFormat="1" applyFont="1" applyFill="1"/>
    <xf numFmtId="43" fontId="10" fillId="0" borderId="0" xfId="1" applyFont="1" applyFill="1"/>
    <xf numFmtId="0" fontId="0" fillId="10" borderId="0" xfId="0" applyFill="1"/>
    <xf numFmtId="164" fontId="12" fillId="0" borderId="0" xfId="0" applyNumberFormat="1" applyFont="1" applyAlignment="1">
      <alignment horizontal="left"/>
    </xf>
    <xf numFmtId="2" fontId="10" fillId="0" borderId="0" xfId="1" applyNumberFormat="1" applyFont="1" applyFill="1"/>
    <xf numFmtId="167" fontId="11" fillId="0" borderId="0" xfId="0" applyNumberFormat="1" applyFont="1"/>
    <xf numFmtId="0" fontId="2" fillId="0" borderId="12" xfId="0" applyFont="1" applyBorder="1"/>
    <xf numFmtId="0" fontId="0" fillId="14" borderId="0" xfId="0" applyFill="1"/>
    <xf numFmtId="0" fontId="3" fillId="14" borderId="0" xfId="0" applyFont="1" applyFill="1"/>
    <xf numFmtId="14" fontId="10" fillId="14" borderId="0" xfId="0" applyNumberFormat="1" applyFont="1" applyFill="1"/>
    <xf numFmtId="14" fontId="0" fillId="14" borderId="0" xfId="0" applyNumberFormat="1" applyFill="1" applyAlignment="1">
      <alignment horizontal="right"/>
    </xf>
    <xf numFmtId="0" fontId="3" fillId="14" borderId="0" xfId="1" applyNumberFormat="1" applyFont="1" applyFill="1"/>
    <xf numFmtId="3" fontId="10" fillId="14" borderId="0" xfId="1" applyNumberFormat="1" applyFont="1" applyFill="1"/>
    <xf numFmtId="2" fontId="10" fillId="14" borderId="0" xfId="1" applyNumberFormat="1" applyFont="1" applyFill="1"/>
    <xf numFmtId="10" fontId="3" fillId="14" borderId="0" xfId="2" applyNumberFormat="1" applyFont="1" applyFill="1"/>
    <xf numFmtId="14" fontId="0" fillId="14" borderId="0" xfId="0" applyNumberFormat="1" applyFill="1"/>
    <xf numFmtId="167" fontId="3" fillId="14" borderId="0" xfId="1" applyNumberFormat="1" applyFont="1" applyFill="1"/>
    <xf numFmtId="167" fontId="3" fillId="14" borderId="0" xfId="0" applyNumberFormat="1" applyFont="1" applyFill="1"/>
    <xf numFmtId="3" fontId="0" fillId="14" borderId="0" xfId="0" applyNumberFormat="1" applyFill="1"/>
    <xf numFmtId="10" fontId="0" fillId="14" borderId="0" xfId="2" applyNumberFormat="1" applyFont="1" applyFill="1"/>
    <xf numFmtId="166" fontId="0" fillId="14" borderId="0" xfId="1" applyNumberFormat="1" applyFont="1" applyFill="1"/>
    <xf numFmtId="167" fontId="0" fillId="14" borderId="0" xfId="0" applyNumberFormat="1" applyFill="1"/>
    <xf numFmtId="0" fontId="0" fillId="0" borderId="12" xfId="0" applyBorder="1" applyAlignment="1">
      <alignment horizontal="left"/>
    </xf>
    <xf numFmtId="3" fontId="0" fillId="0" borderId="0" xfId="0" applyNumberFormat="1"/>
    <xf numFmtId="14" fontId="14" fillId="0" borderId="0" xfId="0" applyNumberFormat="1" applyFont="1"/>
    <xf numFmtId="10" fontId="14" fillId="0" borderId="0" xfId="2" applyNumberFormat="1" applyFont="1"/>
    <xf numFmtId="43" fontId="14" fillId="0" borderId="0" xfId="2" applyNumberFormat="1" applyFont="1"/>
    <xf numFmtId="43" fontId="14" fillId="0" borderId="0" xfId="1" applyFont="1"/>
    <xf numFmtId="10" fontId="14" fillId="9" borderId="0" xfId="2" applyNumberFormat="1" applyFont="1" applyFill="1"/>
    <xf numFmtId="0" fontId="14" fillId="0" borderId="0" xfId="0" applyFont="1"/>
    <xf numFmtId="0" fontId="2" fillId="13" borderId="5" xfId="0" applyFont="1" applyFill="1" applyBorder="1" applyAlignment="1">
      <alignment horizontal="center" vertical="center" wrapText="1"/>
    </xf>
    <xf numFmtId="0" fontId="2" fillId="13" borderId="2" xfId="0" applyFont="1" applyFill="1" applyBorder="1" applyAlignment="1">
      <alignment horizontal="center" vertical="center" wrapText="1"/>
    </xf>
    <xf numFmtId="0" fontId="2" fillId="13" borderId="7" xfId="0" applyFont="1" applyFill="1" applyBorder="1" applyAlignment="1">
      <alignment horizontal="center" vertical="center" wrapText="1"/>
    </xf>
    <xf numFmtId="0" fontId="2" fillId="13" borderId="5" xfId="0" applyFont="1" applyFill="1" applyBorder="1" applyAlignment="1">
      <alignment horizontal="center" vertical="center"/>
    </xf>
    <xf numFmtId="0" fontId="2" fillId="13" borderId="7" xfId="0" applyFont="1" applyFill="1" applyBorder="1" applyAlignment="1">
      <alignment horizontal="center" vertical="center"/>
    </xf>
  </cellXfs>
  <cellStyles count="10">
    <cellStyle name="Comma" xfId="1" builtinId="3"/>
    <cellStyle name="Comma 2 27" xfId="6" xr:uid="{00000000-0005-0000-0000-000001000000}"/>
    <cellStyle name="Currency 3" xfId="5" xr:uid="{00000000-0005-0000-0000-000002000000}"/>
    <cellStyle name="Normal" xfId="0" builtinId="0"/>
    <cellStyle name="Normal - Style1" xfId="7" xr:uid="{00000000-0005-0000-0000-000004000000}"/>
    <cellStyle name="Normal 123" xfId="8" xr:uid="{00000000-0005-0000-0000-000005000000}"/>
    <cellStyle name="Normal 14" xfId="9" xr:uid="{00000000-0005-0000-0000-000006000000}"/>
    <cellStyle name="Normal 2 2" xfId="4" xr:uid="{00000000-0005-0000-0000-000007000000}"/>
    <cellStyle name="Normal 36" xfId="3" xr:uid="{00000000-0005-0000-0000-000008000000}"/>
    <cellStyle name="Percent" xfId="2" builtinId="5"/>
  </cellStyles>
  <dxfs count="2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388620</xdr:colOff>
          <xdr:row>1</xdr:row>
          <xdr:rowOff>83820</xdr:rowOff>
        </xdr:from>
        <xdr:to>
          <xdr:col>10</xdr:col>
          <xdr:colOff>883920</xdr:colOff>
          <xdr:row>4</xdr:row>
          <xdr:rowOff>114300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600-000001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Import Data to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Y:\Client%20Reports\Bound%20Portfolio%20Reports\July%202021\Bound%20Fund%20Are%205.0%20July%20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cess Checks"/>
      <sheetName val="Version Control"/>
      <sheetName val="Index"/>
      <sheetName val="Comparison V_8.0"/>
      <sheetName val="P&amp;L"/>
      <sheetName val="Limit by Guideline %"/>
      <sheetName val="BoundLayerDB"/>
      <sheetName val="BoundLayerTransaction"/>
      <sheetName val="Guidelines"/>
      <sheetName val="RegionPeril"/>
      <sheetName val="Bound Portfolio Report"/>
      <sheetName val="Region Peril By Deal"/>
      <sheetName val="Leverage Calc"/>
      <sheetName val="AALByMonth"/>
      <sheetName val="~AnalyzeReAddIn"/>
      <sheetName val="PH_EQ_TY"/>
      <sheetName val="HistoricalEvents"/>
      <sheetName val="ILS Report- DeployedCapital"/>
      <sheetName val="ILS Report- AvailableCapital"/>
      <sheetName val="ILS Report- Combined"/>
      <sheetName val="HistoricalEvents_AddAdj"/>
      <sheetName val="EPCurve"/>
      <sheetName val="Free Cash analysis"/>
      <sheetName val="May to June 2021 (Cat bd &amp; IOU)"/>
      <sheetName val="ART Collateral"/>
      <sheetName val="Settings"/>
      <sheetName val="Download1"/>
    </sheetNames>
    <sheetDataSet>
      <sheetData sheetId="0" refreshError="1"/>
      <sheetData sheetId="1" refreshError="1"/>
      <sheetData sheetId="2" refreshError="1"/>
      <sheetData sheetId="3" refreshError="1"/>
      <sheetData sheetId="4" refreshError="1"/>
      <sheetData sheetId="5" refreshError="1"/>
      <sheetData sheetId="6">
        <row r="3">
          <cell r="B3" t="str">
            <v>f74b1185-2790-4456-97b4-c593bb2c4c54</v>
          </cell>
          <cell r="D3" t="str">
            <v>da2d16f3-da36-4797-a854-2c29a9cad374</v>
          </cell>
        </row>
        <row r="4">
          <cell r="B4" t="str">
            <v>f5a81352-f47e-4b9d-9e2c-d0d43e4323c3</v>
          </cell>
          <cell r="D4" t="str">
            <v>e55fb6ed-c1e9-423c-93b0-56454001fcc0</v>
          </cell>
        </row>
        <row r="5">
          <cell r="B5" t="str">
            <v>1db260a6-f8a2-473e-a9cc-602d49d928d4</v>
          </cell>
          <cell r="D5" t="str">
            <v>1db260a6-f8a2-473e-a9cc-602d49d928d4</v>
          </cell>
        </row>
        <row r="6">
          <cell r="B6" t="str">
            <v>ace90e6c-eea5-41eb-9688-f7aea0bb6127</v>
          </cell>
          <cell r="D6" t="str">
            <v>ace90e6c-eea5-41eb-9688-f7aea0bb6127</v>
          </cell>
        </row>
        <row r="7">
          <cell r="B7" t="str">
            <v>b57a2f08-fdd0-4920-b673-ca80fba7c4e2</v>
          </cell>
          <cell r="D7" t="str">
            <v>b57a2f08-fdd0-4920-b673-ca80fba7c4e2</v>
          </cell>
        </row>
        <row r="8">
          <cell r="B8" t="str">
            <v>0d60ddeb-f5e7-4cb3-8ce7-1b4ffff84708</v>
          </cell>
          <cell r="D8" t="str">
            <v>0d60ddeb-f5e7-4cb3-8ce7-1b4ffff84708</v>
          </cell>
        </row>
        <row r="9">
          <cell r="B9" t="str">
            <v>78b8baf2-d021-474a-88fe-8848157f307c</v>
          </cell>
          <cell r="D9" t="str">
            <v>78b8baf2-d021-474a-88fe-8848157f307c</v>
          </cell>
        </row>
        <row r="10">
          <cell r="B10" t="str">
            <v>0d037bdf-4c5b-440f-af45-40ab6bfa679a</v>
          </cell>
          <cell r="D10" t="str">
            <v>0d037bdf-4c5b-440f-af45-40ab6bfa679a</v>
          </cell>
        </row>
        <row r="11">
          <cell r="B11" t="str">
            <v>0e74071f-f24a-41e9-a546-92308322358b</v>
          </cell>
          <cell r="D11" t="str">
            <v>0e74071f-f24a-41e9-a546-92308322358b</v>
          </cell>
        </row>
        <row r="12">
          <cell r="B12" t="str">
            <v>a6d3dc3b-43d0-43f5-b383-efb3f802deb2</v>
          </cell>
          <cell r="D12" t="str">
            <v>5e8fabde-347b-439c-87cf-bcfb4f715eb1</v>
          </cell>
        </row>
        <row r="13">
          <cell r="B13" t="str">
            <v>8bf343b5-ed85-49ca-a579-b240dfac2e64</v>
          </cell>
          <cell r="D13" t="str">
            <v>8bf343b5-ed85-49ca-a579-b240dfac2e64</v>
          </cell>
        </row>
        <row r="14">
          <cell r="B14" t="str">
            <v>bb16ef32-b2f8-40f8-b42a-7f157e4a85e8</v>
          </cell>
          <cell r="D14" t="str">
            <v>bb16ef32-b2f8-40f8-b42a-7f157e4a85e8</v>
          </cell>
        </row>
        <row r="15">
          <cell r="B15" t="str">
            <v>cc894233-c238-4dbf-9343-a786880d26ba</v>
          </cell>
          <cell r="D15" t="str">
            <v>cc894233-c238-4dbf-9343-a786880d26ba</v>
          </cell>
        </row>
        <row r="16">
          <cell r="B16" t="str">
            <v>4f5cea76-4687-4e7c-8f51-92a5830e28f1</v>
          </cell>
          <cell r="D16" t="str">
            <v>4f5cea76-4687-4e7c-8f51-92a5830e28f1</v>
          </cell>
        </row>
        <row r="17">
          <cell r="B17" t="str">
            <v>1748e56d-6998-494f-81c5-a56945501558</v>
          </cell>
          <cell r="D17" t="str">
            <v>f4b9b7cc-d315-4941-a570-86a04f0d4cc3</v>
          </cell>
        </row>
        <row r="18">
          <cell r="B18" t="str">
            <v>1efdfd0a-4f9a-4f1f-8454-c96dd24cf18f</v>
          </cell>
          <cell r="D18" t="str">
            <v>01cf8f26-0234-4502-aa38-3cd8fed2e7fe</v>
          </cell>
        </row>
        <row r="19">
          <cell r="B19" t="str">
            <v>ac67c715-d8ca-48f2-a570-1c0ea6d75123</v>
          </cell>
          <cell r="D19" t="str">
            <v>ac67c715-d8ca-48f2-a570-1c0ea6d75123</v>
          </cell>
        </row>
        <row r="20">
          <cell r="B20" t="str">
            <v>8e8eef8e-3081-48e0-a182-c4d6e82f8910</v>
          </cell>
          <cell r="D20" t="str">
            <v>8e8eef8e-3081-48e0-a182-c4d6e82f8910</v>
          </cell>
        </row>
        <row r="21">
          <cell r="B21" t="str">
            <v>a1b763f3-f5fa-41d6-a198-a3dd657c2b0c</v>
          </cell>
          <cell r="D21" t="str">
            <v>a1b763f3-f5fa-41d6-a198-a3dd657c2b0c</v>
          </cell>
        </row>
        <row r="22">
          <cell r="B22" t="str">
            <v>cda60fa2-d7ba-4b04-8f47-b39dc06901f4</v>
          </cell>
          <cell r="D22" t="str">
            <v>a94abb8a-388b-4a22-95f2-804d80def75a</v>
          </cell>
        </row>
        <row r="23">
          <cell r="B23" t="str">
            <v>66e777b5-bf07-46bb-afec-b01e1e9450ca</v>
          </cell>
          <cell r="D23" t="str">
            <v>ee364d8a-54b2-48a6-a60e-2ee1b478371f</v>
          </cell>
        </row>
        <row r="24">
          <cell r="B24" t="str">
            <v>1cb19bab-0723-4e08-a35f-0c6eb72c7fec</v>
          </cell>
          <cell r="D24" t="str">
            <v>3ac41184-3e03-49dd-981c-47fb5e7feee1</v>
          </cell>
        </row>
        <row r="25">
          <cell r="B25" t="str">
            <v>02097af3-58dc-4cca-8d11-af02faf56d35</v>
          </cell>
          <cell r="D25" t="str">
            <v>02097af3-58dc-4cca-8d11-af02faf56d35</v>
          </cell>
        </row>
        <row r="26">
          <cell r="B26" t="str">
            <v>4a4da73f-cc61-4851-a3ab-4d04f9c58758</v>
          </cell>
          <cell r="D26" t="str">
            <v>4a4da73f-cc61-4851-a3ab-4d04f9c58758</v>
          </cell>
        </row>
        <row r="27">
          <cell r="B27" t="str">
            <v>be03cdda-17ec-4b23-973d-cd3da96f4c17</v>
          </cell>
          <cell r="D27" t="str">
            <v>be03cdda-17ec-4b23-973d-cd3da96f4c17</v>
          </cell>
        </row>
        <row r="28">
          <cell r="B28" t="str">
            <v>b1bd2d0e-aa09-4cfa-b0bc-0c9f5aa6a70f</v>
          </cell>
          <cell r="D28" t="str">
            <v>b1bd2d0e-aa09-4cfa-b0bc-0c9f5aa6a70f</v>
          </cell>
        </row>
        <row r="29">
          <cell r="B29" t="str">
            <v>030b277e-5cf5-4b7c-bba6-a157090b2e1d</v>
          </cell>
          <cell r="D29" t="str">
            <v>52f1f148-e949-4335-9bcb-b1627e2c6a46</v>
          </cell>
        </row>
        <row r="30">
          <cell r="B30" t="str">
            <v>945384eb-dd73-4124-95b5-daa1d0acebc5</v>
          </cell>
          <cell r="D30" t="str">
            <v>e0c3601e-5e44-42a9-ae7e-76dc123a77e8</v>
          </cell>
        </row>
        <row r="31">
          <cell r="B31" t="str">
            <v>3a254a51-dde6-4982-aea2-31f22d659045</v>
          </cell>
          <cell r="D31" t="str">
            <v>615f2dbf-6997-4f36-acd2-b3a85596c32f</v>
          </cell>
        </row>
        <row r="32">
          <cell r="B32" t="str">
            <v>e8038ce4-e39f-4e0a-92c2-456e090da305</v>
          </cell>
          <cell r="D32" t="str">
            <v>e8038ce4-e39f-4e0a-92c2-456e090da305</v>
          </cell>
        </row>
        <row r="33">
          <cell r="B33" t="str">
            <v>44e7085d-57b9-4402-80f8-9ff378a2618d</v>
          </cell>
          <cell r="D33" t="str">
            <v>44e7085d-57b9-4402-80f8-9ff378a2618d</v>
          </cell>
        </row>
        <row r="34">
          <cell r="B34" t="str">
            <v>af755125-9cce-40f3-8c65-6286fd072aed</v>
          </cell>
          <cell r="D34" t="str">
            <v>a8bfe41e-cb32-481c-ad69-e6f28ed49505</v>
          </cell>
        </row>
        <row r="35">
          <cell r="B35" t="str">
            <v>143b3cc6-fe04-4568-a08b-482e9f174a6b</v>
          </cell>
          <cell r="D35" t="str">
            <v>5f0a8d21-65bd-4a10-8205-292f26e4be89</v>
          </cell>
        </row>
        <row r="36">
          <cell r="B36" t="str">
            <v>faf86cf8-8ae9-4c2c-bd3f-bf0d6df3c9c0</v>
          </cell>
          <cell r="D36" t="str">
            <v>faf86cf8-8ae9-4c2c-bd3f-bf0d6df3c9c0</v>
          </cell>
        </row>
        <row r="37">
          <cell r="B37" t="str">
            <v>7458d7bf-ccb6-4053-b6f4-a5ad023a513b</v>
          </cell>
          <cell r="D37" t="str">
            <v>cfbd124d-6961-4aac-8a81-68757aa0282a</v>
          </cell>
        </row>
        <row r="38">
          <cell r="B38" t="str">
            <v>0bb71f89-3d3c-425a-afdc-2dd959e1541d</v>
          </cell>
          <cell r="D38" t="str">
            <v>0bb71f89-3d3c-425a-afdc-2dd959e1541d</v>
          </cell>
        </row>
        <row r="39">
          <cell r="B39" t="str">
            <v>1eb85d37-92bd-4dd1-bf68-37decd4b8520</v>
          </cell>
          <cell r="D39" t="str">
            <v>13179b22-932d-4f4f-9294-5593749beeaf</v>
          </cell>
        </row>
        <row r="40">
          <cell r="B40" t="str">
            <v>3de30a9c-4ee4-42ca-8ffa-c70029c71deb</v>
          </cell>
          <cell r="D40" t="str">
            <v>17e9592a-c6ad-469a-bd85-4b442e350332</v>
          </cell>
        </row>
        <row r="41">
          <cell r="B41" t="str">
            <v>d9dbfe40-a3f7-489b-a512-9ca0f428db86</v>
          </cell>
          <cell r="D41" t="str">
            <v>ec1e7ec3-27d7-4773-8bd0-3f958f51f767</v>
          </cell>
        </row>
        <row r="42">
          <cell r="B42" t="str">
            <v>613cbe86-488e-4695-a06b-e85852fda7cd</v>
          </cell>
          <cell r="D42" t="str">
            <v>528c1f61-2fe2-4017-8057-d11ce3e9a5e6</v>
          </cell>
        </row>
        <row r="43">
          <cell r="B43" t="str">
            <v>8913d62d-45a6-4320-818a-860c271a30da</v>
          </cell>
          <cell r="D43" t="str">
            <v>d88bd82c-7fd9-40a8-b545-27f9f6c59093</v>
          </cell>
        </row>
        <row r="44">
          <cell r="B44" t="str">
            <v>b4611905-5bef-44e6-a585-47c43509b61f</v>
          </cell>
          <cell r="D44" t="str">
            <v>bc370e72-5148-4f6e-a7b9-4c3c856a9204</v>
          </cell>
        </row>
        <row r="45">
          <cell r="B45" t="str">
            <v>99fc7615-ba25-40f5-9ccb-0c5196d7beff</v>
          </cell>
          <cell r="D45" t="str">
            <v>e2cead91-9dd3-45ae-b4b3-411502bfcf34</v>
          </cell>
        </row>
        <row r="46">
          <cell r="B46" t="str">
            <v>07d73fe4-876c-47e0-9f43-45149d08e530</v>
          </cell>
          <cell r="D46" t="str">
            <v>1bc2b2f3-50dc-4ad1-90b0-f78674db3b48</v>
          </cell>
        </row>
        <row r="47">
          <cell r="B47" t="str">
            <v>ed3d3706-3989-4567-9593-9bbd28af6f78</v>
          </cell>
          <cell r="D47" t="str">
            <v>e48e592c-4703-4e88-84fd-b82d9a13f658</v>
          </cell>
        </row>
        <row r="48">
          <cell r="B48" t="str">
            <v>def71915-8036-4f67-a892-985e2cf987e7</v>
          </cell>
          <cell r="D48" t="str">
            <v>1600722a-64b6-4ae6-8178-ab34658e9cda</v>
          </cell>
        </row>
        <row r="49">
          <cell r="B49" t="str">
            <v>b35ae2d8-0d34-4429-a010-dc87cb616c03</v>
          </cell>
          <cell r="D49" t="str">
            <v>6f5c87b2-7e4c-4667-b8ea-98187450d33b</v>
          </cell>
        </row>
        <row r="50">
          <cell r="B50" t="str">
            <v>85339c3a-1f29-46c4-abc0-92431fbe2a01</v>
          </cell>
          <cell r="D50" t="str">
            <v>d693c137-0e4d-4e64-8777-dcfc258fb834</v>
          </cell>
        </row>
        <row r="51">
          <cell r="B51" t="str">
            <v>c69ec3e5-d550-4674-a060-39b8ec5b9b81</v>
          </cell>
          <cell r="D51" t="str">
            <v>c69ec3e5-d550-4674-a060-39b8ec5b9b81</v>
          </cell>
        </row>
        <row r="52">
          <cell r="B52" t="str">
            <v>9ccdd151-185c-4e6c-afed-e97240f8f5f9</v>
          </cell>
          <cell r="D52" t="str">
            <v>302ca347-3579-4abc-bc39-21a78a157add</v>
          </cell>
        </row>
        <row r="53">
          <cell r="B53" t="str">
            <v>e436fd72-2a60-4447-8c3c-9d68749bc529</v>
          </cell>
          <cell r="D53" t="str">
            <v>e436fd72-2a60-4447-8c3c-9d68749bc529</v>
          </cell>
        </row>
        <row r="54">
          <cell r="B54" t="str">
            <v>27cbc047-5e22-43bd-bbdf-0701cc13dc29</v>
          </cell>
          <cell r="D54" t="str">
            <v>27cbc047-5e22-43bd-bbdf-0701cc13dc29</v>
          </cell>
        </row>
        <row r="55">
          <cell r="B55" t="str">
            <v>0ccf2def-c88f-4c01-b8d0-3da32c550b5b</v>
          </cell>
          <cell r="D55" t="str">
            <v>1443684f-35c9-4bde-a867-7d5363ef0366</v>
          </cell>
        </row>
        <row r="56">
          <cell r="B56" t="str">
            <v>1896da5b-179d-4d09-8367-08cac22f0c45</v>
          </cell>
          <cell r="D56" t="str">
            <v>d513a4cf-c3db-4d61-af9e-8398d200a70e</v>
          </cell>
        </row>
        <row r="57">
          <cell r="B57" t="str">
            <v>d0b0c099-5ee5-41d4-81c7-4a9ad9e60022</v>
          </cell>
          <cell r="D57" t="str">
            <v>b186b116-83d7-4517-971e-06097de9fe74</v>
          </cell>
        </row>
        <row r="58">
          <cell r="B58" t="str">
            <v>3c2ba04b-5f6a-43e4-9432-fc715b9d96be</v>
          </cell>
          <cell r="D58" t="str">
            <v>53a423fe-9d90-4ba0-9d75-f8db50eee2a7</v>
          </cell>
        </row>
        <row r="59">
          <cell r="B59" t="str">
            <v>40b520d9-c56d-429b-b27b-f5ff5231ce3d</v>
          </cell>
          <cell r="D59" t="str">
            <v>cbac4bd4-56ba-4377-805e-9d3460959c83</v>
          </cell>
        </row>
        <row r="60">
          <cell r="B60" t="str">
            <v>7c421aad-02b1-4283-9c7a-a14a3a65ba6d</v>
          </cell>
          <cell r="D60" t="str">
            <v>fcee0f47-bbf9-461c-97b6-0ddcf5929f6a</v>
          </cell>
        </row>
        <row r="61">
          <cell r="B61" t="str">
            <v>fbf50045-0015-4baf-9057-a8bfeaf27189</v>
          </cell>
          <cell r="D61" t="str">
            <v>1ceb183b-7010-4637-8415-0b19103be13a</v>
          </cell>
        </row>
        <row r="62">
          <cell r="B62" t="str">
            <v>1d5cdfea-a0d1-40bf-a8fc-559611ebb78e</v>
          </cell>
          <cell r="D62" t="str">
            <v>65802c86-239d-44a5-a250-5763b18bc35d</v>
          </cell>
        </row>
        <row r="63">
          <cell r="B63" t="str">
            <v>17d4720c-abc8-42da-a07e-749f33cc860a</v>
          </cell>
          <cell r="D63" t="str">
            <v>8b2bd62d-6420-45d3-ac26-5d83e2929e58</v>
          </cell>
        </row>
        <row r="64">
          <cell r="B64" t="str">
            <v>532f05cc-8fb0-40c0-b114-5024e3b33d7a</v>
          </cell>
          <cell r="D64" t="str">
            <v>56c94b29-b7bd-4c7b-bf23-d72f1ccf02dc</v>
          </cell>
        </row>
        <row r="65">
          <cell r="B65" t="str">
            <v>041c805a-6767-4509-99c2-bebc32e05102</v>
          </cell>
          <cell r="D65" t="str">
            <v>4a7510b4-e6cb-4e5c-a968-f2af67497372</v>
          </cell>
        </row>
        <row r="66">
          <cell r="B66" t="str">
            <v>0e6e076c-5ec3-4deb-b20e-5b85c22f8474</v>
          </cell>
          <cell r="D66" t="str">
            <v>d67526d1-9995-4c0c-9d4e-a3e00d406a14</v>
          </cell>
        </row>
        <row r="67">
          <cell r="B67" t="str">
            <v>84320566-c675-4405-80d4-534e18c9035e</v>
          </cell>
          <cell r="D67" t="str">
            <v>4f3daa03-f60e-4dbe-9ab3-4ca535271fd2</v>
          </cell>
        </row>
        <row r="68">
          <cell r="B68" t="str">
            <v>080aa06b-359d-4ea2-b127-7e67572ee742</v>
          </cell>
          <cell r="D68" t="str">
            <v>080aa06b-359d-4ea2-b127-7e67572ee742</v>
          </cell>
        </row>
        <row r="69">
          <cell r="B69" t="str">
            <v>0db13979-776a-40b4-952f-362355203ee6</v>
          </cell>
          <cell r="D69" t="str">
            <v>19dfbc5f-45e9-4152-b48c-2887c8509ac3</v>
          </cell>
        </row>
        <row r="70">
          <cell r="B70" t="str">
            <v>e4beed55-160e-4591-9e6c-28b6f2daee97</v>
          </cell>
          <cell r="D70" t="str">
            <v>bc44f699-0117-4279-adc6-eddc01a68f6c</v>
          </cell>
        </row>
        <row r="71">
          <cell r="B71" t="str">
            <v>6738a179-a722-4dfa-9836-c0f838278249</v>
          </cell>
          <cell r="D71" t="str">
            <v>407e6d65-3553-455f-929b-9ae20dc577b5</v>
          </cell>
        </row>
        <row r="72">
          <cell r="B72" t="str">
            <v>3679802f-8f29-43fa-baa5-98c52fedfa6b</v>
          </cell>
          <cell r="D72" t="str">
            <v>a1e5bcd9-a964-4327-847b-901c57be2fd7</v>
          </cell>
        </row>
        <row r="73">
          <cell r="B73" t="str">
            <v>6c9fc971-1bf6-491e-b986-40c8c8fbfd77</v>
          </cell>
          <cell r="D73" t="str">
            <v>dfc694c6-c0ca-460a-95e5-0d20edb8f80e</v>
          </cell>
        </row>
        <row r="74">
          <cell r="B74" t="str">
            <v>a0702302-2b6d-4a1e-97ef-f6a6c34722ae</v>
          </cell>
          <cell r="D74" t="str">
            <v>173604b8-9444-49bd-a0ef-6f5816764b4e</v>
          </cell>
        </row>
        <row r="75">
          <cell r="B75" t="str">
            <v>901a089c-3947-4d62-beee-1bb6468323ba</v>
          </cell>
          <cell r="D75" t="str">
            <v>ab05ff8d-7b06-4bb5-88ad-0f078ec996a7</v>
          </cell>
        </row>
        <row r="76">
          <cell r="B76" t="str">
            <v>a40307c6-c759-49a3-b102-458be0797fd5</v>
          </cell>
          <cell r="D76" t="str">
            <v>2ca3d394-754a-4525-a715-c6b15f5f1506</v>
          </cell>
        </row>
        <row r="77">
          <cell r="B77" t="str">
            <v>170868ea-1534-4563-83d5-30efd28bfe97</v>
          </cell>
          <cell r="D77" t="str">
            <v>4cdc6658-0b04-4056-b7f8-c94a21f05567</v>
          </cell>
        </row>
        <row r="78">
          <cell r="B78" t="str">
            <v>326a486e-1ddb-4e83-ac61-80ac2928a4d7</v>
          </cell>
          <cell r="D78" t="str">
            <v>6c7c31d7-1015-4292-b41f-4f9e93d496c4</v>
          </cell>
        </row>
        <row r="79">
          <cell r="B79" t="str">
            <v>3e62e249-0429-4f40-ae37-86d5bd4c7ba0</v>
          </cell>
          <cell r="D79" t="str">
            <v>b14f50c4-6625-431d-8158-cfef97f5997c</v>
          </cell>
        </row>
        <row r="80">
          <cell r="B80" t="str">
            <v>3561c634-221c-4810-96a2-c0017c88cac2</v>
          </cell>
          <cell r="D80" t="str">
            <v>5126294a-fbc3-4cfd-a44d-8fa0dc0120e4</v>
          </cell>
        </row>
        <row r="81">
          <cell r="B81" t="str">
            <v>522b90d9-a504-46b2-90c5-51ffa4a2e392</v>
          </cell>
          <cell r="D81" t="str">
            <v>b7766c36-6693-42aa-98cc-f73ff6cac609</v>
          </cell>
        </row>
        <row r="82">
          <cell r="B82" t="str">
            <v>cf8fbcfe-db8c-4c6a-aec4-d33809e805d9</v>
          </cell>
          <cell r="D82" t="str">
            <v>d1fb3ea6-0576-4fe3-b47b-c0e1b480c2d1</v>
          </cell>
        </row>
        <row r="83">
          <cell r="B83" t="str">
            <v>c269fb9f-464e-4351-9552-eab589a099e0</v>
          </cell>
          <cell r="D83" t="str">
            <v>3e97b3c9-c688-4067-bfcc-920244c152b4</v>
          </cell>
        </row>
        <row r="84">
          <cell r="B84" t="str">
            <v>ba8e3ab8-9182-45d3-9e30-44486c59e878</v>
          </cell>
          <cell r="D84" t="str">
            <v>0c32149b-9a1e-4d94-80c3-dfbc9705331a</v>
          </cell>
        </row>
        <row r="85">
          <cell r="B85" t="str">
            <v>171748ac-19e8-48b2-91db-8ccd81345449</v>
          </cell>
          <cell r="D85" t="str">
            <v>88323c2c-f716-4763-99de-3f50a47c9424</v>
          </cell>
        </row>
        <row r="86">
          <cell r="B86" t="str">
            <v>54f76fdc-33b9-4af1-9c5c-f377892bac0a</v>
          </cell>
          <cell r="D86" t="str">
            <v>4dddc222-e6fe-4833-b966-459eff6bb370</v>
          </cell>
        </row>
        <row r="87">
          <cell r="B87" t="str">
            <v>21dea044-de8f-4b11-a0e6-cf3eec9634aa</v>
          </cell>
          <cell r="D87" t="str">
            <v>b4bfa346-0f23-4840-b94f-5ff2da60de65</v>
          </cell>
        </row>
        <row r="88">
          <cell r="B88" t="str">
            <v>f8339d53-ee8c-4686-936e-7058c4f0f79d</v>
          </cell>
          <cell r="D88" t="str">
            <v>c4a298fe-662c-494d-a80c-4f79c8990f64</v>
          </cell>
        </row>
        <row r="89">
          <cell r="B89" t="str">
            <v>823a610f-b7a7-4e68-a23b-0a28beeea9d8</v>
          </cell>
          <cell r="D89" t="str">
            <v>addeda11-9f44-4a27-bb57-41dc392910c3</v>
          </cell>
        </row>
        <row r="90">
          <cell r="B90" t="str">
            <v>fb94af8f-d44b-406b-8599-3344c344ab0d</v>
          </cell>
          <cell r="D90" t="str">
            <v>f9743afe-6afe-406b-857e-858b9b04285b</v>
          </cell>
        </row>
        <row r="91">
          <cell r="B91" t="str">
            <v>29e95ad2-a2ff-4352-aee5-f3271aa92bd4</v>
          </cell>
          <cell r="D91" t="str">
            <v>b246af28-3446-4792-b4f8-6d6c87776af7</v>
          </cell>
        </row>
        <row r="92">
          <cell r="B92" t="str">
            <v>f6c5b9c5-b010-4c97-af45-2be77bf6606e</v>
          </cell>
          <cell r="D92" t="str">
            <v>7425169e-95c5-436c-8fc9-95a546235e14</v>
          </cell>
        </row>
        <row r="93">
          <cell r="B93" t="str">
            <v>ad716185-54f7-4352-98ff-e6836b6021d6</v>
          </cell>
          <cell r="D93" t="str">
            <v>0b0eb7d5-f2dc-42ce-bc26-6bcaf27a797d</v>
          </cell>
        </row>
        <row r="94">
          <cell r="B94" t="str">
            <v>3735a91c-029c-4a08-879c-ad53a8dd4ada</v>
          </cell>
          <cell r="D94" t="str">
            <v>234e52bd-f40c-4920-b414-d3d3b07db3eb</v>
          </cell>
        </row>
        <row r="95">
          <cell r="B95" t="str">
            <v>fef45136-91d4-4e9b-9476-c31deb56c80a</v>
          </cell>
          <cell r="D95" t="str">
            <v>1d0f1ae6-c733-4cbe-821c-8e848c4f136d</v>
          </cell>
        </row>
        <row r="96">
          <cell r="B96" t="str">
            <v>02ac7df9-9d9a-4f66-a124-bb9bf04fbfb4</v>
          </cell>
          <cell r="D96" t="str">
            <v>12aa5fc0-435a-42ac-a8a4-ee4f7c3d661d</v>
          </cell>
        </row>
        <row r="97">
          <cell r="B97" t="str">
            <v>9d6c44d2-8695-4592-bf7e-d882d4cb0e47</v>
          </cell>
          <cell r="D97" t="str">
            <v>42d26fff-2ccb-4908-b81c-0a3c9f5120c8</v>
          </cell>
        </row>
        <row r="98">
          <cell r="B98" t="str">
            <v>ed2eaa3a-90a6-4555-9e24-b8d71fac7b37</v>
          </cell>
          <cell r="D98" t="str">
            <v>57d7cea8-ca0a-4f09-991b-f0254fb056f8</v>
          </cell>
        </row>
        <row r="99">
          <cell r="B99" t="str">
            <v>13b2d866-b8f3-4ebc-a122-13b4cd3cb29b</v>
          </cell>
          <cell r="D99" t="str">
            <v>33c5a6b5-3299-48e9-81b4-0fb5262b43eb</v>
          </cell>
        </row>
        <row r="100">
          <cell r="B100" t="str">
            <v>ea5451fc-13e6-405c-831f-619483cc6958</v>
          </cell>
          <cell r="D100" t="str">
            <v>2da77c71-454d-4884-935b-d162552d11e3</v>
          </cell>
        </row>
        <row r="101">
          <cell r="B101" t="str">
            <v>1ef711bd-99bb-47b5-a0b3-9bbf16a7cecc</v>
          </cell>
          <cell r="D101" t="str">
            <v>fd2fdd4c-826e-4725-ad2e-bea67bb66c24</v>
          </cell>
        </row>
        <row r="102">
          <cell r="B102" t="str">
            <v>ec07276e-499f-45b6-a725-827c6f4c83ef</v>
          </cell>
          <cell r="D102" t="str">
            <v>ca81d465-f4e2-416c-b68e-9d1883d89671</v>
          </cell>
        </row>
        <row r="103">
          <cell r="B103" t="str">
            <v>003e3b8f-aa81-4b68-9266-8b4fccb66e2d</v>
          </cell>
          <cell r="D103" t="str">
            <v>003e3b8f-aa81-4b68-9266-8b4fccb66e2d</v>
          </cell>
        </row>
        <row r="104">
          <cell r="B104" t="str">
            <v>29ee7a57-611f-45e5-ae50-e783abd1f4d4</v>
          </cell>
          <cell r="D104" t="str">
            <v>e65ae86e-022f-40ef-9bdd-116fd56ee3f9</v>
          </cell>
        </row>
        <row r="105">
          <cell r="B105" t="str">
            <v>66f05453-b6bc-4314-b367-132f86703834</v>
          </cell>
          <cell r="D105" t="str">
            <v>c14b6f30-0d87-43e1-adce-92960163e89e</v>
          </cell>
        </row>
        <row r="106">
          <cell r="B106" t="str">
            <v>1f881ac9-83ce-4657-b801-22605053ff57</v>
          </cell>
          <cell r="D106" t="str">
            <v>8f8e4a64-6a00-4638-821b-ed1683fbe52a</v>
          </cell>
        </row>
        <row r="107">
          <cell r="B107" t="str">
            <v>c309c08a-c872-4cfb-8b07-03124b330efc</v>
          </cell>
          <cell r="D107" t="str">
            <v>c9308c6d-8ca9-4ba7-88ab-6781fb358d7d</v>
          </cell>
        </row>
        <row r="108">
          <cell r="B108" t="str">
            <v>36cabedb-da63-428c-956f-599eec2d7da7</v>
          </cell>
          <cell r="D108" t="str">
            <v>98893b46-aab6-43c2-93a2-0a1a68112705</v>
          </cell>
        </row>
        <row r="109">
          <cell r="B109" t="str">
            <v>31d4f295-3a32-4f96-a964-9acda88665bc</v>
          </cell>
          <cell r="D109" t="str">
            <v>a9679729-915a-4733-a324-e855c8b46866</v>
          </cell>
        </row>
        <row r="110">
          <cell r="B110" t="str">
            <v>5b2dc949-d130-4e88-bf26-5e52d113c904</v>
          </cell>
          <cell r="D110" t="str">
            <v>e9f4a02f-219d-4d72-990c-ce0c9d4f704d</v>
          </cell>
        </row>
        <row r="111">
          <cell r="B111" t="str">
            <v>2f3db371-c815-48ae-9e41-4480cf269923</v>
          </cell>
          <cell r="D111" t="str">
            <v>bd302e75-79e7-4be3-95f5-05d069d14c10</v>
          </cell>
        </row>
        <row r="112">
          <cell r="B112" t="str">
            <v>e88d63cd-993e-4979-bc9c-578a40debfd7</v>
          </cell>
          <cell r="D112" t="str">
            <v>28389ce3-9119-4a36-aaeb-0a86f080063c</v>
          </cell>
        </row>
        <row r="113">
          <cell r="B113" t="str">
            <v>c9258108-147f-491f-a42f-cb93485b742e</v>
          </cell>
          <cell r="D113" t="str">
            <v>cb4a4686-856d-46d9-a0ee-8dc3adab6caf</v>
          </cell>
        </row>
        <row r="114">
          <cell r="B114" t="str">
            <v>a799afdc-92f4-482d-82a8-22fce5a892dc</v>
          </cell>
          <cell r="D114" t="str">
            <v>39016563-b88a-48fe-8557-237c4643603c</v>
          </cell>
        </row>
        <row r="115">
          <cell r="B115" t="str">
            <v>3f736956-7b7b-46ab-8a7c-ee6fb4a4fd4e</v>
          </cell>
          <cell r="D115" t="str">
            <v>cd10b1ac-e962-4666-88c0-e7d09e48ffeb</v>
          </cell>
        </row>
        <row r="116">
          <cell r="B116" t="str">
            <v>3891f4d6-7d73-4bc5-82f5-894d3d5a8600</v>
          </cell>
          <cell r="D116" t="str">
            <v>fa79bdfa-0f71-4878-9dcd-a2a4543537d5</v>
          </cell>
        </row>
        <row r="117">
          <cell r="B117" t="str">
            <v>9336c4f3-7c1f-45f8-a247-be297eab26e5</v>
          </cell>
          <cell r="D117" t="str">
            <v>c14ebc53-e394-4bd5-a243-b8f4bf48bb36</v>
          </cell>
        </row>
        <row r="118">
          <cell r="B118" t="str">
            <v>bc694373-3052-4a88-9945-987dea5709b1</v>
          </cell>
          <cell r="D118" t="str">
            <v>1d30bd78-79c5-443d-a6b4-ebbece3e3161</v>
          </cell>
        </row>
        <row r="119">
          <cell r="B119" t="str">
            <v>7d41839e-7414-4973-844f-7b00df9b9869</v>
          </cell>
          <cell r="D119" t="str">
            <v>78e1e266-6441-403e-8f5a-ea7c11165dc7</v>
          </cell>
        </row>
        <row r="120">
          <cell r="B120" t="str">
            <v>f3698925-b15f-4889-8dcc-21eaa05a185b</v>
          </cell>
          <cell r="D120" t="str">
            <v>f13489d8-0c86-4235-8470-f9f8e5139595</v>
          </cell>
        </row>
        <row r="121">
          <cell r="B121" t="str">
            <v>2d5ddf4e-e7c8-4e62-8082-ce4ae5ac750a</v>
          </cell>
          <cell r="D121" t="str">
            <v>a5a352ab-6bc5-497e-be7e-ac057c5c099a</v>
          </cell>
        </row>
        <row r="122">
          <cell r="B122" t="str">
            <v>f5c13f14-4889-4bf4-817f-d4f51e84dd32</v>
          </cell>
          <cell r="D122" t="str">
            <v>f682f635-62f9-4951-a641-3e19ab1d801d</v>
          </cell>
        </row>
        <row r="123">
          <cell r="B123" t="str">
            <v>9270054d-4438-4fb3-8280-c0f746dc4165</v>
          </cell>
          <cell r="D123" t="str">
            <v>d9f50e1c-3d68-42b3-a628-d46a068f15a1</v>
          </cell>
        </row>
        <row r="124">
          <cell r="B124" t="str">
            <v>cb149365-8aea-4249-9951-cf8ab2cf9248</v>
          </cell>
          <cell r="D124" t="str">
            <v>96e72b98-d263-4bbf-aa65-7a0ccf823ab3</v>
          </cell>
        </row>
        <row r="125">
          <cell r="B125" t="str">
            <v>83ef2f28-5fcc-47b6-ac3f-0d0a4e0fd414</v>
          </cell>
          <cell r="D125" t="str">
            <v>57902380-6ce3-4348-bab0-ee84bed398e6</v>
          </cell>
        </row>
        <row r="126">
          <cell r="B126" t="str">
            <v>29ee7a57-611f-45e5-ae50-e783abd1f4d4</v>
          </cell>
          <cell r="D126" t="str">
            <v>e65ae86e-022f-40ef-9bdd-116fd56ee3f9</v>
          </cell>
        </row>
        <row r="127">
          <cell r="B127" t="str">
            <v>90fd1b50-2ae4-4009-abeb-de7f15308a12</v>
          </cell>
          <cell r="D127" t="str">
            <v>3e61ec15-0636-4821-a3de-8ceb780975df</v>
          </cell>
        </row>
        <row r="128">
          <cell r="B128" t="str">
            <v>0c4ad65a-3e68-4585-abbd-490b71e17745</v>
          </cell>
          <cell r="D128" t="str">
            <v>d7bbd710-9080-4c6c-a3bf-02423b37ea7a</v>
          </cell>
        </row>
        <row r="129">
          <cell r="B129" t="str">
            <v>31725355-c6fd-483d-9729-68646b3c18e2</v>
          </cell>
          <cell r="D129" t="str">
            <v>d37977b9-35dd-42ce-a1ea-cf27798bf294</v>
          </cell>
        </row>
        <row r="130">
          <cell r="B130" t="str">
            <v>86f766cc-853c-4724-8255-0e176252a6a8</v>
          </cell>
          <cell r="D130" t="str">
            <v>7750abd8-97f7-4a64-be99-9e451003d7b2</v>
          </cell>
        </row>
        <row r="131">
          <cell r="B131" t="str">
            <v>e9053593-2fc0-482d-8661-3dcb153bccd0</v>
          </cell>
          <cell r="D131" t="str">
            <v>c3ba3041-9993-4316-96de-daab6bebd6dd</v>
          </cell>
        </row>
        <row r="132">
          <cell r="B132" t="str">
            <v>13f4fa2b-ae1f-4f0a-9fab-46ba86587608</v>
          </cell>
          <cell r="D132" t="str">
            <v>ff9fbd5a-ae2a-4870-801a-2495ec6a5066</v>
          </cell>
        </row>
        <row r="133">
          <cell r="B133" t="str">
            <v>9555d632-79ed-4670-85e3-38127fe90da3</v>
          </cell>
          <cell r="D133" t="str">
            <v>e49f94da-62d7-479a-8ffc-e29d07f2a2a6</v>
          </cell>
        </row>
        <row r="134">
          <cell r="B134" t="str">
            <v>cc6843d1-1d94-4d38-8dd6-629d7f56d69d</v>
          </cell>
          <cell r="D134" t="str">
            <v>3be33e9d-15aa-46d4-a105-0a3340b7e6c8</v>
          </cell>
        </row>
        <row r="135">
          <cell r="B135" t="str">
            <v>029b1fbb-f9b7-43f7-8b54-5e9c34ac6d60</v>
          </cell>
          <cell r="D135" t="str">
            <v>6a72dcd7-9e7b-4d1d-8625-70285f5ec878</v>
          </cell>
        </row>
        <row r="136">
          <cell r="B136" t="str">
            <v>f974d7a0-880a-45fd-b85c-16621e3ee985</v>
          </cell>
          <cell r="D136" t="str">
            <v>a1b96073-8f65-4d12-ac1e-524282fa3167</v>
          </cell>
        </row>
        <row r="137">
          <cell r="B137" t="str">
            <v>21948631-c786-44c6-ac99-dee3cf752cbe</v>
          </cell>
          <cell r="D137" t="str">
            <v>9e09f1c1-910f-43ac-b5fd-fe5c80284c62</v>
          </cell>
        </row>
        <row r="138">
          <cell r="B138" t="str">
            <v>b6f24632-44fc-43c8-a42f-5ee53b35fa51</v>
          </cell>
          <cell r="D138" t="str">
            <v>589cf086-c435-4632-850b-37863c554640</v>
          </cell>
        </row>
        <row r="139">
          <cell r="B139" t="str">
            <v>99411fbd-545c-41da-84ea-9471fe17e461</v>
          </cell>
          <cell r="D139" t="str">
            <v>8b4c9b85-e850-45db-83e9-81e8bc66a4cc</v>
          </cell>
        </row>
        <row r="140">
          <cell r="B140" t="str">
            <v>7a4261cf-fe83-48c0-a960-5fc3369251e2</v>
          </cell>
          <cell r="D140" t="str">
            <v>b0a1f27e-203f-4e28-86a7-e32197f9f59d</v>
          </cell>
        </row>
        <row r="141">
          <cell r="B141" t="str">
            <v>c295f3fa-fd99-4840-8c0a-728a509ff132</v>
          </cell>
          <cell r="D141" t="str">
            <v>49a1e798-f159-48ff-9389-4a7158c51332</v>
          </cell>
        </row>
        <row r="142">
          <cell r="B142" t="str">
            <v>c67f0071-649c-4ed2-9baa-21a2209c0534</v>
          </cell>
          <cell r="D142" t="str">
            <v>6b3f1491-7b85-4854-9978-5f52dbb8f5f3</v>
          </cell>
        </row>
        <row r="143">
          <cell r="B143" t="str">
            <v>02fdd367-66b5-45ac-b78e-ff44c45a4905</v>
          </cell>
          <cell r="D143" t="str">
            <v>cbb1f97a-caea-4464-84c5-d7a714830e61</v>
          </cell>
        </row>
        <row r="144">
          <cell r="B144" t="str">
            <v>17620956-6da2-44e2-8b53-3d6dad52172c</v>
          </cell>
          <cell r="D144" t="str">
            <v>f809bfef-9782-4267-8e96-2925ff3914d7</v>
          </cell>
        </row>
        <row r="145">
          <cell r="B145" t="str">
            <v>eaeb6b75-08d4-4521-a4d0-fe7f27d63e71</v>
          </cell>
          <cell r="D145" t="str">
            <v>b9f723a7-c78c-4061-b8a7-bf57ac3d1103</v>
          </cell>
        </row>
        <row r="146">
          <cell r="B146" t="str">
            <v>f1a9c6c5-172e-4f0c-be8a-13bb6118ce63</v>
          </cell>
          <cell r="D146" t="str">
            <v>98e5f283-00e6-49c0-965b-f7d734f2fa49</v>
          </cell>
        </row>
        <row r="147">
          <cell r="B147" t="str">
            <v>d9113846-e366-4026-9d57-0116751f3dc8</v>
          </cell>
          <cell r="D147" t="str">
            <v>526e9298-ad8d-4647-984c-d83912ced51c</v>
          </cell>
        </row>
        <row r="148">
          <cell r="B148" t="str">
            <v>fc0c3bd9-dcc7-47e0-a00e-abb90fdaad2b</v>
          </cell>
          <cell r="D148" t="str">
            <v>5865ab13-0177-4dbf-b4a2-0a2f2e7ea0bc</v>
          </cell>
        </row>
        <row r="149">
          <cell r="B149" t="str">
            <v>9ed27ee0-7447-4324-bb0d-15fe7f804bd4</v>
          </cell>
          <cell r="D149" t="str">
            <v>e2b4f05f-bbf4-4360-b0a6-b3f9afce07ab</v>
          </cell>
        </row>
        <row r="150">
          <cell r="B150" t="str">
            <v>1f3df9d6-8a66-4036-9eda-799e69fb1285</v>
          </cell>
          <cell r="D150" t="str">
            <v>c56f1f76-e1a4-44a6-98ea-51c3e31970d9</v>
          </cell>
        </row>
        <row r="151">
          <cell r="B151" t="str">
            <v>02551529-ad11-4b13-afa8-0852fa9e6fb8</v>
          </cell>
          <cell r="D151" t="str">
            <v>e65c3cbf-42aa-43c5-a373-8555b1b43a31</v>
          </cell>
        </row>
        <row r="152">
          <cell r="B152" t="str">
            <v>2637fd7f-23dc-42df-8ad4-bb5d918f1ed7</v>
          </cell>
          <cell r="D152" t="str">
            <v>2b6f49ed-1a02-4ea5-a595-6b5208e7a641</v>
          </cell>
        </row>
        <row r="153">
          <cell r="B153" t="str">
            <v>3b98f333-5fda-4212-afe5-95c6e6ec8a8a</v>
          </cell>
          <cell r="D153" t="str">
            <v>562368cf-f49f-4549-9e32-86a17572ce9f</v>
          </cell>
        </row>
        <row r="154">
          <cell r="B154" t="str">
            <v>83dd95cf-72b8-49f8-bab2-70299ce78f8f</v>
          </cell>
          <cell r="D154" t="str">
            <v>a6bfff7f-e175-404a-a38f-6df3651af63d</v>
          </cell>
        </row>
        <row r="155">
          <cell r="B155" t="str">
            <v>719c8d7f-d646-482a-8aba-9fb36be64aba</v>
          </cell>
          <cell r="D155" t="str">
            <v>c09ce764-80a2-4742-ae2c-a97605d59e4b</v>
          </cell>
        </row>
        <row r="156">
          <cell r="B156" t="str">
            <v>936658fc-23f2-407d-b46a-0c587a2db36b</v>
          </cell>
          <cell r="D156" t="str">
            <v>bb2d5667-c7b8-4f52-9839-3a93bd6c9d3d</v>
          </cell>
        </row>
        <row r="157">
          <cell r="B157" t="str">
            <v>98cc30dc-2a3f-4407-a7ae-78b8adf0ca99</v>
          </cell>
          <cell r="D157" t="str">
            <v>0a7be90a-f9bd-4fd2-806e-2d6027e16c11</v>
          </cell>
        </row>
        <row r="158">
          <cell r="B158" t="str">
            <v>2740545c-e39e-4a47-ad18-106294619dde</v>
          </cell>
          <cell r="D158" t="str">
            <v>2a036671-a28c-4435-8c35-06607903632a</v>
          </cell>
        </row>
        <row r="159">
          <cell r="B159" t="str">
            <v>8fd455e3-6890-46f6-9453-4a0474e3be25</v>
          </cell>
          <cell r="D159" t="str">
            <v>c44ac23b-72f1-4bea-b760-41d842574d1f</v>
          </cell>
        </row>
        <row r="160">
          <cell r="B160" t="str">
            <v>a580ad02-88ce-458d-a518-e3f3728a7b3e</v>
          </cell>
          <cell r="D160" t="str">
            <v>80e286f2-bc66-4e4a-a973-6ae3caf05674</v>
          </cell>
        </row>
        <row r="161">
          <cell r="B161" t="str">
            <v>937227f8-676c-4b3a-8d78-b52588c637f3</v>
          </cell>
          <cell r="D161" t="str">
            <v>0baa0225-b31b-44da-9a28-c341876ae43e</v>
          </cell>
        </row>
        <row r="162">
          <cell r="B162" t="str">
            <v>0dfc2951-4bcf-4e30-a0eb-471254594111</v>
          </cell>
          <cell r="D162" t="str">
            <v>fd5e08aa-6957-4520-b847-80ed3d29a8de</v>
          </cell>
        </row>
        <row r="163">
          <cell r="B163" t="str">
            <v>57d16c06-44f1-414d-a87a-351a3e2958d6</v>
          </cell>
          <cell r="D163" t="str">
            <v>57d16c06-44f1-414d-a87a-351a3e2958d6</v>
          </cell>
        </row>
        <row r="164">
          <cell r="B164" t="str">
            <v>cc71450d-96a6-4833-9be7-a0ab347cf8a8</v>
          </cell>
          <cell r="D164" t="str">
            <v>86ebb7df-82c9-4408-8891-02e5fd922931</v>
          </cell>
        </row>
        <row r="165">
          <cell r="B165" t="str">
            <v>0c7ff3cf-9625-4b20-b349-133ef90aaf24</v>
          </cell>
          <cell r="D165" t="str">
            <v>b146bfec-4154-4436-a5ba-36d300fefc64</v>
          </cell>
        </row>
        <row r="166">
          <cell r="B166" t="str">
            <v>935b18b1-b9a8-43ea-947d-ac9b8e8396c7</v>
          </cell>
          <cell r="D166" t="str">
            <v>82775fe8-9c9a-476b-a678-6a1b6efaca25</v>
          </cell>
        </row>
        <row r="167">
          <cell r="B167" t="str">
            <v>4706e237-1f9f-47fa-87c3-0c81fcf23b8b</v>
          </cell>
          <cell r="D167" t="str">
            <v>33213e8a-921d-4ca6-a050-b09d9bb5bf8a</v>
          </cell>
        </row>
        <row r="168">
          <cell r="B168" t="str">
            <v>3047aad0-4e2f-49c8-8136-a5dfb32a394a</v>
          </cell>
          <cell r="D168" t="str">
            <v>c1b130e9-ed21-4e04-9e7e-9f6f779e36cc</v>
          </cell>
        </row>
        <row r="169">
          <cell r="B169" t="str">
            <v>e088d256-152e-478d-8ee1-ca460974a611</v>
          </cell>
          <cell r="D169" t="str">
            <v>05dbeff8-ef22-4db7-b87c-0deb394f65f1</v>
          </cell>
        </row>
        <row r="170">
          <cell r="B170" t="str">
            <v>d18e3541-cb85-4c3e-b7e1-4a12022f2c5d</v>
          </cell>
          <cell r="D170" t="str">
            <v>afc90605-2a0d-4ca0-94b8-b084f937aa97</v>
          </cell>
        </row>
        <row r="171">
          <cell r="B171" t="str">
            <v>f6118623-d928-4da8-9649-361f45d0a0af</v>
          </cell>
          <cell r="D171" t="str">
            <v>f31d55f8-8ba0-4ecc-ac7c-2176dbe27b07</v>
          </cell>
        </row>
        <row r="172">
          <cell r="B172" t="str">
            <v>1c1af1d5-6f8c-47d6-93d8-df00a85b8916</v>
          </cell>
          <cell r="D172" t="str">
            <v>cdb62608-6381-4d4e-975b-46b370c250be</v>
          </cell>
        </row>
        <row r="173">
          <cell r="B173" t="str">
            <v>76a74ad4-b2b9-4683-a6a1-5e54311d73c9</v>
          </cell>
          <cell r="D173" t="str">
            <v>76a74ad4-b2b9-4683-a6a1-5e54311d73c9</v>
          </cell>
        </row>
        <row r="174">
          <cell r="B174" t="str">
            <v>1ac8e940-8e0e-4ba1-aa2a-5e166e1b53cf</v>
          </cell>
          <cell r="D174" t="str">
            <v>1ac8e940-8e0e-4ba1-aa2a-5e166e1b53cf</v>
          </cell>
        </row>
        <row r="175">
          <cell r="B175" t="str">
            <v>01189daf-6c6f-4300-a8f9-9c5b5f3d21c0</v>
          </cell>
          <cell r="D175" t="str">
            <v>baba564a-5be6-4710-b149-89afe0b5a44a</v>
          </cell>
        </row>
        <row r="176">
          <cell r="B176" t="str">
            <v>32eded19-1f8a-47e5-8ac5-ecd91fd1a719</v>
          </cell>
          <cell r="D176" t="str">
            <v>32eded19-1f8a-47e5-8ac5-ecd91fd1a719</v>
          </cell>
        </row>
        <row r="177">
          <cell r="B177" t="str">
            <v>01f70625-2d69-4e4f-a0d3-b9ce9323bd5b</v>
          </cell>
          <cell r="D177" t="str">
            <v>d47f566f-281a-429b-a3d7-953f8e056f73</v>
          </cell>
        </row>
        <row r="178">
          <cell r="B178" t="str">
            <v>2ef3c4da-61d2-4ba3-a7d5-d86e319236be</v>
          </cell>
          <cell r="D178" t="str">
            <v>0a976c86-7b23-4fcc-90e0-216310e54d25</v>
          </cell>
        </row>
        <row r="179">
          <cell r="B179" t="str">
            <v>8e3b4d38-feea-41c6-819e-5f63407f7ca8</v>
          </cell>
          <cell r="D179" t="str">
            <v>dea0d657-508d-486c-8437-7f54c11cd575</v>
          </cell>
        </row>
        <row r="180">
          <cell r="B180" t="str">
            <v>e7631e06-aa76-4d99-b4f6-dbf12d9481a8</v>
          </cell>
          <cell r="D180" t="str">
            <v>c4dc94ca-bea4-4327-aa36-c9dc2dab1e21</v>
          </cell>
        </row>
        <row r="181">
          <cell r="B181" t="str">
            <v>e352d439-2b7d-418c-a375-d3d9aa9bea1e</v>
          </cell>
          <cell r="D181" t="str">
            <v>51ab4940-ce4c-4381-8906-e25ac1746781</v>
          </cell>
        </row>
        <row r="182">
          <cell r="B182" t="str">
            <v>d52df895-55ff-4337-bd9f-fa7207a1c38e</v>
          </cell>
          <cell r="D182" t="str">
            <v>c06fcd63-1501-4f1b-85c1-3cc7ec5a96cf</v>
          </cell>
        </row>
        <row r="183">
          <cell r="B183" t="str">
            <v>ba74dc8a-6a44-49d9-8687-e9050f8a5f60</v>
          </cell>
          <cell r="D183" t="str">
            <v>c3efa2be-7478-4850-8b50-27453ee982ff</v>
          </cell>
        </row>
        <row r="184">
          <cell r="B184" t="str">
            <v>ff4f2c6e-fb73-49d2-a8c1-f12e36fe8657</v>
          </cell>
          <cell r="D184" t="str">
            <v>68498cd4-87fc-4290-a051-49c2ffa0f3f0</v>
          </cell>
        </row>
        <row r="185">
          <cell r="B185" t="str">
            <v>2740545c-e39e-4a47-ad18-106294619dde</v>
          </cell>
          <cell r="D185" t="str">
            <v>2a036671-a28c-4435-8c35-06607903632a</v>
          </cell>
        </row>
        <row r="186">
          <cell r="B186" t="str">
            <v>b095587d-5561-4a3b-ae25-35e4cb1980e5</v>
          </cell>
          <cell r="D186" t="str">
            <v>e7ed0c43-e01c-499a-88ac-bcd56033ccba</v>
          </cell>
        </row>
        <row r="187">
          <cell r="B187" t="str">
            <v>723c463a-9ed7-43e9-98ce-7902e643fda2</v>
          </cell>
          <cell r="D187" t="str">
            <v>78786c30-828a-4cf5-9cf8-7b17e54dcc93</v>
          </cell>
        </row>
        <row r="188">
          <cell r="B188" t="str">
            <v>d767c7d5-d4c3-474c-b55e-680937bbc6ef</v>
          </cell>
          <cell r="D188" t="str">
            <v>80c1ee2b-7eeb-4ff2-bd3f-f8e82d634587</v>
          </cell>
        </row>
        <row r="189">
          <cell r="B189" t="str">
            <v>a7f85d66-872d-41ce-b8bc-c518690c751a</v>
          </cell>
          <cell r="D189" t="str">
            <v xml:space="preserve"> 4946b964-1468-435a-b87d-674768d75c2c</v>
          </cell>
        </row>
        <row r="190">
          <cell r="B190" t="str">
            <v>78df6019-6221-4fdb-a197-c24888642d44</v>
          </cell>
          <cell r="D190" t="str">
            <v>0e61e70f-0b6d-4e1d-aa16-b4ec7518074d</v>
          </cell>
        </row>
        <row r="191">
          <cell r="B191" t="str">
            <v>1a5b3c03-8784-45a8-9250-6b8de645b58e</v>
          </cell>
          <cell r="D191" t="str">
            <v>e0d0e22b-9664-467d-b887-f7ed55666d1f</v>
          </cell>
        </row>
        <row r="192">
          <cell r="B192" t="str">
            <v>be1158b5-c4df-48ea-b19a-3910d1464900</v>
          </cell>
        </row>
        <row r="193">
          <cell r="B193" t="str">
            <v>12f2186f-4fcb-4a00-8390-9dacf7ddfd87</v>
          </cell>
        </row>
        <row r="194">
          <cell r="B194" t="str">
            <v>bbf480c6-3ea8-4b6c-be0d-8ffd3fd3fe48</v>
          </cell>
        </row>
        <row r="195">
          <cell r="B195" t="str">
            <v>09c84861-5f93-4295-a103-046d3341cee9</v>
          </cell>
        </row>
        <row r="196">
          <cell r="B196" t="str">
            <v>747be69f-7b13-4a37-b155-ec505995767a</v>
          </cell>
        </row>
        <row r="197">
          <cell r="B197" t="str">
            <v>5c3b9f89-0e2f-407a-8da0-a3a191a4d4cf</v>
          </cell>
        </row>
        <row r="198">
          <cell r="B198" t="str">
            <v>1f814373-19aa-4f26-9277-9b4780b1e549</v>
          </cell>
        </row>
        <row r="199">
          <cell r="B199" t="str">
            <v>8cbd6f9c-7c49-480e-a4b2-f86b8f73f010</v>
          </cell>
        </row>
        <row r="200">
          <cell r="B200" t="str">
            <v>e75d1518-8bbb-47f6-8273-22ed681b1857</v>
          </cell>
        </row>
        <row r="201">
          <cell r="B201" t="str">
            <v>9bbd2eb0-2b86-4a39-8981-adc088e892a5</v>
          </cell>
        </row>
        <row r="202">
          <cell r="B202" t="str">
            <v>becf6572-6652-423f-9d6e-b3514bd90fa7</v>
          </cell>
        </row>
        <row r="203">
          <cell r="B203" t="str">
            <v>2bc8771f-a618-433d-ae3a-b22a831ad9cc</v>
          </cell>
        </row>
        <row r="204">
          <cell r="B204" t="str">
            <v>dc2c5e24-7861-4bde-8810-fe935fb8c1cd</v>
          </cell>
        </row>
        <row r="205">
          <cell r="B205" t="str">
            <v>1fa25ed5-6f6f-471d-874b-674d74f03cf0</v>
          </cell>
        </row>
        <row r="206">
          <cell r="B206" t="str">
            <v>5f938345-0fb7-41ae-8679-31f991f66d23</v>
          </cell>
        </row>
        <row r="207">
          <cell r="B207" t="str">
            <v>6dc40cea-792a-42af-8a87-62990676047d</v>
          </cell>
        </row>
        <row r="208">
          <cell r="B208" t="str">
            <v>52772669-ba7e-4451-b9f2-51a02147d660</v>
          </cell>
        </row>
        <row r="209">
          <cell r="B209" t="str">
            <v>0442c55f-8353-46fe-ab6b-0f752126c420</v>
          </cell>
        </row>
        <row r="210">
          <cell r="B210" t="str">
            <v>be6f2b80-4d96-45bf-a425-25431055ed38</v>
          </cell>
          <cell r="D210" t="str">
            <v>36eaffa4-37e9-4fa9-8734-644b50a18ed3</v>
          </cell>
        </row>
        <row r="211">
          <cell r="B211" t="str">
            <v>153eb09a-5a60-454d-ad1b-7f9060f601ac</v>
          </cell>
        </row>
        <row r="212">
          <cell r="B212" t="str">
            <v>03a5c8b8-76f4-46f2-b34b-10eaa65eee46</v>
          </cell>
        </row>
        <row r="213">
          <cell r="B213" t="str">
            <v>2366443f-ab2f-42b9-95c4-d8c5a34bcd9d</v>
          </cell>
        </row>
        <row r="214">
          <cell r="B214" t="str">
            <v>4e08f6ea-80d4-48f4-a544-9385b0a8a2a6</v>
          </cell>
        </row>
        <row r="215">
          <cell r="B215" t="str">
            <v>92634be8-3b74-45a6-b2a5-7cc74b745c8f</v>
          </cell>
          <cell r="D215" t="str">
            <v>310a279b-7d01-4825-bd79-7de3bc6310e3</v>
          </cell>
        </row>
      </sheetData>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persons/person.xml><?xml version="1.0" encoding="utf-8"?>
<personList xmlns="http://schemas.microsoft.com/office/spreadsheetml/2018/threadedcomments" xmlns:x="http://schemas.openxmlformats.org/spreadsheetml/2006/main">
  <person displayName="ARAPL TEAM" id="{A9213413-F8FB-4978-BF61-56971C71A39C}" userId="e02ec775ed80e3cf"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9" dT="2025-11-07T04:37:10.33" personId="{A9213413-F8FB-4978-BF61-56971C71A39C}" id="{9A5B99E5-5BA4-4CF3-81E8-365B37BF0E7E}">
    <text>Total Paid</text>
  </threadedComment>
  <threadedComment ref="H11" dT="2025-11-07T04:33:13.40" personId="{A9213413-F8FB-4978-BF61-56971C71A39C}" id="{67C1B1A0-A334-465F-AE39-D9C4658B7072}">
    <text>AVG(Original Spread - Coupon)</text>
  </threadedComment>
  <threadedComment ref="H13" dT="2025-11-07T04:37:31.95" personId="{A9213413-F8FB-4978-BF61-56971C71A39C}" id="{9EB7A050-B8C6-4E7E-8B73-F1508AD21BC6}">
    <text>Premium correspond to all Treasury 1.5m*3.7%</text>
  </threadedComment>
</ThreadedComment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54F97-530E-40AF-9626-3489656F253A}">
  <sheetPr codeName="Sheet2"/>
  <dimension ref="A2:AK119"/>
  <sheetViews>
    <sheetView topLeftCell="L17" zoomScale="130" zoomScaleNormal="130" workbookViewId="0">
      <selection activeCell="AA38" sqref="AA17:AA38"/>
    </sheetView>
  </sheetViews>
  <sheetFormatPr defaultColWidth="8.88671875" defaultRowHeight="14.4" x14ac:dyDescent="0.3"/>
  <cols>
    <col min="1" max="1" width="16.6640625" customWidth="1"/>
    <col min="2" max="2" width="9.109375" customWidth="1"/>
    <col min="3" max="3" width="5.44140625" style="127" customWidth="1"/>
    <col min="4" max="4" width="8.6640625" style="127" customWidth="1"/>
    <col min="5" max="5" width="9" style="127" bestFit="1" customWidth="1"/>
    <col min="6" max="6" width="9.44140625" style="128" bestFit="1" customWidth="1"/>
    <col min="7" max="7" width="21.5546875" style="127" customWidth="1"/>
    <col min="8" max="8" width="11.21875" style="127" customWidth="1"/>
    <col min="9" max="9" width="11.6640625" style="127" customWidth="1"/>
    <col min="10" max="11" width="6.109375" style="127" customWidth="1"/>
    <col min="12" max="12" width="10.88671875" style="127" bestFit="1" customWidth="1"/>
    <col min="13" max="13" width="9" style="127" bestFit="1" customWidth="1"/>
    <col min="14" max="14" width="10.21875" style="129" customWidth="1"/>
    <col min="15" max="15" width="9.44140625" style="127" bestFit="1" customWidth="1"/>
    <col min="16" max="16" width="6.109375" style="130" customWidth="1"/>
    <col min="17" max="17" width="10.88671875" style="130" customWidth="1"/>
    <col min="18" max="18" width="10.33203125" style="130" customWidth="1"/>
    <col min="19" max="19" width="6.6640625" style="130" customWidth="1"/>
    <col min="20" max="20" width="6.5546875" style="131" customWidth="1"/>
    <col min="21" max="21" width="8.88671875" style="129"/>
    <col min="22" max="22" width="5.33203125" style="129" customWidth="1"/>
    <col min="23" max="23" width="8.33203125" style="129" customWidth="1"/>
    <col min="24" max="24" width="10.88671875" style="129" bestFit="1" customWidth="1"/>
    <col min="25" max="25" width="6.88671875" style="129" bestFit="1" customWidth="1"/>
    <col min="26" max="26" width="9" style="129" bestFit="1" customWidth="1"/>
    <col min="27" max="27" width="9.44140625" style="129" bestFit="1" customWidth="1"/>
    <col min="28" max="28" width="10" style="129" bestFit="1" customWidth="1"/>
    <col min="29" max="29" width="8" style="129" customWidth="1"/>
    <col min="30" max="30" width="9.33203125" style="129" customWidth="1"/>
    <col min="31" max="31" width="7.109375" style="129" customWidth="1"/>
    <col min="32" max="32" width="9.109375" style="130" customWidth="1"/>
    <col min="33" max="33" width="9" style="130" bestFit="1" customWidth="1"/>
    <col min="34" max="34" width="7.5546875" style="130" customWidth="1"/>
    <col min="35" max="35" width="8.33203125" style="129" customWidth="1"/>
    <col min="36" max="36" width="7" style="129" customWidth="1"/>
    <col min="37" max="37" width="5.44140625" style="127" customWidth="1"/>
    <col min="38" max="16384" width="8.88671875" style="127"/>
  </cols>
  <sheetData>
    <row r="2" spans="3:37" x14ac:dyDescent="0.3">
      <c r="N2" s="139"/>
      <c r="P2" s="242"/>
      <c r="Q2" s="242"/>
      <c r="R2" s="242"/>
      <c r="S2" s="242"/>
      <c r="T2" s="141"/>
      <c r="U2" s="139"/>
      <c r="V2" s="139"/>
      <c r="W2" s="139"/>
      <c r="X2" s="243"/>
      <c r="Y2" s="139"/>
      <c r="Z2" s="139"/>
      <c r="AA2" s="139"/>
      <c r="AB2" s="243"/>
      <c r="AC2" s="243"/>
      <c r="AD2" s="243"/>
      <c r="AE2" s="139"/>
      <c r="AF2" s="242"/>
      <c r="AG2" s="244"/>
      <c r="AH2" s="245"/>
      <c r="AI2" s="244"/>
      <c r="AJ2" s="139"/>
    </row>
    <row r="3" spans="3:37" ht="17.399999999999999" customHeight="1" x14ac:dyDescent="0.4">
      <c r="D3" s="132" t="s">
        <v>744</v>
      </c>
      <c r="N3" s="246"/>
      <c r="P3" s="242"/>
      <c r="Q3" s="242"/>
      <c r="R3" s="242"/>
      <c r="S3" s="242"/>
      <c r="T3" s="141"/>
      <c r="U3" s="247"/>
      <c r="V3" s="247"/>
      <c r="W3" s="248"/>
      <c r="X3" s="248"/>
      <c r="Y3" s="139"/>
      <c r="Z3" s="139"/>
      <c r="AA3" s="243"/>
      <c r="AB3" s="248"/>
      <c r="AC3" s="248"/>
      <c r="AD3" s="249"/>
      <c r="AE3" s="139"/>
      <c r="AF3" s="242"/>
      <c r="AG3" s="250"/>
      <c r="AH3" s="242"/>
      <c r="AI3" s="242"/>
      <c r="AJ3" s="242"/>
      <c r="AK3" s="242"/>
    </row>
    <row r="4" spans="3:37" x14ac:dyDescent="0.3">
      <c r="N4" s="139"/>
      <c r="O4" s="212"/>
      <c r="P4" s="242"/>
      <c r="Q4" s="212"/>
      <c r="R4" s="139"/>
      <c r="S4" s="242"/>
      <c r="T4" s="141"/>
      <c r="U4" s="139"/>
      <c r="V4" s="139"/>
      <c r="W4" s="248"/>
      <c r="X4" s="248"/>
      <c r="Y4" s="139"/>
      <c r="Z4" s="139"/>
      <c r="AA4" s="243"/>
      <c r="AB4" s="248"/>
      <c r="AC4" s="248"/>
      <c r="AD4" s="249"/>
      <c r="AE4" s="139"/>
      <c r="AF4" s="242"/>
      <c r="AG4" s="139"/>
      <c r="AH4" s="242"/>
      <c r="AI4" s="242"/>
      <c r="AJ4" s="242"/>
      <c r="AK4" s="242"/>
    </row>
    <row r="5" spans="3:37" x14ac:dyDescent="0.3">
      <c r="G5" s="133" t="s">
        <v>266</v>
      </c>
      <c r="H5" s="200">
        <v>19000000</v>
      </c>
      <c r="N5" s="139"/>
      <c r="O5" s="251"/>
      <c r="P5" s="242"/>
      <c r="Q5" s="251"/>
      <c r="R5" s="139"/>
      <c r="S5" s="242"/>
      <c r="T5" s="141"/>
      <c r="U5" s="139"/>
      <c r="V5" s="139"/>
      <c r="W5" s="248"/>
      <c r="X5" s="248"/>
      <c r="Y5" s="139"/>
      <c r="Z5" s="139"/>
      <c r="AA5" s="243"/>
      <c r="AB5" s="248"/>
      <c r="AC5" s="248"/>
      <c r="AD5" s="249"/>
      <c r="AE5" s="139"/>
      <c r="AF5" s="242"/>
      <c r="AG5" s="139"/>
      <c r="AH5" s="242"/>
      <c r="AI5" s="242"/>
      <c r="AJ5" s="242"/>
      <c r="AK5" s="242"/>
    </row>
    <row r="6" spans="3:37" x14ac:dyDescent="0.3">
      <c r="G6" s="125" t="s">
        <v>62</v>
      </c>
      <c r="H6" s="252" t="s">
        <v>745</v>
      </c>
      <c r="N6" s="139"/>
      <c r="O6" s="242"/>
      <c r="P6" s="242"/>
      <c r="Q6" s="242"/>
      <c r="R6" s="253"/>
      <c r="S6" s="242"/>
      <c r="T6" s="141"/>
      <c r="U6" s="139"/>
      <c r="V6" s="139"/>
      <c r="W6" s="248"/>
      <c r="X6" s="248"/>
      <c r="Y6" s="139"/>
      <c r="Z6" s="139"/>
      <c r="AA6" s="243"/>
      <c r="AB6" s="248"/>
      <c r="AC6" s="248"/>
      <c r="AD6" s="249"/>
      <c r="AE6" s="139"/>
      <c r="AF6" s="242"/>
      <c r="AG6" s="250"/>
      <c r="AH6" s="242"/>
      <c r="AI6" s="242"/>
      <c r="AJ6" s="242"/>
    </row>
    <row r="7" spans="3:37" x14ac:dyDescent="0.3">
      <c r="G7" s="125"/>
      <c r="H7" s="252"/>
      <c r="N7" s="139"/>
      <c r="O7" s="242"/>
      <c r="P7" s="242"/>
      <c r="Q7" s="242"/>
      <c r="R7" s="250"/>
      <c r="S7" s="242"/>
      <c r="T7" s="141"/>
      <c r="U7" s="139"/>
      <c r="V7" s="139"/>
      <c r="W7" s="248"/>
      <c r="X7" s="248"/>
      <c r="Y7" s="139"/>
      <c r="Z7" s="139"/>
      <c r="AA7" s="243"/>
      <c r="AB7" s="248"/>
      <c r="AC7" s="248"/>
      <c r="AD7" s="248"/>
      <c r="AE7" s="139"/>
      <c r="AF7" s="242"/>
      <c r="AG7" s="250"/>
      <c r="AH7" s="242"/>
      <c r="AI7" s="242"/>
      <c r="AJ7" s="242"/>
    </row>
    <row r="8" spans="3:37" x14ac:dyDescent="0.3">
      <c r="G8" s="125"/>
      <c r="H8" s="252"/>
      <c r="N8" s="139"/>
      <c r="P8" s="242"/>
      <c r="Q8" s="242"/>
      <c r="R8" s="139"/>
      <c r="S8" s="242"/>
      <c r="T8" s="141"/>
      <c r="U8" s="139"/>
      <c r="V8" s="139"/>
      <c r="W8" s="249"/>
      <c r="X8" s="249"/>
      <c r="Y8" s="139"/>
      <c r="Z8" s="139"/>
      <c r="AA8" s="243"/>
      <c r="AB8" s="249"/>
      <c r="AC8" s="254"/>
      <c r="AD8" s="255"/>
      <c r="AE8" s="139"/>
      <c r="AF8" s="242"/>
      <c r="AG8" s="242"/>
      <c r="AH8" s="242"/>
      <c r="AI8" s="139"/>
      <c r="AJ8" s="139"/>
    </row>
    <row r="9" spans="3:37" x14ac:dyDescent="0.3">
      <c r="G9" s="125" t="s">
        <v>263</v>
      </c>
      <c r="H9" s="252">
        <f>COUNTA(_xlfn.UNIQUE(H18:H79))</f>
        <v>62</v>
      </c>
      <c r="I9" s="256"/>
      <c r="N9" s="139"/>
      <c r="P9" s="242"/>
      <c r="Q9" s="242"/>
      <c r="R9" s="250"/>
      <c r="S9" s="242"/>
      <c r="T9" s="141"/>
      <c r="U9" s="139"/>
      <c r="V9" s="139"/>
      <c r="W9" s="257"/>
      <c r="X9" s="257"/>
      <c r="Y9" s="139"/>
      <c r="Z9" s="139"/>
      <c r="AA9" s="243"/>
      <c r="AB9" s="257"/>
      <c r="AC9" s="257"/>
      <c r="AD9" s="254"/>
      <c r="AE9" s="139"/>
      <c r="AF9" s="242"/>
      <c r="AG9" s="242"/>
      <c r="AH9" s="242"/>
      <c r="AI9" s="139"/>
      <c r="AJ9" s="139"/>
    </row>
    <row r="10" spans="3:37" x14ac:dyDescent="0.3">
      <c r="G10" s="125" t="s">
        <v>264</v>
      </c>
      <c r="H10" s="258">
        <f>R18-Q18</f>
        <v>3.8734521143552303E-2</v>
      </c>
      <c r="I10" s="259"/>
      <c r="N10" s="139"/>
      <c r="P10" s="242"/>
      <c r="Q10" s="242"/>
      <c r="R10" s="242"/>
      <c r="S10" s="242"/>
      <c r="T10" s="141"/>
      <c r="U10" s="139"/>
      <c r="V10" s="139"/>
      <c r="W10" s="257"/>
      <c r="X10" s="257"/>
      <c r="Y10" s="139"/>
      <c r="Z10" s="139"/>
      <c r="AA10" s="243"/>
      <c r="AB10" s="257"/>
      <c r="AC10" s="257"/>
      <c r="AD10" s="260"/>
      <c r="AE10" s="139"/>
      <c r="AF10" s="242"/>
      <c r="AG10" s="242"/>
      <c r="AH10" s="139"/>
      <c r="AI10" s="139"/>
      <c r="AJ10" s="139"/>
    </row>
    <row r="11" spans="3:37" x14ac:dyDescent="0.3">
      <c r="G11" s="127" t="s">
        <v>202</v>
      </c>
      <c r="H11" s="268">
        <f>AA14</f>
        <v>17904729.560000002</v>
      </c>
      <c r="I11" s="259"/>
      <c r="N11" s="139"/>
      <c r="P11" s="242"/>
      <c r="Q11" s="242"/>
      <c r="R11" s="242"/>
      <c r="S11" s="242"/>
      <c r="T11" s="141"/>
      <c r="U11" s="139"/>
      <c r="V11" s="139"/>
      <c r="W11" s="139"/>
      <c r="X11" s="261"/>
      <c r="Y11" s="139"/>
      <c r="Z11" s="139"/>
      <c r="AA11" s="242"/>
      <c r="AB11" s="242"/>
      <c r="AC11" s="242"/>
      <c r="AD11" s="262"/>
      <c r="AE11" s="139"/>
      <c r="AF11" s="242"/>
      <c r="AG11" s="242"/>
      <c r="AH11" s="242"/>
      <c r="AI11" s="139"/>
      <c r="AJ11" s="139"/>
    </row>
    <row r="12" spans="3:37" x14ac:dyDescent="0.3">
      <c r="N12" s="139"/>
      <c r="P12" s="242"/>
      <c r="Q12" s="242"/>
      <c r="R12" s="242"/>
      <c r="S12" s="242"/>
      <c r="T12" s="141"/>
      <c r="U12" s="139"/>
      <c r="V12" s="139"/>
      <c r="W12" s="139"/>
      <c r="X12" s="139"/>
      <c r="Y12" s="139"/>
      <c r="Z12" s="139"/>
      <c r="AA12" s="242"/>
      <c r="AB12" s="242"/>
      <c r="AC12" s="242"/>
      <c r="AD12" s="262"/>
      <c r="AE12" s="139"/>
      <c r="AF12" s="242"/>
      <c r="AG12" s="242"/>
      <c r="AH12" s="242"/>
      <c r="AI12" s="139"/>
      <c r="AJ12" s="139"/>
    </row>
    <row r="13" spans="3:37" x14ac:dyDescent="0.3">
      <c r="H13" s="125"/>
      <c r="I13" s="258"/>
      <c r="AF13" s="129"/>
      <c r="AG13" s="129"/>
      <c r="AH13" s="129"/>
    </row>
    <row r="14" spans="3:37" x14ac:dyDescent="0.3">
      <c r="P14" s="135"/>
      <c r="S14" s="135" t="s">
        <v>267</v>
      </c>
      <c r="U14" s="129">
        <f>SUM(U18:U79)</f>
        <v>17175000</v>
      </c>
      <c r="Z14" s="129">
        <f>SUM(Z18:Z79)</f>
        <v>17785012.5</v>
      </c>
      <c r="AA14" s="129">
        <f>SUM(AA18:AA79)</f>
        <v>17904729.560000002</v>
      </c>
      <c r="AB14" s="129">
        <f>SUM(AB18:AB79)</f>
        <v>17897688.75</v>
      </c>
      <c r="AI14" s="129">
        <f>SUM(AI18:AI79)</f>
        <v>2016217.8673355484</v>
      </c>
      <c r="AJ14" s="129">
        <f>SUM(AJ18:AJ79)</f>
        <v>371800</v>
      </c>
    </row>
    <row r="15" spans="3:37" ht="12" customHeight="1" x14ac:dyDescent="0.3">
      <c r="C15" s="136"/>
      <c r="D15" s="136"/>
      <c r="E15" s="136"/>
      <c r="F15" s="137"/>
      <c r="G15" s="137"/>
      <c r="H15" s="137"/>
      <c r="I15" s="137"/>
      <c r="J15" s="137"/>
      <c r="K15" s="137"/>
      <c r="L15" s="137"/>
      <c r="M15" s="137"/>
      <c r="N15" s="138"/>
      <c r="O15" s="137"/>
      <c r="P15" s="135"/>
      <c r="Q15" s="137"/>
      <c r="R15" s="137"/>
      <c r="S15" s="135" t="s">
        <v>268</v>
      </c>
      <c r="T15" s="137"/>
      <c r="U15" s="139">
        <f>SUM(U18:U114)</f>
        <v>18325000</v>
      </c>
      <c r="V15" s="139"/>
      <c r="W15" s="139"/>
      <c r="Y15" s="140"/>
      <c r="Z15" s="139">
        <f>SUM(Z18:Z114)</f>
        <v>18882908.996999998</v>
      </c>
      <c r="AA15" s="139">
        <f>SUM(AA18:AA114)</f>
        <v>19002626.057</v>
      </c>
      <c r="AB15" s="139">
        <f>SUM(AB18:AB114)</f>
        <v>17897688.75</v>
      </c>
      <c r="AC15" s="139"/>
      <c r="AD15" s="140"/>
      <c r="AE15" s="140"/>
      <c r="AF15" s="141"/>
      <c r="AG15" s="141"/>
      <c r="AH15" s="141"/>
      <c r="AI15" s="139">
        <f>SUM(AI18:AI114)</f>
        <v>2047205.3673355484</v>
      </c>
      <c r="AJ15" s="139">
        <f>SUM(AJ18:AJ114)</f>
        <v>371800</v>
      </c>
    </row>
    <row r="16" spans="3:37" ht="12" customHeight="1" x14ac:dyDescent="0.3">
      <c r="C16" s="136"/>
      <c r="D16" s="136"/>
      <c r="E16" s="136"/>
      <c r="F16" s="137"/>
      <c r="G16" s="137"/>
      <c r="H16" s="137"/>
      <c r="I16" s="137"/>
      <c r="J16" s="137"/>
      <c r="K16" s="137"/>
      <c r="L16" s="137"/>
      <c r="M16" s="137"/>
      <c r="N16" s="138"/>
      <c r="O16" s="137"/>
      <c r="P16" s="137"/>
      <c r="Q16" s="137"/>
      <c r="R16" s="137"/>
      <c r="S16" s="137"/>
      <c r="T16" s="137"/>
      <c r="U16" s="139"/>
      <c r="V16" s="139"/>
      <c r="W16" s="139"/>
      <c r="Y16" s="140"/>
      <c r="Z16" s="139"/>
      <c r="AA16" s="139"/>
      <c r="AB16" s="139"/>
      <c r="AC16" s="139"/>
      <c r="AD16" s="140"/>
      <c r="AE16" s="140"/>
      <c r="AF16" s="141"/>
      <c r="AG16" s="141"/>
      <c r="AH16" s="141"/>
      <c r="AI16" s="139"/>
      <c r="AJ16" s="139"/>
    </row>
    <row r="17" spans="1:37" ht="36" x14ac:dyDescent="0.3">
      <c r="B17" s="142" t="s">
        <v>192</v>
      </c>
      <c r="C17" s="142" t="s">
        <v>269</v>
      </c>
      <c r="D17" s="142" t="s">
        <v>270</v>
      </c>
      <c r="E17" s="142" t="s">
        <v>271</v>
      </c>
      <c r="F17" s="142" t="s">
        <v>272</v>
      </c>
      <c r="G17" s="142" t="s">
        <v>273</v>
      </c>
      <c r="H17" s="142" t="s">
        <v>62</v>
      </c>
      <c r="I17" s="142" t="s">
        <v>274</v>
      </c>
      <c r="J17" s="143" t="s">
        <v>275</v>
      </c>
      <c r="K17" s="143" t="s">
        <v>276</v>
      </c>
      <c r="L17" s="143" t="s">
        <v>277</v>
      </c>
      <c r="M17" s="143" t="s">
        <v>278</v>
      </c>
      <c r="N17" s="144" t="s">
        <v>279</v>
      </c>
      <c r="O17" s="142" t="s">
        <v>280</v>
      </c>
      <c r="P17" s="145" t="s">
        <v>281</v>
      </c>
      <c r="Q17" s="145" t="s">
        <v>282</v>
      </c>
      <c r="R17" s="145" t="s">
        <v>283</v>
      </c>
      <c r="S17" s="145" t="s">
        <v>284</v>
      </c>
      <c r="T17" s="145" t="s">
        <v>285</v>
      </c>
      <c r="U17" s="145" t="s">
        <v>286</v>
      </c>
      <c r="V17" s="145" t="s">
        <v>287</v>
      </c>
      <c r="W17" s="145" t="s">
        <v>288</v>
      </c>
      <c r="X17" s="145" t="s">
        <v>289</v>
      </c>
      <c r="Y17" s="145" t="s">
        <v>290</v>
      </c>
      <c r="Z17" s="146" t="s">
        <v>291</v>
      </c>
      <c r="AA17" s="147" t="s">
        <v>292</v>
      </c>
      <c r="AB17" s="148" t="s">
        <v>746</v>
      </c>
      <c r="AC17" s="147" t="s">
        <v>293</v>
      </c>
      <c r="AD17" s="145" t="s">
        <v>294</v>
      </c>
      <c r="AE17" s="145" t="s">
        <v>295</v>
      </c>
      <c r="AF17" s="149" t="s">
        <v>296</v>
      </c>
      <c r="AG17" s="149" t="s">
        <v>297</v>
      </c>
      <c r="AH17" s="149" t="s">
        <v>298</v>
      </c>
      <c r="AI17" s="147" t="s">
        <v>299</v>
      </c>
      <c r="AJ17" s="147" t="s">
        <v>300</v>
      </c>
    </row>
    <row r="18" spans="1:37" ht="12" x14ac:dyDescent="0.25">
      <c r="A18" s="77" t="s">
        <v>230</v>
      </c>
      <c r="B18" s="77" t="s">
        <v>747</v>
      </c>
      <c r="C18" s="77" t="s">
        <v>234</v>
      </c>
      <c r="D18" s="77">
        <v>45749</v>
      </c>
      <c r="E18" s="77">
        <v>45750</v>
      </c>
      <c r="F18" s="77" t="s">
        <v>301</v>
      </c>
      <c r="G18" s="77" t="s">
        <v>302</v>
      </c>
      <c r="H18" s="77" t="s">
        <v>230</v>
      </c>
      <c r="I18" s="77" t="s">
        <v>303</v>
      </c>
      <c r="J18" s="77" t="s">
        <v>304</v>
      </c>
      <c r="K18" s="77" t="s">
        <v>305</v>
      </c>
      <c r="L18" s="77" t="s">
        <v>306</v>
      </c>
      <c r="M18" s="77" t="s">
        <v>307</v>
      </c>
      <c r="N18" s="129">
        <v>150000000</v>
      </c>
      <c r="O18" s="77" t="s">
        <v>308</v>
      </c>
      <c r="P18" s="130">
        <v>7.9000000000000008E-3</v>
      </c>
      <c r="Q18" s="130">
        <v>2.3430279977205756E-2</v>
      </c>
      <c r="R18" s="130">
        <v>6.2164801120758055E-2</v>
      </c>
      <c r="S18" s="150">
        <v>101.32</v>
      </c>
      <c r="T18" s="131">
        <v>101</v>
      </c>
      <c r="U18" s="129">
        <v>250000</v>
      </c>
      <c r="V18" s="129" t="s">
        <v>28</v>
      </c>
      <c r="W18" s="131">
        <v>1</v>
      </c>
      <c r="X18" s="129">
        <v>0</v>
      </c>
      <c r="Y18" s="129">
        <v>2</v>
      </c>
      <c r="Z18" s="129">
        <v>252500</v>
      </c>
      <c r="AA18" s="129">
        <v>252500</v>
      </c>
      <c r="AB18" s="129">
        <v>254175</v>
      </c>
      <c r="AC18" s="131">
        <v>3.3890410958904109</v>
      </c>
      <c r="AD18" s="151">
        <v>5.6722120000000001E-2</v>
      </c>
      <c r="AE18" s="151">
        <v>1.805732217472758E-2</v>
      </c>
      <c r="AF18" s="130">
        <v>1.015732217472758E-2</v>
      </c>
      <c r="AG18" s="130">
        <v>0.43749565542207441</v>
      </c>
      <c r="AH18" s="131">
        <v>2.2857369841427313</v>
      </c>
      <c r="AI18" s="129">
        <v>15541.200280189514</v>
      </c>
      <c r="AJ18" s="129">
        <v>1975.0000000000002</v>
      </c>
      <c r="AK18" s="127">
        <f>COUNTIF($H$18:$H$114,H18)</f>
        <v>1</v>
      </c>
    </row>
    <row r="19" spans="1:37" ht="12" x14ac:dyDescent="0.25">
      <c r="A19" s="77" t="s">
        <v>231</v>
      </c>
      <c r="B19" s="77" t="s">
        <v>747</v>
      </c>
      <c r="C19" s="77" t="s">
        <v>234</v>
      </c>
      <c r="D19" s="77">
        <v>45751</v>
      </c>
      <c r="E19" s="77">
        <v>45754</v>
      </c>
      <c r="F19" s="77" t="s">
        <v>309</v>
      </c>
      <c r="G19" s="77" t="s">
        <v>310</v>
      </c>
      <c r="H19" s="77" t="s">
        <v>231</v>
      </c>
      <c r="I19" s="77" t="s">
        <v>311</v>
      </c>
      <c r="J19" s="77" t="s">
        <v>312</v>
      </c>
      <c r="K19" s="77" t="s">
        <v>313</v>
      </c>
      <c r="L19" s="77" t="s">
        <v>314</v>
      </c>
      <c r="M19" s="77" t="s">
        <v>315</v>
      </c>
      <c r="N19" s="129">
        <v>30000000</v>
      </c>
      <c r="O19" s="77" t="s">
        <v>316</v>
      </c>
      <c r="P19" s="130">
        <v>2.6200000000000001E-2</v>
      </c>
      <c r="Q19" s="130">
        <v>6.6102750044470304E-2</v>
      </c>
      <c r="R19" s="130">
        <v>0.10476479396820068</v>
      </c>
      <c r="S19" s="150">
        <v>99.76</v>
      </c>
      <c r="T19" s="131">
        <v>100.2</v>
      </c>
      <c r="U19" s="129">
        <v>250000</v>
      </c>
      <c r="V19" s="129" t="s">
        <v>28</v>
      </c>
      <c r="W19" s="131">
        <v>1</v>
      </c>
      <c r="X19" s="129">
        <v>798.60999999998603</v>
      </c>
      <c r="Y19" s="129">
        <v>20</v>
      </c>
      <c r="Z19" s="129">
        <v>250500</v>
      </c>
      <c r="AA19" s="129">
        <v>251298.61</v>
      </c>
      <c r="AB19" s="129">
        <v>254375</v>
      </c>
      <c r="AC19" s="131">
        <v>2.3972602739726026</v>
      </c>
      <c r="AD19" s="151">
        <v>0.10367698</v>
      </c>
      <c r="AE19" s="151">
        <v>6.4986354510975147E-2</v>
      </c>
      <c r="AF19" s="130">
        <v>3.8786354510975146E-2</v>
      </c>
      <c r="AG19" s="130">
        <v>0.40316155902506029</v>
      </c>
      <c r="AH19" s="131">
        <v>2.4803952103425631</v>
      </c>
      <c r="AI19" s="129">
        <v>26191.198492050171</v>
      </c>
      <c r="AJ19" s="129">
        <v>6550</v>
      </c>
      <c r="AK19" s="127">
        <f t="shared" ref="AK19:AK82" si="0">COUNTIF($H$18:$H$114,H19)</f>
        <v>1</v>
      </c>
    </row>
    <row r="20" spans="1:37" ht="12" x14ac:dyDescent="0.25">
      <c r="A20" s="77" t="s">
        <v>317</v>
      </c>
      <c r="B20" s="77" t="s">
        <v>747</v>
      </c>
      <c r="C20" s="77" t="s">
        <v>234</v>
      </c>
      <c r="D20" s="77">
        <v>45751</v>
      </c>
      <c r="E20" s="77">
        <v>45754</v>
      </c>
      <c r="F20" s="77" t="s">
        <v>301</v>
      </c>
      <c r="G20" s="77" t="s">
        <v>318</v>
      </c>
      <c r="H20" s="77" t="s">
        <v>317</v>
      </c>
      <c r="I20" s="77" t="s">
        <v>319</v>
      </c>
      <c r="J20" s="77" t="s">
        <v>312</v>
      </c>
      <c r="K20" s="77" t="s">
        <v>305</v>
      </c>
      <c r="L20" s="77" t="s">
        <v>320</v>
      </c>
      <c r="M20" s="77" t="s">
        <v>321</v>
      </c>
      <c r="N20" s="129">
        <v>200000000</v>
      </c>
      <c r="O20" s="77" t="s">
        <v>322</v>
      </c>
      <c r="P20" s="130">
        <v>1.0800000000000001E-2</v>
      </c>
      <c r="Q20" s="130">
        <v>5.2493054522594618E-2</v>
      </c>
      <c r="R20" s="130">
        <v>9.06E-2</v>
      </c>
      <c r="S20" s="150">
        <v>102.71</v>
      </c>
      <c r="T20" s="131">
        <v>102.85</v>
      </c>
      <c r="U20" s="129">
        <v>250000</v>
      </c>
      <c r="V20" s="129" t="s">
        <v>28</v>
      </c>
      <c r="W20" s="131">
        <v>1</v>
      </c>
      <c r="X20" s="129">
        <v>1020.8299999999872</v>
      </c>
      <c r="Y20" s="129">
        <v>28</v>
      </c>
      <c r="Z20" s="129">
        <v>257125</v>
      </c>
      <c r="AA20" s="129">
        <v>258145.83</v>
      </c>
      <c r="AB20" s="129">
        <v>258800</v>
      </c>
      <c r="AC20" s="131">
        <v>1.1506849315068493</v>
      </c>
      <c r="AD20" s="151">
        <v>7.6703099999999996E-2</v>
      </c>
      <c r="AE20" s="151">
        <v>3.5303103168869789E-2</v>
      </c>
      <c r="AF20" s="130">
        <v>2.4503103168869788E-2</v>
      </c>
      <c r="AG20" s="130">
        <v>0.30592211535453406</v>
      </c>
      <c r="AH20" s="131">
        <v>3.2688058489694245</v>
      </c>
      <c r="AI20" s="129">
        <v>22650</v>
      </c>
      <c r="AJ20" s="129">
        <v>2700</v>
      </c>
      <c r="AK20" s="127">
        <f t="shared" si="0"/>
        <v>1</v>
      </c>
    </row>
    <row r="21" spans="1:37" ht="12" x14ac:dyDescent="0.25">
      <c r="A21" s="77" t="s">
        <v>323</v>
      </c>
      <c r="B21" s="77" t="s">
        <v>747</v>
      </c>
      <c r="C21" s="77" t="s">
        <v>234</v>
      </c>
      <c r="D21" s="77">
        <v>45751</v>
      </c>
      <c r="E21" s="77">
        <v>45754</v>
      </c>
      <c r="F21" s="77" t="s">
        <v>301</v>
      </c>
      <c r="G21" s="77" t="s">
        <v>324</v>
      </c>
      <c r="H21" s="77" t="s">
        <v>323</v>
      </c>
      <c r="I21" s="77" t="s">
        <v>325</v>
      </c>
      <c r="J21" s="77" t="s">
        <v>312</v>
      </c>
      <c r="K21" s="77" t="s">
        <v>305</v>
      </c>
      <c r="L21" s="77" t="s">
        <v>326</v>
      </c>
      <c r="M21" s="77" t="s">
        <v>327</v>
      </c>
      <c r="N21" s="129">
        <v>120000000</v>
      </c>
      <c r="O21" s="77" t="s">
        <v>328</v>
      </c>
      <c r="P21" s="130">
        <v>1.5100000000000001E-2</v>
      </c>
      <c r="Q21" s="130">
        <v>2.8000797571017751E-2</v>
      </c>
      <c r="R21" s="130">
        <v>6.6600000000000006E-2</v>
      </c>
      <c r="S21" s="150">
        <v>99.85</v>
      </c>
      <c r="T21" s="131">
        <v>101</v>
      </c>
      <c r="U21" s="129">
        <v>250000</v>
      </c>
      <c r="V21" s="129" t="s">
        <v>28</v>
      </c>
      <c r="W21" s="131">
        <v>1</v>
      </c>
      <c r="X21" s="129">
        <v>114.57999999998719</v>
      </c>
      <c r="Y21" s="129">
        <v>6</v>
      </c>
      <c r="Z21" s="129">
        <v>252500</v>
      </c>
      <c r="AA21" s="129">
        <v>252614.58</v>
      </c>
      <c r="AB21" s="129">
        <v>252225</v>
      </c>
      <c r="AC21" s="131">
        <v>0.39452054794520547</v>
      </c>
      <c r="AD21" s="151">
        <v>5.962858E-2</v>
      </c>
      <c r="AE21" s="151">
        <v>1.7928576086715227E-2</v>
      </c>
      <c r="AF21" s="130">
        <v>2.8285760867152263E-3</v>
      </c>
      <c r="AG21" s="130">
        <v>0.84223085687149724</v>
      </c>
      <c r="AH21" s="131">
        <v>1.187322919650015</v>
      </c>
      <c r="AI21" s="129">
        <v>16650</v>
      </c>
      <c r="AJ21" s="129">
        <v>3775</v>
      </c>
      <c r="AK21" s="127">
        <f t="shared" si="0"/>
        <v>1</v>
      </c>
    </row>
    <row r="22" spans="1:37" ht="12" x14ac:dyDescent="0.25">
      <c r="A22" s="77" t="s">
        <v>329</v>
      </c>
      <c r="B22" s="77" t="s">
        <v>747</v>
      </c>
      <c r="C22" s="77" t="s">
        <v>234</v>
      </c>
      <c r="D22" s="77">
        <v>45751</v>
      </c>
      <c r="E22" s="77">
        <v>45754</v>
      </c>
      <c r="F22" s="77" t="s">
        <v>309</v>
      </c>
      <c r="G22" s="77" t="s">
        <v>330</v>
      </c>
      <c r="H22" s="77" t="s">
        <v>329</v>
      </c>
      <c r="I22" s="77" t="s">
        <v>331</v>
      </c>
      <c r="J22" s="77" t="s">
        <v>304</v>
      </c>
      <c r="K22" s="77" t="s">
        <v>305</v>
      </c>
      <c r="L22" s="77" t="s">
        <v>332</v>
      </c>
      <c r="M22" s="77" t="s">
        <v>333</v>
      </c>
      <c r="N22" s="129">
        <v>300000000</v>
      </c>
      <c r="O22" s="77" t="s">
        <v>334</v>
      </c>
      <c r="P22" s="130">
        <v>1.0500000000000001E-2</v>
      </c>
      <c r="Q22" s="130">
        <v>5.5000616024999997E-2</v>
      </c>
      <c r="R22" s="130">
        <v>9.3200000000000005E-2</v>
      </c>
      <c r="S22" s="150">
        <v>102.96</v>
      </c>
      <c r="T22" s="131">
        <v>103.95</v>
      </c>
      <c r="U22" s="129">
        <v>250000</v>
      </c>
      <c r="V22" s="129" t="s">
        <v>28</v>
      </c>
      <c r="W22" s="131">
        <v>1</v>
      </c>
      <c r="X22" s="129">
        <v>1393.8399999999965</v>
      </c>
      <c r="Y22" s="129">
        <v>37</v>
      </c>
      <c r="Z22" s="129">
        <v>259875</v>
      </c>
      <c r="AA22" s="129">
        <v>261268.84</v>
      </c>
      <c r="AB22" s="129">
        <v>256925</v>
      </c>
      <c r="AC22" s="131">
        <v>1.0630136986301371</v>
      </c>
      <c r="AD22" s="151">
        <v>7.1253140000000006E-2</v>
      </c>
      <c r="AE22" s="151">
        <v>2.9653136507530774E-2</v>
      </c>
      <c r="AF22" s="130">
        <v>1.9153136507530776E-2</v>
      </c>
      <c r="AG22" s="130">
        <v>0.35409407693966533</v>
      </c>
      <c r="AH22" s="131">
        <v>2.8241082388124545</v>
      </c>
      <c r="AI22" s="129">
        <v>23300</v>
      </c>
      <c r="AJ22" s="129">
        <v>2625</v>
      </c>
      <c r="AK22" s="127">
        <f t="shared" si="0"/>
        <v>1</v>
      </c>
    </row>
    <row r="23" spans="1:37" ht="12" x14ac:dyDescent="0.25">
      <c r="A23" s="77" t="s">
        <v>335</v>
      </c>
      <c r="B23" s="77" t="s">
        <v>747</v>
      </c>
      <c r="C23" s="77" t="s">
        <v>234</v>
      </c>
      <c r="D23" s="77">
        <v>45755</v>
      </c>
      <c r="E23" s="77">
        <v>45756</v>
      </c>
      <c r="F23" s="77" t="s">
        <v>301</v>
      </c>
      <c r="G23" s="77" t="s">
        <v>336</v>
      </c>
      <c r="H23" s="77" t="s">
        <v>335</v>
      </c>
      <c r="I23" s="77" t="s">
        <v>337</v>
      </c>
      <c r="J23" s="77" t="s">
        <v>312</v>
      </c>
      <c r="K23" s="77" t="s">
        <v>305</v>
      </c>
      <c r="L23" s="77" t="s">
        <v>338</v>
      </c>
      <c r="M23" s="77" t="s">
        <v>339</v>
      </c>
      <c r="N23" s="129">
        <v>300000000</v>
      </c>
      <c r="O23" s="77" t="s">
        <v>340</v>
      </c>
      <c r="P23" s="130">
        <v>1.43E-2</v>
      </c>
      <c r="Q23" s="130">
        <v>3.496664027454658E-2</v>
      </c>
      <c r="R23" s="130">
        <v>7.3507139999999999E-2</v>
      </c>
      <c r="S23" s="150">
        <v>99.62</v>
      </c>
      <c r="T23" s="131">
        <v>100.25</v>
      </c>
      <c r="U23" s="129">
        <v>250000</v>
      </c>
      <c r="V23" s="129" t="s">
        <v>28</v>
      </c>
      <c r="W23" s="131">
        <v>1</v>
      </c>
      <c r="X23" s="129">
        <v>729.17000000001281</v>
      </c>
      <c r="Y23" s="129">
        <v>30</v>
      </c>
      <c r="Z23" s="129">
        <v>250625</v>
      </c>
      <c r="AA23" s="129">
        <v>251354.17</v>
      </c>
      <c r="AB23" s="129">
        <v>253200</v>
      </c>
      <c r="AC23" s="131">
        <v>2.3150684931506849</v>
      </c>
      <c r="AD23" s="151">
        <v>7.558753E-2</v>
      </c>
      <c r="AE23" s="151">
        <v>3.4027532550403555E-2</v>
      </c>
      <c r="AF23" s="130">
        <v>1.9727532550403555E-2</v>
      </c>
      <c r="AG23" s="130">
        <v>0.42024792655235904</v>
      </c>
      <c r="AH23" s="131">
        <v>2.3795477307974515</v>
      </c>
      <c r="AI23" s="129">
        <v>18376.785</v>
      </c>
      <c r="AJ23" s="129">
        <v>3575</v>
      </c>
      <c r="AK23" s="127">
        <f t="shared" si="0"/>
        <v>1</v>
      </c>
    </row>
    <row r="24" spans="1:37" ht="12" x14ac:dyDescent="0.25">
      <c r="A24" s="77" t="s">
        <v>341</v>
      </c>
      <c r="B24" s="77" t="s">
        <v>747</v>
      </c>
      <c r="C24" s="77" t="s">
        <v>234</v>
      </c>
      <c r="D24" s="77">
        <v>45755</v>
      </c>
      <c r="E24" s="77">
        <v>45756</v>
      </c>
      <c r="F24" s="77" t="s">
        <v>309</v>
      </c>
      <c r="G24" s="77" t="s">
        <v>342</v>
      </c>
      <c r="H24" s="77" t="s">
        <v>341</v>
      </c>
      <c r="I24" s="77" t="s">
        <v>343</v>
      </c>
      <c r="J24" s="77" t="s">
        <v>312</v>
      </c>
      <c r="K24" s="77" t="s">
        <v>305</v>
      </c>
      <c r="L24" s="77" t="s">
        <v>344</v>
      </c>
      <c r="M24" s="77" t="s">
        <v>345</v>
      </c>
      <c r="N24" s="129">
        <v>200000000</v>
      </c>
      <c r="O24" s="77" t="s">
        <v>346</v>
      </c>
      <c r="P24" s="130">
        <v>1.0800000000000001E-2</v>
      </c>
      <c r="Q24" s="130">
        <v>5.1341884104035361E-2</v>
      </c>
      <c r="R24" s="130">
        <v>8.9599999999999985E-2</v>
      </c>
      <c r="S24" s="150">
        <v>101.78</v>
      </c>
      <c r="T24" s="131">
        <v>100.65</v>
      </c>
      <c r="U24" s="129">
        <v>250000</v>
      </c>
      <c r="V24" s="129" t="s">
        <v>28</v>
      </c>
      <c r="W24" s="131">
        <v>1</v>
      </c>
      <c r="X24" s="129">
        <v>69.440000000002328</v>
      </c>
      <c r="Y24" s="129">
        <v>2</v>
      </c>
      <c r="Z24" s="129">
        <v>251625</v>
      </c>
      <c r="AA24" s="129">
        <v>251694.44</v>
      </c>
      <c r="AB24" s="129">
        <v>257512.5</v>
      </c>
      <c r="AC24" s="131">
        <v>2.3945205479452056</v>
      </c>
      <c r="AD24" s="151">
        <v>9.0424110000000002E-2</v>
      </c>
      <c r="AE24" s="151">
        <v>4.8924107551615865E-2</v>
      </c>
      <c r="AF24" s="130">
        <v>3.8124107551615868E-2</v>
      </c>
      <c r="AG24" s="130">
        <v>0.22075006659254429</v>
      </c>
      <c r="AH24" s="131">
        <v>4.5300099584829496</v>
      </c>
      <c r="AI24" s="129">
        <v>22399.999999999996</v>
      </c>
      <c r="AJ24" s="129">
        <v>2700</v>
      </c>
      <c r="AK24" s="127">
        <f t="shared" si="0"/>
        <v>1</v>
      </c>
    </row>
    <row r="25" spans="1:37" ht="12" x14ac:dyDescent="0.25">
      <c r="A25" s="77" t="s">
        <v>347</v>
      </c>
      <c r="B25" s="77" t="s">
        <v>747</v>
      </c>
      <c r="C25" s="77" t="s">
        <v>234</v>
      </c>
      <c r="D25" s="77">
        <v>45756</v>
      </c>
      <c r="E25" s="77">
        <v>45757</v>
      </c>
      <c r="F25" s="77" t="s">
        <v>301</v>
      </c>
      <c r="G25" s="77" t="s">
        <v>348</v>
      </c>
      <c r="H25" s="77" t="s">
        <v>347</v>
      </c>
      <c r="I25" s="77" t="s">
        <v>349</v>
      </c>
      <c r="J25" s="77" t="s">
        <v>312</v>
      </c>
      <c r="K25" s="77" t="s">
        <v>305</v>
      </c>
      <c r="L25" s="77" t="s">
        <v>350</v>
      </c>
      <c r="M25" s="77" t="s">
        <v>321</v>
      </c>
      <c r="N25" s="129">
        <v>255000000</v>
      </c>
      <c r="O25" s="77" t="s">
        <v>351</v>
      </c>
      <c r="P25" s="130">
        <v>1.4E-3</v>
      </c>
      <c r="Q25" s="130">
        <v>4.0195003191350213E-2</v>
      </c>
      <c r="R25" s="130">
        <v>7.85E-2</v>
      </c>
      <c r="S25" s="150">
        <v>102.14</v>
      </c>
      <c r="T25" s="131">
        <v>102.3</v>
      </c>
      <c r="U25" s="129">
        <v>250000</v>
      </c>
      <c r="V25" s="129" t="s">
        <v>28</v>
      </c>
      <c r="W25" s="131">
        <v>1</v>
      </c>
      <c r="X25" s="129">
        <v>55.559999999997672</v>
      </c>
      <c r="Y25" s="129">
        <v>2</v>
      </c>
      <c r="Z25" s="129">
        <v>255750</v>
      </c>
      <c r="AA25" s="129">
        <v>255805.56</v>
      </c>
      <c r="AB25" s="129">
        <v>256200</v>
      </c>
      <c r="AC25" s="131">
        <v>1.1506849315068493</v>
      </c>
      <c r="AD25" s="151">
        <v>6.7969870000000002E-2</v>
      </c>
      <c r="AE25" s="151">
        <v>2.6369870811728462E-2</v>
      </c>
      <c r="AF25" s="130">
        <v>2.4969870811728464E-2</v>
      </c>
      <c r="AG25" s="130">
        <v>5.3090893391003091E-2</v>
      </c>
      <c r="AH25" s="131">
        <v>18.835622008377474</v>
      </c>
      <c r="AI25" s="129">
        <v>19625</v>
      </c>
      <c r="AJ25" s="129">
        <v>350</v>
      </c>
      <c r="AK25" s="127">
        <f t="shared" si="0"/>
        <v>1</v>
      </c>
    </row>
    <row r="26" spans="1:37" ht="12" hidden="1" x14ac:dyDescent="0.25">
      <c r="A26" s="77" t="s">
        <v>352</v>
      </c>
      <c r="B26" s="77" t="s">
        <v>747</v>
      </c>
      <c r="C26" s="77" t="s">
        <v>234</v>
      </c>
      <c r="D26" s="77">
        <v>45756</v>
      </c>
      <c r="E26" s="77">
        <v>45757</v>
      </c>
      <c r="F26" s="77" t="s">
        <v>309</v>
      </c>
      <c r="G26" s="77" t="s">
        <v>353</v>
      </c>
      <c r="H26" s="77" t="s">
        <v>352</v>
      </c>
      <c r="I26" s="77" t="s">
        <v>354</v>
      </c>
      <c r="J26" s="77" t="s">
        <v>312</v>
      </c>
      <c r="K26" s="77" t="s">
        <v>305</v>
      </c>
      <c r="L26" s="77" t="s">
        <v>355</v>
      </c>
      <c r="M26" s="77" t="s">
        <v>356</v>
      </c>
      <c r="N26" s="129">
        <v>100000000</v>
      </c>
      <c r="O26" s="77" t="s">
        <v>357</v>
      </c>
      <c r="P26" s="130">
        <v>1.204E-2</v>
      </c>
      <c r="Q26" s="130">
        <v>5.0413572020649673E-2</v>
      </c>
      <c r="R26" s="130">
        <v>8.879999999999999E-2</v>
      </c>
      <c r="S26" s="150">
        <v>103.37</v>
      </c>
      <c r="T26" s="131">
        <v>102.2</v>
      </c>
      <c r="U26" s="129">
        <v>250000</v>
      </c>
      <c r="V26" s="129" t="s">
        <v>28</v>
      </c>
      <c r="W26" s="131">
        <v>1</v>
      </c>
      <c r="X26" s="129">
        <v>281.25</v>
      </c>
      <c r="Y26" s="129">
        <v>9</v>
      </c>
      <c r="Z26" s="129">
        <v>255500</v>
      </c>
      <c r="AA26" s="129">
        <v>255781.25</v>
      </c>
      <c r="AB26" s="129">
        <v>258725</v>
      </c>
      <c r="AC26" s="131">
        <v>1.6438356164383561</v>
      </c>
      <c r="AD26" s="151">
        <v>8.1138769999999999E-2</v>
      </c>
      <c r="AE26" s="151">
        <v>3.9538774042201276E-2</v>
      </c>
      <c r="AF26" s="130">
        <v>2.7498774042201274E-2</v>
      </c>
      <c r="AG26" s="130">
        <v>0.30451121188404168</v>
      </c>
      <c r="AH26" s="131">
        <v>3.2839513324087437</v>
      </c>
      <c r="AI26" s="129">
        <v>22199.999999999996</v>
      </c>
      <c r="AJ26" s="129">
        <v>3010</v>
      </c>
      <c r="AK26" s="127">
        <f t="shared" si="0"/>
        <v>1</v>
      </c>
    </row>
    <row r="27" spans="1:37" ht="12" x14ac:dyDescent="0.25">
      <c r="A27" s="77" t="s">
        <v>358</v>
      </c>
      <c r="B27" s="77" t="s">
        <v>747</v>
      </c>
      <c r="C27" s="77" t="s">
        <v>234</v>
      </c>
      <c r="D27" s="77">
        <v>45756</v>
      </c>
      <c r="E27" s="77">
        <v>45757</v>
      </c>
      <c r="F27" s="77" t="s">
        <v>309</v>
      </c>
      <c r="G27" s="77" t="s">
        <v>359</v>
      </c>
      <c r="H27" s="77" t="s">
        <v>358</v>
      </c>
      <c r="I27" s="77" t="s">
        <v>360</v>
      </c>
      <c r="J27" s="77" t="s">
        <v>312</v>
      </c>
      <c r="K27" s="77" t="s">
        <v>305</v>
      </c>
      <c r="L27" s="77" t="s">
        <v>361</v>
      </c>
      <c r="M27" s="77" t="s">
        <v>362</v>
      </c>
      <c r="N27" s="129">
        <v>100000000</v>
      </c>
      <c r="O27" s="77" t="s">
        <v>363</v>
      </c>
      <c r="P27" s="130">
        <v>7.4999999999999997E-3</v>
      </c>
      <c r="Q27" s="130">
        <v>5.4591848848021235E-2</v>
      </c>
      <c r="R27" s="130">
        <v>9.3000000000000013E-2</v>
      </c>
      <c r="S27" s="150">
        <v>102.4</v>
      </c>
      <c r="T27" s="131">
        <v>102.6</v>
      </c>
      <c r="U27" s="129">
        <v>250000</v>
      </c>
      <c r="V27" s="129" t="s">
        <v>28</v>
      </c>
      <c r="W27" s="131">
        <v>1</v>
      </c>
      <c r="X27" s="129">
        <v>501.04000000000815</v>
      </c>
      <c r="Y27" s="129">
        <v>13</v>
      </c>
      <c r="Z27" s="129">
        <v>256500</v>
      </c>
      <c r="AA27" s="129">
        <v>257001.04</v>
      </c>
      <c r="AB27" s="129">
        <v>260175</v>
      </c>
      <c r="AC27" s="131">
        <v>1.3945205479452054</v>
      </c>
      <c r="AD27" s="151">
        <v>8.2214540000000003E-2</v>
      </c>
      <c r="AE27" s="151">
        <v>4.061454116517009E-2</v>
      </c>
      <c r="AF27" s="130">
        <v>3.311454116517009E-2</v>
      </c>
      <c r="AG27" s="130">
        <v>0.18466292576097826</v>
      </c>
      <c r="AH27" s="131">
        <v>5.4152721553560124</v>
      </c>
      <c r="AI27" s="129">
        <v>23250.000000000004</v>
      </c>
      <c r="AJ27" s="129">
        <v>1875</v>
      </c>
      <c r="AK27" s="127">
        <f t="shared" si="0"/>
        <v>1</v>
      </c>
    </row>
    <row r="28" spans="1:37" ht="12" x14ac:dyDescent="0.25">
      <c r="A28" s="77" t="s">
        <v>738</v>
      </c>
      <c r="B28" s="77" t="s">
        <v>747</v>
      </c>
      <c r="C28" s="77" t="s">
        <v>234</v>
      </c>
      <c r="D28" s="77">
        <v>45756</v>
      </c>
      <c r="E28" s="77">
        <v>45757</v>
      </c>
      <c r="F28" s="77" t="s">
        <v>309</v>
      </c>
      <c r="G28" s="77" t="s">
        <v>365</v>
      </c>
      <c r="H28" s="77" t="s">
        <v>738</v>
      </c>
      <c r="I28" s="77" t="s">
        <v>366</v>
      </c>
      <c r="J28" s="77" t="s">
        <v>312</v>
      </c>
      <c r="K28" s="77" t="s">
        <v>367</v>
      </c>
      <c r="L28" s="77" t="s">
        <v>368</v>
      </c>
      <c r="M28" s="77" t="s">
        <v>369</v>
      </c>
      <c r="N28" s="129">
        <v>100000000</v>
      </c>
      <c r="O28" s="77" t="s">
        <v>370</v>
      </c>
      <c r="P28" s="130">
        <v>9.1999999999999998E-3</v>
      </c>
      <c r="Q28" s="130">
        <v>3.4997438079953813E-2</v>
      </c>
      <c r="R28" s="130">
        <v>7.3099999999999998E-2</v>
      </c>
      <c r="S28" s="150">
        <v>101.71</v>
      </c>
      <c r="T28" s="131">
        <v>101.6</v>
      </c>
      <c r="U28" s="129">
        <v>250000</v>
      </c>
      <c r="V28" s="129" t="s">
        <v>28</v>
      </c>
      <c r="W28" s="131">
        <v>1</v>
      </c>
      <c r="X28" s="129">
        <v>0</v>
      </c>
      <c r="Y28" s="129">
        <v>0</v>
      </c>
      <c r="Z28" s="129">
        <v>254000</v>
      </c>
      <c r="AA28" s="129">
        <v>254000</v>
      </c>
      <c r="AB28" s="129">
        <v>257800</v>
      </c>
      <c r="AC28" s="131">
        <v>2.1561643835616437</v>
      </c>
      <c r="AD28" s="151">
        <v>6.9968120000000009E-2</v>
      </c>
      <c r="AE28" s="151">
        <v>2.8668118762774905E-2</v>
      </c>
      <c r="AF28" s="130">
        <v>1.9468118762774905E-2</v>
      </c>
      <c r="AG28" s="130">
        <v>0.32091397681615763</v>
      </c>
      <c r="AH28" s="131">
        <v>3.1160998655190117</v>
      </c>
      <c r="AI28" s="129">
        <v>18275</v>
      </c>
      <c r="AJ28" s="129">
        <v>2300</v>
      </c>
      <c r="AK28" s="127">
        <f t="shared" si="0"/>
        <v>1</v>
      </c>
    </row>
    <row r="29" spans="1:37" ht="12" x14ac:dyDescent="0.25">
      <c r="A29" s="77" t="s">
        <v>371</v>
      </c>
      <c r="B29" s="77" t="s">
        <v>747</v>
      </c>
      <c r="C29" s="77" t="s">
        <v>234</v>
      </c>
      <c r="D29" s="77">
        <v>45758</v>
      </c>
      <c r="E29" s="77">
        <v>45761</v>
      </c>
      <c r="F29" s="77" t="s">
        <v>301</v>
      </c>
      <c r="G29" s="77" t="s">
        <v>372</v>
      </c>
      <c r="H29" s="77" t="s">
        <v>371</v>
      </c>
      <c r="I29" s="77" t="s">
        <v>373</v>
      </c>
      <c r="J29" s="77" t="s">
        <v>374</v>
      </c>
      <c r="K29" s="77" t="s">
        <v>305</v>
      </c>
      <c r="L29" s="77" t="s">
        <v>375</v>
      </c>
      <c r="M29" s="77" t="s">
        <v>356</v>
      </c>
      <c r="N29" s="129">
        <v>150000000</v>
      </c>
      <c r="O29" s="77" t="s">
        <v>376</v>
      </c>
      <c r="P29" s="130">
        <v>1.6500000000000001E-2</v>
      </c>
      <c r="Q29" s="130">
        <v>9.4942248479457494E-2</v>
      </c>
      <c r="R29" s="130">
        <v>0.13366479396820069</v>
      </c>
      <c r="S29" s="150">
        <v>102.05</v>
      </c>
      <c r="T29" s="131">
        <v>100.1</v>
      </c>
      <c r="U29" s="129">
        <v>250000</v>
      </c>
      <c r="V29" s="129" t="s">
        <v>28</v>
      </c>
      <c r="W29" s="131">
        <v>1</v>
      </c>
      <c r="X29" s="129">
        <v>1847.2200000000012</v>
      </c>
      <c r="Y29" s="129">
        <v>28</v>
      </c>
      <c r="Z29" s="129">
        <v>250250</v>
      </c>
      <c r="AA29" s="129">
        <v>252097.22</v>
      </c>
      <c r="AB29" s="129">
        <v>264250</v>
      </c>
      <c r="AC29" s="131">
        <v>1.6438356164383561</v>
      </c>
      <c r="AD29" s="151">
        <v>0.13305328999999999</v>
      </c>
      <c r="AE29" s="151">
        <v>9.4388500137413275E-2</v>
      </c>
      <c r="AF29" s="130">
        <v>7.7888500137413275E-2</v>
      </c>
      <c r="AG29" s="130">
        <v>0.17480943097918564</v>
      </c>
      <c r="AH29" s="131">
        <v>5.7205151598432291</v>
      </c>
      <c r="AI29" s="129">
        <v>33416.198492050171</v>
      </c>
      <c r="AJ29" s="129">
        <v>4125</v>
      </c>
      <c r="AK29" s="127">
        <f t="shared" si="0"/>
        <v>1</v>
      </c>
    </row>
    <row r="30" spans="1:37" ht="12" x14ac:dyDescent="0.25">
      <c r="A30" s="77" t="s">
        <v>377</v>
      </c>
      <c r="B30" s="77" t="s">
        <v>747</v>
      </c>
      <c r="C30" s="77" t="s">
        <v>234</v>
      </c>
      <c r="D30" s="77">
        <v>45761</v>
      </c>
      <c r="E30" s="77">
        <v>45762</v>
      </c>
      <c r="F30" s="77" t="s">
        <v>301</v>
      </c>
      <c r="G30" s="77" t="s">
        <v>378</v>
      </c>
      <c r="H30" s="77" t="s">
        <v>377</v>
      </c>
      <c r="I30" s="77" t="s">
        <v>379</v>
      </c>
      <c r="J30" s="77" t="s">
        <v>312</v>
      </c>
      <c r="K30" s="77" t="s">
        <v>305</v>
      </c>
      <c r="L30" s="77" t="s">
        <v>380</v>
      </c>
      <c r="M30" s="77" t="s">
        <v>381</v>
      </c>
      <c r="N30" s="129">
        <v>210000000</v>
      </c>
      <c r="O30" s="77" t="s">
        <v>382</v>
      </c>
      <c r="P30" s="130">
        <v>1.32E-2</v>
      </c>
      <c r="Q30" s="130">
        <v>9.1247227937579611E-2</v>
      </c>
      <c r="R30" s="130">
        <v>0.12965999755859375</v>
      </c>
      <c r="S30" s="150">
        <v>103.7</v>
      </c>
      <c r="T30" s="131">
        <v>102.6</v>
      </c>
      <c r="U30" s="129">
        <v>250000</v>
      </c>
      <c r="V30" s="129" t="s">
        <v>28</v>
      </c>
      <c r="W30" s="131">
        <v>1</v>
      </c>
      <c r="X30" s="129">
        <v>500</v>
      </c>
      <c r="Y30" s="129">
        <v>8</v>
      </c>
      <c r="Z30" s="129">
        <v>256500</v>
      </c>
      <c r="AA30" s="129">
        <v>257000</v>
      </c>
      <c r="AB30" s="129">
        <v>266075</v>
      </c>
      <c r="AC30" s="131">
        <v>1.5616438356164384</v>
      </c>
      <c r="AD30" s="151">
        <v>0.11921872999999999</v>
      </c>
      <c r="AE30" s="151">
        <v>7.7618734295982303E-2</v>
      </c>
      <c r="AF30" s="130">
        <v>6.4418734295982299E-2</v>
      </c>
      <c r="AG30" s="130">
        <v>0.17006203617885143</v>
      </c>
      <c r="AH30" s="131">
        <v>5.8802071436350234</v>
      </c>
      <c r="AI30" s="129">
        <v>32414.999389648438</v>
      </c>
      <c r="AJ30" s="129">
        <v>3300</v>
      </c>
      <c r="AK30" s="127">
        <f t="shared" si="0"/>
        <v>1</v>
      </c>
    </row>
    <row r="31" spans="1:37" ht="12" x14ac:dyDescent="0.25">
      <c r="A31" s="77" t="s">
        <v>383</v>
      </c>
      <c r="B31" s="77" t="s">
        <v>747</v>
      </c>
      <c r="C31" s="77" t="s">
        <v>234</v>
      </c>
      <c r="D31" s="77">
        <v>45763</v>
      </c>
      <c r="E31" s="77">
        <v>45764</v>
      </c>
      <c r="F31" s="77" t="s">
        <v>301</v>
      </c>
      <c r="G31" s="77" t="s">
        <v>384</v>
      </c>
      <c r="H31" s="77" t="s">
        <v>383</v>
      </c>
      <c r="I31" s="77" t="s">
        <v>385</v>
      </c>
      <c r="J31" s="77" t="s">
        <v>312</v>
      </c>
      <c r="K31" s="77" t="s">
        <v>305</v>
      </c>
      <c r="L31" s="77" t="s">
        <v>386</v>
      </c>
      <c r="M31" s="77" t="s">
        <v>362</v>
      </c>
      <c r="N31" s="129">
        <v>100000000</v>
      </c>
      <c r="O31" s="77" t="s">
        <v>387</v>
      </c>
      <c r="P31" s="130">
        <v>6.7000000000000002E-3</v>
      </c>
      <c r="Q31" s="130">
        <v>5.4388598366769E-2</v>
      </c>
      <c r="R31" s="130">
        <v>9.3007139999999988E-2</v>
      </c>
      <c r="S31" s="150">
        <v>103.6</v>
      </c>
      <c r="T31" s="131">
        <v>103.85</v>
      </c>
      <c r="U31" s="129">
        <v>250000</v>
      </c>
      <c r="V31" s="129" t="s">
        <v>28</v>
      </c>
      <c r="W31" s="131">
        <v>1</v>
      </c>
      <c r="X31" s="129">
        <v>1130.2099999999919</v>
      </c>
      <c r="Y31" s="129">
        <v>31</v>
      </c>
      <c r="Z31" s="129">
        <v>259625</v>
      </c>
      <c r="AA31" s="129">
        <v>260755.21</v>
      </c>
      <c r="AB31" s="129">
        <v>258912.5</v>
      </c>
      <c r="AC31" s="131">
        <v>1.3945205479452054</v>
      </c>
      <c r="AD31" s="151">
        <v>7.5250440000000002E-2</v>
      </c>
      <c r="AE31" s="151">
        <v>3.3601023261268147E-2</v>
      </c>
      <c r="AF31" s="130">
        <v>2.6901023261268146E-2</v>
      </c>
      <c r="AG31" s="130">
        <v>0.19939868937631675</v>
      </c>
      <c r="AH31" s="131">
        <v>5.0150780986967378</v>
      </c>
      <c r="AI31" s="129">
        <v>23251.784999999996</v>
      </c>
      <c r="AJ31" s="129">
        <v>1675</v>
      </c>
      <c r="AK31" s="127">
        <f t="shared" si="0"/>
        <v>1</v>
      </c>
    </row>
    <row r="32" spans="1:37" ht="12" x14ac:dyDescent="0.25">
      <c r="A32" s="77" t="s">
        <v>388</v>
      </c>
      <c r="B32" s="77" t="s">
        <v>747</v>
      </c>
      <c r="C32" s="77" t="s">
        <v>234</v>
      </c>
      <c r="D32" s="77">
        <v>45763</v>
      </c>
      <c r="E32" s="77">
        <v>45764</v>
      </c>
      <c r="F32" s="77" t="s">
        <v>309</v>
      </c>
      <c r="G32" s="77" t="s">
        <v>389</v>
      </c>
      <c r="H32" s="77" t="s">
        <v>388</v>
      </c>
      <c r="I32" s="77" t="s">
        <v>390</v>
      </c>
      <c r="J32" s="77" t="s">
        <v>312</v>
      </c>
      <c r="K32" s="77" t="s">
        <v>367</v>
      </c>
      <c r="L32" s="77" t="s">
        <v>391</v>
      </c>
      <c r="M32" s="77" t="s">
        <v>392</v>
      </c>
      <c r="N32" s="129">
        <v>150000000</v>
      </c>
      <c r="O32" s="77" t="s">
        <v>393</v>
      </c>
      <c r="P32" s="130">
        <v>9.1000000000000004E-3</v>
      </c>
      <c r="Q32" s="130">
        <v>4.342876561368355E-2</v>
      </c>
      <c r="R32" s="130">
        <v>8.1708199999999995E-2</v>
      </c>
      <c r="S32" s="150">
        <v>101.57</v>
      </c>
      <c r="T32" s="131">
        <v>102.4</v>
      </c>
      <c r="U32" s="129">
        <v>250000</v>
      </c>
      <c r="V32" s="129" t="s">
        <v>28</v>
      </c>
      <c r="W32" s="131">
        <v>1</v>
      </c>
      <c r="X32" s="129">
        <v>60.420000000012806</v>
      </c>
      <c r="Y32" s="129">
        <v>2</v>
      </c>
      <c r="Z32" s="129">
        <v>256000</v>
      </c>
      <c r="AA32" s="129">
        <v>256060.42</v>
      </c>
      <c r="AB32" s="129">
        <v>256150</v>
      </c>
      <c r="AC32" s="131">
        <v>0.9780821917808219</v>
      </c>
      <c r="AD32" s="151">
        <v>6.8990380000000004E-2</v>
      </c>
      <c r="AE32" s="151">
        <v>2.7346429526599964E-2</v>
      </c>
      <c r="AF32" s="130">
        <v>1.8246429526599963E-2</v>
      </c>
      <c r="AG32" s="130">
        <v>0.332767390753824</v>
      </c>
      <c r="AH32" s="131">
        <v>3.0051021457802158</v>
      </c>
      <c r="AI32" s="129">
        <v>20427.05</v>
      </c>
      <c r="AJ32" s="129">
        <v>2275</v>
      </c>
      <c r="AK32" s="127">
        <f t="shared" si="0"/>
        <v>1</v>
      </c>
    </row>
    <row r="33" spans="1:37" s="294" customFormat="1" ht="12" x14ac:dyDescent="0.25">
      <c r="A33" s="289" t="s">
        <v>540</v>
      </c>
      <c r="B33" s="289" t="s">
        <v>747</v>
      </c>
      <c r="C33" s="289" t="s">
        <v>234</v>
      </c>
      <c r="D33" s="289">
        <v>45770</v>
      </c>
      <c r="E33" s="289">
        <v>45771</v>
      </c>
      <c r="F33" s="289" t="s">
        <v>309</v>
      </c>
      <c r="G33" s="289" t="s">
        <v>394</v>
      </c>
      <c r="H33" s="289" t="s">
        <v>540</v>
      </c>
      <c r="I33" s="289" t="s">
        <v>395</v>
      </c>
      <c r="J33" s="289" t="s">
        <v>312</v>
      </c>
      <c r="K33" s="289" t="s">
        <v>305</v>
      </c>
      <c r="L33" s="289" t="s">
        <v>396</v>
      </c>
      <c r="M33" s="289" t="s">
        <v>321</v>
      </c>
      <c r="N33" s="134">
        <v>200000000</v>
      </c>
      <c r="O33" s="289" t="s">
        <v>397</v>
      </c>
      <c r="P33" s="290">
        <v>1.4500000000000001E-2</v>
      </c>
      <c r="Q33" s="290">
        <v>6.2344141903376588E-2</v>
      </c>
      <c r="R33" s="290">
        <v>0.1009</v>
      </c>
      <c r="S33" s="291">
        <v>102.5</v>
      </c>
      <c r="T33" s="292">
        <v>103.1</v>
      </c>
      <c r="U33" s="134">
        <v>250000</v>
      </c>
      <c r="V33" s="134" t="s">
        <v>28</v>
      </c>
      <c r="W33" s="292">
        <v>1</v>
      </c>
      <c r="X33" s="134">
        <v>998.26000000000931</v>
      </c>
      <c r="Y33" s="134">
        <v>23</v>
      </c>
      <c r="Z33" s="134">
        <v>257750</v>
      </c>
      <c r="AA33" s="134">
        <v>258748.26</v>
      </c>
      <c r="AB33" s="134">
        <v>257437.5</v>
      </c>
      <c r="AC33" s="292">
        <v>1.1506849315068493</v>
      </c>
      <c r="AD33" s="293">
        <v>8.4681469999999995E-2</v>
      </c>
      <c r="AE33" s="293">
        <v>4.2981474551666635E-2</v>
      </c>
      <c r="AF33" s="290">
        <v>2.8481474551666636E-2</v>
      </c>
      <c r="AG33" s="290">
        <v>0.33735464293040995</v>
      </c>
      <c r="AH33" s="292">
        <v>2.9642396242528712</v>
      </c>
      <c r="AI33" s="134">
        <v>25225</v>
      </c>
      <c r="AJ33" s="134">
        <v>3625</v>
      </c>
      <c r="AK33" s="294">
        <f t="shared" si="0"/>
        <v>1</v>
      </c>
    </row>
    <row r="34" spans="1:37" ht="12" x14ac:dyDescent="0.25">
      <c r="A34" s="77" t="s">
        <v>541</v>
      </c>
      <c r="B34" s="77" t="s">
        <v>747</v>
      </c>
      <c r="C34" s="77" t="s">
        <v>234</v>
      </c>
      <c r="D34" s="77">
        <v>45889</v>
      </c>
      <c r="E34" s="77">
        <v>45890</v>
      </c>
      <c r="F34" s="77" t="s">
        <v>301</v>
      </c>
      <c r="G34" s="77" t="s">
        <v>394</v>
      </c>
      <c r="H34" s="77" t="s">
        <v>541</v>
      </c>
      <c r="I34" s="77" t="s">
        <v>395</v>
      </c>
      <c r="J34" s="77" t="s">
        <v>312</v>
      </c>
      <c r="K34" s="77" t="s">
        <v>305</v>
      </c>
      <c r="L34" s="77" t="s">
        <v>396</v>
      </c>
      <c r="M34" s="77" t="s">
        <v>321</v>
      </c>
      <c r="N34" s="129">
        <v>200000000</v>
      </c>
      <c r="O34" s="77" t="s">
        <v>397</v>
      </c>
      <c r="P34" s="130">
        <v>1.4500000000000001E-2</v>
      </c>
      <c r="Q34" s="130">
        <v>6.2344141903376588E-2</v>
      </c>
      <c r="R34" s="130">
        <v>0.1009</v>
      </c>
      <c r="S34" s="150">
        <v>102.5</v>
      </c>
      <c r="T34" s="131">
        <v>103.6</v>
      </c>
      <c r="U34" s="129">
        <v>250000</v>
      </c>
      <c r="V34" s="129" t="s">
        <v>28</v>
      </c>
      <c r="W34" s="131">
        <v>1</v>
      </c>
      <c r="X34" s="129">
        <v>2213.54</v>
      </c>
      <c r="Y34" s="129">
        <v>51</v>
      </c>
      <c r="Z34" s="129">
        <v>259000</v>
      </c>
      <c r="AA34" s="129">
        <v>261213.54</v>
      </c>
      <c r="AB34" s="129">
        <v>257437.5</v>
      </c>
      <c r="AC34" s="131">
        <v>1.1506849315068493</v>
      </c>
      <c r="AD34" s="151">
        <v>7.6477260000000005E-2</v>
      </c>
      <c r="AE34" s="151">
        <v>3.5077257139152884E-2</v>
      </c>
      <c r="AF34" s="130">
        <v>2.0577257139152885E-2</v>
      </c>
      <c r="AG34" s="130">
        <v>0.41337325613795628</v>
      </c>
      <c r="AH34" s="131">
        <v>2.4191211820105436</v>
      </c>
      <c r="AI34" s="129">
        <v>25225</v>
      </c>
      <c r="AJ34" s="129">
        <v>3625</v>
      </c>
      <c r="AK34" s="127">
        <f t="shared" si="0"/>
        <v>1</v>
      </c>
    </row>
    <row r="35" spans="1:37" ht="12" x14ac:dyDescent="0.25">
      <c r="A35" s="77" t="s">
        <v>398</v>
      </c>
      <c r="B35" s="77" t="s">
        <v>747</v>
      </c>
      <c r="C35" s="77" t="s">
        <v>234</v>
      </c>
      <c r="D35" s="77">
        <v>45775</v>
      </c>
      <c r="E35" s="77">
        <v>45776</v>
      </c>
      <c r="F35" s="77" t="s">
        <v>301</v>
      </c>
      <c r="G35" s="77" t="s">
        <v>399</v>
      </c>
      <c r="H35" s="77" t="s">
        <v>398</v>
      </c>
      <c r="I35" s="77" t="s">
        <v>400</v>
      </c>
      <c r="J35" s="77" t="s">
        <v>312</v>
      </c>
      <c r="K35" s="77" t="s">
        <v>305</v>
      </c>
      <c r="L35" s="77" t="s">
        <v>401</v>
      </c>
      <c r="M35" s="77" t="s">
        <v>402</v>
      </c>
      <c r="N35" s="129">
        <v>150000000</v>
      </c>
      <c r="O35" s="77" t="s">
        <v>403</v>
      </c>
      <c r="P35" s="130">
        <v>4.4999999999999997E-3</v>
      </c>
      <c r="Q35" s="130">
        <v>3.8097325757443325E-2</v>
      </c>
      <c r="R35" s="130">
        <v>7.7850000000000003E-2</v>
      </c>
      <c r="S35" s="150">
        <v>101.49</v>
      </c>
      <c r="T35" s="131">
        <v>101.15</v>
      </c>
      <c r="U35" s="129">
        <v>250000</v>
      </c>
      <c r="V35" s="129" t="s">
        <v>28</v>
      </c>
      <c r="W35" s="131">
        <v>1</v>
      </c>
      <c r="X35" s="129">
        <v>859.93</v>
      </c>
      <c r="Y35" s="129">
        <v>29</v>
      </c>
      <c r="Z35" s="129">
        <v>252875</v>
      </c>
      <c r="AA35" s="129">
        <v>253734.93</v>
      </c>
      <c r="AB35" s="129">
        <v>253625</v>
      </c>
      <c r="AC35" s="131">
        <v>0.64657534246575343</v>
      </c>
      <c r="AD35" s="151">
        <v>6.9939169999999995E-2</v>
      </c>
      <c r="AE35" s="151">
        <v>2.8239171046472632E-2</v>
      </c>
      <c r="AF35" s="130">
        <v>2.3739171046472631E-2</v>
      </c>
      <c r="AG35" s="130">
        <v>0.15935311955844741</v>
      </c>
      <c r="AH35" s="131">
        <v>6.2753713436605851</v>
      </c>
      <c r="AI35" s="129">
        <v>19462.5</v>
      </c>
      <c r="AJ35" s="129">
        <v>1125</v>
      </c>
      <c r="AK35" s="127">
        <f t="shared" si="0"/>
        <v>1</v>
      </c>
    </row>
    <row r="36" spans="1:37" ht="12" x14ac:dyDescent="0.25">
      <c r="A36" s="77" t="s">
        <v>404</v>
      </c>
      <c r="B36" s="77" t="s">
        <v>747</v>
      </c>
      <c r="C36" s="77" t="s">
        <v>234</v>
      </c>
      <c r="D36" s="77">
        <v>45777</v>
      </c>
      <c r="E36" s="77">
        <v>45779</v>
      </c>
      <c r="F36" s="77" t="s">
        <v>301</v>
      </c>
      <c r="G36" s="77" t="s">
        <v>405</v>
      </c>
      <c r="H36" s="77" t="s">
        <v>404</v>
      </c>
      <c r="I36" s="77" t="s">
        <v>406</v>
      </c>
      <c r="J36" s="77" t="s">
        <v>312</v>
      </c>
      <c r="K36" s="77" t="s">
        <v>305</v>
      </c>
      <c r="L36" s="77" t="s">
        <v>407</v>
      </c>
      <c r="M36" s="77" t="s">
        <v>408</v>
      </c>
      <c r="N36" s="129">
        <v>100000000</v>
      </c>
      <c r="O36" s="77" t="s">
        <v>346</v>
      </c>
      <c r="P36" s="130">
        <v>4.7999999999999996E-3</v>
      </c>
      <c r="Q36" s="130">
        <v>6.1561047014999995E-2</v>
      </c>
      <c r="R36" s="130">
        <v>0.1004</v>
      </c>
      <c r="S36" s="150">
        <v>102.45</v>
      </c>
      <c r="T36" s="131">
        <v>101.95</v>
      </c>
      <c r="U36" s="129">
        <v>250000</v>
      </c>
      <c r="V36" s="129" t="s">
        <v>28</v>
      </c>
      <c r="W36" s="131">
        <v>1</v>
      </c>
      <c r="X36" s="129">
        <v>180.56</v>
      </c>
      <c r="Y36" s="129">
        <v>4</v>
      </c>
      <c r="Z36" s="129">
        <v>254875</v>
      </c>
      <c r="AA36" s="129">
        <v>255055.56</v>
      </c>
      <c r="AB36" s="129">
        <v>257362.5</v>
      </c>
      <c r="AC36" s="131">
        <v>0.72876712328767124</v>
      </c>
      <c r="AD36" s="151">
        <v>8.6950429999999995E-2</v>
      </c>
      <c r="AE36" s="151">
        <v>4.5750427756480992E-2</v>
      </c>
      <c r="AF36" s="130">
        <v>4.0950427756480993E-2</v>
      </c>
      <c r="AG36" s="130">
        <v>0.10491705182625387</v>
      </c>
      <c r="AH36" s="131">
        <v>9.531339115933541</v>
      </c>
      <c r="AI36" s="129">
        <v>25100</v>
      </c>
      <c r="AJ36" s="129">
        <v>1200</v>
      </c>
      <c r="AK36" s="127">
        <f t="shared" si="0"/>
        <v>1</v>
      </c>
    </row>
    <row r="37" spans="1:37" ht="12" x14ac:dyDescent="0.25">
      <c r="A37" s="77" t="s">
        <v>409</v>
      </c>
      <c r="B37" s="77" t="s">
        <v>747</v>
      </c>
      <c r="C37" s="77" t="s">
        <v>234</v>
      </c>
      <c r="D37" s="77">
        <v>45777</v>
      </c>
      <c r="E37" s="77">
        <v>45778</v>
      </c>
      <c r="F37" s="77" t="s">
        <v>309</v>
      </c>
      <c r="G37" s="77" t="s">
        <v>410</v>
      </c>
      <c r="H37" s="77" t="s">
        <v>409</v>
      </c>
      <c r="I37" s="77" t="s">
        <v>411</v>
      </c>
      <c r="J37" s="77" t="s">
        <v>312</v>
      </c>
      <c r="K37" s="77" t="s">
        <v>305</v>
      </c>
      <c r="L37" s="77" t="s">
        <v>412</v>
      </c>
      <c r="M37" s="77" t="s">
        <v>413</v>
      </c>
      <c r="N37" s="129">
        <v>125000000</v>
      </c>
      <c r="O37" s="77" t="s">
        <v>414</v>
      </c>
      <c r="P37" s="130">
        <v>2.7300000000000001E-2</v>
      </c>
      <c r="Q37" s="130">
        <v>7.6309884370243677E-2</v>
      </c>
      <c r="R37" s="130">
        <v>0.11452000122070313</v>
      </c>
      <c r="S37" s="150">
        <v>104.43</v>
      </c>
      <c r="T37" s="131">
        <v>102</v>
      </c>
      <c r="U37" s="129">
        <v>250000</v>
      </c>
      <c r="V37" s="129" t="s">
        <v>28</v>
      </c>
      <c r="W37" s="131">
        <v>1</v>
      </c>
      <c r="X37" s="129">
        <v>984.38</v>
      </c>
      <c r="Y37" s="129">
        <v>21</v>
      </c>
      <c r="Z37" s="129">
        <v>255000</v>
      </c>
      <c r="AA37" s="129">
        <v>255984.38</v>
      </c>
      <c r="AB37" s="129">
        <v>265300</v>
      </c>
      <c r="AC37" s="131">
        <v>1.484931506849315</v>
      </c>
      <c r="AD37" s="151">
        <v>0.106922</v>
      </c>
      <c r="AE37" s="151">
        <v>6.5421998707029236E-2</v>
      </c>
      <c r="AF37" s="130">
        <v>3.8121998707029231E-2</v>
      </c>
      <c r="AG37" s="130">
        <v>0.41729082784911564</v>
      </c>
      <c r="AH37" s="131">
        <v>2.3964102090486898</v>
      </c>
      <c r="AI37" s="129">
        <v>28630.000305175785</v>
      </c>
      <c r="AJ37" s="129">
        <v>6825</v>
      </c>
      <c r="AK37" s="127">
        <f t="shared" si="0"/>
        <v>1</v>
      </c>
    </row>
    <row r="38" spans="1:37" ht="12" x14ac:dyDescent="0.25">
      <c r="A38" s="77" t="s">
        <v>740</v>
      </c>
      <c r="B38" s="77" t="s">
        <v>747</v>
      </c>
      <c r="C38" s="77" t="s">
        <v>234</v>
      </c>
      <c r="D38" s="77">
        <v>45784</v>
      </c>
      <c r="E38" s="77">
        <v>45785</v>
      </c>
      <c r="F38" s="77" t="s">
        <v>309</v>
      </c>
      <c r="G38" s="77" t="s">
        <v>416</v>
      </c>
      <c r="H38" s="77" t="s">
        <v>740</v>
      </c>
      <c r="I38" s="77" t="s">
        <v>417</v>
      </c>
      <c r="J38" s="77" t="s">
        <v>312</v>
      </c>
      <c r="K38" s="77" t="s">
        <v>305</v>
      </c>
      <c r="L38" s="77" t="s">
        <v>418</v>
      </c>
      <c r="M38" s="77" t="s">
        <v>419</v>
      </c>
      <c r="N38" s="129">
        <v>175000000</v>
      </c>
      <c r="O38" s="77" t="s">
        <v>420</v>
      </c>
      <c r="P38" s="130">
        <v>1.61E-2</v>
      </c>
      <c r="Q38" s="130">
        <v>6.4970000542552628E-2</v>
      </c>
      <c r="R38" s="130">
        <v>0.1032</v>
      </c>
      <c r="S38" s="150">
        <v>102.22</v>
      </c>
      <c r="T38" s="131">
        <v>99.85</v>
      </c>
      <c r="U38" s="129">
        <v>250000</v>
      </c>
      <c r="V38" s="129" t="s">
        <v>28</v>
      </c>
      <c r="W38" s="131">
        <v>1</v>
      </c>
      <c r="X38" s="129">
        <v>3836.81</v>
      </c>
      <c r="Y38" s="129">
        <v>85</v>
      </c>
      <c r="Z38" s="129">
        <v>249625</v>
      </c>
      <c r="AA38" s="129">
        <v>253461.81</v>
      </c>
      <c r="AB38" s="129">
        <v>260512.5</v>
      </c>
      <c r="AC38" s="131">
        <v>2.2712328767123289</v>
      </c>
      <c r="AD38" s="151">
        <v>0.10708301000000001</v>
      </c>
      <c r="AE38" s="151">
        <v>6.5583012033803123E-2</v>
      </c>
      <c r="AF38" s="130">
        <v>4.948301203380312E-2</v>
      </c>
      <c r="AG38" s="130">
        <v>0.24549040217460061</v>
      </c>
      <c r="AH38" s="131">
        <v>4.0734790083107528</v>
      </c>
      <c r="AI38" s="129">
        <v>25800</v>
      </c>
      <c r="AJ38" s="129">
        <v>4025</v>
      </c>
      <c r="AK38" s="127">
        <f t="shared" si="0"/>
        <v>1</v>
      </c>
    </row>
    <row r="39" spans="1:37" ht="12" x14ac:dyDescent="0.25">
      <c r="A39" s="77" t="s">
        <v>421</v>
      </c>
      <c r="B39" s="77" t="s">
        <v>747</v>
      </c>
      <c r="C39" s="77" t="s">
        <v>234</v>
      </c>
      <c r="D39" s="77">
        <v>45785</v>
      </c>
      <c r="E39" s="77">
        <v>45786</v>
      </c>
      <c r="F39" s="77" t="s">
        <v>301</v>
      </c>
      <c r="G39" s="77" t="s">
        <v>422</v>
      </c>
      <c r="H39" s="77" t="s">
        <v>421</v>
      </c>
      <c r="I39" s="77" t="s">
        <v>423</v>
      </c>
      <c r="J39" s="77" t="s">
        <v>312</v>
      </c>
      <c r="K39" s="77" t="s">
        <v>305</v>
      </c>
      <c r="L39" s="77" t="s">
        <v>424</v>
      </c>
      <c r="M39" s="77" t="s">
        <v>425</v>
      </c>
      <c r="N39" s="129">
        <v>150000000</v>
      </c>
      <c r="O39" s="77" t="s">
        <v>334</v>
      </c>
      <c r="P39" s="130">
        <v>1.0699999999999999E-2</v>
      </c>
      <c r="Q39" s="130">
        <v>5.285336942949477E-2</v>
      </c>
      <c r="R39" s="130">
        <v>9.1459997558593742E-2</v>
      </c>
      <c r="S39" s="150">
        <v>101.59</v>
      </c>
      <c r="T39" s="131">
        <v>101.95</v>
      </c>
      <c r="U39" s="129">
        <v>250000</v>
      </c>
      <c r="V39" s="129" t="s">
        <v>28</v>
      </c>
      <c r="W39" s="131">
        <v>1</v>
      </c>
      <c r="X39" s="129">
        <v>72.44</v>
      </c>
      <c r="Y39" s="129">
        <v>2</v>
      </c>
      <c r="Z39" s="129">
        <v>254875</v>
      </c>
      <c r="AA39" s="129">
        <v>254947.44</v>
      </c>
      <c r="AB39" s="129">
        <v>253712.5</v>
      </c>
      <c r="AC39" s="131">
        <v>0.55616438356164388</v>
      </c>
      <c r="AD39" s="151">
        <v>7.5891169999999994E-2</v>
      </c>
      <c r="AE39" s="151">
        <v>3.4291173011831884E-2</v>
      </c>
      <c r="AF39" s="130">
        <v>2.3591173011831883E-2</v>
      </c>
      <c r="AG39" s="130">
        <v>0.31203365356758295</v>
      </c>
      <c r="AH39" s="131">
        <v>3.2047825244702697</v>
      </c>
      <c r="AI39" s="129">
        <v>22864.999389648434</v>
      </c>
      <c r="AJ39" s="129">
        <v>2675</v>
      </c>
      <c r="AK39" s="127">
        <f t="shared" si="0"/>
        <v>1</v>
      </c>
    </row>
    <row r="40" spans="1:37" ht="12" x14ac:dyDescent="0.25">
      <c r="A40" s="77" t="s">
        <v>426</v>
      </c>
      <c r="B40" s="77" t="s">
        <v>747</v>
      </c>
      <c r="C40" s="77" t="s">
        <v>234</v>
      </c>
      <c r="D40" s="77">
        <v>45789</v>
      </c>
      <c r="E40" s="77">
        <v>45790</v>
      </c>
      <c r="F40" s="77" t="s">
        <v>309</v>
      </c>
      <c r="G40" s="77" t="s">
        <v>668</v>
      </c>
      <c r="H40" s="77" t="s">
        <v>426</v>
      </c>
      <c r="I40" s="77" t="s">
        <v>427</v>
      </c>
      <c r="J40" s="77" t="s">
        <v>304</v>
      </c>
      <c r="K40" s="77" t="s">
        <v>313</v>
      </c>
      <c r="L40" s="77" t="s">
        <v>428</v>
      </c>
      <c r="M40" s="77" t="s">
        <v>429</v>
      </c>
      <c r="N40" s="129">
        <v>500000000</v>
      </c>
      <c r="O40" s="77" t="s">
        <v>430</v>
      </c>
      <c r="P40" s="130">
        <v>2.0400000000000001E-2</v>
      </c>
      <c r="Q40" s="130">
        <v>0.10714589536399999</v>
      </c>
      <c r="R40" s="130">
        <v>0.14850714000000001</v>
      </c>
      <c r="S40" s="150">
        <v>103</v>
      </c>
      <c r="T40" s="131">
        <v>102.8</v>
      </c>
      <c r="U40" s="129">
        <v>250000</v>
      </c>
      <c r="V40" s="129" t="s">
        <v>28</v>
      </c>
      <c r="W40" s="131">
        <v>1</v>
      </c>
      <c r="X40" s="129">
        <v>4354.17</v>
      </c>
      <c r="Y40" s="129">
        <v>57</v>
      </c>
      <c r="Z40" s="129">
        <v>257000</v>
      </c>
      <c r="AA40" s="129">
        <v>261354.17</v>
      </c>
      <c r="AB40" s="129">
        <v>259925</v>
      </c>
      <c r="AC40" s="131">
        <v>0.37534246575342467</v>
      </c>
      <c r="AD40" s="151">
        <v>0.11713456000000001</v>
      </c>
      <c r="AE40" s="151">
        <v>7.5593177555534852E-2</v>
      </c>
      <c r="AF40" s="130">
        <v>5.519317755553485E-2</v>
      </c>
      <c r="AG40" s="130">
        <v>0.26986562358769817</v>
      </c>
      <c r="AH40" s="131">
        <v>3.7055479193889629</v>
      </c>
      <c r="AI40" s="129">
        <v>37126.785000000003</v>
      </c>
      <c r="AJ40" s="129">
        <v>5100</v>
      </c>
      <c r="AK40" s="127">
        <f t="shared" si="0"/>
        <v>1</v>
      </c>
    </row>
    <row r="41" spans="1:37" ht="12" x14ac:dyDescent="0.25">
      <c r="A41" s="77" t="s">
        <v>431</v>
      </c>
      <c r="B41" s="77" t="s">
        <v>747</v>
      </c>
      <c r="C41" s="77" t="s">
        <v>234</v>
      </c>
      <c r="D41" s="77">
        <v>45789</v>
      </c>
      <c r="E41" s="77">
        <v>45790</v>
      </c>
      <c r="F41" s="77" t="s">
        <v>309</v>
      </c>
      <c r="G41" s="77" t="s">
        <v>669</v>
      </c>
      <c r="H41" s="77" t="s">
        <v>431</v>
      </c>
      <c r="I41" s="77" t="s">
        <v>432</v>
      </c>
      <c r="J41" s="77" t="s">
        <v>304</v>
      </c>
      <c r="K41" s="77" t="s">
        <v>305</v>
      </c>
      <c r="L41" s="77" t="s">
        <v>433</v>
      </c>
      <c r="M41" s="77" t="s">
        <v>434</v>
      </c>
      <c r="N41" s="129">
        <v>500000000</v>
      </c>
      <c r="O41" s="77" t="s">
        <v>435</v>
      </c>
      <c r="P41" s="130">
        <v>2.5700000000000001E-2</v>
      </c>
      <c r="Q41" s="130">
        <v>9.0592527148662366E-2</v>
      </c>
      <c r="R41" s="130">
        <v>0.12890000000000001</v>
      </c>
      <c r="S41" s="150">
        <v>103.83</v>
      </c>
      <c r="T41" s="131">
        <v>102.5</v>
      </c>
      <c r="U41" s="129">
        <v>250000</v>
      </c>
      <c r="V41" s="129" t="s">
        <v>28</v>
      </c>
      <c r="W41" s="131">
        <v>1</v>
      </c>
      <c r="X41" s="129">
        <v>1631.78</v>
      </c>
      <c r="Y41" s="129">
        <v>28</v>
      </c>
      <c r="Z41" s="129">
        <v>256250</v>
      </c>
      <c r="AA41" s="129">
        <v>257881.78</v>
      </c>
      <c r="AB41" s="129">
        <v>262100</v>
      </c>
      <c r="AC41" s="131">
        <v>0.56164383561643838</v>
      </c>
      <c r="AD41" s="151">
        <v>0.10738033</v>
      </c>
      <c r="AE41" s="151">
        <v>6.6180330958337835E-2</v>
      </c>
      <c r="AF41" s="130">
        <v>4.0480330958337835E-2</v>
      </c>
      <c r="AG41" s="130">
        <v>0.38833290235702794</v>
      </c>
      <c r="AH41" s="131">
        <v>2.5751101540209276</v>
      </c>
      <c r="AI41" s="129">
        <v>32225.000000000004</v>
      </c>
      <c r="AJ41" s="129">
        <v>6425</v>
      </c>
      <c r="AK41" s="127">
        <f t="shared" si="0"/>
        <v>1</v>
      </c>
    </row>
    <row r="42" spans="1:37" ht="12" x14ac:dyDescent="0.25">
      <c r="A42" s="77" t="s">
        <v>436</v>
      </c>
      <c r="B42" s="77" t="s">
        <v>747</v>
      </c>
      <c r="C42" s="77" t="s">
        <v>234</v>
      </c>
      <c r="D42" s="77">
        <v>45790</v>
      </c>
      <c r="E42" s="77">
        <v>45791</v>
      </c>
      <c r="F42" s="77" t="s">
        <v>309</v>
      </c>
      <c r="G42" s="77" t="s">
        <v>670</v>
      </c>
      <c r="H42" s="77" t="s">
        <v>436</v>
      </c>
      <c r="I42" s="77" t="s">
        <v>437</v>
      </c>
      <c r="J42" s="77" t="s">
        <v>312</v>
      </c>
      <c r="K42" s="77" t="s">
        <v>305</v>
      </c>
      <c r="L42" s="77" t="s">
        <v>438</v>
      </c>
      <c r="M42" s="77" t="s">
        <v>439</v>
      </c>
      <c r="N42" s="129">
        <v>120000000</v>
      </c>
      <c r="O42" s="77" t="s">
        <v>440</v>
      </c>
      <c r="P42" s="130">
        <v>1.9800000000000002E-2</v>
      </c>
      <c r="Q42" s="130">
        <v>0.12371484670499999</v>
      </c>
      <c r="R42" s="130">
        <v>0.1623</v>
      </c>
      <c r="S42" s="150">
        <v>103.95</v>
      </c>
      <c r="T42" s="131">
        <v>104.6</v>
      </c>
      <c r="U42" s="129">
        <v>250000</v>
      </c>
      <c r="V42" s="129" t="s">
        <v>28</v>
      </c>
      <c r="W42" s="131">
        <v>1</v>
      </c>
      <c r="X42" s="129">
        <v>448.26</v>
      </c>
      <c r="Y42" s="129">
        <v>5</v>
      </c>
      <c r="Z42" s="129">
        <v>261500</v>
      </c>
      <c r="AA42" s="129">
        <v>261948.26</v>
      </c>
      <c r="AB42" s="129">
        <v>265650</v>
      </c>
      <c r="AC42" s="131">
        <v>0.52876712328767128</v>
      </c>
      <c r="AD42" s="151">
        <v>0.11846672999999999</v>
      </c>
      <c r="AE42" s="151">
        <v>7.6766731676329678E-2</v>
      </c>
      <c r="AF42" s="130">
        <v>5.6966731676329679E-2</v>
      </c>
      <c r="AG42" s="130">
        <v>0.25792422795179581</v>
      </c>
      <c r="AH42" s="131">
        <v>3.8771076604206907</v>
      </c>
      <c r="AI42" s="129">
        <v>40575</v>
      </c>
      <c r="AJ42" s="129">
        <v>4950</v>
      </c>
      <c r="AK42" s="127">
        <f t="shared" si="0"/>
        <v>1</v>
      </c>
    </row>
    <row r="43" spans="1:37" ht="12" x14ac:dyDescent="0.25">
      <c r="A43" s="77" t="s">
        <v>441</v>
      </c>
      <c r="B43" s="77" t="s">
        <v>747</v>
      </c>
      <c r="C43" s="77" t="s">
        <v>234</v>
      </c>
      <c r="D43" s="77">
        <v>45791</v>
      </c>
      <c r="E43" s="77">
        <v>45792</v>
      </c>
      <c r="F43" s="77" t="s">
        <v>301</v>
      </c>
      <c r="G43" s="77" t="s">
        <v>671</v>
      </c>
      <c r="H43" s="77" t="s">
        <v>441</v>
      </c>
      <c r="I43" s="77" t="s">
        <v>442</v>
      </c>
      <c r="J43" s="77" t="s">
        <v>312</v>
      </c>
      <c r="K43" s="77" t="s">
        <v>305</v>
      </c>
      <c r="L43" s="77" t="s">
        <v>412</v>
      </c>
      <c r="M43" s="77" t="s">
        <v>381</v>
      </c>
      <c r="N43" s="129">
        <v>150000000</v>
      </c>
      <c r="O43" s="77" t="s">
        <v>430</v>
      </c>
      <c r="P43" s="130">
        <v>2.1600000000000001E-2</v>
      </c>
      <c r="Q43" s="130">
        <v>9.6978148762843802E-2</v>
      </c>
      <c r="R43" s="130">
        <v>0.13565251064300538</v>
      </c>
      <c r="S43" s="150">
        <v>104.18</v>
      </c>
      <c r="T43" s="131">
        <v>102.85</v>
      </c>
      <c r="U43" s="129">
        <v>250000</v>
      </c>
      <c r="V43" s="129" t="s">
        <v>28</v>
      </c>
      <c r="W43" s="131">
        <v>1</v>
      </c>
      <c r="X43" s="129">
        <v>659.72</v>
      </c>
      <c r="Y43" s="129">
        <v>10</v>
      </c>
      <c r="Z43" s="129">
        <v>257125</v>
      </c>
      <c r="AA43" s="129">
        <v>257784.72</v>
      </c>
      <c r="AB43" s="129">
        <v>267475</v>
      </c>
      <c r="AC43" s="131">
        <v>1.5616438356164384</v>
      </c>
      <c r="AD43" s="151">
        <v>0.11963620999999999</v>
      </c>
      <c r="AE43" s="151">
        <v>8.0945585152497654E-2</v>
      </c>
      <c r="AF43" s="130">
        <v>5.9345585152497653E-2</v>
      </c>
      <c r="AG43" s="130">
        <v>0.26684593062495776</v>
      </c>
      <c r="AH43" s="131">
        <v>3.7474807940971138</v>
      </c>
      <c r="AI43" s="129">
        <v>33913.127660751343</v>
      </c>
      <c r="AJ43" s="129">
        <v>5400</v>
      </c>
      <c r="AK43" s="127">
        <f t="shared" si="0"/>
        <v>1</v>
      </c>
    </row>
    <row r="44" spans="1:37" ht="12" x14ac:dyDescent="0.25">
      <c r="A44" s="77" t="s">
        <v>443</v>
      </c>
      <c r="B44" s="77" t="s">
        <v>747</v>
      </c>
      <c r="C44" s="77" t="s">
        <v>234</v>
      </c>
      <c r="D44" s="77">
        <v>45793</v>
      </c>
      <c r="E44" s="77">
        <v>45797</v>
      </c>
      <c r="F44" s="77" t="s">
        <v>309</v>
      </c>
      <c r="G44" s="77" t="s">
        <v>672</v>
      </c>
      <c r="H44" s="77" t="s">
        <v>443</v>
      </c>
      <c r="I44" s="77" t="s">
        <v>444</v>
      </c>
      <c r="J44" s="77" t="s">
        <v>304</v>
      </c>
      <c r="K44" s="77" t="s">
        <v>313</v>
      </c>
      <c r="L44" s="77" t="s">
        <v>445</v>
      </c>
      <c r="M44" s="77" t="s">
        <v>446</v>
      </c>
      <c r="N44" s="129">
        <v>75000000</v>
      </c>
      <c r="O44" s="77" t="s">
        <v>447</v>
      </c>
      <c r="P44" s="130">
        <v>3.4500000000000003E-2</v>
      </c>
      <c r="Q44" s="130">
        <v>0.132513423963</v>
      </c>
      <c r="R44" s="130">
        <v>0.1696</v>
      </c>
      <c r="S44" s="150">
        <v>102.83</v>
      </c>
      <c r="T44" s="131">
        <v>103.75</v>
      </c>
      <c r="U44" s="129">
        <v>250000</v>
      </c>
      <c r="V44" s="129" t="s">
        <v>28</v>
      </c>
      <c r="W44" s="131">
        <v>1</v>
      </c>
      <c r="X44" s="129">
        <v>2553.06</v>
      </c>
      <c r="Y44" s="129">
        <v>28</v>
      </c>
      <c r="Z44" s="129">
        <v>259375</v>
      </c>
      <c r="AA44" s="129">
        <v>261928.06</v>
      </c>
      <c r="AB44" s="129">
        <v>259525</v>
      </c>
      <c r="AC44" s="131">
        <v>0.28767123287671231</v>
      </c>
      <c r="AD44" s="151">
        <v>0.12295012</v>
      </c>
      <c r="AE44" s="151">
        <v>8.1050117868952221E-2</v>
      </c>
      <c r="AF44" s="130">
        <v>4.6550117868952218E-2</v>
      </c>
      <c r="AG44" s="130">
        <v>0.42566255185195578</v>
      </c>
      <c r="AH44" s="131">
        <v>2.3492787788102092</v>
      </c>
      <c r="AI44" s="129">
        <v>42400</v>
      </c>
      <c r="AJ44" s="129">
        <v>8625</v>
      </c>
      <c r="AK44" s="127">
        <f t="shared" si="0"/>
        <v>1</v>
      </c>
    </row>
    <row r="45" spans="1:37" ht="12" x14ac:dyDescent="0.25">
      <c r="A45" s="77" t="s">
        <v>448</v>
      </c>
      <c r="B45" s="77" t="s">
        <v>747</v>
      </c>
      <c r="C45" s="77" t="s">
        <v>234</v>
      </c>
      <c r="D45" s="77">
        <v>45797</v>
      </c>
      <c r="E45" s="77">
        <v>45798</v>
      </c>
      <c r="F45" s="77" t="s">
        <v>301</v>
      </c>
      <c r="G45" s="77" t="s">
        <v>449</v>
      </c>
      <c r="H45" s="77" t="s">
        <v>448</v>
      </c>
      <c r="I45" s="77" t="s">
        <v>450</v>
      </c>
      <c r="J45" s="77" t="s">
        <v>312</v>
      </c>
      <c r="K45" s="77" t="s">
        <v>305</v>
      </c>
      <c r="L45" s="77" t="s">
        <v>451</v>
      </c>
      <c r="M45" s="77" t="s">
        <v>452</v>
      </c>
      <c r="N45" s="129">
        <v>95000000</v>
      </c>
      <c r="O45" s="77" t="s">
        <v>334</v>
      </c>
      <c r="P45" s="130">
        <v>2.64E-2</v>
      </c>
      <c r="Q45" s="130">
        <v>5.9943972307865592E-2</v>
      </c>
      <c r="R45" s="130">
        <v>9.8100000000000007E-2</v>
      </c>
      <c r="S45" s="150">
        <v>102.15</v>
      </c>
      <c r="T45" s="131">
        <v>101.85</v>
      </c>
      <c r="U45" s="129">
        <v>250000</v>
      </c>
      <c r="V45" s="129" t="s">
        <v>28</v>
      </c>
      <c r="W45" s="131">
        <v>1</v>
      </c>
      <c r="X45" s="129">
        <v>0</v>
      </c>
      <c r="Y45" s="129">
        <v>0</v>
      </c>
      <c r="Z45" s="129">
        <v>254625</v>
      </c>
      <c r="AA45" s="129">
        <v>254625</v>
      </c>
      <c r="AB45" s="129">
        <v>255937.5</v>
      </c>
      <c r="AC45" s="131">
        <v>2.1013698630136988</v>
      </c>
      <c r="AD45" s="151">
        <v>9.3113240000000014E-2</v>
      </c>
      <c r="AE45" s="151">
        <v>5.1913241596361126E-2</v>
      </c>
      <c r="AF45" s="130">
        <v>2.5513241596361126E-2</v>
      </c>
      <c r="AG45" s="130">
        <v>0.50854077280064347</v>
      </c>
      <c r="AH45" s="131">
        <v>1.9664106665288308</v>
      </c>
      <c r="AI45" s="129">
        <v>24525</v>
      </c>
      <c r="AJ45" s="129">
        <v>6600</v>
      </c>
      <c r="AK45" s="127">
        <f t="shared" si="0"/>
        <v>1</v>
      </c>
    </row>
    <row r="46" spans="1:37" ht="12" x14ac:dyDescent="0.25">
      <c r="A46" s="77" t="s">
        <v>453</v>
      </c>
      <c r="B46" s="77" t="s">
        <v>747</v>
      </c>
      <c r="C46" s="77" t="s">
        <v>234</v>
      </c>
      <c r="D46" s="77">
        <v>45805</v>
      </c>
      <c r="E46" s="77">
        <v>45806</v>
      </c>
      <c r="F46" s="77" t="s">
        <v>309</v>
      </c>
      <c r="G46" s="77" t="s">
        <v>454</v>
      </c>
      <c r="H46" s="77" t="s">
        <v>453</v>
      </c>
      <c r="I46" s="77" t="s">
        <v>455</v>
      </c>
      <c r="J46" s="77" t="s">
        <v>312</v>
      </c>
      <c r="K46" s="77" t="s">
        <v>305</v>
      </c>
      <c r="L46" s="77" t="s">
        <v>456</v>
      </c>
      <c r="M46" s="77" t="s">
        <v>457</v>
      </c>
      <c r="N46" s="129">
        <v>50000000</v>
      </c>
      <c r="O46" s="77" t="s">
        <v>458</v>
      </c>
      <c r="P46" s="130">
        <v>2.12E-2</v>
      </c>
      <c r="Q46" s="130">
        <v>8.895815195583813E-2</v>
      </c>
      <c r="R46" s="130">
        <v>0.1275</v>
      </c>
      <c r="S46" s="150">
        <v>101.46</v>
      </c>
      <c r="T46" s="131">
        <v>101.6</v>
      </c>
      <c r="U46" s="129">
        <v>250000</v>
      </c>
      <c r="V46" s="129" t="s">
        <v>28</v>
      </c>
      <c r="W46" s="131">
        <v>1</v>
      </c>
      <c r="X46" s="129">
        <v>3892.36</v>
      </c>
      <c r="Y46" s="129">
        <v>59</v>
      </c>
      <c r="Z46" s="129">
        <v>254000</v>
      </c>
      <c r="AA46" s="129">
        <v>257892.36</v>
      </c>
      <c r="AB46" s="129">
        <v>258225</v>
      </c>
      <c r="AC46" s="131">
        <v>1.1479452054794521</v>
      </c>
      <c r="AD46" s="151">
        <v>0.11989807000000001</v>
      </c>
      <c r="AE46" s="151">
        <v>7.8098074235587928E-2</v>
      </c>
      <c r="AF46" s="130">
        <v>5.6898074235587931E-2</v>
      </c>
      <c r="AG46" s="130">
        <v>0.27145355640971147</v>
      </c>
      <c r="AH46" s="131">
        <v>3.6838714262069776</v>
      </c>
      <c r="AI46" s="129">
        <v>31875</v>
      </c>
      <c r="AJ46" s="129">
        <v>5300</v>
      </c>
      <c r="AK46" s="127">
        <f t="shared" si="0"/>
        <v>1</v>
      </c>
    </row>
    <row r="47" spans="1:37" ht="12" x14ac:dyDescent="0.25">
      <c r="A47" s="77" t="s">
        <v>459</v>
      </c>
      <c r="B47" s="77" t="s">
        <v>747</v>
      </c>
      <c r="C47" s="77" t="s">
        <v>234</v>
      </c>
      <c r="D47" s="77">
        <v>45834</v>
      </c>
      <c r="E47" s="77">
        <v>45835</v>
      </c>
      <c r="F47" s="77" t="s">
        <v>301</v>
      </c>
      <c r="G47" s="77" t="s">
        <v>460</v>
      </c>
      <c r="H47" s="77" t="s">
        <v>459</v>
      </c>
      <c r="I47" s="77" t="s">
        <v>461</v>
      </c>
      <c r="J47" s="77" t="s">
        <v>312</v>
      </c>
      <c r="K47" s="77" t="s">
        <v>305</v>
      </c>
      <c r="L47" s="77" t="s">
        <v>462</v>
      </c>
      <c r="M47" s="77" t="s">
        <v>463</v>
      </c>
      <c r="N47" s="129">
        <v>475000000</v>
      </c>
      <c r="O47" s="77" t="s">
        <v>464</v>
      </c>
      <c r="P47" s="130">
        <v>5.6599999999999998E-2</v>
      </c>
      <c r="Q47" s="130">
        <v>0.14337499204691626</v>
      </c>
      <c r="R47" s="130">
        <v>0.18169999999999997</v>
      </c>
      <c r="S47" s="150">
        <v>105.48</v>
      </c>
      <c r="T47" s="131">
        <v>102.8</v>
      </c>
      <c r="U47" s="129">
        <v>250000</v>
      </c>
      <c r="V47" s="129" t="s">
        <v>28</v>
      </c>
      <c r="W47" s="131">
        <v>1</v>
      </c>
      <c r="X47" s="129">
        <v>2041.67</v>
      </c>
      <c r="Y47" s="129">
        <v>21</v>
      </c>
      <c r="Z47" s="129">
        <v>257000</v>
      </c>
      <c r="AA47" s="129">
        <v>259041.67</v>
      </c>
      <c r="AB47" s="129">
        <v>267575</v>
      </c>
      <c r="AC47" s="131">
        <v>1.3232876712328767</v>
      </c>
      <c r="AD47" s="151">
        <v>0.16562574999999999</v>
      </c>
      <c r="AE47" s="151">
        <v>0.12472574939368082</v>
      </c>
      <c r="AF47" s="130">
        <v>6.8125749393680823E-2</v>
      </c>
      <c r="AG47" s="130">
        <v>0.45379562981296956</v>
      </c>
      <c r="AH47" s="131">
        <v>2.2036351482982481</v>
      </c>
      <c r="AI47" s="129">
        <v>45424.999999999993</v>
      </c>
      <c r="AJ47" s="129">
        <v>14150</v>
      </c>
      <c r="AK47" s="127">
        <f t="shared" si="0"/>
        <v>1</v>
      </c>
    </row>
    <row r="48" spans="1:37" ht="12" x14ac:dyDescent="0.25">
      <c r="A48" s="77" t="s">
        <v>465</v>
      </c>
      <c r="B48" s="77" t="s">
        <v>747</v>
      </c>
      <c r="C48" s="77" t="s">
        <v>234</v>
      </c>
      <c r="D48" s="77">
        <v>45859</v>
      </c>
      <c r="E48" s="77">
        <v>45860</v>
      </c>
      <c r="F48" s="77" t="s">
        <v>309</v>
      </c>
      <c r="G48" s="77" t="s">
        <v>673</v>
      </c>
      <c r="H48" s="77" t="s">
        <v>465</v>
      </c>
      <c r="I48" s="77" t="s">
        <v>455</v>
      </c>
      <c r="J48" s="77" t="s">
        <v>312</v>
      </c>
      <c r="K48" s="77" t="s">
        <v>305</v>
      </c>
      <c r="L48" s="77" t="s">
        <v>466</v>
      </c>
      <c r="M48" s="77" t="s">
        <v>467</v>
      </c>
      <c r="N48" s="129">
        <v>75000000</v>
      </c>
      <c r="O48" s="77" t="s">
        <v>458</v>
      </c>
      <c r="P48" s="130">
        <v>0.03</v>
      </c>
      <c r="Q48" s="130">
        <v>8.2377062182166227E-2</v>
      </c>
      <c r="R48" s="130">
        <v>0.1208</v>
      </c>
      <c r="S48" s="150">
        <v>100.27</v>
      </c>
      <c r="T48" s="131">
        <v>99.3</v>
      </c>
      <c r="U48" s="129">
        <v>250000</v>
      </c>
      <c r="V48" s="129" t="s">
        <v>28</v>
      </c>
      <c r="W48" s="131">
        <v>1</v>
      </c>
      <c r="X48" s="129">
        <v>1260.42</v>
      </c>
      <c r="Y48" s="129">
        <v>22</v>
      </c>
      <c r="Z48" s="129">
        <v>248250</v>
      </c>
      <c r="AA48" s="129">
        <v>249510.42</v>
      </c>
      <c r="AB48" s="129">
        <v>258612.5</v>
      </c>
      <c r="AC48" s="131">
        <v>2.1479452054794521</v>
      </c>
      <c r="AD48" s="151">
        <v>0.12753048</v>
      </c>
      <c r="AE48" s="151">
        <v>8.5730482812476083E-2</v>
      </c>
      <c r="AF48" s="130">
        <v>5.5730482812476084E-2</v>
      </c>
      <c r="AG48" s="130">
        <v>0.34993387434456619</v>
      </c>
      <c r="AH48" s="131">
        <v>2.8576827604158699</v>
      </c>
      <c r="AI48" s="129">
        <v>30200</v>
      </c>
      <c r="AJ48" s="129">
        <v>7500</v>
      </c>
      <c r="AK48" s="127">
        <f t="shared" si="0"/>
        <v>1</v>
      </c>
    </row>
    <row r="49" spans="1:37" ht="12" x14ac:dyDescent="0.25">
      <c r="A49" s="77" t="s">
        <v>468</v>
      </c>
      <c r="B49" s="77" t="s">
        <v>747</v>
      </c>
      <c r="C49" s="77" t="s">
        <v>234</v>
      </c>
      <c r="D49" s="77">
        <v>45866</v>
      </c>
      <c r="E49" s="77">
        <v>45867</v>
      </c>
      <c r="F49" s="77" t="s">
        <v>309</v>
      </c>
      <c r="G49" s="77" t="s">
        <v>469</v>
      </c>
      <c r="H49" s="77" t="s">
        <v>468</v>
      </c>
      <c r="I49" s="77" t="s">
        <v>470</v>
      </c>
      <c r="J49" s="77" t="s">
        <v>312</v>
      </c>
      <c r="K49" s="77" t="s">
        <v>305</v>
      </c>
      <c r="L49" s="77" t="s">
        <v>471</v>
      </c>
      <c r="M49" s="77" t="s">
        <v>425</v>
      </c>
      <c r="N49" s="129">
        <v>110000000</v>
      </c>
      <c r="O49" s="77" t="s">
        <v>472</v>
      </c>
      <c r="P49" s="130">
        <v>9.1999999999999998E-3</v>
      </c>
      <c r="Q49" s="130">
        <v>6.7368757419999994E-2</v>
      </c>
      <c r="R49" s="130">
        <v>0.1056</v>
      </c>
      <c r="S49" s="150">
        <v>103.16</v>
      </c>
      <c r="T49" s="131">
        <v>103.1</v>
      </c>
      <c r="U49" s="129">
        <v>250000</v>
      </c>
      <c r="V49" s="129" t="s">
        <v>28</v>
      </c>
      <c r="W49" s="131">
        <v>1</v>
      </c>
      <c r="X49" s="129">
        <v>1041.94</v>
      </c>
      <c r="Y49" s="129">
        <v>22</v>
      </c>
      <c r="Z49" s="129">
        <v>257750</v>
      </c>
      <c r="AA49" s="129">
        <v>258791.94</v>
      </c>
      <c r="AB49" s="129">
        <v>258525</v>
      </c>
      <c r="AC49" s="131">
        <v>0.55616438356164388</v>
      </c>
      <c r="AD49" s="151">
        <v>7.1632760000000004E-2</v>
      </c>
      <c r="AE49" s="151">
        <v>3.0432763330324752E-2</v>
      </c>
      <c r="AF49" s="130">
        <v>2.1232763330324752E-2</v>
      </c>
      <c r="AG49" s="130">
        <v>0.30230577158376715</v>
      </c>
      <c r="AH49" s="131">
        <v>3.3079090576439949</v>
      </c>
      <c r="AI49" s="129">
        <v>26400</v>
      </c>
      <c r="AJ49" s="129">
        <v>2300</v>
      </c>
      <c r="AK49" s="127">
        <f t="shared" si="0"/>
        <v>1</v>
      </c>
    </row>
    <row r="50" spans="1:37" ht="12" x14ac:dyDescent="0.25">
      <c r="A50" s="77" t="s">
        <v>473</v>
      </c>
      <c r="B50" s="77" t="s">
        <v>747</v>
      </c>
      <c r="C50" s="77" t="s">
        <v>234</v>
      </c>
      <c r="D50" s="77">
        <v>45889</v>
      </c>
      <c r="E50" s="77">
        <v>45890</v>
      </c>
      <c r="F50" s="77" t="s">
        <v>474</v>
      </c>
      <c r="G50" s="77" t="s">
        <v>674</v>
      </c>
      <c r="H50" s="77" t="s">
        <v>473</v>
      </c>
      <c r="I50" s="77" t="s">
        <v>337</v>
      </c>
      <c r="J50" s="77" t="s">
        <v>312</v>
      </c>
      <c r="K50" s="77" t="s">
        <v>305</v>
      </c>
      <c r="L50" s="77" t="s">
        <v>475</v>
      </c>
      <c r="M50" s="77" t="s">
        <v>476</v>
      </c>
      <c r="N50" s="129">
        <v>75000000</v>
      </c>
      <c r="O50" s="77" t="s">
        <v>340</v>
      </c>
      <c r="P50" s="130">
        <v>8.0999999999999996E-3</v>
      </c>
      <c r="Q50" s="130">
        <v>6.7481547241393061E-2</v>
      </c>
      <c r="R50" s="130">
        <v>0.10617999877929687</v>
      </c>
      <c r="S50" s="150">
        <v>102.32</v>
      </c>
      <c r="T50" s="131">
        <v>102.925</v>
      </c>
      <c r="U50" s="129">
        <v>250000</v>
      </c>
      <c r="V50" s="129" t="s">
        <v>28</v>
      </c>
      <c r="W50" s="131">
        <v>1</v>
      </c>
      <c r="X50" s="129">
        <v>471.39</v>
      </c>
      <c r="Y50" s="129">
        <v>10</v>
      </c>
      <c r="Z50" s="129">
        <v>257312.5</v>
      </c>
      <c r="AA50" s="129">
        <v>257783.89</v>
      </c>
      <c r="AB50" s="129">
        <v>253575</v>
      </c>
      <c r="AC50" s="131">
        <v>0.31506849315068491</v>
      </c>
      <c r="AD50" s="151">
        <v>5.5554730000000004E-2</v>
      </c>
      <c r="AE50" s="151">
        <v>1.3954731692494411E-2</v>
      </c>
      <c r="AF50" s="130">
        <v>5.8547316924944109E-3</v>
      </c>
      <c r="AG50" s="130">
        <v>0.58044827937154864</v>
      </c>
      <c r="AH50" s="131">
        <v>1.7228063817894335</v>
      </c>
      <c r="AI50" s="129">
        <v>26544.999694824219</v>
      </c>
      <c r="AJ50" s="129">
        <v>2025</v>
      </c>
      <c r="AK50" s="127">
        <f t="shared" si="0"/>
        <v>1</v>
      </c>
    </row>
    <row r="51" spans="1:37" ht="12" x14ac:dyDescent="0.25">
      <c r="A51" s="77" t="s">
        <v>477</v>
      </c>
      <c r="B51" s="77" t="s">
        <v>747</v>
      </c>
      <c r="C51" s="77" t="s">
        <v>234</v>
      </c>
      <c r="D51" s="77">
        <v>45908</v>
      </c>
      <c r="E51" s="77">
        <v>45909</v>
      </c>
      <c r="F51" s="77" t="s">
        <v>309</v>
      </c>
      <c r="G51" s="77" t="s">
        <v>478</v>
      </c>
      <c r="H51" s="77" t="s">
        <v>477</v>
      </c>
      <c r="I51" s="77" t="s">
        <v>423</v>
      </c>
      <c r="J51" s="77" t="s">
        <v>312</v>
      </c>
      <c r="K51" s="77" t="s">
        <v>305</v>
      </c>
      <c r="L51" s="77" t="s">
        <v>424</v>
      </c>
      <c r="M51" s="77" t="s">
        <v>425</v>
      </c>
      <c r="N51" s="129">
        <v>50000000</v>
      </c>
      <c r="O51" s="77" t="s">
        <v>340</v>
      </c>
      <c r="P51" s="130">
        <v>2.7799999999999998E-2</v>
      </c>
      <c r="Q51" s="130">
        <v>8.2161083101289042E-2</v>
      </c>
      <c r="R51" s="130">
        <v>0.1206</v>
      </c>
      <c r="S51" s="150">
        <v>102.43</v>
      </c>
      <c r="T51" s="131">
        <v>102.75</v>
      </c>
      <c r="U51" s="129">
        <v>250000</v>
      </c>
      <c r="V51" s="129" t="s">
        <v>28</v>
      </c>
      <c r="W51" s="131">
        <v>1</v>
      </c>
      <c r="X51" s="129">
        <v>57.08</v>
      </c>
      <c r="Y51" s="129">
        <v>1</v>
      </c>
      <c r="Z51" s="129">
        <v>256875</v>
      </c>
      <c r="AA51" s="129">
        <v>256932.08</v>
      </c>
      <c r="AB51" s="129">
        <v>255675</v>
      </c>
      <c r="AC51" s="131">
        <v>0.55616438356164388</v>
      </c>
      <c r="AD51" s="151">
        <v>8.541230000000001E-2</v>
      </c>
      <c r="AE51" s="151">
        <v>4.4412304626014816E-2</v>
      </c>
      <c r="AF51" s="130">
        <v>1.6612304626014818E-2</v>
      </c>
      <c r="AG51" s="130">
        <v>0.62595265510531406</v>
      </c>
      <c r="AH51" s="131">
        <v>1.5975649146048496</v>
      </c>
      <c r="AI51" s="129">
        <v>30150</v>
      </c>
      <c r="AJ51" s="129">
        <v>6950</v>
      </c>
      <c r="AK51" s="127">
        <f t="shared" si="0"/>
        <v>1</v>
      </c>
    </row>
    <row r="52" spans="1:37" ht="12" x14ac:dyDescent="0.25">
      <c r="A52" s="77" t="s">
        <v>479</v>
      </c>
      <c r="B52" s="77" t="s">
        <v>747</v>
      </c>
      <c r="C52" s="77" t="s">
        <v>234</v>
      </c>
      <c r="D52" s="77">
        <v>45908</v>
      </c>
      <c r="E52" s="77">
        <v>45909</v>
      </c>
      <c r="F52" s="77" t="s">
        <v>301</v>
      </c>
      <c r="G52" s="77" t="s">
        <v>675</v>
      </c>
      <c r="H52" s="77" t="s">
        <v>479</v>
      </c>
      <c r="I52" s="77" t="s">
        <v>480</v>
      </c>
      <c r="J52" s="77" t="s">
        <v>312</v>
      </c>
      <c r="K52" s="77" t="s">
        <v>305</v>
      </c>
      <c r="L52" s="77" t="s">
        <v>481</v>
      </c>
      <c r="M52" s="77" t="s">
        <v>434</v>
      </c>
      <c r="N52" s="129">
        <v>115000000</v>
      </c>
      <c r="O52" s="77" t="s">
        <v>376</v>
      </c>
      <c r="P52" s="130">
        <v>2.3300000000000001E-2</v>
      </c>
      <c r="Q52" s="130">
        <v>8.6567912869999986E-2</v>
      </c>
      <c r="R52" s="130">
        <v>0.1257647939682007</v>
      </c>
      <c r="S52" s="150">
        <v>103.48</v>
      </c>
      <c r="T52" s="131">
        <v>103.85</v>
      </c>
      <c r="U52" s="129">
        <v>250000</v>
      </c>
      <c r="V52" s="129" t="s">
        <v>28</v>
      </c>
      <c r="W52" s="131">
        <v>1</v>
      </c>
      <c r="X52" s="129">
        <v>3266.25</v>
      </c>
      <c r="Y52" s="129">
        <v>54</v>
      </c>
      <c r="Z52" s="129">
        <v>259625</v>
      </c>
      <c r="AA52" s="129">
        <v>262891.25</v>
      </c>
      <c r="AB52" s="129">
        <v>260262.5</v>
      </c>
      <c r="AC52" s="131">
        <v>0.56164383561643838</v>
      </c>
      <c r="AD52" s="151">
        <v>6.7369300000000007E-2</v>
      </c>
      <c r="AE52" s="151">
        <v>2.8575341237840349E-2</v>
      </c>
      <c r="AF52" s="130">
        <v>5.2753412378403475E-3</v>
      </c>
      <c r="AG52" s="130">
        <v>0.81538833801030597</v>
      </c>
      <c r="AH52" s="131">
        <v>1.226409495186281</v>
      </c>
      <c r="AI52" s="129">
        <v>31441.198492050175</v>
      </c>
      <c r="AJ52" s="129">
        <v>5825</v>
      </c>
      <c r="AK52" s="127">
        <f t="shared" si="0"/>
        <v>1</v>
      </c>
    </row>
    <row r="53" spans="1:37" ht="12" x14ac:dyDescent="0.25">
      <c r="A53" s="77" t="s">
        <v>482</v>
      </c>
      <c r="B53" s="77" t="s">
        <v>747</v>
      </c>
      <c r="C53" s="77" t="s">
        <v>234</v>
      </c>
      <c r="D53" s="77">
        <v>45908</v>
      </c>
      <c r="E53" s="77">
        <v>45909</v>
      </c>
      <c r="F53" s="77" t="s">
        <v>301</v>
      </c>
      <c r="G53" s="77" t="s">
        <v>676</v>
      </c>
      <c r="H53" s="77" t="s">
        <v>482</v>
      </c>
      <c r="I53" s="77" t="s">
        <v>379</v>
      </c>
      <c r="J53" s="77" t="s">
        <v>312</v>
      </c>
      <c r="K53" s="77" t="s">
        <v>305</v>
      </c>
      <c r="L53" s="77" t="s">
        <v>483</v>
      </c>
      <c r="M53" s="77" t="s">
        <v>425</v>
      </c>
      <c r="N53" s="129">
        <v>100000000</v>
      </c>
      <c r="O53" s="77" t="s">
        <v>382</v>
      </c>
      <c r="P53" s="130">
        <v>1.54E-2</v>
      </c>
      <c r="Q53" s="130">
        <v>0.10575252025762831</v>
      </c>
      <c r="R53" s="130">
        <v>0.14446480112075805</v>
      </c>
      <c r="S53" s="150">
        <v>103.29</v>
      </c>
      <c r="T53" s="131">
        <v>102.9</v>
      </c>
      <c r="U53" s="129">
        <v>250000</v>
      </c>
      <c r="V53" s="129" t="s">
        <v>28</v>
      </c>
      <c r="W53" s="131">
        <v>1</v>
      </c>
      <c r="X53" s="129">
        <v>293.89</v>
      </c>
      <c r="Y53" s="129">
        <v>4</v>
      </c>
      <c r="Z53" s="129">
        <v>257250</v>
      </c>
      <c r="AA53" s="129">
        <v>257543.89</v>
      </c>
      <c r="AB53" s="129">
        <v>263975</v>
      </c>
      <c r="AC53" s="131">
        <v>0.55616438356164388</v>
      </c>
      <c r="AD53" s="151">
        <v>0.10023182999999999</v>
      </c>
      <c r="AE53" s="151">
        <v>6.1567034755452367E-2</v>
      </c>
      <c r="AF53" s="130">
        <v>4.6167034755452363E-2</v>
      </c>
      <c r="AG53" s="130">
        <v>0.25013385915319203</v>
      </c>
      <c r="AH53" s="131">
        <v>3.9978593997046992</v>
      </c>
      <c r="AI53" s="129">
        <v>36116.200280189514</v>
      </c>
      <c r="AJ53" s="129">
        <v>3850</v>
      </c>
      <c r="AK53" s="127">
        <f t="shared" si="0"/>
        <v>1</v>
      </c>
    </row>
    <row r="54" spans="1:37" ht="12" x14ac:dyDescent="0.25">
      <c r="A54" s="77" t="s">
        <v>679</v>
      </c>
      <c r="B54" s="77" t="s">
        <v>747</v>
      </c>
      <c r="C54" s="77" t="s">
        <v>234</v>
      </c>
      <c r="D54" s="77">
        <v>45912</v>
      </c>
      <c r="E54" s="77">
        <v>45917</v>
      </c>
      <c r="F54" s="77" t="s">
        <v>677</v>
      </c>
      <c r="G54" s="77" t="s">
        <v>678</v>
      </c>
      <c r="H54" s="77" t="s">
        <v>679</v>
      </c>
      <c r="I54" s="77" t="s">
        <v>677</v>
      </c>
      <c r="J54" s="77" t="s">
        <v>304</v>
      </c>
      <c r="K54" s="77" t="s">
        <v>313</v>
      </c>
      <c r="L54" s="77">
        <v>45917</v>
      </c>
      <c r="M54" s="77">
        <v>47013</v>
      </c>
      <c r="N54" s="129">
        <v>60000000</v>
      </c>
      <c r="O54" s="77" t="s">
        <v>680</v>
      </c>
      <c r="P54" s="130">
        <v>9.7000000000000003E-3</v>
      </c>
      <c r="Q54" s="130">
        <v>2.4989104510654645E-2</v>
      </c>
      <c r="R54" s="130">
        <v>6.3716461658477788E-2</v>
      </c>
      <c r="S54" s="150">
        <v>0</v>
      </c>
      <c r="T54" s="131">
        <v>100</v>
      </c>
      <c r="U54" s="129">
        <v>250000</v>
      </c>
      <c r="V54" s="129" t="s">
        <v>28</v>
      </c>
      <c r="W54" s="131">
        <v>1</v>
      </c>
      <c r="X54" s="129">
        <v>0</v>
      </c>
      <c r="Y54" s="129">
        <v>0</v>
      </c>
      <c r="Z54" s="129">
        <v>250000</v>
      </c>
      <c r="AA54" s="129">
        <v>250000</v>
      </c>
      <c r="AB54" s="129">
        <v>251762.5</v>
      </c>
      <c r="AC54" s="131">
        <v>2.8438356164383563</v>
      </c>
      <c r="AD54" s="151">
        <v>6.3665340000000001E-2</v>
      </c>
      <c r="AE54" s="151">
        <v>2.5000548719300911E-2</v>
      </c>
      <c r="AF54" s="130">
        <v>1.5300548719300911E-2</v>
      </c>
      <c r="AG54" s="130">
        <v>0.3879914840633642</v>
      </c>
      <c r="AH54" s="131">
        <v>2.5773761566289601</v>
      </c>
      <c r="AI54" s="129">
        <v>15929.115414619448</v>
      </c>
      <c r="AJ54" s="129">
        <v>2425</v>
      </c>
      <c r="AK54" s="127">
        <f t="shared" si="0"/>
        <v>1</v>
      </c>
    </row>
    <row r="55" spans="1:37" ht="12" x14ac:dyDescent="0.25">
      <c r="A55" s="77" t="s">
        <v>509</v>
      </c>
      <c r="B55" s="77" t="s">
        <v>747</v>
      </c>
      <c r="C55" s="77" t="s">
        <v>234</v>
      </c>
      <c r="D55" s="77">
        <v>45917</v>
      </c>
      <c r="E55" s="77">
        <v>45918</v>
      </c>
      <c r="F55" s="77" t="s">
        <v>301</v>
      </c>
      <c r="G55" s="77" t="s">
        <v>681</v>
      </c>
      <c r="H55" s="77" t="s">
        <v>509</v>
      </c>
      <c r="I55" s="77" t="s">
        <v>303</v>
      </c>
      <c r="J55" s="77" t="s">
        <v>304</v>
      </c>
      <c r="K55" s="77" t="s">
        <v>305</v>
      </c>
      <c r="L55" s="77" t="s">
        <v>682</v>
      </c>
      <c r="M55" s="77" t="s">
        <v>683</v>
      </c>
      <c r="N55" s="129">
        <v>150000000</v>
      </c>
      <c r="O55" s="77" t="s">
        <v>308</v>
      </c>
      <c r="P55" s="130">
        <v>1.54E-2</v>
      </c>
      <c r="Q55" s="130">
        <v>3.9735449151122572E-2</v>
      </c>
      <c r="R55" s="130">
        <v>7.7952500000000008E-2</v>
      </c>
      <c r="S55" s="150">
        <v>103.74</v>
      </c>
      <c r="T55" s="131">
        <v>104.5</v>
      </c>
      <c r="U55" s="129">
        <v>250000</v>
      </c>
      <c r="V55" s="129" t="s">
        <v>28</v>
      </c>
      <c r="W55" s="131">
        <v>1</v>
      </c>
      <c r="X55" s="129">
        <v>4444.07</v>
      </c>
      <c r="Y55" s="129">
        <v>79</v>
      </c>
      <c r="Z55" s="129">
        <v>261250</v>
      </c>
      <c r="AA55" s="129">
        <v>265694.07</v>
      </c>
      <c r="AB55" s="129">
        <v>259187.5</v>
      </c>
      <c r="AC55" s="131">
        <v>2.484931506849315</v>
      </c>
      <c r="AD55" s="151">
        <v>6.1684509999999998E-2</v>
      </c>
      <c r="AE55" s="151">
        <v>2.1454116404083068E-2</v>
      </c>
      <c r="AF55" s="130">
        <v>6.0541164040830674E-3</v>
      </c>
      <c r="AG55" s="130">
        <v>0.71781096503555508</v>
      </c>
      <c r="AH55" s="131">
        <v>1.3931244418235758</v>
      </c>
      <c r="AI55" s="129">
        <v>19488.125000000004</v>
      </c>
      <c r="AJ55" s="129">
        <v>3850</v>
      </c>
      <c r="AK55" s="127">
        <f t="shared" si="0"/>
        <v>1</v>
      </c>
    </row>
    <row r="56" spans="1:37" ht="12" x14ac:dyDescent="0.25">
      <c r="A56" s="77" t="s">
        <v>520</v>
      </c>
      <c r="B56" s="77" t="s">
        <v>747</v>
      </c>
      <c r="C56" s="77" t="s">
        <v>234</v>
      </c>
      <c r="D56" s="77">
        <v>45918</v>
      </c>
      <c r="E56" s="77">
        <v>45919</v>
      </c>
      <c r="F56" s="77" t="s">
        <v>474</v>
      </c>
      <c r="G56" s="77" t="s">
        <v>684</v>
      </c>
      <c r="H56" s="77" t="s">
        <v>520</v>
      </c>
      <c r="I56" s="77" t="s">
        <v>685</v>
      </c>
      <c r="J56" s="77" t="s">
        <v>312</v>
      </c>
      <c r="K56" s="77" t="s">
        <v>313</v>
      </c>
      <c r="L56" s="77" t="s">
        <v>686</v>
      </c>
      <c r="M56" s="77" t="s">
        <v>687</v>
      </c>
      <c r="N56" s="129">
        <v>50000000</v>
      </c>
      <c r="O56" s="77" t="s">
        <v>688</v>
      </c>
      <c r="P56" s="130">
        <v>3.78E-2</v>
      </c>
      <c r="Q56" s="130">
        <v>7.9825592971428452E-2</v>
      </c>
      <c r="R56" s="130">
        <v>0.1183</v>
      </c>
      <c r="S56" s="150">
        <v>100.43</v>
      </c>
      <c r="T56" s="131">
        <v>104.65</v>
      </c>
      <c r="U56" s="129">
        <v>250000</v>
      </c>
      <c r="V56" s="129" t="s">
        <v>28</v>
      </c>
      <c r="W56" s="131">
        <v>1</v>
      </c>
      <c r="X56" s="129">
        <v>2333.33</v>
      </c>
      <c r="Y56" s="129">
        <v>42</v>
      </c>
      <c r="Z56" s="129">
        <v>261625</v>
      </c>
      <c r="AA56" s="129">
        <v>263958.33</v>
      </c>
      <c r="AB56" s="129">
        <v>253550</v>
      </c>
      <c r="AC56" s="131">
        <v>2.4821917808219176</v>
      </c>
      <c r="AD56" s="151">
        <v>9.9497470000000005E-2</v>
      </c>
      <c r="AE56" s="151">
        <v>5.9797468299949516E-2</v>
      </c>
      <c r="AF56" s="130">
        <v>2.1997468299949516E-2</v>
      </c>
      <c r="AG56" s="130">
        <v>0.63213378550395771</v>
      </c>
      <c r="AH56" s="131">
        <v>1.5819436058187704</v>
      </c>
      <c r="AI56" s="129">
        <v>29575</v>
      </c>
      <c r="AJ56" s="129">
        <v>9450</v>
      </c>
      <c r="AK56" s="127">
        <f t="shared" si="0"/>
        <v>1</v>
      </c>
    </row>
    <row r="57" spans="1:37" ht="12" x14ac:dyDescent="0.25">
      <c r="A57" s="77" t="s">
        <v>518</v>
      </c>
      <c r="B57" s="77" t="s">
        <v>747</v>
      </c>
      <c r="C57" s="77" t="s">
        <v>234</v>
      </c>
      <c r="D57" s="77">
        <v>45929</v>
      </c>
      <c r="E57" s="77">
        <v>45930</v>
      </c>
      <c r="F57" s="77" t="s">
        <v>309</v>
      </c>
      <c r="G57" s="77" t="s">
        <v>695</v>
      </c>
      <c r="H57" s="77" t="s">
        <v>518</v>
      </c>
      <c r="I57" s="77" t="s">
        <v>432</v>
      </c>
      <c r="J57" s="77" t="s">
        <v>304</v>
      </c>
      <c r="K57" s="77" t="s">
        <v>305</v>
      </c>
      <c r="L57" s="77" t="s">
        <v>412</v>
      </c>
      <c r="M57" s="77" t="s">
        <v>434</v>
      </c>
      <c r="N57" s="129">
        <v>400000000</v>
      </c>
      <c r="O57" s="77" t="s">
        <v>435</v>
      </c>
      <c r="P57" s="130">
        <v>3.9399999999999998E-2</v>
      </c>
      <c r="Q57" s="130">
        <v>0.11854834382856104</v>
      </c>
      <c r="R57" s="130">
        <v>0.15690000000000001</v>
      </c>
      <c r="S57" s="150">
        <v>104.87</v>
      </c>
      <c r="T57" s="131">
        <v>105.2</v>
      </c>
      <c r="U57" s="129">
        <v>250000</v>
      </c>
      <c r="V57" s="129" t="s">
        <v>28</v>
      </c>
      <c r="W57" s="131">
        <v>1</v>
      </c>
      <c r="X57" s="129">
        <v>1237.5</v>
      </c>
      <c r="Y57" s="129">
        <v>15</v>
      </c>
      <c r="Z57" s="129">
        <v>263000</v>
      </c>
      <c r="AA57" s="129">
        <v>264237.5</v>
      </c>
      <c r="AB57" s="129">
        <v>263375</v>
      </c>
      <c r="AC57" s="131">
        <v>0.56164383561643838</v>
      </c>
      <c r="AD57" s="151">
        <v>8.1617250000000002E-2</v>
      </c>
      <c r="AE57" s="151">
        <v>4.1717248175702937E-2</v>
      </c>
      <c r="AF57" s="130">
        <v>2.3172481757029392E-3</v>
      </c>
      <c r="AG57" s="130">
        <v>0.94445347483268183</v>
      </c>
      <c r="AH57" s="131">
        <v>1.058813405474694</v>
      </c>
      <c r="AI57" s="129">
        <v>39225</v>
      </c>
      <c r="AJ57" s="129">
        <v>9850</v>
      </c>
      <c r="AK57" s="127">
        <f t="shared" si="0"/>
        <v>1</v>
      </c>
    </row>
    <row r="58" spans="1:37" ht="12" x14ac:dyDescent="0.25">
      <c r="A58" s="77" t="s">
        <v>511</v>
      </c>
      <c r="B58" s="77" t="s">
        <v>747</v>
      </c>
      <c r="C58" s="77" t="s">
        <v>234</v>
      </c>
      <c r="D58" s="77">
        <v>45931</v>
      </c>
      <c r="E58" s="77">
        <v>45932</v>
      </c>
      <c r="F58" s="77" t="s">
        <v>301</v>
      </c>
      <c r="G58" s="77" t="s">
        <v>696</v>
      </c>
      <c r="H58" s="77" t="s">
        <v>511</v>
      </c>
      <c r="I58" s="77" t="s">
        <v>360</v>
      </c>
      <c r="J58" s="77" t="s">
        <v>312</v>
      </c>
      <c r="K58" s="77" t="s">
        <v>305</v>
      </c>
      <c r="L58" s="77" t="s">
        <v>697</v>
      </c>
      <c r="M58" s="77" t="s">
        <v>315</v>
      </c>
      <c r="N58" s="129">
        <v>400000000</v>
      </c>
      <c r="O58" s="77" t="s">
        <v>363</v>
      </c>
      <c r="P58" s="130">
        <v>7.7999999999999996E-3</v>
      </c>
      <c r="Q58" s="130">
        <v>5.5532829293870552E-2</v>
      </c>
      <c r="R58" s="130">
        <v>9.3900000000000011E-2</v>
      </c>
      <c r="S58" s="150">
        <v>103.91</v>
      </c>
      <c r="T58" s="131">
        <v>105.4</v>
      </c>
      <c r="U58" s="129">
        <v>675000</v>
      </c>
      <c r="V58" s="129" t="s">
        <v>28</v>
      </c>
      <c r="W58" s="131">
        <v>1</v>
      </c>
      <c r="X58" s="129">
        <v>312.75</v>
      </c>
      <c r="Y58" s="129">
        <v>3</v>
      </c>
      <c r="Z58" s="129">
        <v>711450</v>
      </c>
      <c r="AA58" s="129">
        <v>711762.75</v>
      </c>
      <c r="AB58" s="129">
        <v>714251.25</v>
      </c>
      <c r="AC58" s="131">
        <v>2.3972602739726026</v>
      </c>
      <c r="AD58" s="151">
        <v>7.1962929999999994E-2</v>
      </c>
      <c r="AE58" s="151">
        <v>3.2262928048453043E-2</v>
      </c>
      <c r="AF58" s="130">
        <v>2.4462928048453042E-2</v>
      </c>
      <c r="AG58" s="130">
        <v>0.24176354943003994</v>
      </c>
      <c r="AH58" s="131">
        <v>4.1362728267247491</v>
      </c>
      <c r="AI58" s="129">
        <v>63382.500000000007</v>
      </c>
      <c r="AJ58" s="129">
        <v>5265</v>
      </c>
      <c r="AK58" s="127">
        <f t="shared" si="0"/>
        <v>1</v>
      </c>
    </row>
    <row r="59" spans="1:37" ht="12" x14ac:dyDescent="0.25">
      <c r="A59" s="77" t="s">
        <v>514</v>
      </c>
      <c r="B59" s="77" t="s">
        <v>747</v>
      </c>
      <c r="C59" s="77" t="s">
        <v>234</v>
      </c>
      <c r="D59" s="77">
        <v>45939</v>
      </c>
      <c r="E59" s="77">
        <v>45940</v>
      </c>
      <c r="F59" s="77" t="s">
        <v>301</v>
      </c>
      <c r="G59" s="77" t="s">
        <v>698</v>
      </c>
      <c r="H59" s="77" t="s">
        <v>514</v>
      </c>
      <c r="I59" s="77" t="s">
        <v>417</v>
      </c>
      <c r="J59" s="77" t="s">
        <v>312</v>
      </c>
      <c r="K59" s="77" t="s">
        <v>305</v>
      </c>
      <c r="L59" s="77" t="s">
        <v>699</v>
      </c>
      <c r="M59" s="77" t="s">
        <v>700</v>
      </c>
      <c r="N59" s="129">
        <v>250000000</v>
      </c>
      <c r="O59" s="77" t="s">
        <v>420</v>
      </c>
      <c r="P59" s="130">
        <v>1.7500000000000002E-2</v>
      </c>
      <c r="Q59" s="130">
        <v>0.10162389465689785</v>
      </c>
      <c r="R59" s="130">
        <v>0.14030000000000001</v>
      </c>
      <c r="S59" s="150">
        <v>106.04</v>
      </c>
      <c r="T59" s="131">
        <v>107.85</v>
      </c>
      <c r="U59" s="129">
        <v>250000</v>
      </c>
      <c r="V59" s="129" t="s">
        <v>28</v>
      </c>
      <c r="W59" s="131">
        <v>1</v>
      </c>
      <c r="X59" s="129">
        <v>3627.92</v>
      </c>
      <c r="Y59" s="129">
        <v>38</v>
      </c>
      <c r="Z59" s="129">
        <v>269625</v>
      </c>
      <c r="AA59" s="129">
        <v>273252.92</v>
      </c>
      <c r="AB59" s="129">
        <v>268825</v>
      </c>
      <c r="AC59" s="131">
        <v>1.284931506849315</v>
      </c>
      <c r="AD59" s="151">
        <v>8.1237019999999993E-2</v>
      </c>
      <c r="AE59" s="151">
        <v>4.1937022461208007E-2</v>
      </c>
      <c r="AF59" s="130">
        <v>2.4437022461208005E-2</v>
      </c>
      <c r="AG59" s="130">
        <v>0.41729238207570901</v>
      </c>
      <c r="AH59" s="131">
        <v>2.3964012834976001</v>
      </c>
      <c r="AI59" s="129">
        <v>35075</v>
      </c>
      <c r="AJ59" s="129">
        <v>4375</v>
      </c>
      <c r="AK59" s="127">
        <f t="shared" si="0"/>
        <v>1</v>
      </c>
    </row>
    <row r="60" spans="1:37" ht="12" x14ac:dyDescent="0.25">
      <c r="A60" s="77" t="s">
        <v>512</v>
      </c>
      <c r="B60" s="77" t="s">
        <v>747</v>
      </c>
      <c r="C60" s="77" t="s">
        <v>234</v>
      </c>
      <c r="D60" s="77">
        <v>45939</v>
      </c>
      <c r="E60" s="77">
        <v>45944</v>
      </c>
      <c r="F60" s="77" t="s">
        <v>474</v>
      </c>
      <c r="G60" s="77" t="s">
        <v>701</v>
      </c>
      <c r="H60" s="77" t="s">
        <v>512</v>
      </c>
      <c r="I60" s="77" t="s">
        <v>417</v>
      </c>
      <c r="J60" s="77" t="s">
        <v>312</v>
      </c>
      <c r="K60" s="77" t="s">
        <v>305</v>
      </c>
      <c r="L60" s="77" t="s">
        <v>699</v>
      </c>
      <c r="M60" s="77" t="s">
        <v>700</v>
      </c>
      <c r="N60" s="129">
        <v>150000000</v>
      </c>
      <c r="O60" s="77" t="s">
        <v>420</v>
      </c>
      <c r="P60" s="130">
        <v>2.24E-2</v>
      </c>
      <c r="Q60" s="130">
        <v>0.11673172109656935</v>
      </c>
      <c r="R60" s="130">
        <v>0.15509999999999999</v>
      </c>
      <c r="S60" s="150">
        <v>105.89</v>
      </c>
      <c r="T60" s="131">
        <v>108.35</v>
      </c>
      <c r="U60" s="129">
        <v>250000</v>
      </c>
      <c r="V60" s="129" t="s">
        <v>28</v>
      </c>
      <c r="W60" s="131">
        <v>1</v>
      </c>
      <c r="X60" s="129">
        <v>4577.99</v>
      </c>
      <c r="Y60" s="129">
        <v>42</v>
      </c>
      <c r="Z60" s="129">
        <v>270875</v>
      </c>
      <c r="AA60" s="129">
        <v>275452.99</v>
      </c>
      <c r="AB60" s="129">
        <v>268887.5</v>
      </c>
      <c r="AC60" s="131">
        <v>1.284931506849315</v>
      </c>
      <c r="AD60" s="151">
        <v>9.1780930000000011E-2</v>
      </c>
      <c r="AE60" s="151">
        <v>5.2580929798629883E-2</v>
      </c>
      <c r="AF60" s="130">
        <v>3.0180929798629883E-2</v>
      </c>
      <c r="AG60" s="130">
        <v>0.42600996379838996</v>
      </c>
      <c r="AH60" s="131">
        <v>2.3473629374388341</v>
      </c>
      <c r="AI60" s="129">
        <v>38775</v>
      </c>
      <c r="AJ60" s="129">
        <v>5600</v>
      </c>
      <c r="AK60" s="127">
        <f t="shared" si="0"/>
        <v>1</v>
      </c>
    </row>
    <row r="61" spans="1:37" ht="12" x14ac:dyDescent="0.25">
      <c r="A61" s="77" t="s">
        <v>772</v>
      </c>
      <c r="B61" s="77" t="s">
        <v>747</v>
      </c>
      <c r="C61" s="77" t="s">
        <v>234</v>
      </c>
      <c r="D61" s="77">
        <v>45944</v>
      </c>
      <c r="E61" s="77">
        <v>45945</v>
      </c>
      <c r="F61" s="77" t="s">
        <v>301</v>
      </c>
      <c r="G61" s="77" t="s">
        <v>702</v>
      </c>
      <c r="H61" s="77" t="s">
        <v>772</v>
      </c>
      <c r="I61" s="77" t="s">
        <v>427</v>
      </c>
      <c r="J61" s="77" t="s">
        <v>304</v>
      </c>
      <c r="K61" s="77" t="s">
        <v>305</v>
      </c>
      <c r="L61" s="77" t="s">
        <v>703</v>
      </c>
      <c r="M61" s="77" t="s">
        <v>704</v>
      </c>
      <c r="N61" s="129">
        <v>450000000</v>
      </c>
      <c r="O61" s="77" t="s">
        <v>430</v>
      </c>
      <c r="P61" s="130">
        <v>1.43E-2</v>
      </c>
      <c r="Q61" s="130">
        <v>0.10489571908489592</v>
      </c>
      <c r="R61" s="130">
        <v>0.14350714000000001</v>
      </c>
      <c r="S61" s="150">
        <v>105.14</v>
      </c>
      <c r="T61" s="131">
        <v>107.75</v>
      </c>
      <c r="U61" s="129">
        <v>500000</v>
      </c>
      <c r="V61" s="129" t="s">
        <v>28</v>
      </c>
      <c r="W61" s="131">
        <v>1</v>
      </c>
      <c r="X61" s="129">
        <v>200.56</v>
      </c>
      <c r="Y61" s="129">
        <v>0</v>
      </c>
      <c r="Z61" s="129">
        <v>538750</v>
      </c>
      <c r="AA61" s="129">
        <v>538950.56000000006</v>
      </c>
      <c r="AB61" s="129">
        <v>538975</v>
      </c>
      <c r="AC61" s="131">
        <v>1.4931506849315068</v>
      </c>
      <c r="AD61" s="151">
        <v>9.2212089999999997E-2</v>
      </c>
      <c r="AE61" s="151">
        <v>5.2857792866939986E-2</v>
      </c>
      <c r="AF61" s="130">
        <v>3.8557792866939986E-2</v>
      </c>
      <c r="AG61" s="130">
        <v>0.27053721361385041</v>
      </c>
      <c r="AH61" s="131">
        <v>3.6963491515342644</v>
      </c>
      <c r="AI61" s="129">
        <v>71753.570000000007</v>
      </c>
      <c r="AJ61" s="129">
        <v>7150</v>
      </c>
      <c r="AK61" s="127">
        <f t="shared" si="0"/>
        <v>1</v>
      </c>
    </row>
    <row r="62" spans="1:37" ht="12" x14ac:dyDescent="0.25">
      <c r="A62" s="77" t="s">
        <v>709</v>
      </c>
      <c r="B62" s="77" t="s">
        <v>747</v>
      </c>
      <c r="C62" s="77" t="s">
        <v>234</v>
      </c>
      <c r="D62" s="77">
        <v>45947</v>
      </c>
      <c r="E62" s="77">
        <v>45965</v>
      </c>
      <c r="F62" s="77" t="s">
        <v>677</v>
      </c>
      <c r="G62" s="77" t="s">
        <v>708</v>
      </c>
      <c r="H62" s="77" t="s">
        <v>709</v>
      </c>
      <c r="I62" s="77" t="s">
        <v>710</v>
      </c>
      <c r="J62" s="77" t="s">
        <v>312</v>
      </c>
      <c r="K62" s="77" t="s">
        <v>305</v>
      </c>
      <c r="L62" s="201">
        <v>45992</v>
      </c>
      <c r="M62" s="77">
        <v>47452</v>
      </c>
      <c r="N62" s="129">
        <v>200000000</v>
      </c>
      <c r="O62" s="77" t="s">
        <v>711</v>
      </c>
      <c r="P62" s="130">
        <v>7.2700000000000001E-2</v>
      </c>
      <c r="Q62" s="130">
        <v>0.10246677015858263</v>
      </c>
      <c r="R62" s="130">
        <v>0.1411647939682007</v>
      </c>
      <c r="S62" s="150">
        <v>0</v>
      </c>
      <c r="T62" s="131">
        <v>100</v>
      </c>
      <c r="U62" s="129">
        <v>250000</v>
      </c>
      <c r="V62" s="129" t="s">
        <v>28</v>
      </c>
      <c r="W62" s="131">
        <v>1</v>
      </c>
      <c r="X62" s="129">
        <v>0</v>
      </c>
      <c r="Y62" s="129">
        <v>0</v>
      </c>
      <c r="Z62" s="129">
        <v>250000</v>
      </c>
      <c r="AA62" s="129">
        <v>250000</v>
      </c>
      <c r="AB62" s="129">
        <v>250000</v>
      </c>
      <c r="AC62" s="131">
        <v>4.0465753424657533</v>
      </c>
      <c r="AD62" s="151">
        <v>0.14121886</v>
      </c>
      <c r="AE62" s="151">
        <v>0.1025282311838232</v>
      </c>
      <c r="AF62" s="130">
        <v>2.9828231183823203E-2</v>
      </c>
      <c r="AG62" s="130">
        <v>0.70907299541387714</v>
      </c>
      <c r="AH62" s="131">
        <v>1.4102920382919284</v>
      </c>
      <c r="AI62" s="129">
        <v>35291.198492050171</v>
      </c>
      <c r="AJ62" s="129">
        <v>18175</v>
      </c>
      <c r="AK62" s="127">
        <f t="shared" si="0"/>
        <v>1</v>
      </c>
    </row>
    <row r="63" spans="1:37" ht="12" x14ac:dyDescent="0.25">
      <c r="A63" s="77" t="s">
        <v>515</v>
      </c>
      <c r="B63" s="77" t="s">
        <v>747</v>
      </c>
      <c r="C63" s="77" t="s">
        <v>234</v>
      </c>
      <c r="D63" s="77">
        <v>45951</v>
      </c>
      <c r="E63" s="77">
        <v>45952</v>
      </c>
      <c r="F63" s="77" t="s">
        <v>309</v>
      </c>
      <c r="G63" s="77" t="s">
        <v>712</v>
      </c>
      <c r="H63" s="77" t="s">
        <v>515</v>
      </c>
      <c r="I63" s="77" t="s">
        <v>713</v>
      </c>
      <c r="J63" s="77" t="s">
        <v>304</v>
      </c>
      <c r="K63" s="77" t="s">
        <v>313</v>
      </c>
      <c r="L63" s="201" t="s">
        <v>714</v>
      </c>
      <c r="M63" s="77" t="s">
        <v>381</v>
      </c>
      <c r="N63" s="129">
        <v>90000000</v>
      </c>
      <c r="O63" s="77" t="s">
        <v>715</v>
      </c>
      <c r="P63" s="130">
        <v>9.9500000000000005E-2</v>
      </c>
      <c r="Q63" s="130">
        <v>0.3093300987126848</v>
      </c>
      <c r="R63" s="130">
        <v>0.34866479396820066</v>
      </c>
      <c r="S63" s="150">
        <v>103.39</v>
      </c>
      <c r="T63" s="131">
        <v>116</v>
      </c>
      <c r="U63" s="129">
        <v>500000</v>
      </c>
      <c r="V63" s="129" t="s">
        <v>28</v>
      </c>
      <c r="W63" s="131">
        <v>1</v>
      </c>
      <c r="X63" s="129">
        <v>21527.78</v>
      </c>
      <c r="Y63" s="129">
        <v>50</v>
      </c>
      <c r="Z63" s="129">
        <v>580000</v>
      </c>
      <c r="AA63" s="129">
        <v>601527.78</v>
      </c>
      <c r="AB63" s="129">
        <v>578750</v>
      </c>
      <c r="AC63" s="131">
        <v>1.5616438356164384</v>
      </c>
      <c r="AD63" s="151">
        <v>0.22882463</v>
      </c>
      <c r="AE63" s="151">
        <v>0.1901598249677022</v>
      </c>
      <c r="AF63" s="130">
        <v>9.0659824967702196E-2</v>
      </c>
      <c r="AG63" s="130">
        <v>0.52324406596871675</v>
      </c>
      <c r="AH63" s="131">
        <v>1.9111540197759014</v>
      </c>
      <c r="AI63" s="129">
        <v>174332.39698410034</v>
      </c>
      <c r="AJ63" s="129">
        <v>49750</v>
      </c>
      <c r="AK63" s="127">
        <f t="shared" si="0"/>
        <v>1</v>
      </c>
    </row>
    <row r="64" spans="1:37" ht="12" x14ac:dyDescent="0.25">
      <c r="A64" s="77" t="s">
        <v>739</v>
      </c>
      <c r="B64" s="77" t="s">
        <v>747</v>
      </c>
      <c r="C64" s="77" t="s">
        <v>234</v>
      </c>
      <c r="D64" s="77">
        <v>45957</v>
      </c>
      <c r="E64" s="77">
        <v>45958</v>
      </c>
      <c r="F64" s="77" t="s">
        <v>309</v>
      </c>
      <c r="G64" s="77" t="s">
        <v>365</v>
      </c>
      <c r="H64" s="77" t="s">
        <v>739</v>
      </c>
      <c r="I64" s="77" t="s">
        <v>366</v>
      </c>
      <c r="J64" s="77" t="s">
        <v>312</v>
      </c>
      <c r="K64" s="77" t="s">
        <v>367</v>
      </c>
      <c r="L64" s="201" t="s">
        <v>368</v>
      </c>
      <c r="M64" s="77" t="s">
        <v>369</v>
      </c>
      <c r="N64" s="129">
        <v>100000000</v>
      </c>
      <c r="O64" s="77" t="s">
        <v>370</v>
      </c>
      <c r="P64" s="130">
        <v>9.1999999999999998E-3</v>
      </c>
      <c r="Q64" s="130">
        <v>3.4997438079953813E-2</v>
      </c>
      <c r="R64" s="130">
        <v>7.3099999999999998E-2</v>
      </c>
      <c r="S64" s="150">
        <v>101.71</v>
      </c>
      <c r="T64" s="131">
        <v>103.1</v>
      </c>
      <c r="U64" s="129">
        <v>250000</v>
      </c>
      <c r="V64" s="129" t="s">
        <v>28</v>
      </c>
      <c r="W64" s="131">
        <v>1</v>
      </c>
      <c r="X64" s="129">
        <v>928.47</v>
      </c>
      <c r="Y64" s="129">
        <v>18</v>
      </c>
      <c r="Z64" s="129">
        <v>257750</v>
      </c>
      <c r="AA64" s="129">
        <v>258678.47</v>
      </c>
      <c r="AB64" s="129">
        <v>257800</v>
      </c>
      <c r="AC64" s="131">
        <v>2.1561643835616437</v>
      </c>
      <c r="AD64" s="151">
        <v>5.9052420000000001E-2</v>
      </c>
      <c r="AE64" s="151">
        <v>2.0152418543064037E-2</v>
      </c>
      <c r="AF64" s="130">
        <v>1.0952418543064037E-2</v>
      </c>
      <c r="AG64" s="130">
        <v>0.45652088757189951</v>
      </c>
      <c r="AH64" s="131">
        <v>2.1904802764200038</v>
      </c>
      <c r="AI64" s="129">
        <v>18275</v>
      </c>
      <c r="AJ64" s="129">
        <v>2300</v>
      </c>
      <c r="AK64" s="127">
        <f t="shared" si="0"/>
        <v>1</v>
      </c>
    </row>
    <row r="65" spans="1:37" ht="12" x14ac:dyDescent="0.25">
      <c r="A65" s="77" t="s">
        <v>510</v>
      </c>
      <c r="B65" s="77" t="s">
        <v>747</v>
      </c>
      <c r="C65" s="77" t="s">
        <v>234</v>
      </c>
      <c r="D65" s="77">
        <v>45957</v>
      </c>
      <c r="E65" s="77">
        <v>45958</v>
      </c>
      <c r="F65" s="77" t="s">
        <v>301</v>
      </c>
      <c r="G65" s="77" t="s">
        <v>716</v>
      </c>
      <c r="H65" s="77" t="s">
        <v>510</v>
      </c>
      <c r="I65" s="77" t="s">
        <v>337</v>
      </c>
      <c r="J65" s="77" t="s">
        <v>312</v>
      </c>
      <c r="K65" s="77" t="s">
        <v>305</v>
      </c>
      <c r="L65" s="201" t="s">
        <v>338</v>
      </c>
      <c r="M65" s="77" t="s">
        <v>339</v>
      </c>
      <c r="N65" s="129">
        <v>150000000</v>
      </c>
      <c r="O65" s="77" t="s">
        <v>340</v>
      </c>
      <c r="P65" s="130">
        <v>2.5700000000000001E-2</v>
      </c>
      <c r="Q65" s="130">
        <v>4.9959809826109432E-2</v>
      </c>
      <c r="R65" s="130">
        <v>8.8507139999999998E-2</v>
      </c>
      <c r="S65" s="150">
        <v>100.97</v>
      </c>
      <c r="T65" s="131">
        <v>101.25</v>
      </c>
      <c r="U65" s="129">
        <v>250000</v>
      </c>
      <c r="V65" s="129" t="s">
        <v>28</v>
      </c>
      <c r="W65" s="131">
        <v>1</v>
      </c>
      <c r="X65" s="129">
        <v>1088.72</v>
      </c>
      <c r="Y65" s="129">
        <v>18</v>
      </c>
      <c r="Z65" s="129">
        <v>253125</v>
      </c>
      <c r="AA65" s="129">
        <v>254213.72</v>
      </c>
      <c r="AB65" s="129">
        <v>253237.5</v>
      </c>
      <c r="AC65" s="131">
        <v>2.3150684931506849</v>
      </c>
      <c r="AD65" s="151">
        <v>8.3334779999999997E-2</v>
      </c>
      <c r="AE65" s="151">
        <v>4.4182315962045297E-2</v>
      </c>
      <c r="AF65" s="130">
        <v>1.8482315962045297E-2</v>
      </c>
      <c r="AG65" s="130">
        <v>0.58168068921686944</v>
      </c>
      <c r="AH65" s="131">
        <v>1.7191562631146029</v>
      </c>
      <c r="AI65" s="129">
        <v>22126.785</v>
      </c>
      <c r="AJ65" s="129">
        <v>6425</v>
      </c>
      <c r="AK65" s="127">
        <f t="shared" si="0"/>
        <v>1</v>
      </c>
    </row>
    <row r="66" spans="1:37" ht="12" x14ac:dyDescent="0.25">
      <c r="A66" s="77" t="s">
        <v>741</v>
      </c>
      <c r="B66" s="77" t="s">
        <v>747</v>
      </c>
      <c r="C66" s="77" t="s">
        <v>234</v>
      </c>
      <c r="D66" s="77">
        <v>45957</v>
      </c>
      <c r="E66" s="77">
        <v>45958</v>
      </c>
      <c r="F66" s="77" t="s">
        <v>301</v>
      </c>
      <c r="G66" s="77" t="s">
        <v>717</v>
      </c>
      <c r="H66" s="77" t="s">
        <v>741</v>
      </c>
      <c r="I66" s="77" t="s">
        <v>417</v>
      </c>
      <c r="J66" s="77" t="s">
        <v>312</v>
      </c>
      <c r="K66" s="77" t="s">
        <v>305</v>
      </c>
      <c r="L66" s="201" t="s">
        <v>418</v>
      </c>
      <c r="M66" s="77" t="s">
        <v>419</v>
      </c>
      <c r="N66" s="129">
        <v>175000000</v>
      </c>
      <c r="O66" s="77" t="s">
        <v>420</v>
      </c>
      <c r="P66" s="130">
        <v>1.61E-2</v>
      </c>
      <c r="Q66" s="130">
        <v>6.4970000542552628E-2</v>
      </c>
      <c r="R66" s="130">
        <v>0.1032</v>
      </c>
      <c r="S66" s="150">
        <v>102.22</v>
      </c>
      <c r="T66" s="131">
        <v>104.2</v>
      </c>
      <c r="U66" s="129">
        <v>250000</v>
      </c>
      <c r="V66" s="129" t="s">
        <v>28</v>
      </c>
      <c r="W66" s="131">
        <v>1</v>
      </c>
      <c r="X66" s="129">
        <v>4047.99</v>
      </c>
      <c r="Y66" s="129">
        <v>56</v>
      </c>
      <c r="Z66" s="129">
        <v>260500</v>
      </c>
      <c r="AA66" s="129">
        <v>264547.99</v>
      </c>
      <c r="AB66" s="129">
        <v>260512.5</v>
      </c>
      <c r="AC66" s="131">
        <v>2.2712328767123289</v>
      </c>
      <c r="AD66" s="151">
        <v>8.3603850000000007E-2</v>
      </c>
      <c r="AE66" s="151">
        <v>4.4803848877882073E-2</v>
      </c>
      <c r="AF66" s="130">
        <v>2.8703848877882073E-2</v>
      </c>
      <c r="AG66" s="130">
        <v>0.3593441278646029</v>
      </c>
      <c r="AH66" s="131">
        <v>2.7828477563901908</v>
      </c>
      <c r="AI66" s="129">
        <v>25800</v>
      </c>
      <c r="AJ66" s="129">
        <v>4025</v>
      </c>
      <c r="AK66" s="127">
        <f t="shared" si="0"/>
        <v>1</v>
      </c>
    </row>
    <row r="67" spans="1:37" ht="12" x14ac:dyDescent="0.25">
      <c r="A67" s="77" t="s">
        <v>517</v>
      </c>
      <c r="B67" s="77" t="s">
        <v>747</v>
      </c>
      <c r="C67" s="77" t="s">
        <v>234</v>
      </c>
      <c r="D67" s="77">
        <v>45960</v>
      </c>
      <c r="E67" s="77">
        <v>45961</v>
      </c>
      <c r="F67" s="77" t="s">
        <v>301</v>
      </c>
      <c r="G67" s="77" t="s">
        <v>718</v>
      </c>
      <c r="H67" s="77" t="s">
        <v>517</v>
      </c>
      <c r="I67" s="77" t="s">
        <v>406</v>
      </c>
      <c r="J67" s="77" t="s">
        <v>304</v>
      </c>
      <c r="K67" s="77" t="s">
        <v>305</v>
      </c>
      <c r="L67" s="201" t="s">
        <v>407</v>
      </c>
      <c r="M67" s="77" t="s">
        <v>408</v>
      </c>
      <c r="N67" s="129">
        <v>150000000</v>
      </c>
      <c r="O67" s="77" t="s">
        <v>334</v>
      </c>
      <c r="P67" s="130">
        <v>1.06E-2</v>
      </c>
      <c r="Q67" s="130">
        <v>6.682648264256999E-2</v>
      </c>
      <c r="R67" s="130">
        <v>0.1051</v>
      </c>
      <c r="S67" s="150">
        <v>103.31</v>
      </c>
      <c r="T67" s="131">
        <v>103.15</v>
      </c>
      <c r="U67" s="129">
        <v>250000</v>
      </c>
      <c r="V67" s="129" t="s">
        <v>28</v>
      </c>
      <c r="W67" s="131">
        <v>1</v>
      </c>
      <c r="X67" s="129">
        <v>193.47</v>
      </c>
      <c r="Y67" s="129">
        <v>3</v>
      </c>
      <c r="Z67" s="129">
        <v>257875</v>
      </c>
      <c r="AA67" s="129">
        <v>258068.47</v>
      </c>
      <c r="AB67" s="129">
        <v>257787.5</v>
      </c>
      <c r="AC67" s="131">
        <v>0.72876712328767124</v>
      </c>
      <c r="AD67" s="151">
        <v>6.3872529999999997E-2</v>
      </c>
      <c r="AE67" s="151">
        <v>2.5372528841074379E-2</v>
      </c>
      <c r="AF67" s="130">
        <v>1.4772528841074379E-2</v>
      </c>
      <c r="AG67" s="130">
        <v>0.4177746753741064</v>
      </c>
      <c r="AH67" s="131">
        <v>2.3936347963277713</v>
      </c>
      <c r="AI67" s="129">
        <v>26275</v>
      </c>
      <c r="AJ67" s="129">
        <v>2650</v>
      </c>
      <c r="AK67" s="127">
        <f t="shared" si="0"/>
        <v>1</v>
      </c>
    </row>
    <row r="68" spans="1:37" ht="12" x14ac:dyDescent="0.25">
      <c r="A68" s="77" t="s">
        <v>519</v>
      </c>
      <c r="B68" s="77" t="s">
        <v>747</v>
      </c>
      <c r="C68" s="77" t="s">
        <v>234</v>
      </c>
      <c r="D68" s="77">
        <v>45960</v>
      </c>
      <c r="E68" s="77">
        <v>45961</v>
      </c>
      <c r="F68" s="77" t="s">
        <v>301</v>
      </c>
      <c r="G68" s="77" t="s">
        <v>719</v>
      </c>
      <c r="H68" s="77" t="s">
        <v>519</v>
      </c>
      <c r="I68" s="77" t="s">
        <v>331</v>
      </c>
      <c r="J68" s="77" t="s">
        <v>304</v>
      </c>
      <c r="K68" s="77" t="s">
        <v>305</v>
      </c>
      <c r="L68" s="201" t="s">
        <v>720</v>
      </c>
      <c r="M68" s="77" t="s">
        <v>721</v>
      </c>
      <c r="N68" s="129">
        <v>225000000</v>
      </c>
      <c r="O68" s="77" t="s">
        <v>334</v>
      </c>
      <c r="P68" s="130">
        <v>1.8599999999999998E-2</v>
      </c>
      <c r="Q68" s="130">
        <v>6.742759059999999E-2</v>
      </c>
      <c r="R68" s="130">
        <v>0.1056</v>
      </c>
      <c r="S68" s="150">
        <v>102.23</v>
      </c>
      <c r="T68" s="131">
        <v>102.35</v>
      </c>
      <c r="U68" s="129">
        <v>250000</v>
      </c>
      <c r="V68" s="129" t="s">
        <v>28</v>
      </c>
      <c r="W68" s="131">
        <v>1</v>
      </c>
      <c r="X68" s="129">
        <v>4311.71</v>
      </c>
      <c r="Y68" s="129">
        <v>59</v>
      </c>
      <c r="Z68" s="129">
        <v>255875</v>
      </c>
      <c r="AA68" s="129">
        <v>260186.71</v>
      </c>
      <c r="AB68" s="129">
        <v>255625</v>
      </c>
      <c r="AC68" s="131">
        <v>0.59452054794520548</v>
      </c>
      <c r="AD68" s="151">
        <v>6.777103000000001E-2</v>
      </c>
      <c r="AE68" s="151">
        <v>2.9271027283087746E-2</v>
      </c>
      <c r="AF68" s="130">
        <v>1.0671027283087747E-2</v>
      </c>
      <c r="AG68" s="130">
        <v>0.63544062940171331</v>
      </c>
      <c r="AH68" s="131">
        <v>1.5737111442520293</v>
      </c>
      <c r="AI68" s="129">
        <v>26400</v>
      </c>
      <c r="AJ68" s="129">
        <v>4650</v>
      </c>
      <c r="AK68" s="127">
        <f t="shared" si="0"/>
        <v>1</v>
      </c>
    </row>
    <row r="69" spans="1:37" ht="12" x14ac:dyDescent="0.25">
      <c r="A69" s="77" t="s">
        <v>521</v>
      </c>
      <c r="B69" s="77" t="s">
        <v>747</v>
      </c>
      <c r="C69" s="77" t="s">
        <v>234</v>
      </c>
      <c r="D69" s="77">
        <v>45964</v>
      </c>
      <c r="E69" s="77">
        <v>45965</v>
      </c>
      <c r="F69" s="77" t="s">
        <v>301</v>
      </c>
      <c r="G69" s="77" t="s">
        <v>722</v>
      </c>
      <c r="H69" s="77" t="s">
        <v>521</v>
      </c>
      <c r="I69" s="77" t="s">
        <v>432</v>
      </c>
      <c r="J69" s="77" t="s">
        <v>304</v>
      </c>
      <c r="K69" s="77" t="s">
        <v>305</v>
      </c>
      <c r="L69" s="201" t="s">
        <v>723</v>
      </c>
      <c r="M69" s="77" t="s">
        <v>724</v>
      </c>
      <c r="N69" s="129">
        <v>250000000</v>
      </c>
      <c r="O69" s="77" t="s">
        <v>435</v>
      </c>
      <c r="P69" s="130">
        <v>2.0199999999999999E-2</v>
      </c>
      <c r="Q69" s="130">
        <v>5.7469028659218019E-2</v>
      </c>
      <c r="R69" s="130">
        <v>9.5600000000000004E-2</v>
      </c>
      <c r="S69" s="150">
        <v>104.66</v>
      </c>
      <c r="T69" s="131">
        <v>105.6</v>
      </c>
      <c r="U69" s="129">
        <v>250000</v>
      </c>
      <c r="V69" s="129" t="s">
        <v>28</v>
      </c>
      <c r="W69" s="131">
        <v>1</v>
      </c>
      <c r="X69" s="129">
        <v>1312.99</v>
      </c>
      <c r="Y69" s="129">
        <v>20</v>
      </c>
      <c r="Z69" s="129">
        <v>264000</v>
      </c>
      <c r="AA69" s="129">
        <v>265312.99</v>
      </c>
      <c r="AB69" s="129">
        <v>264125</v>
      </c>
      <c r="AC69" s="131">
        <v>2.5643835616438357</v>
      </c>
      <c r="AD69" s="151">
        <v>7.2376590000000005E-2</v>
      </c>
      <c r="AE69" s="151">
        <v>3.4076587406479709E-2</v>
      </c>
      <c r="AF69" s="130">
        <v>1.387658740647971E-2</v>
      </c>
      <c r="AG69" s="130">
        <v>0.59278236283011554</v>
      </c>
      <c r="AH69" s="131">
        <v>1.6869597725980052</v>
      </c>
      <c r="AI69" s="129">
        <v>23900</v>
      </c>
      <c r="AJ69" s="129">
        <v>5050</v>
      </c>
      <c r="AK69" s="127">
        <f t="shared" si="0"/>
        <v>1</v>
      </c>
    </row>
    <row r="70" spans="1:37" ht="12" x14ac:dyDescent="0.25">
      <c r="A70" s="77" t="s">
        <v>522</v>
      </c>
      <c r="B70" s="77" t="s">
        <v>747</v>
      </c>
      <c r="C70" s="77" t="s">
        <v>234</v>
      </c>
      <c r="D70" s="77">
        <v>45965</v>
      </c>
      <c r="E70" s="77">
        <v>45966</v>
      </c>
      <c r="F70" s="77" t="s">
        <v>309</v>
      </c>
      <c r="G70" s="77" t="s">
        <v>725</v>
      </c>
      <c r="H70" s="77" t="s">
        <v>522</v>
      </c>
      <c r="I70" s="77" t="s">
        <v>423</v>
      </c>
      <c r="J70" s="77" t="s">
        <v>312</v>
      </c>
      <c r="K70" s="77" t="s">
        <v>305</v>
      </c>
      <c r="L70" s="201" t="s">
        <v>726</v>
      </c>
      <c r="M70" s="77" t="s">
        <v>724</v>
      </c>
      <c r="N70" s="129">
        <v>200000000</v>
      </c>
      <c r="O70" s="77" t="s">
        <v>340</v>
      </c>
      <c r="P70" s="130">
        <v>1.84E-2</v>
      </c>
      <c r="Q70" s="130">
        <v>4.4995846200183612E-2</v>
      </c>
      <c r="R70" s="130">
        <v>8.3299999999999999E-2</v>
      </c>
      <c r="S70" s="150">
        <v>100.51</v>
      </c>
      <c r="T70" s="131">
        <v>103</v>
      </c>
      <c r="U70" s="129">
        <v>250000</v>
      </c>
      <c r="V70" s="129" t="s">
        <v>28</v>
      </c>
      <c r="W70" s="131">
        <v>1</v>
      </c>
      <c r="X70" s="129">
        <v>1692.64</v>
      </c>
      <c r="Y70" s="129">
        <v>29</v>
      </c>
      <c r="Z70" s="129">
        <v>257500</v>
      </c>
      <c r="AA70" s="129">
        <v>259192.64</v>
      </c>
      <c r="AB70" s="129">
        <v>257625</v>
      </c>
      <c r="AC70" s="131">
        <v>2.5643835616438357</v>
      </c>
      <c r="AD70" s="151">
        <v>7.1044219999999991E-2</v>
      </c>
      <c r="AE70" s="151">
        <v>3.2444220183021816E-2</v>
      </c>
      <c r="AF70" s="130">
        <v>1.4044220183021816E-2</v>
      </c>
      <c r="AG70" s="130">
        <v>0.56712720774928005</v>
      </c>
      <c r="AH70" s="131">
        <v>1.7632728360337946</v>
      </c>
      <c r="AI70" s="129">
        <v>20825</v>
      </c>
      <c r="AJ70" s="129">
        <v>4600</v>
      </c>
      <c r="AK70" s="127">
        <f t="shared" si="0"/>
        <v>1</v>
      </c>
    </row>
    <row r="71" spans="1:37" ht="12" x14ac:dyDescent="0.25">
      <c r="A71" s="77" t="s">
        <v>523</v>
      </c>
      <c r="B71" s="77" t="s">
        <v>747</v>
      </c>
      <c r="C71" s="77" t="s">
        <v>234</v>
      </c>
      <c r="D71" s="77">
        <v>45966</v>
      </c>
      <c r="E71" s="77">
        <v>45968</v>
      </c>
      <c r="F71" s="77" t="s">
        <v>301</v>
      </c>
      <c r="G71" s="77" t="s">
        <v>727</v>
      </c>
      <c r="H71" s="77" t="s">
        <v>523</v>
      </c>
      <c r="I71" s="77" t="s">
        <v>728</v>
      </c>
      <c r="J71" s="77" t="s">
        <v>312</v>
      </c>
      <c r="K71" s="77" t="s">
        <v>305</v>
      </c>
      <c r="L71" s="201" t="s">
        <v>729</v>
      </c>
      <c r="M71" s="77" t="s">
        <v>730</v>
      </c>
      <c r="N71" s="263">
        <v>200000000</v>
      </c>
      <c r="O71" s="77" t="s">
        <v>731</v>
      </c>
      <c r="P71" s="264">
        <v>2.0299999999999999E-2</v>
      </c>
      <c r="Q71" s="264">
        <v>5.6146497097254007E-2</v>
      </c>
      <c r="R71" s="264">
        <v>9.3000000000000013E-2</v>
      </c>
      <c r="S71" s="265">
        <v>100.48</v>
      </c>
      <c r="T71" s="266">
        <v>102.9</v>
      </c>
      <c r="U71" s="263">
        <v>500000</v>
      </c>
      <c r="V71" s="263" t="s">
        <v>28</v>
      </c>
      <c r="W71" s="266">
        <v>1</v>
      </c>
      <c r="X71" s="263">
        <v>8662.2199999999993</v>
      </c>
      <c r="Y71" s="263">
        <v>66</v>
      </c>
      <c r="Z71" s="263">
        <v>514500</v>
      </c>
      <c r="AA71" s="263">
        <v>523162.22</v>
      </c>
      <c r="AB71" s="263">
        <v>514750</v>
      </c>
      <c r="AC71" s="266">
        <v>2.095890410958904</v>
      </c>
      <c r="AD71" s="264">
        <v>7.9424849999999991E-2</v>
      </c>
      <c r="AE71" s="264">
        <v>4.1124851491514361E-2</v>
      </c>
      <c r="AF71" s="264">
        <v>2.0824851491514362E-2</v>
      </c>
      <c r="AG71" s="264">
        <v>0.49361880380744161</v>
      </c>
      <c r="AH71" s="266">
        <v>2.0258547532765694</v>
      </c>
      <c r="AI71" s="263">
        <v>46500.000000000007</v>
      </c>
      <c r="AJ71" s="263">
        <v>10150</v>
      </c>
      <c r="AK71" s="127">
        <f t="shared" si="0"/>
        <v>1</v>
      </c>
    </row>
    <row r="72" spans="1:37" ht="12" x14ac:dyDescent="0.25">
      <c r="A72" s="77" t="s">
        <v>770</v>
      </c>
      <c r="B72" s="77" t="s">
        <v>747</v>
      </c>
      <c r="C72" s="77" t="s">
        <v>234</v>
      </c>
      <c r="D72" s="77">
        <v>45967</v>
      </c>
      <c r="E72" s="77">
        <v>45968</v>
      </c>
      <c r="F72" s="77" t="s">
        <v>309</v>
      </c>
      <c r="G72" s="77" t="s">
        <v>732</v>
      </c>
      <c r="H72" s="77" t="s">
        <v>770</v>
      </c>
      <c r="I72" s="77" t="s">
        <v>733</v>
      </c>
      <c r="J72" s="77" t="s">
        <v>312</v>
      </c>
      <c r="K72" s="77" t="s">
        <v>305</v>
      </c>
      <c r="L72" s="201" t="s">
        <v>734</v>
      </c>
      <c r="M72" s="77" t="s">
        <v>467</v>
      </c>
      <c r="N72" s="263">
        <v>200000000</v>
      </c>
      <c r="O72" s="77" t="s">
        <v>430</v>
      </c>
      <c r="P72" s="264">
        <v>7.0000000000000001E-3</v>
      </c>
      <c r="Q72" s="264">
        <v>8.4869250491294942E-2</v>
      </c>
      <c r="R72" s="264">
        <v>0.12330000000000001</v>
      </c>
      <c r="S72" s="265">
        <v>104.89</v>
      </c>
      <c r="T72" s="266">
        <v>107.2</v>
      </c>
      <c r="U72" s="263">
        <v>250000</v>
      </c>
      <c r="V72" s="263" t="s">
        <v>28</v>
      </c>
      <c r="W72" s="266">
        <v>1</v>
      </c>
      <c r="X72" s="263">
        <v>3162.43</v>
      </c>
      <c r="Y72" s="263">
        <v>37</v>
      </c>
      <c r="Z72" s="263">
        <v>268000</v>
      </c>
      <c r="AA72" s="263">
        <v>271162.43</v>
      </c>
      <c r="AB72" s="263">
        <v>268000</v>
      </c>
      <c r="AC72" s="266">
        <v>2.1479452054794521</v>
      </c>
      <c r="AD72" s="264">
        <v>8.7041720000000003E-2</v>
      </c>
      <c r="AE72" s="264">
        <v>4.8541718602058401E-2</v>
      </c>
      <c r="AF72" s="264">
        <v>4.1541718602058401E-2</v>
      </c>
      <c r="AG72" s="264">
        <v>0.14420585429587915</v>
      </c>
      <c r="AH72" s="266">
        <v>6.9345312288654855</v>
      </c>
      <c r="AI72" s="263">
        <v>30825</v>
      </c>
      <c r="AJ72" s="263">
        <v>1750</v>
      </c>
      <c r="AK72" s="127">
        <f t="shared" si="0"/>
        <v>1</v>
      </c>
    </row>
    <row r="73" spans="1:37" ht="12" x14ac:dyDescent="0.25">
      <c r="A73" s="77" t="s">
        <v>749</v>
      </c>
      <c r="B73" s="77" t="s">
        <v>747</v>
      </c>
      <c r="C73" s="77" t="s">
        <v>234</v>
      </c>
      <c r="D73" s="77">
        <v>45967</v>
      </c>
      <c r="E73" s="77">
        <v>45981</v>
      </c>
      <c r="F73" s="77" t="s">
        <v>677</v>
      </c>
      <c r="G73" s="77" t="s">
        <v>748</v>
      </c>
      <c r="H73" s="77" t="s">
        <v>749</v>
      </c>
      <c r="I73" s="77" t="s">
        <v>750</v>
      </c>
      <c r="J73" s="77" t="s">
        <v>312</v>
      </c>
      <c r="K73" s="77" t="s">
        <v>313</v>
      </c>
      <c r="L73" s="201">
        <v>45992</v>
      </c>
      <c r="M73" s="77">
        <v>47452</v>
      </c>
      <c r="N73" s="263">
        <v>55000000</v>
      </c>
      <c r="O73" s="77" t="s">
        <v>751</v>
      </c>
      <c r="P73" s="264">
        <v>7.8200000000000006E-2</v>
      </c>
      <c r="Q73" s="264">
        <v>0.12251717762756059</v>
      </c>
      <c r="R73" s="264">
        <v>0.16116479396820069</v>
      </c>
      <c r="S73" s="265">
        <v>0</v>
      </c>
      <c r="T73" s="266">
        <v>100</v>
      </c>
      <c r="U73" s="263">
        <v>250000</v>
      </c>
      <c r="V73" s="263" t="s">
        <v>28</v>
      </c>
      <c r="W73" s="266">
        <v>1</v>
      </c>
      <c r="X73" s="263">
        <v>0</v>
      </c>
      <c r="Y73" s="263">
        <v>0</v>
      </c>
      <c r="Z73" s="263">
        <v>250000</v>
      </c>
      <c r="AA73" s="263">
        <v>250000</v>
      </c>
      <c r="AB73" s="263">
        <v>250000</v>
      </c>
      <c r="AC73" s="266">
        <v>4.0465753424657533</v>
      </c>
      <c r="AD73" s="264">
        <v>0.16118136</v>
      </c>
      <c r="AE73" s="264">
        <v>0.12251656807814995</v>
      </c>
      <c r="AF73" s="264">
        <v>4.4316568078149945E-2</v>
      </c>
      <c r="AG73" s="264">
        <v>0.63828101967497475</v>
      </c>
      <c r="AH73" s="266">
        <v>1.5667080316898969</v>
      </c>
      <c r="AI73" s="263">
        <v>40291.198492050171</v>
      </c>
      <c r="AJ73" s="263">
        <v>19550</v>
      </c>
      <c r="AK73" s="127">
        <f t="shared" si="0"/>
        <v>1</v>
      </c>
    </row>
    <row r="74" spans="1:37" ht="12" x14ac:dyDescent="0.25">
      <c r="A74" s="77" t="s">
        <v>753</v>
      </c>
      <c r="B74" s="77" t="s">
        <v>747</v>
      </c>
      <c r="C74" s="77" t="s">
        <v>234</v>
      </c>
      <c r="D74" s="77">
        <v>45967</v>
      </c>
      <c r="E74" s="77">
        <v>45981</v>
      </c>
      <c r="F74" s="77" t="s">
        <v>677</v>
      </c>
      <c r="G74" s="77" t="s">
        <v>752</v>
      </c>
      <c r="H74" s="77" t="s">
        <v>753</v>
      </c>
      <c r="I74" s="77" t="s">
        <v>750</v>
      </c>
      <c r="J74" s="77" t="s">
        <v>304</v>
      </c>
      <c r="K74" s="77" t="s">
        <v>313</v>
      </c>
      <c r="L74" s="201">
        <v>45992</v>
      </c>
      <c r="M74" s="77">
        <v>47452</v>
      </c>
      <c r="N74" s="263">
        <v>30000000</v>
      </c>
      <c r="O74" s="77" t="s">
        <v>754</v>
      </c>
      <c r="P74" s="264">
        <v>2.8400000000000002E-2</v>
      </c>
      <c r="Q74" s="264">
        <v>7.5015894204477643E-2</v>
      </c>
      <c r="R74" s="264">
        <v>0.11366479396820069</v>
      </c>
      <c r="S74" s="265">
        <v>0</v>
      </c>
      <c r="T74" s="266">
        <v>100</v>
      </c>
      <c r="U74" s="263">
        <v>500000</v>
      </c>
      <c r="V74" s="263" t="s">
        <v>28</v>
      </c>
      <c r="W74" s="266">
        <v>1</v>
      </c>
      <c r="X74" s="263">
        <v>0</v>
      </c>
      <c r="Y74" s="263">
        <v>0</v>
      </c>
      <c r="Z74" s="263">
        <v>500000</v>
      </c>
      <c r="AA74" s="263">
        <v>500000</v>
      </c>
      <c r="AB74" s="263">
        <v>500000</v>
      </c>
      <c r="AC74" s="266">
        <v>4.0465753424657533</v>
      </c>
      <c r="AD74" s="264">
        <v>0.11368012</v>
      </c>
      <c r="AE74" s="264">
        <v>7.5015330186448695E-2</v>
      </c>
      <c r="AF74" s="264">
        <v>4.6615330186448693E-2</v>
      </c>
      <c r="AG74" s="264">
        <v>0.37858928207624393</v>
      </c>
      <c r="AH74" s="266">
        <v>2.6413848657200245</v>
      </c>
      <c r="AI74" s="263">
        <v>56832.396984100342</v>
      </c>
      <c r="AJ74" s="263">
        <v>14200</v>
      </c>
      <c r="AK74" s="127">
        <f t="shared" si="0"/>
        <v>1</v>
      </c>
    </row>
    <row r="75" spans="1:37" ht="12" x14ac:dyDescent="0.25">
      <c r="A75" s="77" t="s">
        <v>513</v>
      </c>
      <c r="B75" s="77" t="s">
        <v>747</v>
      </c>
      <c r="C75" s="77" t="s">
        <v>234</v>
      </c>
      <c r="D75" s="77">
        <v>45974</v>
      </c>
      <c r="E75" s="77">
        <v>45978</v>
      </c>
      <c r="F75" s="77" t="s">
        <v>301</v>
      </c>
      <c r="G75" s="77" t="s">
        <v>755</v>
      </c>
      <c r="H75" s="77" t="s">
        <v>513</v>
      </c>
      <c r="I75" s="77" t="s">
        <v>756</v>
      </c>
      <c r="J75" s="77" t="s">
        <v>304</v>
      </c>
      <c r="K75" s="77" t="s">
        <v>313</v>
      </c>
      <c r="L75" s="201" t="s">
        <v>757</v>
      </c>
      <c r="M75" s="77" t="s">
        <v>758</v>
      </c>
      <c r="N75" s="263">
        <v>75000000</v>
      </c>
      <c r="O75" s="77" t="s">
        <v>759</v>
      </c>
      <c r="P75" s="264">
        <v>2.6100000000000002E-2</v>
      </c>
      <c r="Q75" s="264">
        <v>6.2334962800133301E-2</v>
      </c>
      <c r="R75" s="264">
        <v>0.10100714</v>
      </c>
      <c r="S75" s="265">
        <v>102.73</v>
      </c>
      <c r="T75" s="266">
        <v>104.75</v>
      </c>
      <c r="U75" s="263">
        <v>500000</v>
      </c>
      <c r="V75" s="263" t="s">
        <v>28</v>
      </c>
      <c r="W75" s="266">
        <v>1</v>
      </c>
      <c r="X75" s="263">
        <v>7694.9</v>
      </c>
      <c r="Y75" s="263">
        <v>56</v>
      </c>
      <c r="Z75" s="263">
        <v>523750</v>
      </c>
      <c r="AA75" s="263">
        <v>531444.9</v>
      </c>
      <c r="AB75" s="263">
        <v>523750</v>
      </c>
      <c r="AC75" s="266">
        <v>3.6520547945205482</v>
      </c>
      <c r="AD75" s="264">
        <v>8.5719829999999997E-2</v>
      </c>
      <c r="AE75" s="264">
        <v>4.7212694302231385E-2</v>
      </c>
      <c r="AF75" s="264">
        <v>2.1112694302231384E-2</v>
      </c>
      <c r="AG75" s="264">
        <v>0.55281742306256076</v>
      </c>
      <c r="AH75" s="266">
        <v>1.8089154905069496</v>
      </c>
      <c r="AI75" s="263">
        <v>50503.57</v>
      </c>
      <c r="AJ75" s="263">
        <v>13050</v>
      </c>
      <c r="AK75" s="127">
        <f t="shared" si="0"/>
        <v>1</v>
      </c>
    </row>
    <row r="76" spans="1:37" ht="12" x14ac:dyDescent="0.25">
      <c r="A76" s="77" t="s">
        <v>771</v>
      </c>
      <c r="B76" s="77" t="s">
        <v>747</v>
      </c>
      <c r="C76" s="77" t="s">
        <v>234</v>
      </c>
      <c r="D76" s="77">
        <v>45974</v>
      </c>
      <c r="E76" s="77">
        <v>45975</v>
      </c>
      <c r="F76" s="77" t="s">
        <v>309</v>
      </c>
      <c r="G76" s="77" t="s">
        <v>732</v>
      </c>
      <c r="H76" s="77" t="s">
        <v>771</v>
      </c>
      <c r="I76" s="77" t="s">
        <v>733</v>
      </c>
      <c r="J76" s="77" t="s">
        <v>312</v>
      </c>
      <c r="K76" s="77" t="s">
        <v>305</v>
      </c>
      <c r="L76" s="201" t="s">
        <v>734</v>
      </c>
      <c r="M76" s="77" t="s">
        <v>467</v>
      </c>
      <c r="N76" s="263">
        <v>200000000</v>
      </c>
      <c r="O76" s="77" t="s">
        <v>430</v>
      </c>
      <c r="P76" s="264">
        <v>7.0000000000000001E-3</v>
      </c>
      <c r="Q76" s="264">
        <v>8.4869250491294942E-2</v>
      </c>
      <c r="R76" s="264">
        <v>0.12330000000000001</v>
      </c>
      <c r="S76" s="265">
        <v>104.89</v>
      </c>
      <c r="T76" s="266">
        <v>107.15</v>
      </c>
      <c r="U76" s="263">
        <v>250000</v>
      </c>
      <c r="V76" s="263" t="s">
        <v>28</v>
      </c>
      <c r="W76" s="266">
        <v>1</v>
      </c>
      <c r="X76" s="263">
        <v>3762.78</v>
      </c>
      <c r="Y76" s="263">
        <v>44</v>
      </c>
      <c r="Z76" s="263">
        <v>267875</v>
      </c>
      <c r="AA76" s="263">
        <v>271637.78000000003</v>
      </c>
      <c r="AB76" s="263">
        <v>268000</v>
      </c>
      <c r="AC76" s="266">
        <v>2.1479452054794521</v>
      </c>
      <c r="AD76" s="264">
        <v>8.6807519999999999E-2</v>
      </c>
      <c r="AE76" s="264">
        <v>4.8507522290478937E-2</v>
      </c>
      <c r="AF76" s="264">
        <v>4.1507522290478938E-2</v>
      </c>
      <c r="AG76" s="264">
        <v>0.14430751498874148</v>
      </c>
      <c r="AH76" s="266">
        <v>6.9296460414969907</v>
      </c>
      <c r="AI76" s="263">
        <v>30825</v>
      </c>
      <c r="AJ76" s="263">
        <v>1750</v>
      </c>
      <c r="AK76" s="127">
        <f t="shared" si="0"/>
        <v>1</v>
      </c>
    </row>
    <row r="77" spans="1:37" ht="12" x14ac:dyDescent="0.25">
      <c r="A77" s="77" t="s">
        <v>508</v>
      </c>
      <c r="B77" s="77" t="s">
        <v>747</v>
      </c>
      <c r="C77" s="77" t="s">
        <v>234</v>
      </c>
      <c r="D77" s="77">
        <v>45974</v>
      </c>
      <c r="E77" s="77">
        <v>45975</v>
      </c>
      <c r="F77" s="77" t="s">
        <v>309</v>
      </c>
      <c r="G77" s="77" t="s">
        <v>760</v>
      </c>
      <c r="H77" s="77" t="s">
        <v>508</v>
      </c>
      <c r="I77" s="77" t="s">
        <v>761</v>
      </c>
      <c r="J77" s="77" t="s">
        <v>304</v>
      </c>
      <c r="K77" s="77" t="s">
        <v>305</v>
      </c>
      <c r="L77" s="201" t="s">
        <v>762</v>
      </c>
      <c r="M77" s="77" t="s">
        <v>763</v>
      </c>
      <c r="N77" s="263">
        <v>600000000</v>
      </c>
      <c r="O77" s="77" t="s">
        <v>322</v>
      </c>
      <c r="P77" s="264">
        <v>2.52E-2</v>
      </c>
      <c r="Q77" s="264">
        <v>6.896924363170169E-2</v>
      </c>
      <c r="R77" s="264">
        <v>0.10710000000000001</v>
      </c>
      <c r="S77" s="265">
        <v>104.3</v>
      </c>
      <c r="T77" s="266">
        <v>105.25</v>
      </c>
      <c r="U77" s="263">
        <v>250000</v>
      </c>
      <c r="V77" s="263" t="s">
        <v>28</v>
      </c>
      <c r="W77" s="266">
        <v>1</v>
      </c>
      <c r="X77" s="263">
        <v>1317.22</v>
      </c>
      <c r="Y77" s="263">
        <v>18</v>
      </c>
      <c r="Z77" s="263">
        <v>263125</v>
      </c>
      <c r="AA77" s="263">
        <v>264442.21999999997</v>
      </c>
      <c r="AB77" s="263">
        <v>263125</v>
      </c>
      <c r="AC77" s="266">
        <v>2.3287671232876712</v>
      </c>
      <c r="AD77" s="264">
        <v>8.2521459999999991E-2</v>
      </c>
      <c r="AE77" s="264">
        <v>4.4421460506343671E-2</v>
      </c>
      <c r="AF77" s="264">
        <v>1.9221460506343671E-2</v>
      </c>
      <c r="AG77" s="264">
        <v>0.5672933693029133</v>
      </c>
      <c r="AH77" s="266">
        <v>1.7627563692993522</v>
      </c>
      <c r="AI77" s="263">
        <v>26775.000000000004</v>
      </c>
      <c r="AJ77" s="263">
        <v>6300</v>
      </c>
      <c r="AK77" s="127">
        <f t="shared" si="0"/>
        <v>1</v>
      </c>
    </row>
    <row r="78" spans="1:37" ht="12" x14ac:dyDescent="0.25">
      <c r="A78" s="77" t="s">
        <v>773</v>
      </c>
      <c r="B78" s="77" t="s">
        <v>747</v>
      </c>
      <c r="C78" s="77" t="s">
        <v>234</v>
      </c>
      <c r="D78" s="77">
        <v>45974</v>
      </c>
      <c r="E78" s="77">
        <v>45975</v>
      </c>
      <c r="F78" s="77" t="s">
        <v>301</v>
      </c>
      <c r="G78" s="77" t="s">
        <v>764</v>
      </c>
      <c r="H78" s="77" t="s">
        <v>773</v>
      </c>
      <c r="I78" s="77" t="s">
        <v>427</v>
      </c>
      <c r="J78" s="77" t="s">
        <v>304</v>
      </c>
      <c r="K78" s="77" t="s">
        <v>305</v>
      </c>
      <c r="L78" s="201" t="s">
        <v>703</v>
      </c>
      <c r="M78" s="77" t="s">
        <v>704</v>
      </c>
      <c r="N78" s="263">
        <v>450000000</v>
      </c>
      <c r="O78" s="77" t="s">
        <v>430</v>
      </c>
      <c r="P78" s="264">
        <v>1.43E-2</v>
      </c>
      <c r="Q78" s="264">
        <v>0.10489571908489592</v>
      </c>
      <c r="R78" s="264">
        <v>0.14350714000000001</v>
      </c>
      <c r="S78" s="265">
        <v>105.14</v>
      </c>
      <c r="T78" s="266">
        <v>107.75</v>
      </c>
      <c r="U78" s="263">
        <v>250000</v>
      </c>
      <c r="V78" s="263" t="s">
        <v>28</v>
      </c>
      <c r="W78" s="266">
        <v>1</v>
      </c>
      <c r="X78" s="263">
        <v>2972.04</v>
      </c>
      <c r="Y78" s="263">
        <v>30</v>
      </c>
      <c r="Z78" s="263">
        <v>269375</v>
      </c>
      <c r="AA78" s="263">
        <v>272347.03999999998</v>
      </c>
      <c r="AB78" s="263">
        <v>269487.5</v>
      </c>
      <c r="AC78" s="266">
        <v>1.4931506849315068</v>
      </c>
      <c r="AD78" s="264">
        <v>8.8858130000000007E-2</v>
      </c>
      <c r="AE78" s="264">
        <v>5.0350993380981972E-2</v>
      </c>
      <c r="AF78" s="264">
        <v>3.6050993380981972E-2</v>
      </c>
      <c r="AG78" s="264">
        <v>0.28400631327764908</v>
      </c>
      <c r="AH78" s="266">
        <v>3.5210484881805573</v>
      </c>
      <c r="AI78" s="263">
        <v>35876.785000000003</v>
      </c>
      <c r="AJ78" s="263">
        <v>3575</v>
      </c>
      <c r="AK78" s="127">
        <f t="shared" si="0"/>
        <v>1</v>
      </c>
    </row>
    <row r="79" spans="1:37" s="157" customFormat="1" ht="12" x14ac:dyDescent="0.25">
      <c r="A79" s="152" t="s">
        <v>506</v>
      </c>
      <c r="B79" s="152" t="s">
        <v>747</v>
      </c>
      <c r="C79" s="152" t="s">
        <v>234</v>
      </c>
      <c r="D79" s="152">
        <v>45974</v>
      </c>
      <c r="E79" s="152">
        <v>45975</v>
      </c>
      <c r="F79" s="152" t="s">
        <v>301</v>
      </c>
      <c r="G79" s="152" t="s">
        <v>765</v>
      </c>
      <c r="H79" s="152" t="s">
        <v>506</v>
      </c>
      <c r="I79" s="152" t="s">
        <v>766</v>
      </c>
      <c r="J79" s="152" t="s">
        <v>312</v>
      </c>
      <c r="K79" s="152" t="s">
        <v>367</v>
      </c>
      <c r="L79" s="213" t="s">
        <v>767</v>
      </c>
      <c r="M79" s="152" t="s">
        <v>381</v>
      </c>
      <c r="N79" s="153">
        <v>85000000</v>
      </c>
      <c r="O79" s="152" t="s">
        <v>768</v>
      </c>
      <c r="P79" s="154">
        <v>1.9900000000000001E-2</v>
      </c>
      <c r="Q79" s="154">
        <v>8.9871699733416924E-2</v>
      </c>
      <c r="R79" s="154">
        <v>0.12866479396820069</v>
      </c>
      <c r="S79" s="155">
        <v>102.65</v>
      </c>
      <c r="T79" s="156">
        <v>107.35</v>
      </c>
      <c r="U79" s="153">
        <v>250000</v>
      </c>
      <c r="V79" s="153" t="s">
        <v>28</v>
      </c>
      <c r="W79" s="156">
        <v>1</v>
      </c>
      <c r="X79" s="153">
        <v>687.5</v>
      </c>
      <c r="Y79" s="153">
        <v>11</v>
      </c>
      <c r="Z79" s="153">
        <v>268375</v>
      </c>
      <c r="AA79" s="153">
        <v>269062.5</v>
      </c>
      <c r="AB79" s="153">
        <v>268375</v>
      </c>
      <c r="AC79" s="156">
        <v>1.5616438356164384</v>
      </c>
      <c r="AD79" s="154">
        <v>7.9067299999999993E-2</v>
      </c>
      <c r="AE79" s="154">
        <v>4.0414789189433739E-2</v>
      </c>
      <c r="AF79" s="154">
        <v>2.0514789189433738E-2</v>
      </c>
      <c r="AG79" s="154">
        <v>0.49239400722156346</v>
      </c>
      <c r="AH79" s="156">
        <v>2.0308939291172732</v>
      </c>
      <c r="AI79" s="153">
        <v>32166.198492050171</v>
      </c>
      <c r="AJ79" s="153">
        <v>4975</v>
      </c>
      <c r="AK79" s="127">
        <f t="shared" si="0"/>
        <v>1</v>
      </c>
    </row>
    <row r="80" spans="1:37" s="164" customFormat="1" ht="12" x14ac:dyDescent="0.25">
      <c r="A80" s="158" t="s">
        <v>484</v>
      </c>
      <c r="B80" s="159" t="s">
        <v>485</v>
      </c>
      <c r="C80" s="158" t="s">
        <v>234</v>
      </c>
      <c r="D80" s="158">
        <v>45782</v>
      </c>
      <c r="E80" s="158">
        <v>45783</v>
      </c>
      <c r="F80" s="158" t="s">
        <v>309</v>
      </c>
      <c r="G80" s="158" t="s">
        <v>486</v>
      </c>
      <c r="H80" s="158" t="s">
        <v>484</v>
      </c>
      <c r="I80" s="158" t="s">
        <v>487</v>
      </c>
      <c r="J80" s="158"/>
      <c r="K80" s="158"/>
      <c r="L80" s="158"/>
      <c r="M80" s="158">
        <v>45869</v>
      </c>
      <c r="N80" s="160"/>
      <c r="O80" s="158"/>
      <c r="P80" s="161"/>
      <c r="Q80" s="161"/>
      <c r="R80" s="161">
        <v>4.1825000000000001E-2</v>
      </c>
      <c r="S80" s="162"/>
      <c r="T80" s="163">
        <v>99.000846999999993</v>
      </c>
      <c r="U80" s="160">
        <v>250000</v>
      </c>
      <c r="V80" s="160" t="s">
        <v>28</v>
      </c>
      <c r="W80" s="163">
        <v>1</v>
      </c>
      <c r="X80" s="160"/>
      <c r="Y80" s="160"/>
      <c r="Z80" s="160">
        <v>247502.11749999999</v>
      </c>
      <c r="AA80" s="160">
        <v>247502.11749999999</v>
      </c>
      <c r="AB80" s="160">
        <v>0</v>
      </c>
      <c r="AC80" s="163"/>
      <c r="AD80" s="161">
        <v>4.22173920042722E-2</v>
      </c>
      <c r="AE80" s="161"/>
      <c r="AF80" s="161"/>
      <c r="AG80" s="161"/>
      <c r="AH80" s="163"/>
      <c r="AI80" s="160"/>
      <c r="AJ80" s="160">
        <v>0</v>
      </c>
      <c r="AK80" s="127">
        <f t="shared" si="0"/>
        <v>6</v>
      </c>
    </row>
    <row r="81" spans="1:37" s="164" customFormat="1" ht="12" x14ac:dyDescent="0.25">
      <c r="A81" s="158" t="s">
        <v>484</v>
      </c>
      <c r="B81" s="159" t="s">
        <v>485</v>
      </c>
      <c r="C81" s="158" t="s">
        <v>234</v>
      </c>
      <c r="D81" s="158">
        <v>45783</v>
      </c>
      <c r="E81" s="158">
        <v>45784</v>
      </c>
      <c r="F81" s="158" t="s">
        <v>309</v>
      </c>
      <c r="G81" s="158" t="s">
        <v>486</v>
      </c>
      <c r="H81" s="158" t="s">
        <v>484</v>
      </c>
      <c r="I81" s="158" t="s">
        <v>487</v>
      </c>
      <c r="J81" s="158"/>
      <c r="K81" s="158"/>
      <c r="L81" s="158"/>
      <c r="M81" s="158">
        <v>45869</v>
      </c>
      <c r="N81" s="160"/>
      <c r="O81" s="158"/>
      <c r="P81" s="161"/>
      <c r="Q81" s="161"/>
      <c r="R81" s="161">
        <v>4.1724999999999998E-2</v>
      </c>
      <c r="S81" s="162"/>
      <c r="T81" s="163">
        <v>99.014825999999999</v>
      </c>
      <c r="U81" s="160">
        <v>750000</v>
      </c>
      <c r="V81" s="160" t="s">
        <v>28</v>
      </c>
      <c r="W81" s="163">
        <v>1</v>
      </c>
      <c r="X81" s="160"/>
      <c r="Y81" s="160"/>
      <c r="Z81" s="160">
        <v>742611.19499999995</v>
      </c>
      <c r="AA81" s="160">
        <v>742611.19499999995</v>
      </c>
      <c r="AB81" s="160">
        <v>0</v>
      </c>
      <c r="AC81" s="163"/>
      <c r="AD81" s="161">
        <v>4.210566121851822E-2</v>
      </c>
      <c r="AE81" s="161"/>
      <c r="AF81" s="161"/>
      <c r="AG81" s="161"/>
      <c r="AH81" s="163"/>
      <c r="AI81" s="160"/>
      <c r="AJ81" s="160">
        <v>0</v>
      </c>
      <c r="AK81" s="127">
        <f t="shared" si="0"/>
        <v>6</v>
      </c>
    </row>
    <row r="82" spans="1:37" s="164" customFormat="1" ht="12" x14ac:dyDescent="0.25">
      <c r="A82" s="158" t="s">
        <v>488</v>
      </c>
      <c r="B82" s="159" t="s">
        <v>485</v>
      </c>
      <c r="C82" s="158" t="s">
        <v>234</v>
      </c>
      <c r="D82" s="158">
        <v>45786</v>
      </c>
      <c r="E82" s="158">
        <v>45789</v>
      </c>
      <c r="F82" s="158" t="s">
        <v>309</v>
      </c>
      <c r="G82" s="158" t="s">
        <v>489</v>
      </c>
      <c r="H82" s="158" t="s">
        <v>488</v>
      </c>
      <c r="I82" s="158" t="s">
        <v>487</v>
      </c>
      <c r="J82" s="158"/>
      <c r="K82" s="158"/>
      <c r="L82" s="158"/>
      <c r="M82" s="158">
        <v>45876</v>
      </c>
      <c r="N82" s="160"/>
      <c r="O82" s="158"/>
      <c r="P82" s="161"/>
      <c r="Q82" s="161"/>
      <c r="R82" s="161">
        <v>4.2099999999999999E-2</v>
      </c>
      <c r="S82" s="162"/>
      <c r="T82" s="163">
        <v>98.982583000000005</v>
      </c>
      <c r="U82" s="160">
        <v>500000</v>
      </c>
      <c r="V82" s="160" t="s">
        <v>28</v>
      </c>
      <c r="W82" s="163">
        <v>1</v>
      </c>
      <c r="X82" s="160"/>
      <c r="Y82" s="160"/>
      <c r="Z82" s="160">
        <v>494912.91499999998</v>
      </c>
      <c r="AA82" s="160">
        <v>494912.91499999998</v>
      </c>
      <c r="AB82" s="160">
        <v>0</v>
      </c>
      <c r="AC82" s="163"/>
      <c r="AD82" s="161">
        <v>4.3007721475601945E-2</v>
      </c>
      <c r="AE82" s="160"/>
      <c r="AF82" s="161"/>
      <c r="AG82" s="161"/>
      <c r="AH82" s="161"/>
      <c r="AI82" s="160"/>
      <c r="AJ82" s="160">
        <v>0</v>
      </c>
      <c r="AK82" s="127">
        <f t="shared" si="0"/>
        <v>2</v>
      </c>
    </row>
    <row r="83" spans="1:37" s="164" customFormat="1" ht="12" x14ac:dyDescent="0.25">
      <c r="A83" s="158" t="s">
        <v>490</v>
      </c>
      <c r="B83" s="159" t="s">
        <v>485</v>
      </c>
      <c r="C83" s="158" t="s">
        <v>234</v>
      </c>
      <c r="D83" s="158">
        <v>45796</v>
      </c>
      <c r="E83" s="158">
        <v>45797</v>
      </c>
      <c r="F83" s="158" t="s">
        <v>309</v>
      </c>
      <c r="G83" s="158" t="s">
        <v>491</v>
      </c>
      <c r="H83" s="158" t="s">
        <v>490</v>
      </c>
      <c r="I83" s="158" t="s">
        <v>487</v>
      </c>
      <c r="J83" s="158"/>
      <c r="K83" s="158"/>
      <c r="L83" s="158"/>
      <c r="M83" s="158">
        <v>45883</v>
      </c>
      <c r="N83" s="160"/>
      <c r="O83" s="158"/>
      <c r="P83" s="161"/>
      <c r="Q83" s="161"/>
      <c r="R83" s="161">
        <v>4.2450000000000002E-2</v>
      </c>
      <c r="S83" s="162"/>
      <c r="T83" s="163">
        <v>98.985917000000001</v>
      </c>
      <c r="U83" s="160">
        <v>500000</v>
      </c>
      <c r="V83" s="160" t="s">
        <v>28</v>
      </c>
      <c r="W83" s="163">
        <v>1</v>
      </c>
      <c r="X83" s="160"/>
      <c r="Y83" s="160"/>
      <c r="Z83" s="160">
        <v>494929.58500000002</v>
      </c>
      <c r="AA83" s="160">
        <v>494929.58500000002</v>
      </c>
      <c r="AB83" s="160">
        <v>0</v>
      </c>
      <c r="AC83" s="163"/>
      <c r="AD83" s="161">
        <v>4.3364420892538058E-2</v>
      </c>
      <c r="AE83" s="160"/>
      <c r="AF83" s="161"/>
      <c r="AG83" s="161"/>
      <c r="AH83" s="161"/>
      <c r="AI83" s="160"/>
      <c r="AJ83" s="160">
        <v>0</v>
      </c>
      <c r="AK83" s="127">
        <f t="shared" ref="AK83:AK101" si="1">COUNTIF($H$18:$H$114,H83)</f>
        <v>2</v>
      </c>
    </row>
    <row r="84" spans="1:37" s="164" customFormat="1" ht="12" x14ac:dyDescent="0.25">
      <c r="A84" s="158" t="s">
        <v>484</v>
      </c>
      <c r="B84" s="159" t="s">
        <v>485</v>
      </c>
      <c r="C84" s="158" t="s">
        <v>492</v>
      </c>
      <c r="D84" s="158">
        <v>45805</v>
      </c>
      <c r="E84" s="158">
        <v>45806</v>
      </c>
      <c r="F84" s="158" t="s">
        <v>309</v>
      </c>
      <c r="G84" s="158" t="s">
        <v>486</v>
      </c>
      <c r="H84" s="158" t="s">
        <v>484</v>
      </c>
      <c r="I84" s="158" t="s">
        <v>487</v>
      </c>
      <c r="J84" s="158"/>
      <c r="K84" s="158"/>
      <c r="L84" s="158"/>
      <c r="M84" s="158">
        <v>45869</v>
      </c>
      <c r="N84" s="160"/>
      <c r="O84" s="158"/>
      <c r="P84" s="161"/>
      <c r="Q84" s="161"/>
      <c r="R84" s="161">
        <v>4.1799999999999997E-2</v>
      </c>
      <c r="S84" s="162"/>
      <c r="T84" s="163">
        <v>99.259749999999997</v>
      </c>
      <c r="U84" s="160">
        <v>-250000</v>
      </c>
      <c r="V84" s="160" t="s">
        <v>28</v>
      </c>
      <c r="W84" s="163">
        <v>1</v>
      </c>
      <c r="X84" s="160"/>
      <c r="Y84" s="160"/>
      <c r="Z84" s="160">
        <v>-248149.375</v>
      </c>
      <c r="AA84" s="160">
        <v>-248149.375</v>
      </c>
      <c r="AB84" s="160">
        <v>0</v>
      </c>
      <c r="AC84" s="163"/>
      <c r="AD84" s="161">
        <v>4.2224419519832704E-2</v>
      </c>
      <c r="AE84" s="160"/>
      <c r="AF84" s="161"/>
      <c r="AG84" s="161"/>
      <c r="AH84" s="161"/>
      <c r="AI84" s="160"/>
      <c r="AJ84" s="160">
        <v>0</v>
      </c>
      <c r="AK84" s="127">
        <f t="shared" si="1"/>
        <v>6</v>
      </c>
    </row>
    <row r="85" spans="1:37" s="164" customFormat="1" ht="12" x14ac:dyDescent="0.25">
      <c r="A85" s="158" t="s">
        <v>484</v>
      </c>
      <c r="B85" s="159" t="s">
        <v>485</v>
      </c>
      <c r="C85" s="158" t="s">
        <v>492</v>
      </c>
      <c r="D85" s="158">
        <v>45833</v>
      </c>
      <c r="E85" s="158">
        <v>45834</v>
      </c>
      <c r="F85" s="158" t="s">
        <v>309</v>
      </c>
      <c r="G85" s="158" t="s">
        <v>486</v>
      </c>
      <c r="H85" s="158" t="s">
        <v>484</v>
      </c>
      <c r="I85" s="158" t="s">
        <v>487</v>
      </c>
      <c r="J85" s="158"/>
      <c r="K85" s="158"/>
      <c r="L85" s="158"/>
      <c r="M85" s="158">
        <v>45869</v>
      </c>
      <c r="N85" s="160"/>
      <c r="O85" s="158"/>
      <c r="P85" s="161"/>
      <c r="Q85" s="161"/>
      <c r="R85" s="161">
        <v>4.1799999999999997E-2</v>
      </c>
      <c r="S85" s="162"/>
      <c r="T85" s="163">
        <v>99.597986000000006</v>
      </c>
      <c r="U85" s="160">
        <v>-50000</v>
      </c>
      <c r="V85" s="160" t="s">
        <v>28</v>
      </c>
      <c r="W85" s="163">
        <v>1</v>
      </c>
      <c r="X85" s="160"/>
      <c r="Y85" s="160"/>
      <c r="Z85" s="160">
        <v>-49798.993000000009</v>
      </c>
      <c r="AA85" s="160">
        <v>-49798.993000000009</v>
      </c>
      <c r="AB85" s="160">
        <v>0</v>
      </c>
      <c r="AC85" s="163"/>
      <c r="AD85" s="161">
        <v>4.0876404260818996E-2</v>
      </c>
      <c r="AE85" s="160"/>
      <c r="AF85" s="161"/>
      <c r="AG85" s="161"/>
      <c r="AH85" s="161"/>
      <c r="AI85" s="160"/>
      <c r="AJ85" s="160">
        <v>0</v>
      </c>
      <c r="AK85" s="127">
        <f t="shared" si="1"/>
        <v>6</v>
      </c>
    </row>
    <row r="86" spans="1:37" s="164" customFormat="1" ht="12" x14ac:dyDescent="0.25">
      <c r="A86" s="158" t="s">
        <v>484</v>
      </c>
      <c r="B86" s="159" t="s">
        <v>485</v>
      </c>
      <c r="C86" s="158" t="s">
        <v>492</v>
      </c>
      <c r="D86" s="158">
        <v>45834</v>
      </c>
      <c r="E86" s="158">
        <v>45834</v>
      </c>
      <c r="F86" s="158" t="s">
        <v>309</v>
      </c>
      <c r="G86" s="158" t="s">
        <v>486</v>
      </c>
      <c r="H86" s="158" t="s">
        <v>484</v>
      </c>
      <c r="I86" s="158" t="s">
        <v>487</v>
      </c>
      <c r="J86" s="158"/>
      <c r="K86" s="158"/>
      <c r="L86" s="158"/>
      <c r="M86" s="158">
        <v>45869</v>
      </c>
      <c r="N86" s="160"/>
      <c r="O86" s="158"/>
      <c r="P86" s="161"/>
      <c r="Q86" s="161"/>
      <c r="R86" s="161">
        <v>4.1799999999999997E-2</v>
      </c>
      <c r="S86" s="162"/>
      <c r="T86" s="163">
        <v>99.601875000000007</v>
      </c>
      <c r="U86" s="160">
        <v>-250000</v>
      </c>
      <c r="V86" s="160" t="s">
        <v>28</v>
      </c>
      <c r="W86" s="163">
        <v>1</v>
      </c>
      <c r="X86" s="160"/>
      <c r="Y86" s="160"/>
      <c r="Z86" s="160">
        <v>-249004.6875</v>
      </c>
      <c r="AA86" s="160">
        <v>-249004.6875</v>
      </c>
      <c r="AB86" s="160">
        <v>0</v>
      </c>
      <c r="AC86" s="163"/>
      <c r="AD86" s="161">
        <v>4.067531580159086E-2</v>
      </c>
      <c r="AE86" s="160"/>
      <c r="AF86" s="161"/>
      <c r="AG86" s="161"/>
      <c r="AH86" s="161"/>
      <c r="AI86" s="160"/>
      <c r="AJ86" s="160">
        <v>0</v>
      </c>
      <c r="AK86" s="127">
        <f t="shared" si="1"/>
        <v>6</v>
      </c>
    </row>
    <row r="87" spans="1:37" s="164" customFormat="1" ht="12" x14ac:dyDescent="0.25">
      <c r="A87" s="158" t="s">
        <v>493</v>
      </c>
      <c r="B87" s="159" t="s">
        <v>485</v>
      </c>
      <c r="C87" s="158" t="s">
        <v>234</v>
      </c>
      <c r="D87" s="158">
        <v>45849</v>
      </c>
      <c r="E87" s="158">
        <v>45849</v>
      </c>
      <c r="F87" s="158" t="s">
        <v>309</v>
      </c>
      <c r="G87" s="158" t="s">
        <v>494</v>
      </c>
      <c r="H87" s="158" t="s">
        <v>493</v>
      </c>
      <c r="I87" s="158" t="s">
        <v>487</v>
      </c>
      <c r="J87" s="158"/>
      <c r="K87" s="158"/>
      <c r="L87" s="158"/>
      <c r="M87" s="158">
        <v>45939</v>
      </c>
      <c r="N87" s="160"/>
      <c r="O87" s="158"/>
      <c r="P87" s="161"/>
      <c r="Q87" s="161"/>
      <c r="R87" s="161">
        <v>4.2450000000000002E-2</v>
      </c>
      <c r="S87" s="162"/>
      <c r="T87" s="163">
        <v>98.938749999999999</v>
      </c>
      <c r="U87" s="160">
        <v>500000</v>
      </c>
      <c r="V87" s="160" t="s">
        <v>28</v>
      </c>
      <c r="W87" s="163">
        <v>1</v>
      </c>
      <c r="X87" s="160"/>
      <c r="Y87" s="160"/>
      <c r="Z87" s="160">
        <v>494693.75</v>
      </c>
      <c r="AA87" s="160">
        <v>494693.75</v>
      </c>
      <c r="AB87" s="160">
        <v>0</v>
      </c>
      <c r="AC87" s="163"/>
      <c r="AD87" s="161">
        <v>4.3382552651651564E-2</v>
      </c>
      <c r="AE87" s="160"/>
      <c r="AF87" s="161"/>
      <c r="AG87" s="161"/>
      <c r="AH87" s="161"/>
      <c r="AI87" s="160"/>
      <c r="AJ87" s="160">
        <v>0</v>
      </c>
      <c r="AK87" s="127">
        <f t="shared" si="1"/>
        <v>3</v>
      </c>
    </row>
    <row r="88" spans="1:37" s="164" customFormat="1" ht="12" x14ac:dyDescent="0.25">
      <c r="A88" s="158" t="s">
        <v>495</v>
      </c>
      <c r="B88" s="159" t="s">
        <v>485</v>
      </c>
      <c r="C88" s="158" t="s">
        <v>234</v>
      </c>
      <c r="D88" s="158">
        <v>45855</v>
      </c>
      <c r="E88" s="158">
        <v>45855</v>
      </c>
      <c r="F88" s="158" t="s">
        <v>309</v>
      </c>
      <c r="G88" s="158" t="s">
        <v>496</v>
      </c>
      <c r="H88" s="158" t="s">
        <v>495</v>
      </c>
      <c r="I88" s="158" t="s">
        <v>487</v>
      </c>
      <c r="J88" s="158"/>
      <c r="K88" s="158"/>
      <c r="L88" s="158"/>
      <c r="M88" s="158">
        <v>45946</v>
      </c>
      <c r="N88" s="160"/>
      <c r="O88" s="158"/>
      <c r="P88" s="161"/>
      <c r="Q88" s="161"/>
      <c r="R88" s="161">
        <v>4.2200000000000001E-2</v>
      </c>
      <c r="S88" s="162"/>
      <c r="T88" s="163">
        <v>98.933278000000001</v>
      </c>
      <c r="U88" s="160">
        <v>250000</v>
      </c>
      <c r="V88" s="160" t="s">
        <v>28</v>
      </c>
      <c r="W88" s="163">
        <v>1</v>
      </c>
      <c r="X88" s="160"/>
      <c r="Y88" s="160"/>
      <c r="Z88" s="160">
        <v>247333.19500000001</v>
      </c>
      <c r="AA88" s="160">
        <v>247333.19500000001</v>
      </c>
      <c r="AB88" s="160">
        <v>0</v>
      </c>
      <c r="AC88" s="163"/>
      <c r="AD88" s="161">
        <v>4.3129165408202809E-2</v>
      </c>
      <c r="AE88" s="160"/>
      <c r="AF88" s="161"/>
      <c r="AG88" s="161"/>
      <c r="AH88" s="161"/>
      <c r="AI88" s="160"/>
      <c r="AJ88" s="160">
        <v>0</v>
      </c>
      <c r="AK88" s="127">
        <f t="shared" si="1"/>
        <v>2</v>
      </c>
    </row>
    <row r="89" spans="1:37" s="164" customFormat="1" ht="12" x14ac:dyDescent="0.25">
      <c r="A89" s="158" t="s">
        <v>497</v>
      </c>
      <c r="B89" s="159" t="s">
        <v>485</v>
      </c>
      <c r="C89" s="158" t="s">
        <v>234</v>
      </c>
      <c r="D89" s="158">
        <v>45867</v>
      </c>
      <c r="E89" s="158">
        <v>45867</v>
      </c>
      <c r="F89" s="158" t="s">
        <v>309</v>
      </c>
      <c r="G89" s="158" t="s">
        <v>498</v>
      </c>
      <c r="H89" s="158" t="s">
        <v>497</v>
      </c>
      <c r="I89" s="158" t="s">
        <v>487</v>
      </c>
      <c r="J89" s="158"/>
      <c r="K89" s="158"/>
      <c r="L89" s="158"/>
      <c r="M89" s="158">
        <v>45960</v>
      </c>
      <c r="N89" s="160"/>
      <c r="O89" s="158"/>
      <c r="P89" s="161"/>
      <c r="Q89" s="161"/>
      <c r="R89" s="161">
        <v>4.2250000000000003E-2</v>
      </c>
      <c r="S89" s="162"/>
      <c r="T89" s="163">
        <v>98.908541999999997</v>
      </c>
      <c r="U89" s="160">
        <v>250000</v>
      </c>
      <c r="V89" s="160" t="s">
        <v>28</v>
      </c>
      <c r="W89" s="163">
        <v>1</v>
      </c>
      <c r="X89" s="160"/>
      <c r="Y89" s="160"/>
      <c r="Z89" s="160">
        <v>247271.35500000001</v>
      </c>
      <c r="AA89" s="160">
        <v>247271.35500000001</v>
      </c>
      <c r="AB89" s="160">
        <v>0</v>
      </c>
      <c r="AC89" s="163"/>
      <c r="AD89" s="161">
        <v>4.3180491301483569E-2</v>
      </c>
      <c r="AE89" s="160"/>
      <c r="AF89" s="161"/>
      <c r="AG89" s="161"/>
      <c r="AH89" s="161"/>
      <c r="AI89" s="160"/>
      <c r="AJ89" s="160">
        <v>0</v>
      </c>
      <c r="AK89" s="127">
        <f t="shared" si="1"/>
        <v>13</v>
      </c>
    </row>
    <row r="90" spans="1:37" s="164" customFormat="1" ht="12" x14ac:dyDescent="0.25">
      <c r="A90" s="158" t="s">
        <v>497</v>
      </c>
      <c r="B90" s="159" t="s">
        <v>485</v>
      </c>
      <c r="C90" s="158" t="s">
        <v>234</v>
      </c>
      <c r="D90" s="158">
        <v>45868</v>
      </c>
      <c r="E90" s="158">
        <v>45868</v>
      </c>
      <c r="F90" s="158" t="s">
        <v>309</v>
      </c>
      <c r="G90" s="158" t="s">
        <v>498</v>
      </c>
      <c r="H90" s="158" t="s">
        <v>497</v>
      </c>
      <c r="I90" s="158" t="s">
        <v>487</v>
      </c>
      <c r="J90" s="158"/>
      <c r="K90" s="158"/>
      <c r="L90" s="158"/>
      <c r="M90" s="158">
        <v>45960</v>
      </c>
      <c r="N90" s="160"/>
      <c r="O90" s="158"/>
      <c r="P90" s="161"/>
      <c r="Q90" s="161"/>
      <c r="R90" s="161">
        <v>4.2250000000000003E-2</v>
      </c>
      <c r="S90" s="162"/>
      <c r="T90" s="163">
        <v>98.920277999999996</v>
      </c>
      <c r="U90" s="160">
        <v>250000</v>
      </c>
      <c r="V90" s="160" t="s">
        <v>28</v>
      </c>
      <c r="W90" s="163">
        <v>1</v>
      </c>
      <c r="X90" s="160"/>
      <c r="Y90" s="160"/>
      <c r="Z90" s="160">
        <v>247300.69500000001</v>
      </c>
      <c r="AA90" s="160">
        <v>247300.69500000001</v>
      </c>
      <c r="AB90" s="160">
        <v>0</v>
      </c>
      <c r="AC90" s="163"/>
      <c r="AD90" s="161">
        <v>4.3185725782129487E-2</v>
      </c>
      <c r="AE90" s="160"/>
      <c r="AF90" s="161"/>
      <c r="AG90" s="161"/>
      <c r="AH90" s="161"/>
      <c r="AI90" s="160"/>
      <c r="AJ90" s="160">
        <v>0</v>
      </c>
      <c r="AK90" s="127">
        <f t="shared" si="1"/>
        <v>13</v>
      </c>
    </row>
    <row r="91" spans="1:37" s="164" customFormat="1" ht="12" x14ac:dyDescent="0.25">
      <c r="A91" s="158" t="s">
        <v>484</v>
      </c>
      <c r="B91" s="159" t="s">
        <v>485</v>
      </c>
      <c r="C91" s="158" t="s">
        <v>492</v>
      </c>
      <c r="D91" s="158">
        <v>45869</v>
      </c>
      <c r="E91" s="158">
        <v>45869</v>
      </c>
      <c r="F91" s="158" t="s">
        <v>499</v>
      </c>
      <c r="G91" s="158" t="s">
        <v>486</v>
      </c>
      <c r="H91" s="158" t="s">
        <v>484</v>
      </c>
      <c r="I91" s="158" t="s">
        <v>487</v>
      </c>
      <c r="J91" s="158"/>
      <c r="K91" s="158"/>
      <c r="L91" s="158"/>
      <c r="M91" s="158">
        <v>45869</v>
      </c>
      <c r="N91" s="160"/>
      <c r="O91" s="158"/>
      <c r="P91" s="161"/>
      <c r="Q91" s="161"/>
      <c r="R91" s="161">
        <v>0</v>
      </c>
      <c r="S91" s="162"/>
      <c r="T91" s="163">
        <v>100</v>
      </c>
      <c r="U91" s="160">
        <v>-450000</v>
      </c>
      <c r="V91" s="160" t="s">
        <v>28</v>
      </c>
      <c r="W91" s="163">
        <v>1</v>
      </c>
      <c r="X91" s="160"/>
      <c r="Y91" s="160"/>
      <c r="Z91" s="160">
        <v>-450000</v>
      </c>
      <c r="AA91" s="160">
        <v>-450000</v>
      </c>
      <c r="AB91" s="160">
        <v>0</v>
      </c>
      <c r="AC91" s="163"/>
      <c r="AD91" s="161">
        <v>0</v>
      </c>
      <c r="AE91" s="160"/>
      <c r="AF91" s="161"/>
      <c r="AG91" s="161"/>
      <c r="AH91" s="161"/>
      <c r="AI91" s="160"/>
      <c r="AJ91" s="160">
        <v>0</v>
      </c>
      <c r="AK91" s="127">
        <f t="shared" si="1"/>
        <v>6</v>
      </c>
    </row>
    <row r="92" spans="1:37" s="164" customFormat="1" ht="12" x14ac:dyDescent="0.25">
      <c r="A92" s="158" t="s">
        <v>497</v>
      </c>
      <c r="B92" s="159" t="s">
        <v>485</v>
      </c>
      <c r="C92" s="158" t="s">
        <v>234</v>
      </c>
      <c r="D92" s="158">
        <v>45869</v>
      </c>
      <c r="E92" s="158">
        <v>45869</v>
      </c>
      <c r="F92" s="158" t="s">
        <v>309</v>
      </c>
      <c r="G92" s="158" t="s">
        <v>498</v>
      </c>
      <c r="H92" s="158" t="s">
        <v>497</v>
      </c>
      <c r="I92" s="158" t="s">
        <v>487</v>
      </c>
      <c r="J92" s="158"/>
      <c r="K92" s="158"/>
      <c r="L92" s="158"/>
      <c r="M92" s="158">
        <v>45960</v>
      </c>
      <c r="N92" s="160"/>
      <c r="O92" s="158"/>
      <c r="P92" s="161"/>
      <c r="Q92" s="161"/>
      <c r="R92" s="161">
        <v>4.2299999999999997E-2</v>
      </c>
      <c r="S92" s="162"/>
      <c r="T92" s="163">
        <v>98.930750000000003</v>
      </c>
      <c r="U92" s="160">
        <v>500000</v>
      </c>
      <c r="V92" s="160" t="s">
        <v>28</v>
      </c>
      <c r="W92" s="163">
        <v>1</v>
      </c>
      <c r="X92" s="160"/>
      <c r="Y92" s="160"/>
      <c r="Z92" s="160">
        <v>494653.75</v>
      </c>
      <c r="AA92" s="160">
        <v>494653.75</v>
      </c>
      <c r="AB92" s="160">
        <v>0</v>
      </c>
      <c r="AC92" s="163"/>
      <c r="AD92" s="161">
        <v>4.2994721054879288E-2</v>
      </c>
      <c r="AE92" s="160"/>
      <c r="AF92" s="161"/>
      <c r="AG92" s="161"/>
      <c r="AH92" s="161"/>
      <c r="AI92" s="160"/>
      <c r="AJ92" s="160">
        <v>0</v>
      </c>
      <c r="AK92" s="127">
        <f t="shared" si="1"/>
        <v>13</v>
      </c>
    </row>
    <row r="93" spans="1:37" s="164" customFormat="1" ht="12" x14ac:dyDescent="0.25">
      <c r="A93" s="158" t="s">
        <v>497</v>
      </c>
      <c r="B93" s="159" t="s">
        <v>485</v>
      </c>
      <c r="C93" s="158" t="s">
        <v>234</v>
      </c>
      <c r="D93" s="158">
        <v>45870</v>
      </c>
      <c r="E93" s="158">
        <v>45870</v>
      </c>
      <c r="F93" s="158" t="s">
        <v>309</v>
      </c>
      <c r="G93" s="158" t="s">
        <v>498</v>
      </c>
      <c r="H93" s="158" t="s">
        <v>497</v>
      </c>
      <c r="I93" s="158" t="s">
        <v>487</v>
      </c>
      <c r="J93" s="158"/>
      <c r="K93" s="158"/>
      <c r="L93" s="158"/>
      <c r="M93" s="158">
        <v>45960</v>
      </c>
      <c r="N93" s="160"/>
      <c r="O93" s="158"/>
      <c r="P93" s="161"/>
      <c r="Q93" s="161"/>
      <c r="R93" s="161">
        <v>4.1799999999999997E-2</v>
      </c>
      <c r="S93" s="162"/>
      <c r="T93" s="163">
        <v>98.954999999999998</v>
      </c>
      <c r="U93" s="160">
        <v>200000</v>
      </c>
      <c r="V93" s="160" t="s">
        <v>28</v>
      </c>
      <c r="W93" s="163">
        <v>1</v>
      </c>
      <c r="X93" s="160"/>
      <c r="Y93" s="160"/>
      <c r="Z93" s="160">
        <v>197910</v>
      </c>
      <c r="AA93" s="160">
        <v>197910</v>
      </c>
      <c r="AB93" s="160">
        <v>0</v>
      </c>
      <c r="AC93" s="163"/>
      <c r="AD93" s="161">
        <v>4.2473750478816963E-2</v>
      </c>
      <c r="AE93" s="160"/>
      <c r="AF93" s="161"/>
      <c r="AG93" s="161"/>
      <c r="AH93" s="161"/>
      <c r="AI93" s="160"/>
      <c r="AJ93" s="160">
        <v>0</v>
      </c>
      <c r="AK93" s="127">
        <f t="shared" si="1"/>
        <v>13</v>
      </c>
    </row>
    <row r="94" spans="1:37" s="164" customFormat="1" ht="12" x14ac:dyDescent="0.25">
      <c r="A94" s="158" t="s">
        <v>488</v>
      </c>
      <c r="B94" s="159" t="s">
        <v>485</v>
      </c>
      <c r="C94" s="158" t="s">
        <v>492</v>
      </c>
      <c r="D94" s="158">
        <v>45874</v>
      </c>
      <c r="E94" s="158">
        <v>45875</v>
      </c>
      <c r="F94" s="158" t="s">
        <v>309</v>
      </c>
      <c r="G94" s="158" t="s">
        <v>489</v>
      </c>
      <c r="H94" s="158" t="s">
        <v>488</v>
      </c>
      <c r="I94" s="158" t="s">
        <v>487</v>
      </c>
      <c r="J94" s="158"/>
      <c r="K94" s="158"/>
      <c r="L94" s="158"/>
      <c r="M94" s="158">
        <v>45876</v>
      </c>
      <c r="N94" s="160"/>
      <c r="O94" s="158"/>
      <c r="P94" s="161"/>
      <c r="Q94" s="161"/>
      <c r="R94" s="161">
        <v>4.2099999999999999E-2</v>
      </c>
      <c r="S94" s="162"/>
      <c r="T94" s="163">
        <v>99.988167000000004</v>
      </c>
      <c r="U94" s="160">
        <v>-500000</v>
      </c>
      <c r="V94" s="160" t="s">
        <v>28</v>
      </c>
      <c r="W94" s="163">
        <v>1</v>
      </c>
      <c r="X94" s="160"/>
      <c r="Y94" s="160"/>
      <c r="Z94" s="160">
        <v>-499940.83500000002</v>
      </c>
      <c r="AA94" s="160">
        <v>-499940.83500000002</v>
      </c>
      <c r="AB94" s="160">
        <v>0</v>
      </c>
      <c r="AC94" s="163"/>
      <c r="AD94" s="161">
        <v>4.1918074517366975E-2</v>
      </c>
      <c r="AE94" s="160"/>
      <c r="AF94" s="161"/>
      <c r="AG94" s="161"/>
      <c r="AH94" s="161"/>
      <c r="AI94" s="160"/>
      <c r="AJ94" s="160">
        <v>0</v>
      </c>
      <c r="AK94" s="127">
        <f t="shared" si="1"/>
        <v>2</v>
      </c>
    </row>
    <row r="95" spans="1:37" s="164" customFormat="1" ht="12" x14ac:dyDescent="0.25">
      <c r="A95" s="158" t="s">
        <v>490</v>
      </c>
      <c r="B95" s="159" t="s">
        <v>485</v>
      </c>
      <c r="C95" s="158" t="s">
        <v>492</v>
      </c>
      <c r="D95" s="158">
        <v>45874</v>
      </c>
      <c r="E95" s="158">
        <v>45875</v>
      </c>
      <c r="F95" s="158" t="s">
        <v>309</v>
      </c>
      <c r="G95" s="158" t="s">
        <v>491</v>
      </c>
      <c r="H95" s="158" t="s">
        <v>490</v>
      </c>
      <c r="I95" s="158" t="s">
        <v>487</v>
      </c>
      <c r="J95" s="158"/>
      <c r="K95" s="158"/>
      <c r="L95" s="158"/>
      <c r="M95" s="158">
        <v>45883</v>
      </c>
      <c r="N95" s="160"/>
      <c r="O95" s="158"/>
      <c r="P95" s="161"/>
      <c r="Q95" s="161"/>
      <c r="R95" s="161">
        <v>4.2450000000000002E-2</v>
      </c>
      <c r="S95" s="162"/>
      <c r="T95" s="163">
        <v>99.905332999999999</v>
      </c>
      <c r="U95" s="160">
        <v>-500000</v>
      </c>
      <c r="V95" s="160" t="s">
        <v>28</v>
      </c>
      <c r="W95" s="163">
        <v>1</v>
      </c>
      <c r="X95" s="160"/>
      <c r="Y95" s="160"/>
      <c r="Z95" s="160">
        <v>-499526.66499999998</v>
      </c>
      <c r="AA95" s="160">
        <v>-499526.66499999998</v>
      </c>
      <c r="AB95" s="160">
        <v>0</v>
      </c>
      <c r="AC95" s="163"/>
      <c r="AD95" s="161">
        <v>4.2157357588954891E-2</v>
      </c>
      <c r="AE95" s="160"/>
      <c r="AF95" s="161"/>
      <c r="AG95" s="161"/>
      <c r="AH95" s="161"/>
      <c r="AI95" s="160"/>
      <c r="AJ95" s="160">
        <v>0</v>
      </c>
      <c r="AK95" s="127">
        <f t="shared" si="1"/>
        <v>2</v>
      </c>
    </row>
    <row r="96" spans="1:37" s="164" customFormat="1" ht="12" x14ac:dyDescent="0.25">
      <c r="A96" s="158" t="s">
        <v>497</v>
      </c>
      <c r="B96" s="159" t="s">
        <v>485</v>
      </c>
      <c r="C96" s="158" t="s">
        <v>234</v>
      </c>
      <c r="D96" s="158">
        <v>45874</v>
      </c>
      <c r="E96" s="158">
        <v>45875</v>
      </c>
      <c r="F96" s="158" t="s">
        <v>309</v>
      </c>
      <c r="G96" s="158" t="s">
        <v>498</v>
      </c>
      <c r="H96" s="158" t="s">
        <v>497</v>
      </c>
      <c r="I96" s="158" t="s">
        <v>487</v>
      </c>
      <c r="J96" s="158"/>
      <c r="K96" s="158"/>
      <c r="L96" s="158"/>
      <c r="M96" s="158">
        <v>45960</v>
      </c>
      <c r="N96" s="160"/>
      <c r="O96" s="158"/>
      <c r="P96" s="161"/>
      <c r="Q96" s="161"/>
      <c r="R96" s="161">
        <v>4.1450000000000001E-2</v>
      </c>
      <c r="S96" s="162"/>
      <c r="T96" s="163">
        <v>99.021319000000005</v>
      </c>
      <c r="U96" s="160">
        <v>1000000</v>
      </c>
      <c r="V96" s="160" t="s">
        <v>28</v>
      </c>
      <c r="W96" s="163">
        <v>1</v>
      </c>
      <c r="X96" s="160"/>
      <c r="Y96" s="160"/>
      <c r="Z96" s="160">
        <v>990213.19</v>
      </c>
      <c r="AA96" s="160">
        <v>990213.19</v>
      </c>
      <c r="AB96" s="160">
        <v>0</v>
      </c>
      <c r="AC96" s="163">
        <v>-4.1095890410958902E-2</v>
      </c>
      <c r="AD96" s="161">
        <v>4.2079489771391532E-2</v>
      </c>
      <c r="AE96" s="160"/>
      <c r="AF96" s="161"/>
      <c r="AG96" s="161"/>
      <c r="AH96" s="161"/>
      <c r="AI96" s="160">
        <v>10362.5</v>
      </c>
      <c r="AJ96" s="160">
        <v>0</v>
      </c>
      <c r="AK96" s="127">
        <f t="shared" si="1"/>
        <v>13</v>
      </c>
    </row>
    <row r="97" spans="1:37" ht="12" x14ac:dyDescent="0.25">
      <c r="A97" s="77" t="s">
        <v>500</v>
      </c>
      <c r="B97" s="165" t="s">
        <v>485</v>
      </c>
      <c r="C97" s="77" t="s">
        <v>234</v>
      </c>
      <c r="D97" s="77">
        <v>45887</v>
      </c>
      <c r="E97" s="77">
        <v>45888</v>
      </c>
      <c r="F97" s="77" t="s">
        <v>309</v>
      </c>
      <c r="G97" s="77" t="s">
        <v>501</v>
      </c>
      <c r="H97" s="77" t="s">
        <v>500</v>
      </c>
      <c r="I97" s="77" t="s">
        <v>487</v>
      </c>
      <c r="J97" s="77"/>
      <c r="K97" s="77"/>
      <c r="L97" s="77"/>
      <c r="M97" s="77">
        <v>45974</v>
      </c>
      <c r="O97" s="77"/>
      <c r="R97" s="130">
        <v>4.1250000000000002E-2</v>
      </c>
      <c r="S97" s="150"/>
      <c r="T97" s="131">
        <v>99.014583000000002</v>
      </c>
      <c r="U97" s="129">
        <v>500000</v>
      </c>
      <c r="V97" s="129" t="s">
        <v>28</v>
      </c>
      <c r="W97" s="131">
        <v>1</v>
      </c>
      <c r="Z97" s="129">
        <v>495072.91499999998</v>
      </c>
      <c r="AA97" s="129">
        <v>495072.91499999998</v>
      </c>
      <c r="AB97" s="129">
        <v>0</v>
      </c>
      <c r="AC97" s="131">
        <v>-2.7397260273972603E-3</v>
      </c>
      <c r="AD97" s="151">
        <v>4.212724512550315E-2</v>
      </c>
      <c r="AI97" s="129">
        <v>20625</v>
      </c>
      <c r="AJ97" s="129">
        <v>0</v>
      </c>
      <c r="AK97" s="127">
        <f t="shared" si="1"/>
        <v>3</v>
      </c>
    </row>
    <row r="98" spans="1:37" s="164" customFormat="1" ht="12" x14ac:dyDescent="0.25">
      <c r="A98" s="158" t="s">
        <v>493</v>
      </c>
      <c r="B98" s="159" t="s">
        <v>485</v>
      </c>
      <c r="C98" s="158" t="s">
        <v>492</v>
      </c>
      <c r="D98" s="158">
        <v>45908</v>
      </c>
      <c r="E98" s="158">
        <v>45908</v>
      </c>
      <c r="F98" s="158" t="s">
        <v>309</v>
      </c>
      <c r="G98" s="158" t="s">
        <v>494</v>
      </c>
      <c r="H98" s="158" t="s">
        <v>493</v>
      </c>
      <c r="I98" s="158" t="s">
        <v>487</v>
      </c>
      <c r="J98" s="158"/>
      <c r="K98" s="158"/>
      <c r="L98" s="158"/>
      <c r="M98" s="158">
        <v>45939</v>
      </c>
      <c r="N98" s="160"/>
      <c r="O98" s="158"/>
      <c r="P98" s="161"/>
      <c r="Q98" s="161"/>
      <c r="R98" s="161">
        <v>4.1700000000000001E-2</v>
      </c>
      <c r="S98" s="162"/>
      <c r="T98" s="163">
        <v>99.646944000000005</v>
      </c>
      <c r="U98" s="160">
        <v>-250000</v>
      </c>
      <c r="V98" s="160" t="s">
        <v>28</v>
      </c>
      <c r="W98" s="163">
        <v>1</v>
      </c>
      <c r="X98" s="160"/>
      <c r="Y98" s="160"/>
      <c r="Z98" s="160">
        <v>-249117.36</v>
      </c>
      <c r="AA98" s="160">
        <v>-249117.36</v>
      </c>
      <c r="AB98" s="160">
        <v>0</v>
      </c>
      <c r="AC98" s="163"/>
      <c r="AD98" s="161">
        <v>4.1213871386180136E-2</v>
      </c>
      <c r="AE98" s="160"/>
      <c r="AF98" s="161"/>
      <c r="AG98" s="161"/>
      <c r="AH98" s="161"/>
      <c r="AI98" s="160"/>
      <c r="AJ98" s="160">
        <v>0</v>
      </c>
      <c r="AK98" s="127">
        <f t="shared" si="1"/>
        <v>3</v>
      </c>
    </row>
    <row r="99" spans="1:37" s="164" customFormat="1" ht="12" x14ac:dyDescent="0.25">
      <c r="A99" s="158" t="s">
        <v>493</v>
      </c>
      <c r="B99" s="159" t="s">
        <v>485</v>
      </c>
      <c r="C99" s="158" t="s">
        <v>492</v>
      </c>
      <c r="D99" s="158">
        <v>45908</v>
      </c>
      <c r="E99" s="158">
        <v>45908</v>
      </c>
      <c r="F99" s="158" t="s">
        <v>309</v>
      </c>
      <c r="G99" s="158" t="s">
        <v>494</v>
      </c>
      <c r="H99" s="158" t="s">
        <v>493</v>
      </c>
      <c r="I99" s="158" t="s">
        <v>487</v>
      </c>
      <c r="J99" s="158"/>
      <c r="K99" s="158"/>
      <c r="L99" s="158"/>
      <c r="M99" s="158">
        <v>45939</v>
      </c>
      <c r="N99" s="160"/>
      <c r="O99" s="158"/>
      <c r="P99" s="161"/>
      <c r="Q99" s="161"/>
      <c r="R99" s="161">
        <v>4.156E-2</v>
      </c>
      <c r="S99" s="162"/>
      <c r="T99" s="163">
        <v>99.648235999999997</v>
      </c>
      <c r="U99" s="160">
        <v>-250000</v>
      </c>
      <c r="V99" s="160" t="s">
        <v>28</v>
      </c>
      <c r="W99" s="163">
        <v>1</v>
      </c>
      <c r="X99" s="160"/>
      <c r="Y99" s="160"/>
      <c r="Z99" s="160">
        <v>-249120.59</v>
      </c>
      <c r="AA99" s="160">
        <v>-249120.59</v>
      </c>
      <c r="AB99" s="160">
        <v>0</v>
      </c>
      <c r="AC99" s="163"/>
      <c r="AD99" s="161">
        <v>4.1069739886451129E-2</v>
      </c>
      <c r="AE99" s="160"/>
      <c r="AF99" s="161"/>
      <c r="AG99" s="161"/>
      <c r="AH99" s="161"/>
      <c r="AI99" s="160"/>
      <c r="AJ99" s="160">
        <v>0</v>
      </c>
      <c r="AK99" s="127">
        <f t="shared" si="1"/>
        <v>3</v>
      </c>
    </row>
    <row r="100" spans="1:37" s="164" customFormat="1" ht="12" x14ac:dyDescent="0.25">
      <c r="A100" s="158" t="s">
        <v>495</v>
      </c>
      <c r="B100" s="159" t="s">
        <v>485</v>
      </c>
      <c r="C100" s="158" t="s">
        <v>492</v>
      </c>
      <c r="D100" s="158">
        <v>45908</v>
      </c>
      <c r="E100" s="158">
        <v>45908</v>
      </c>
      <c r="F100" s="158" t="s">
        <v>309</v>
      </c>
      <c r="G100" s="158" t="s">
        <v>496</v>
      </c>
      <c r="H100" s="158" t="s">
        <v>495</v>
      </c>
      <c r="I100" s="158" t="s">
        <v>487</v>
      </c>
      <c r="J100" s="158"/>
      <c r="K100" s="158"/>
      <c r="L100" s="158"/>
      <c r="M100" s="158">
        <v>45946</v>
      </c>
      <c r="N100" s="160"/>
      <c r="O100" s="158"/>
      <c r="P100" s="161"/>
      <c r="Q100" s="161"/>
      <c r="R100" s="161">
        <v>4.1439999999999998E-2</v>
      </c>
      <c r="S100" s="162"/>
      <c r="T100" s="163">
        <v>99.570389000000006</v>
      </c>
      <c r="U100" s="160">
        <v>-250000</v>
      </c>
      <c r="V100" s="160" t="s">
        <v>28</v>
      </c>
      <c r="W100" s="163">
        <v>1</v>
      </c>
      <c r="X100" s="160"/>
      <c r="Y100" s="160"/>
      <c r="Z100" s="160">
        <v>-248925.9725</v>
      </c>
      <c r="AA100" s="160">
        <v>-248925.9725</v>
      </c>
      <c r="AB100" s="160">
        <v>0</v>
      </c>
      <c r="AC100" s="163"/>
      <c r="AD100" s="161">
        <v>4.1000717146213936E-2</v>
      </c>
      <c r="AE100" s="160"/>
      <c r="AF100" s="161"/>
      <c r="AG100" s="161"/>
      <c r="AH100" s="161"/>
      <c r="AI100" s="160"/>
      <c r="AJ100" s="160">
        <v>0</v>
      </c>
      <c r="AK100" s="127">
        <f t="shared" si="1"/>
        <v>2</v>
      </c>
    </row>
    <row r="101" spans="1:37" s="164" customFormat="1" ht="12" x14ac:dyDescent="0.25">
      <c r="A101" s="158" t="s">
        <v>497</v>
      </c>
      <c r="B101" s="159" t="s">
        <v>485</v>
      </c>
      <c r="C101" s="158" t="s">
        <v>492</v>
      </c>
      <c r="D101" s="158">
        <v>45916</v>
      </c>
      <c r="E101" s="158">
        <v>45916</v>
      </c>
      <c r="F101" s="158" t="s">
        <v>309</v>
      </c>
      <c r="G101" s="158" t="s">
        <v>498</v>
      </c>
      <c r="H101" s="158" t="s">
        <v>497</v>
      </c>
      <c r="I101" s="158" t="s">
        <v>487</v>
      </c>
      <c r="J101" s="158"/>
      <c r="K101" s="158"/>
      <c r="L101" s="158"/>
      <c r="M101" s="158">
        <v>45960</v>
      </c>
      <c r="N101" s="160"/>
      <c r="O101" s="158"/>
      <c r="P101" s="161"/>
      <c r="Q101" s="161"/>
      <c r="R101" s="161">
        <v>4.1000000000000002E-2</v>
      </c>
      <c r="S101" s="162"/>
      <c r="T101" s="163">
        <v>99.498889000000005</v>
      </c>
      <c r="U101" s="160">
        <v>-250000</v>
      </c>
      <c r="V101" s="160" t="s">
        <v>28</v>
      </c>
      <c r="W101" s="163">
        <v>1</v>
      </c>
      <c r="X101" s="160"/>
      <c r="Y101" s="160"/>
      <c r="Z101" s="160">
        <v>-248747.2225</v>
      </c>
      <c r="AA101" s="160">
        <v>-248747.2225</v>
      </c>
      <c r="AB101" s="160">
        <v>0</v>
      </c>
      <c r="AC101" s="163"/>
      <c r="AD101" s="161">
        <v>4.0990658647864074E-2</v>
      </c>
      <c r="AE101" s="160"/>
      <c r="AF101" s="161"/>
      <c r="AG101" s="161"/>
      <c r="AH101" s="161"/>
      <c r="AI101" s="160"/>
      <c r="AJ101" s="160">
        <v>0</v>
      </c>
      <c r="AK101" s="127">
        <f t="shared" si="1"/>
        <v>13</v>
      </c>
    </row>
    <row r="102" spans="1:37" s="164" customFormat="1" ht="12" x14ac:dyDescent="0.25">
      <c r="A102" s="158" t="s">
        <v>497</v>
      </c>
      <c r="B102" s="159" t="s">
        <v>485</v>
      </c>
      <c r="C102" s="158" t="s">
        <v>492</v>
      </c>
      <c r="D102" s="158">
        <v>45917</v>
      </c>
      <c r="E102" s="158">
        <v>45917</v>
      </c>
      <c r="F102" s="158" t="s">
        <v>309</v>
      </c>
      <c r="G102" s="158" t="s">
        <v>498</v>
      </c>
      <c r="H102" s="158" t="s">
        <v>497</v>
      </c>
      <c r="I102" s="158" t="s">
        <v>487</v>
      </c>
      <c r="J102" s="158"/>
      <c r="K102" s="158"/>
      <c r="L102" s="158"/>
      <c r="M102" s="158">
        <v>45960</v>
      </c>
      <c r="N102" s="160"/>
      <c r="O102" s="158"/>
      <c r="P102" s="161"/>
      <c r="Q102" s="161"/>
      <c r="R102" s="161">
        <v>4.0300000000000002E-2</v>
      </c>
      <c r="S102" s="162"/>
      <c r="T102" s="163">
        <v>99.518638999999993</v>
      </c>
      <c r="U102" s="160">
        <v>-250000</v>
      </c>
      <c r="V102" s="160" t="s">
        <v>28</v>
      </c>
      <c r="W102" s="163">
        <v>1</v>
      </c>
      <c r="X102" s="160"/>
      <c r="Y102" s="160"/>
      <c r="Z102" s="160">
        <v>-248796.5975</v>
      </c>
      <c r="AA102" s="160">
        <v>-248796.5975</v>
      </c>
      <c r="AB102" s="160">
        <v>0</v>
      </c>
      <c r="AC102" s="163"/>
      <c r="AD102" s="161">
        <v>4.0281957938469844E-2</v>
      </c>
      <c r="AE102" s="160"/>
      <c r="AF102" s="161"/>
      <c r="AG102" s="161"/>
      <c r="AH102" s="161"/>
      <c r="AI102" s="160"/>
      <c r="AJ102" s="160"/>
    </row>
    <row r="103" spans="1:37" s="164" customFormat="1" ht="12" x14ac:dyDescent="0.25">
      <c r="A103" s="158" t="s">
        <v>497</v>
      </c>
      <c r="B103" s="159" t="s">
        <v>485</v>
      </c>
      <c r="C103" s="158" t="s">
        <v>492</v>
      </c>
      <c r="D103" s="158">
        <v>45918</v>
      </c>
      <c r="E103" s="158">
        <v>45918</v>
      </c>
      <c r="F103" s="158" t="s">
        <v>309</v>
      </c>
      <c r="G103" s="158" t="s">
        <v>498</v>
      </c>
      <c r="H103" s="158" t="s">
        <v>497</v>
      </c>
      <c r="I103" s="158" t="s">
        <v>487</v>
      </c>
      <c r="J103" s="158"/>
      <c r="K103" s="158"/>
      <c r="L103" s="158"/>
      <c r="M103" s="158">
        <v>45960</v>
      </c>
      <c r="N103" s="160"/>
      <c r="O103" s="158"/>
      <c r="P103" s="161"/>
      <c r="Q103" s="161"/>
      <c r="R103" s="161">
        <v>4.0300000000000002E-2</v>
      </c>
      <c r="S103" s="162"/>
      <c r="T103" s="163">
        <v>99.529832999999996</v>
      </c>
      <c r="U103" s="160">
        <v>-250000</v>
      </c>
      <c r="V103" s="160" t="s">
        <v>28</v>
      </c>
      <c r="W103" s="163">
        <v>1</v>
      </c>
      <c r="X103" s="160"/>
      <c r="Y103" s="160"/>
      <c r="Z103" s="160">
        <v>-248824.58249999999</v>
      </c>
      <c r="AA103" s="160">
        <v>-248824.58249999999</v>
      </c>
      <c r="AB103" s="160">
        <v>0</v>
      </c>
      <c r="AC103" s="163"/>
      <c r="AD103" s="161">
        <v>4.0272964412194627E-2</v>
      </c>
      <c r="AE103" s="160"/>
      <c r="AF103" s="161"/>
      <c r="AG103" s="161"/>
      <c r="AH103" s="161"/>
      <c r="AI103" s="160"/>
      <c r="AJ103" s="160"/>
    </row>
    <row r="104" spans="1:37" s="164" customFormat="1" ht="12" x14ac:dyDescent="0.25">
      <c r="A104" s="158" t="s">
        <v>497</v>
      </c>
      <c r="B104" s="159" t="s">
        <v>485</v>
      </c>
      <c r="C104" s="158" t="s">
        <v>492</v>
      </c>
      <c r="D104" s="158">
        <v>45922</v>
      </c>
      <c r="E104" s="158">
        <v>45922</v>
      </c>
      <c r="F104" s="158" t="s">
        <v>309</v>
      </c>
      <c r="G104" s="158" t="s">
        <v>498</v>
      </c>
      <c r="H104" s="158" t="s">
        <v>497</v>
      </c>
      <c r="I104" s="158" t="s">
        <v>487</v>
      </c>
      <c r="J104" s="158"/>
      <c r="K104" s="158"/>
      <c r="L104" s="158"/>
      <c r="M104" s="158">
        <v>45960</v>
      </c>
      <c r="N104" s="160"/>
      <c r="O104" s="158"/>
      <c r="P104" s="161"/>
      <c r="Q104" s="161"/>
      <c r="R104" s="161">
        <v>4.0050000000000002E-2</v>
      </c>
      <c r="S104" s="162"/>
      <c r="T104" s="163">
        <v>99.577250000000006</v>
      </c>
      <c r="U104" s="160">
        <v>-200000</v>
      </c>
      <c r="V104" s="160" t="s">
        <v>28</v>
      </c>
      <c r="W104" s="163">
        <v>1</v>
      </c>
      <c r="X104" s="160"/>
      <c r="Y104" s="160"/>
      <c r="Z104" s="160">
        <v>-199154.5</v>
      </c>
      <c r="AA104" s="160">
        <v>-199154.5</v>
      </c>
      <c r="AB104" s="160"/>
      <c r="AC104" s="163"/>
      <c r="AD104" s="161">
        <v>3.9987719127458403E-2</v>
      </c>
      <c r="AE104" s="160"/>
      <c r="AF104" s="161"/>
      <c r="AG104" s="161"/>
      <c r="AH104" s="161"/>
      <c r="AI104" s="160"/>
      <c r="AJ104" s="160"/>
    </row>
    <row r="105" spans="1:37" s="164" customFormat="1" ht="12" x14ac:dyDescent="0.25">
      <c r="A105" s="158" t="s">
        <v>497</v>
      </c>
      <c r="B105" s="159" t="s">
        <v>485</v>
      </c>
      <c r="C105" s="158" t="s">
        <v>492</v>
      </c>
      <c r="D105" s="158">
        <v>45939</v>
      </c>
      <c r="E105" s="158">
        <v>45939</v>
      </c>
      <c r="F105" s="158" t="s">
        <v>309</v>
      </c>
      <c r="G105" s="158" t="s">
        <v>498</v>
      </c>
      <c r="H105" s="158" t="s">
        <v>497</v>
      </c>
      <c r="I105" s="158" t="s">
        <v>487</v>
      </c>
      <c r="J105" s="158"/>
      <c r="K105" s="158"/>
      <c r="L105" s="158"/>
      <c r="M105" s="158">
        <v>45960</v>
      </c>
      <c r="N105" s="160"/>
      <c r="O105" s="158"/>
      <c r="P105" s="161"/>
      <c r="Q105" s="161"/>
      <c r="R105" s="161">
        <v>4.0300000000000002E-2</v>
      </c>
      <c r="S105" s="162"/>
      <c r="T105" s="163">
        <v>99.764624999999995</v>
      </c>
      <c r="U105" s="160">
        <v>-250000</v>
      </c>
      <c r="V105" s="160" t="s">
        <v>28</v>
      </c>
      <c r="W105" s="163">
        <v>1</v>
      </c>
      <c r="X105" s="160"/>
      <c r="Y105" s="160"/>
      <c r="Z105" s="160">
        <v>-249411.5625</v>
      </c>
      <c r="AA105" s="160">
        <v>-249411.5625</v>
      </c>
      <c r="AB105" s="160"/>
      <c r="AC105" s="163"/>
      <c r="AD105" s="161">
        <v>4.0109594763788364E-2</v>
      </c>
      <c r="AE105" s="160"/>
      <c r="AF105" s="161"/>
      <c r="AG105" s="161"/>
      <c r="AH105" s="161"/>
      <c r="AI105" s="160"/>
      <c r="AJ105" s="160"/>
    </row>
    <row r="106" spans="1:37" s="164" customFormat="1" ht="12" x14ac:dyDescent="0.25">
      <c r="A106" s="158" t="s">
        <v>497</v>
      </c>
      <c r="B106" s="159" t="s">
        <v>485</v>
      </c>
      <c r="C106" s="158" t="s">
        <v>492</v>
      </c>
      <c r="D106" s="158">
        <v>45940</v>
      </c>
      <c r="E106" s="158">
        <v>45940</v>
      </c>
      <c r="F106" s="158" t="s">
        <v>309</v>
      </c>
      <c r="G106" s="158" t="s">
        <v>498</v>
      </c>
      <c r="H106" s="158" t="s">
        <v>497</v>
      </c>
      <c r="I106" s="158" t="s">
        <v>487</v>
      </c>
      <c r="J106" s="158"/>
      <c r="K106" s="158"/>
      <c r="L106" s="158"/>
      <c r="M106" s="158">
        <v>45960</v>
      </c>
      <c r="N106" s="160"/>
      <c r="O106" s="158"/>
      <c r="P106" s="161"/>
      <c r="Q106" s="161"/>
      <c r="R106" s="161">
        <v>4.0500000000000001E-2</v>
      </c>
      <c r="S106" s="162"/>
      <c r="T106" s="163">
        <v>99.775000000000006</v>
      </c>
      <c r="U106" s="160">
        <v>-250000</v>
      </c>
      <c r="V106" s="160" t="s">
        <v>28</v>
      </c>
      <c r="W106" s="163">
        <v>1</v>
      </c>
      <c r="X106" s="160"/>
      <c r="Y106" s="160"/>
      <c r="Z106" s="160">
        <v>-249437.5</v>
      </c>
      <c r="AA106" s="160">
        <v>-249437.5</v>
      </c>
      <c r="AB106" s="160"/>
      <c r="AC106" s="163"/>
      <c r="AD106" s="161">
        <v>4.0273461777501088E-2</v>
      </c>
      <c r="AE106" s="160"/>
      <c r="AF106" s="161"/>
      <c r="AG106" s="161"/>
      <c r="AH106" s="161"/>
      <c r="AI106" s="160"/>
      <c r="AJ106" s="160"/>
    </row>
    <row r="107" spans="1:37" s="164" customFormat="1" ht="12" x14ac:dyDescent="0.25">
      <c r="A107" s="158" t="s">
        <v>497</v>
      </c>
      <c r="B107" s="159" t="s">
        <v>485</v>
      </c>
      <c r="C107" s="158" t="s">
        <v>492</v>
      </c>
      <c r="D107" s="158">
        <v>45944</v>
      </c>
      <c r="E107" s="158">
        <v>45944</v>
      </c>
      <c r="F107" s="158" t="s">
        <v>309</v>
      </c>
      <c r="G107" s="158" t="s">
        <v>498</v>
      </c>
      <c r="H107" s="158" t="s">
        <v>497</v>
      </c>
      <c r="I107" s="158" t="s">
        <v>487</v>
      </c>
      <c r="J107" s="158"/>
      <c r="K107" s="158"/>
      <c r="L107" s="158"/>
      <c r="M107" s="158">
        <v>45960</v>
      </c>
      <c r="N107" s="160"/>
      <c r="O107" s="158"/>
      <c r="P107" s="161"/>
      <c r="Q107" s="161"/>
      <c r="R107" s="161">
        <v>4.0300000000000002E-2</v>
      </c>
      <c r="S107" s="162"/>
      <c r="T107" s="163">
        <v>99.820667</v>
      </c>
      <c r="U107" s="160">
        <v>-500000</v>
      </c>
      <c r="V107" s="160" t="s">
        <v>28</v>
      </c>
      <c r="W107" s="163">
        <v>1</v>
      </c>
      <c r="X107" s="160"/>
      <c r="Y107" s="160"/>
      <c r="Z107" s="160">
        <v>-499103.33500000002</v>
      </c>
      <c r="AA107" s="160">
        <v>-499103.33500000002</v>
      </c>
      <c r="AB107" s="160"/>
      <c r="AC107" s="163"/>
      <c r="AD107" s="161">
        <v>4.0064918785247088E-2</v>
      </c>
      <c r="AE107" s="160"/>
      <c r="AF107" s="161"/>
      <c r="AG107" s="161"/>
      <c r="AH107" s="161"/>
      <c r="AI107" s="160"/>
      <c r="AJ107" s="160"/>
    </row>
    <row r="108" spans="1:37" ht="12" x14ac:dyDescent="0.25">
      <c r="A108" s="77" t="s">
        <v>736</v>
      </c>
      <c r="B108" s="165" t="s">
        <v>485</v>
      </c>
      <c r="C108" s="77" t="s">
        <v>234</v>
      </c>
      <c r="D108" s="77">
        <v>45950</v>
      </c>
      <c r="E108" s="77">
        <v>45950</v>
      </c>
      <c r="F108" s="77" t="s">
        <v>309</v>
      </c>
      <c r="G108" s="77" t="s">
        <v>735</v>
      </c>
      <c r="H108" s="77" t="s">
        <v>736</v>
      </c>
      <c r="I108" s="77" t="s">
        <v>487</v>
      </c>
      <c r="J108" s="77"/>
      <c r="K108" s="77"/>
      <c r="L108" s="77"/>
      <c r="M108" s="77">
        <v>46037</v>
      </c>
      <c r="O108" s="77"/>
      <c r="R108" s="130">
        <v>3.7900000000000003E-2</v>
      </c>
      <c r="S108" s="150"/>
      <c r="T108" s="131">
        <v>99.084083000000007</v>
      </c>
      <c r="U108" s="129">
        <v>750000</v>
      </c>
      <c r="V108" s="129" t="s">
        <v>28</v>
      </c>
      <c r="W108" s="131">
        <v>1</v>
      </c>
      <c r="Z108" s="129">
        <v>743130.62250000006</v>
      </c>
      <c r="AA108" s="129">
        <v>743130.62250000006</v>
      </c>
      <c r="AC108" s="131"/>
      <c r="AD108" s="151">
        <v>3.8679803690444589E-2</v>
      </c>
    </row>
    <row r="109" spans="1:37" s="164" customFormat="1" ht="12" x14ac:dyDescent="0.25">
      <c r="A109" s="158" t="s">
        <v>500</v>
      </c>
      <c r="B109" s="159" t="s">
        <v>485</v>
      </c>
      <c r="C109" s="158" t="s">
        <v>492</v>
      </c>
      <c r="D109" s="158">
        <v>45951</v>
      </c>
      <c r="E109" s="158">
        <v>45951</v>
      </c>
      <c r="F109" s="158" t="s">
        <v>309</v>
      </c>
      <c r="G109" s="158" t="s">
        <v>501</v>
      </c>
      <c r="H109" s="158" t="s">
        <v>500</v>
      </c>
      <c r="I109" s="158" t="s">
        <v>487</v>
      </c>
      <c r="J109" s="158"/>
      <c r="K109" s="158"/>
      <c r="L109" s="158"/>
      <c r="M109" s="158">
        <v>45974</v>
      </c>
      <c r="N109" s="160"/>
      <c r="O109" s="158"/>
      <c r="P109" s="161"/>
      <c r="Q109" s="161"/>
      <c r="R109" s="161">
        <v>3.9600000000000003E-2</v>
      </c>
      <c r="S109" s="162"/>
      <c r="T109" s="163">
        <v>99.747</v>
      </c>
      <c r="U109" s="160">
        <v>-300000</v>
      </c>
      <c r="V109" s="160" t="s">
        <v>28</v>
      </c>
      <c r="W109" s="163">
        <v>1</v>
      </c>
      <c r="X109" s="160"/>
      <c r="Y109" s="160"/>
      <c r="Z109" s="129">
        <v>-299241</v>
      </c>
      <c r="AA109" s="129">
        <v>-299241</v>
      </c>
      <c r="AB109" s="160"/>
      <c r="AC109" s="163"/>
      <c r="AD109" s="161">
        <v>4.0300512463306709E-2</v>
      </c>
      <c r="AE109" s="160"/>
      <c r="AF109" s="161"/>
      <c r="AG109" s="161"/>
      <c r="AH109" s="161"/>
      <c r="AI109" s="160"/>
      <c r="AJ109" s="160"/>
    </row>
    <row r="110" spans="1:37" ht="12" x14ac:dyDescent="0.25">
      <c r="A110" s="77" t="s">
        <v>736</v>
      </c>
      <c r="B110" s="165" t="s">
        <v>485</v>
      </c>
      <c r="C110" s="77" t="s">
        <v>234</v>
      </c>
      <c r="D110" s="77">
        <v>45958</v>
      </c>
      <c r="E110" s="77">
        <v>45958</v>
      </c>
      <c r="F110" s="77" t="s">
        <v>309</v>
      </c>
      <c r="G110" s="77" t="s">
        <v>735</v>
      </c>
      <c r="H110" s="77" t="s">
        <v>736</v>
      </c>
      <c r="I110" s="77" t="s">
        <v>487</v>
      </c>
      <c r="J110" s="77"/>
      <c r="K110" s="77"/>
      <c r="L110" s="77"/>
      <c r="M110" s="77">
        <v>46037</v>
      </c>
      <c r="O110" s="77"/>
      <c r="R110" s="130">
        <v>3.6999999999999998E-2</v>
      </c>
      <c r="S110" s="150"/>
      <c r="T110" s="131">
        <v>99.188056000000003</v>
      </c>
      <c r="U110" s="129">
        <v>1000000</v>
      </c>
      <c r="V110" s="129" t="s">
        <v>28</v>
      </c>
      <c r="W110" s="131">
        <v>1</v>
      </c>
      <c r="Z110" s="129">
        <v>991880.56</v>
      </c>
      <c r="AA110" s="129">
        <v>991880.56</v>
      </c>
      <c r="AC110" s="131"/>
      <c r="AD110" s="151">
        <v>3.7736488100808464E-2</v>
      </c>
    </row>
    <row r="111" spans="1:37" s="164" customFormat="1" ht="12" x14ac:dyDescent="0.25">
      <c r="A111" s="158" t="s">
        <v>497</v>
      </c>
      <c r="B111" s="159" t="s">
        <v>485</v>
      </c>
      <c r="C111" s="158" t="s">
        <v>492</v>
      </c>
      <c r="D111" s="158">
        <v>45960</v>
      </c>
      <c r="E111" s="158">
        <v>45960</v>
      </c>
      <c r="F111" s="158" t="s">
        <v>309</v>
      </c>
      <c r="G111" s="158" t="s">
        <v>498</v>
      </c>
      <c r="H111" s="158" t="s">
        <v>497</v>
      </c>
      <c r="I111" s="158" t="s">
        <v>487</v>
      </c>
      <c r="J111" s="158"/>
      <c r="K111" s="158"/>
      <c r="L111" s="158"/>
      <c r="M111" s="158">
        <v>45960</v>
      </c>
      <c r="N111" s="160"/>
      <c r="O111" s="158"/>
      <c r="P111" s="161"/>
      <c r="Q111" s="161"/>
      <c r="R111" s="161">
        <v>0</v>
      </c>
      <c r="S111" s="162"/>
      <c r="T111" s="163">
        <v>100</v>
      </c>
      <c r="U111" s="160">
        <v>-250000</v>
      </c>
      <c r="V111" s="160" t="s">
        <v>28</v>
      </c>
      <c r="W111" s="163">
        <v>1</v>
      </c>
      <c r="X111" s="160"/>
      <c r="Y111" s="160"/>
      <c r="Z111" s="129">
        <v>-250000</v>
      </c>
      <c r="AA111" s="129">
        <v>-250000</v>
      </c>
      <c r="AB111" s="160"/>
      <c r="AC111" s="163"/>
      <c r="AD111" s="151">
        <v>0</v>
      </c>
      <c r="AE111" s="160"/>
      <c r="AF111" s="161"/>
      <c r="AG111" s="161"/>
      <c r="AH111" s="161"/>
      <c r="AI111" s="160"/>
      <c r="AJ111" s="160"/>
    </row>
    <row r="112" spans="1:37" s="164" customFormat="1" ht="12" x14ac:dyDescent="0.25">
      <c r="A112" s="158" t="s">
        <v>500</v>
      </c>
      <c r="B112" s="159" t="s">
        <v>485</v>
      </c>
      <c r="C112" s="158" t="s">
        <v>492</v>
      </c>
      <c r="D112" s="158">
        <v>45964</v>
      </c>
      <c r="E112" s="158">
        <v>45964</v>
      </c>
      <c r="F112" s="158" t="s">
        <v>309</v>
      </c>
      <c r="G112" s="158" t="s">
        <v>501</v>
      </c>
      <c r="H112" s="158" t="s">
        <v>500</v>
      </c>
      <c r="I112" s="158" t="s">
        <v>487</v>
      </c>
      <c r="J112" s="158"/>
      <c r="K112" s="158"/>
      <c r="L112" s="158"/>
      <c r="M112" s="158">
        <v>45974</v>
      </c>
      <c r="N112" s="160"/>
      <c r="O112" s="158"/>
      <c r="P112" s="161"/>
      <c r="Q112" s="161"/>
      <c r="R112" s="161">
        <v>3.85E-2</v>
      </c>
      <c r="S112" s="162"/>
      <c r="T112" s="163">
        <v>99.893056000000001</v>
      </c>
      <c r="U112" s="160">
        <v>-200000</v>
      </c>
      <c r="V112" s="160" t="s">
        <v>28</v>
      </c>
      <c r="W112" s="163">
        <v>1</v>
      </c>
      <c r="X112" s="160"/>
      <c r="Y112" s="160"/>
      <c r="Z112" s="129">
        <v>-199786.11199999999</v>
      </c>
      <c r="AA112" s="129">
        <v>-199786.11199999999</v>
      </c>
      <c r="AB112" s="160"/>
      <c r="AC112" s="163"/>
      <c r="AD112" s="151">
        <v>3.8213846727572894E-2</v>
      </c>
      <c r="AE112" s="160"/>
      <c r="AF112" s="161"/>
      <c r="AG112" s="161"/>
      <c r="AH112" s="161"/>
      <c r="AI112" s="160"/>
      <c r="AJ112" s="160"/>
    </row>
    <row r="113" spans="1:36" s="164" customFormat="1" ht="12" x14ac:dyDescent="0.25">
      <c r="A113" s="158" t="s">
        <v>736</v>
      </c>
      <c r="B113" s="159" t="s">
        <v>485</v>
      </c>
      <c r="C113" s="158" t="s">
        <v>492</v>
      </c>
      <c r="D113" s="158">
        <v>45964</v>
      </c>
      <c r="E113" s="158">
        <v>45964</v>
      </c>
      <c r="F113" s="158" t="s">
        <v>309</v>
      </c>
      <c r="G113" s="158" t="s">
        <v>735</v>
      </c>
      <c r="H113" s="158" t="s">
        <v>736</v>
      </c>
      <c r="I113" s="158" t="s">
        <v>487</v>
      </c>
      <c r="J113" s="158"/>
      <c r="K113" s="158"/>
      <c r="L113" s="158"/>
      <c r="M113" s="158">
        <v>46037</v>
      </c>
      <c r="N113" s="160"/>
      <c r="O113" s="158"/>
      <c r="P113" s="161"/>
      <c r="Q113" s="161"/>
      <c r="R113" s="161">
        <v>3.7850000000000002E-2</v>
      </c>
      <c r="S113" s="162"/>
      <c r="T113" s="163">
        <v>99.232485999999994</v>
      </c>
      <c r="U113" s="160">
        <v>-300000</v>
      </c>
      <c r="V113" s="160" t="s">
        <v>28</v>
      </c>
      <c r="W113" s="163">
        <v>1</v>
      </c>
      <c r="X113" s="160"/>
      <c r="Y113" s="160"/>
      <c r="Z113" s="129">
        <v>-297697.45799999998</v>
      </c>
      <c r="AA113" s="129">
        <v>-297697.45799999998</v>
      </c>
      <c r="AB113" s="160"/>
      <c r="AC113" s="163"/>
      <c r="AD113" s="151">
        <v>3.8334524756236381E-2</v>
      </c>
      <c r="AE113" s="160"/>
      <c r="AF113" s="161"/>
      <c r="AG113" s="161"/>
      <c r="AH113" s="161"/>
      <c r="AI113" s="160"/>
      <c r="AJ113" s="160"/>
    </row>
    <row r="114" spans="1:36" s="164" customFormat="1" ht="12" x14ac:dyDescent="0.25">
      <c r="A114" s="158" t="s">
        <v>736</v>
      </c>
      <c r="B114" s="159" t="s">
        <v>485</v>
      </c>
      <c r="C114" s="158" t="s">
        <v>492</v>
      </c>
      <c r="D114" s="158">
        <v>45965</v>
      </c>
      <c r="E114" s="158">
        <v>45965</v>
      </c>
      <c r="F114" s="158" t="s">
        <v>309</v>
      </c>
      <c r="G114" s="158" t="s">
        <v>735</v>
      </c>
      <c r="H114" s="158" t="s">
        <v>736</v>
      </c>
      <c r="I114" s="158" t="s">
        <v>487</v>
      </c>
      <c r="J114" s="158"/>
      <c r="K114" s="158"/>
      <c r="L114" s="158"/>
      <c r="M114" s="158">
        <v>46037</v>
      </c>
      <c r="N114" s="160"/>
      <c r="O114" s="158"/>
      <c r="P114" s="161"/>
      <c r="Q114" s="161"/>
      <c r="R114" s="161">
        <v>3.7749999999999999E-2</v>
      </c>
      <c r="S114" s="162"/>
      <c r="T114" s="163">
        <v>99.245000000000005</v>
      </c>
      <c r="U114" s="160">
        <v>-300000</v>
      </c>
      <c r="V114" s="160" t="s">
        <v>28</v>
      </c>
      <c r="W114" s="163">
        <v>1</v>
      </c>
      <c r="X114" s="160"/>
      <c r="Y114" s="160"/>
      <c r="Z114" s="129">
        <v>-297735</v>
      </c>
      <c r="AA114" s="129">
        <v>-297735</v>
      </c>
      <c r="AB114" s="160"/>
      <c r="AC114" s="163"/>
      <c r="AD114" s="151">
        <v>3.8228304180391567E-2</v>
      </c>
      <c r="AE114" s="160"/>
      <c r="AF114" s="161"/>
      <c r="AG114" s="161"/>
      <c r="AH114" s="161"/>
      <c r="AI114" s="160"/>
      <c r="AJ114" s="160"/>
    </row>
    <row r="115" spans="1:36" s="164" customFormat="1" x14ac:dyDescent="0.3">
      <c r="A115" s="267"/>
      <c r="B115" s="159"/>
      <c r="C115" s="158"/>
      <c r="D115" s="158"/>
      <c r="E115" s="158"/>
      <c r="F115" s="158"/>
      <c r="G115" s="158"/>
      <c r="H115" s="158"/>
      <c r="I115" s="158"/>
      <c r="J115" s="158"/>
      <c r="K115" s="158"/>
      <c r="L115" s="158"/>
      <c r="M115" s="158"/>
      <c r="N115" s="160"/>
      <c r="O115" s="158"/>
      <c r="P115" s="161"/>
      <c r="Q115" s="161"/>
      <c r="R115" s="161"/>
      <c r="S115" s="162"/>
      <c r="T115" s="163"/>
      <c r="U115" s="160"/>
      <c r="V115" s="160"/>
      <c r="W115" s="163"/>
      <c r="X115" s="160"/>
      <c r="Y115" s="160"/>
      <c r="Z115" s="129"/>
      <c r="AA115" s="129"/>
      <c r="AB115" s="160"/>
      <c r="AC115" s="163"/>
      <c r="AD115" s="151"/>
      <c r="AE115" s="160"/>
      <c r="AF115" s="161"/>
      <c r="AG115" s="161"/>
      <c r="AH115" s="161"/>
      <c r="AI115" s="160"/>
      <c r="AJ115" s="160"/>
    </row>
    <row r="116" spans="1:36" s="164" customFormat="1" x14ac:dyDescent="0.3">
      <c r="A116" s="267"/>
      <c r="B116" s="159"/>
      <c r="C116" s="158"/>
      <c r="D116" s="158"/>
      <c r="E116" s="158"/>
      <c r="F116" s="158"/>
      <c r="G116" s="158"/>
      <c r="H116" s="158"/>
      <c r="I116" s="158"/>
      <c r="J116" s="158"/>
      <c r="K116" s="158"/>
      <c r="L116" s="158"/>
      <c r="M116" s="158"/>
      <c r="N116" s="160"/>
      <c r="O116" s="158"/>
      <c r="P116" s="161"/>
      <c r="Q116" s="161"/>
      <c r="R116" s="161"/>
      <c r="S116" s="162"/>
      <c r="T116" s="163"/>
      <c r="U116" s="160"/>
      <c r="V116" s="160"/>
      <c r="W116" s="163"/>
      <c r="X116" s="160"/>
      <c r="Y116" s="160"/>
      <c r="Z116" s="160"/>
      <c r="AA116" s="160"/>
      <c r="AB116" s="160"/>
      <c r="AC116" s="163"/>
      <c r="AD116" s="161"/>
      <c r="AE116" s="160"/>
      <c r="AF116" s="161"/>
      <c r="AG116" s="161"/>
      <c r="AH116" s="161"/>
      <c r="AI116" s="160"/>
      <c r="AJ116" s="160"/>
    </row>
    <row r="117" spans="1:36" x14ac:dyDescent="0.3">
      <c r="B117" s="165"/>
      <c r="C117" s="77"/>
      <c r="D117" s="77"/>
      <c r="E117" s="77"/>
      <c r="F117" s="77"/>
      <c r="G117" s="77"/>
      <c r="H117" s="77"/>
      <c r="I117" s="77"/>
      <c r="J117" s="77"/>
      <c r="K117" s="77"/>
      <c r="L117" s="77"/>
      <c r="M117" s="77"/>
      <c r="O117" s="77"/>
      <c r="S117" s="150"/>
      <c r="W117" s="131"/>
      <c r="AC117" s="131"/>
      <c r="AD117" s="151"/>
    </row>
    <row r="119" spans="1:36" s="167" customFormat="1" ht="6" customHeight="1" x14ac:dyDescent="0.3">
      <c r="A119" s="166"/>
      <c r="B119" s="166"/>
      <c r="F119" s="168"/>
      <c r="N119" s="169"/>
      <c r="P119" s="170"/>
      <c r="Q119" s="170"/>
      <c r="R119" s="170"/>
      <c r="S119" s="170"/>
      <c r="T119" s="171"/>
      <c r="U119" s="169"/>
      <c r="V119" s="169"/>
      <c r="W119" s="169"/>
      <c r="X119" s="169"/>
      <c r="Y119" s="169"/>
      <c r="Z119" s="169"/>
      <c r="AA119" s="169"/>
      <c r="AB119" s="169"/>
      <c r="AC119" s="169"/>
      <c r="AD119" s="169"/>
      <c r="AE119" s="169"/>
      <c r="AF119" s="170"/>
      <c r="AG119" s="170"/>
      <c r="AH119" s="170"/>
      <c r="AI119" s="169"/>
      <c r="AJ119" s="169"/>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N20"/>
  <sheetViews>
    <sheetView zoomScaleNormal="100" workbookViewId="0">
      <selection activeCell="L28" sqref="L28"/>
    </sheetView>
  </sheetViews>
  <sheetFormatPr defaultRowHeight="14.4" x14ac:dyDescent="0.3"/>
  <cols>
    <col min="1" max="1" width="24.21875" bestFit="1" customWidth="1"/>
    <col min="2" max="2" width="2.109375" customWidth="1"/>
    <col min="3" max="4" width="13.6640625" bestFit="1" customWidth="1"/>
    <col min="5" max="8" width="11.5546875" bestFit="1" customWidth="1"/>
    <col min="9" max="9" width="11.5546875" customWidth="1"/>
    <col min="10" max="10" width="11.5546875" bestFit="1" customWidth="1"/>
    <col min="11" max="11" width="20.33203125" style="102" bestFit="1" customWidth="1"/>
    <col min="13" max="13" width="13.6640625" bestFit="1" customWidth="1"/>
    <col min="14" max="14" width="13.5546875" bestFit="1" customWidth="1"/>
  </cols>
  <sheetData>
    <row r="1" spans="1:14" ht="15" thickBot="1" x14ac:dyDescent="0.35"/>
    <row r="2" spans="1:14" ht="15" thickBot="1" x14ac:dyDescent="0.35">
      <c r="A2" s="116" t="s">
        <v>78</v>
      </c>
      <c r="B2" s="117"/>
      <c r="C2" s="118">
        <v>45894</v>
      </c>
      <c r="D2" s="119">
        <v>45911</v>
      </c>
      <c r="E2" s="119">
        <v>45915</v>
      </c>
      <c r="F2" s="119">
        <v>45933</v>
      </c>
      <c r="G2" s="119">
        <v>45947</v>
      </c>
      <c r="H2" s="220">
        <v>45968</v>
      </c>
      <c r="I2" s="237">
        <v>45978</v>
      </c>
      <c r="J2" s="221" t="s">
        <v>689</v>
      </c>
    </row>
    <row r="3" spans="1:14" ht="15" thickBot="1" x14ac:dyDescent="0.35">
      <c r="A3" s="1"/>
      <c r="B3" s="1"/>
      <c r="C3" s="17"/>
      <c r="D3" s="17"/>
      <c r="E3" s="17"/>
      <c r="F3" s="17"/>
      <c r="G3" s="17"/>
      <c r="H3" s="17"/>
      <c r="I3" s="17"/>
      <c r="J3" s="65"/>
      <c r="K3" s="70"/>
      <c r="M3" s="236"/>
    </row>
    <row r="4" spans="1:14" x14ac:dyDescent="0.3">
      <c r="A4" s="103" t="s">
        <v>261</v>
      </c>
      <c r="B4" s="120"/>
      <c r="C4" s="124">
        <v>45891</v>
      </c>
      <c r="D4" s="123">
        <v>45912</v>
      </c>
      <c r="E4" s="185">
        <v>45919</v>
      </c>
      <c r="F4" s="185">
        <v>45933</v>
      </c>
      <c r="G4" s="185">
        <v>45946</v>
      </c>
      <c r="H4" s="185">
        <v>45968</v>
      </c>
      <c r="I4" s="238">
        <v>45978</v>
      </c>
      <c r="J4" s="191"/>
      <c r="M4" s="34"/>
    </row>
    <row r="5" spans="1:14" x14ac:dyDescent="0.3">
      <c r="A5" s="104" t="s">
        <v>263</v>
      </c>
      <c r="B5" s="106"/>
      <c r="C5" s="121">
        <v>33</v>
      </c>
      <c r="D5" s="122">
        <v>36</v>
      </c>
      <c r="E5" s="186">
        <v>39</v>
      </c>
      <c r="F5" s="186">
        <v>41</v>
      </c>
      <c r="G5" s="186">
        <v>44</v>
      </c>
      <c r="H5" s="186">
        <v>55</v>
      </c>
      <c r="I5" s="239">
        <v>57</v>
      </c>
      <c r="J5" s="192">
        <f>I5/H5-1</f>
        <v>3.6363636363636376E-2</v>
      </c>
    </row>
    <row r="6" spans="1:14" x14ac:dyDescent="0.3">
      <c r="A6" s="104" t="s">
        <v>262</v>
      </c>
      <c r="C6" s="109">
        <v>41</v>
      </c>
      <c r="D6" s="122">
        <v>42</v>
      </c>
      <c r="E6" s="186">
        <v>43</v>
      </c>
      <c r="F6" s="186">
        <v>0</v>
      </c>
      <c r="G6" s="186">
        <v>0</v>
      </c>
      <c r="H6" s="186"/>
      <c r="I6" s="239"/>
      <c r="J6" s="192"/>
    </row>
    <row r="7" spans="1:14" x14ac:dyDescent="0.3">
      <c r="A7" s="104" t="s">
        <v>266</v>
      </c>
      <c r="B7" s="106"/>
      <c r="C7" s="107">
        <v>12000000</v>
      </c>
      <c r="D7" s="122">
        <v>12000000</v>
      </c>
      <c r="E7" s="186">
        <v>12170460</v>
      </c>
      <c r="F7" s="186">
        <v>13000000</v>
      </c>
      <c r="G7" s="186">
        <v>13000000</v>
      </c>
      <c r="H7" s="186">
        <v>17000000</v>
      </c>
      <c r="I7" s="239">
        <v>19000000</v>
      </c>
      <c r="J7" s="192">
        <f>I7/H7-1</f>
        <v>0.11764705882352944</v>
      </c>
    </row>
    <row r="8" spans="1:14" x14ac:dyDescent="0.3">
      <c r="A8" s="104" t="s">
        <v>769</v>
      </c>
      <c r="B8" s="106"/>
      <c r="C8" s="107"/>
      <c r="D8" s="122"/>
      <c r="E8" s="186"/>
      <c r="F8" s="186"/>
      <c r="G8" s="186"/>
      <c r="H8" s="186">
        <v>1150000</v>
      </c>
      <c r="I8" s="239">
        <v>1500000</v>
      </c>
      <c r="J8" s="192">
        <f>I8/H8-1</f>
        <v>0.30434782608695654</v>
      </c>
    </row>
    <row r="9" spans="1:14" ht="18" x14ac:dyDescent="0.3">
      <c r="A9" s="104" t="s">
        <v>737</v>
      </c>
      <c r="B9" s="106"/>
      <c r="C9" s="107">
        <v>8459065</v>
      </c>
      <c r="D9" s="122">
        <v>9236432.5800000001</v>
      </c>
      <c r="E9" s="186">
        <v>10016084.98</v>
      </c>
      <c r="F9" s="186">
        <v>10992085.23</v>
      </c>
      <c r="G9" s="186">
        <v>12079741.700000001</v>
      </c>
      <c r="H9" s="186">
        <v>15545795.120000005</v>
      </c>
      <c r="I9" s="239">
        <v>17904729.560000002</v>
      </c>
      <c r="J9" s="192">
        <f>I9/H9-1</f>
        <v>0.1517409963138634</v>
      </c>
      <c r="M9" s="218"/>
      <c r="N9" s="219"/>
    </row>
    <row r="10" spans="1:14" x14ac:dyDescent="0.3">
      <c r="A10" s="104" t="s">
        <v>265</v>
      </c>
      <c r="B10" s="106"/>
      <c r="C10" s="107"/>
      <c r="D10" s="108"/>
      <c r="E10" s="187"/>
      <c r="F10" s="187"/>
      <c r="G10" s="187"/>
      <c r="H10" s="187"/>
      <c r="I10" s="240"/>
      <c r="J10" s="192"/>
    </row>
    <row r="11" spans="1:14" x14ac:dyDescent="0.3">
      <c r="A11" s="104" t="s">
        <v>264</v>
      </c>
      <c r="B11" s="106"/>
      <c r="C11" s="110">
        <v>4.7399999999999998E-2</v>
      </c>
      <c r="D11" s="111">
        <v>4.0087130679941629E-2</v>
      </c>
      <c r="E11" s="188">
        <v>4.0087130679941629E-2</v>
      </c>
      <c r="F11" s="188">
        <v>3.9484946631504619E-2</v>
      </c>
      <c r="G11" s="188">
        <v>3.95E-2</v>
      </c>
      <c r="H11" s="188">
        <v>3.8699999999999998E-2</v>
      </c>
      <c r="I11" s="241">
        <v>3.8699999999999998E-2</v>
      </c>
      <c r="J11" s="192">
        <f>I11/H11-1</f>
        <v>0</v>
      </c>
    </row>
    <row r="12" spans="1:14" x14ac:dyDescent="0.3">
      <c r="A12" s="104" t="s">
        <v>255</v>
      </c>
      <c r="B12" s="106"/>
      <c r="C12" s="108">
        <v>167840.31899999999</v>
      </c>
      <c r="D12" s="108">
        <v>110783.48830836914</v>
      </c>
      <c r="E12" s="187">
        <v>86362.712960341843</v>
      </c>
      <c r="F12" s="187">
        <v>79282.40753405985</v>
      </c>
      <c r="G12" s="187">
        <v>36350.202849999958</v>
      </c>
      <c r="H12" s="187">
        <v>56277.728855999812</v>
      </c>
      <c r="I12" s="240">
        <f>(I7-I9)*I11</f>
        <v>42386.966027999908</v>
      </c>
      <c r="J12" s="192">
        <f t="shared" ref="J12:J19" si="0">I12/H12-1</f>
        <v>-0.24682522039122767</v>
      </c>
      <c r="K12" s="72"/>
    </row>
    <row r="13" spans="1:14" x14ac:dyDescent="0.3">
      <c r="A13" s="104" t="s">
        <v>254</v>
      </c>
      <c r="B13" s="106"/>
      <c r="C13" s="107">
        <v>163700</v>
      </c>
      <c r="D13" s="108">
        <v>112710</v>
      </c>
      <c r="E13" s="187">
        <v>81010</v>
      </c>
      <c r="F13" s="187">
        <v>72650</v>
      </c>
      <c r="G13" s="187">
        <v>30988</v>
      </c>
      <c r="H13" s="187">
        <v>42550.000000000007</v>
      </c>
      <c r="I13" s="240">
        <v>30988</v>
      </c>
      <c r="J13" s="192">
        <f t="shared" si="0"/>
        <v>-0.2717273795534666</v>
      </c>
    </row>
    <row r="14" spans="1:14" ht="18" x14ac:dyDescent="0.3">
      <c r="A14" s="104" t="s">
        <v>32</v>
      </c>
      <c r="C14" s="112">
        <v>118198</v>
      </c>
      <c r="D14" s="113">
        <v>118198.48</v>
      </c>
      <c r="E14" s="189">
        <v>117000</v>
      </c>
      <c r="F14" s="189">
        <v>117000</v>
      </c>
      <c r="G14" s="189">
        <v>117000</v>
      </c>
      <c r="H14" s="189">
        <v>117000</v>
      </c>
      <c r="I14" s="189">
        <v>117000</v>
      </c>
      <c r="J14" s="192">
        <f t="shared" si="0"/>
        <v>0</v>
      </c>
      <c r="M14" s="218"/>
    </row>
    <row r="15" spans="1:14" x14ac:dyDescent="0.3">
      <c r="A15" s="104" t="s">
        <v>256</v>
      </c>
      <c r="C15" s="107">
        <v>8250000</v>
      </c>
      <c r="D15" s="108">
        <v>9000000</v>
      </c>
      <c r="E15" s="187">
        <v>9750000</v>
      </c>
      <c r="F15" s="187">
        <v>10675000</v>
      </c>
      <c r="G15" s="187">
        <v>11675000</v>
      </c>
      <c r="H15" s="187">
        <v>14925000</v>
      </c>
      <c r="I15" s="240">
        <v>17175000</v>
      </c>
      <c r="J15" s="192">
        <f t="shared" si="0"/>
        <v>0.15075376884422109</v>
      </c>
    </row>
    <row r="16" spans="1:14" x14ac:dyDescent="0.3">
      <c r="A16" s="104" t="s">
        <v>257</v>
      </c>
      <c r="C16" s="107">
        <v>11700000</v>
      </c>
      <c r="D16" s="108">
        <v>11700000</v>
      </c>
      <c r="E16" s="187">
        <v>11700000</v>
      </c>
      <c r="F16" s="187">
        <v>12425000</v>
      </c>
      <c r="G16" s="187">
        <v>12425000</v>
      </c>
      <c r="H16" s="187">
        <v>15575000</v>
      </c>
      <c r="I16" s="240">
        <v>18325000</v>
      </c>
      <c r="J16" s="192">
        <f t="shared" si="0"/>
        <v>0.1765650080256822</v>
      </c>
    </row>
    <row r="17" spans="1:10" x14ac:dyDescent="0.3">
      <c r="A17" s="104" t="s">
        <v>258</v>
      </c>
      <c r="C17" s="112">
        <v>911703</v>
      </c>
      <c r="D17" s="108">
        <v>994208.167552948</v>
      </c>
      <c r="E17" s="187">
        <v>1060655.5913068771</v>
      </c>
      <c r="F17" s="187">
        <v>1158832.8125502586</v>
      </c>
      <c r="G17" s="187">
        <v>1303174.2059416198</v>
      </c>
      <c r="H17" s="187">
        <v>1745621.2453847504</v>
      </c>
      <c r="I17" s="240">
        <v>2016217.8673355484</v>
      </c>
      <c r="J17" s="192">
        <f t="shared" si="0"/>
        <v>0.15501450997244026</v>
      </c>
    </row>
    <row r="18" spans="1:10" x14ac:dyDescent="0.3">
      <c r="A18" s="104" t="s">
        <v>259</v>
      </c>
      <c r="C18" s="112">
        <v>1075473</v>
      </c>
      <c r="D18" s="108">
        <v>1106918.167552948</v>
      </c>
      <c r="E18" s="187">
        <v>1141665.5913068771</v>
      </c>
      <c r="F18" s="187">
        <v>1231482.8125502586</v>
      </c>
      <c r="G18" s="187">
        <v>1334161.7059416198</v>
      </c>
      <c r="H18" s="187">
        <v>1769671.2453847504</v>
      </c>
      <c r="I18" s="240">
        <v>2047205.3673355484</v>
      </c>
      <c r="J18" s="192">
        <f t="shared" si="0"/>
        <v>0.15682806774116864</v>
      </c>
    </row>
    <row r="19" spans="1:10" ht="15" thickBot="1" x14ac:dyDescent="0.35">
      <c r="A19" s="105" t="s">
        <v>260</v>
      </c>
      <c r="B19" s="12"/>
      <c r="C19" s="114">
        <v>134285</v>
      </c>
      <c r="D19" s="115">
        <v>150910</v>
      </c>
      <c r="E19" s="190">
        <v>166635</v>
      </c>
      <c r="F19" s="190">
        <v>181750</v>
      </c>
      <c r="G19" s="190">
        <v>198875</v>
      </c>
      <c r="H19" s="190">
        <v>308400</v>
      </c>
      <c r="I19" s="190">
        <v>371800</v>
      </c>
      <c r="J19" s="222">
        <f t="shared" si="0"/>
        <v>0.20557717250324248</v>
      </c>
    </row>
    <row r="20" spans="1:10" x14ac:dyDescent="0.3">
      <c r="A20" s="125"/>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C524B4-0C39-4106-BBBF-7C204C76BAEB}">
  <sheetPr codeName="Sheet3"/>
  <dimension ref="A2:AO102"/>
  <sheetViews>
    <sheetView workbookViewId="0">
      <selection activeCell="L8" sqref="L8:M8"/>
    </sheetView>
  </sheetViews>
  <sheetFormatPr defaultColWidth="8.88671875" defaultRowHeight="14.4" x14ac:dyDescent="0.3"/>
  <cols>
    <col min="1" max="1" width="11.5546875" style="214" bestFit="1" customWidth="1"/>
    <col min="2" max="2" width="9.109375" customWidth="1"/>
    <col min="3" max="3" width="8" style="127" customWidth="1"/>
    <col min="4" max="4" width="15.21875" style="127" customWidth="1"/>
    <col min="5" max="5" width="9" style="127" bestFit="1" customWidth="1"/>
    <col min="6" max="6" width="9.44140625" style="128" bestFit="1" customWidth="1"/>
    <col min="7" max="7" width="24.77734375" style="127" customWidth="1"/>
    <col min="8" max="8" width="9" style="127" customWidth="1"/>
    <col min="9" max="9" width="11.6640625" style="127" customWidth="1"/>
    <col min="10" max="11" width="6.109375" style="127" customWidth="1"/>
    <col min="12" max="12" width="10.88671875" style="127" bestFit="1" customWidth="1"/>
    <col min="13" max="13" width="8.33203125" style="127" bestFit="1" customWidth="1"/>
    <col min="14" max="14" width="10.109375" style="129" customWidth="1"/>
    <col min="15" max="15" width="23" style="127" customWidth="1"/>
    <col min="16" max="16" width="6.109375" style="130" customWidth="1"/>
    <col min="17" max="17" width="10.6640625" style="130" customWidth="1"/>
    <col min="18" max="18" width="10.33203125" style="130" customWidth="1"/>
    <col min="19" max="19" width="6.6640625" style="130" customWidth="1"/>
    <col min="20" max="20" width="6.5546875" style="131" customWidth="1"/>
    <col min="21" max="21" width="8.88671875" style="129"/>
    <col min="22" max="22" width="5.33203125" style="129" customWidth="1"/>
    <col min="23" max="23" width="8.33203125" style="129" customWidth="1"/>
    <col min="24" max="24" width="9" style="129" customWidth="1"/>
    <col min="25" max="25" width="6.88671875" style="129" bestFit="1" customWidth="1"/>
    <col min="26" max="26" width="9" style="129" bestFit="1" customWidth="1"/>
    <col min="27" max="27" width="9.44140625" style="129" bestFit="1" customWidth="1"/>
    <col min="28" max="28" width="9.109375" style="129" customWidth="1"/>
    <col min="29" max="29" width="8" style="129" customWidth="1"/>
    <col min="30" max="30" width="9.33203125" style="129" customWidth="1"/>
    <col min="31" max="31" width="7.109375" style="129" customWidth="1"/>
    <col min="32" max="32" width="9.109375" style="130" customWidth="1"/>
    <col min="33" max="33" width="9.44140625" style="130" customWidth="1"/>
    <col min="34" max="34" width="7.5546875" style="130" customWidth="1"/>
    <col min="35" max="35" width="8.33203125" style="129" customWidth="1"/>
    <col min="36" max="36" width="7" style="129" customWidth="1"/>
    <col min="37" max="39" width="8.88671875" style="127"/>
    <col min="40" max="40" width="10.21875" style="127" bestFit="1" customWidth="1"/>
    <col min="41" max="16384" width="8.88671875" style="127"/>
  </cols>
  <sheetData>
    <row r="2" spans="1:41" ht="21" x14ac:dyDescent="0.4">
      <c r="D2" s="132" t="s">
        <v>705</v>
      </c>
      <c r="AF2" s="129"/>
      <c r="AG2" s="129"/>
      <c r="AH2" s="129"/>
      <c r="AN2" s="130"/>
      <c r="AO2" s="212"/>
    </row>
    <row r="3" spans="1:41" ht="17.399999999999999" customHeight="1" x14ac:dyDescent="0.3">
      <c r="H3" s="133" t="s">
        <v>266</v>
      </c>
      <c r="I3" s="200">
        <v>17000000</v>
      </c>
      <c r="L3" s="233"/>
      <c r="N3" s="184"/>
      <c r="U3" s="134"/>
      <c r="V3" s="134"/>
      <c r="W3" s="134"/>
      <c r="X3" s="134"/>
      <c r="Y3" s="134"/>
      <c r="Z3" s="134"/>
      <c r="AA3" s="134"/>
      <c r="AB3" s="134"/>
      <c r="AC3" s="134"/>
      <c r="AD3" s="134"/>
      <c r="AE3" s="134"/>
      <c r="AF3" s="134"/>
      <c r="AG3" s="134"/>
      <c r="AH3" s="134"/>
      <c r="AI3" s="134"/>
      <c r="AJ3" s="134"/>
      <c r="AM3" s="130"/>
      <c r="AN3" s="129"/>
    </row>
    <row r="4" spans="1:41" x14ac:dyDescent="0.3">
      <c r="M4" s="234"/>
      <c r="P4" s="135" t="s">
        <v>267</v>
      </c>
      <c r="U4" s="129">
        <f>SUM(U8:U62)</f>
        <v>14925000</v>
      </c>
      <c r="Z4" s="129">
        <f>SUM(Z8:Z62)</f>
        <v>15442512.5</v>
      </c>
      <c r="AA4" s="129">
        <f t="shared" ref="AA4:AB4" si="0">SUM(AA8:AA62)</f>
        <v>15545795.120000005</v>
      </c>
      <c r="AB4" s="129">
        <f t="shared" si="0"/>
        <v>15569959.16</v>
      </c>
      <c r="AI4" s="129">
        <f>SUM(AI8:AI62)</f>
        <v>1745621.2453847504</v>
      </c>
      <c r="AJ4" s="129">
        <f>SUM(AJ8:AJ62)</f>
        <v>308400</v>
      </c>
      <c r="AN4" s="212"/>
    </row>
    <row r="5" spans="1:41" ht="12" customHeight="1" x14ac:dyDescent="0.3">
      <c r="C5" s="136"/>
      <c r="D5" s="136"/>
      <c r="E5" s="136"/>
      <c r="F5" s="137"/>
      <c r="G5" s="137"/>
      <c r="H5" s="137"/>
      <c r="I5" s="137"/>
      <c r="J5" s="137"/>
      <c r="K5" s="137"/>
      <c r="L5" s="137"/>
      <c r="M5" s="137"/>
      <c r="N5" s="138"/>
      <c r="O5" s="137"/>
      <c r="P5" s="135" t="s">
        <v>268</v>
      </c>
      <c r="Q5" s="137"/>
      <c r="R5" s="137"/>
      <c r="S5" s="137"/>
      <c r="T5" s="137"/>
      <c r="U5" s="139">
        <f>SUM(U8:U101)</f>
        <v>15575000</v>
      </c>
      <c r="V5" s="139"/>
      <c r="W5" s="139"/>
      <c r="Y5" s="140"/>
      <c r="Z5" s="139">
        <f>SUM(Z8:Z101)</f>
        <v>16044183.996999998</v>
      </c>
      <c r="AA5" s="139">
        <f t="shared" ref="AA5:AB5" si="1">SUM(AA8:AA101)</f>
        <v>16147466.617000002</v>
      </c>
      <c r="AB5" s="139">
        <f t="shared" si="1"/>
        <v>15569959.16</v>
      </c>
      <c r="AC5" s="139"/>
      <c r="AD5" s="140"/>
      <c r="AE5" s="140"/>
      <c r="AF5" s="141"/>
      <c r="AG5" s="141"/>
      <c r="AH5" s="141"/>
      <c r="AI5" s="139">
        <f>SUM(AI8:AI101)</f>
        <v>1769671.2453847504</v>
      </c>
      <c r="AJ5" s="139">
        <f t="shared" ref="AJ5" si="2">SUM(AJ8:AJ101)</f>
        <v>308400</v>
      </c>
      <c r="AN5" s="130"/>
    </row>
    <row r="6" spans="1:41" ht="12" customHeight="1" x14ac:dyDescent="0.3">
      <c r="C6" s="136"/>
      <c r="D6" s="136"/>
      <c r="E6" s="136"/>
      <c r="F6" s="137"/>
      <c r="G6" s="137"/>
      <c r="H6" s="137"/>
      <c r="I6" s="137"/>
      <c r="J6" s="137"/>
      <c r="K6" s="137"/>
      <c r="L6" s="137"/>
      <c r="M6" s="137"/>
      <c r="N6" s="138"/>
      <c r="O6" s="137"/>
      <c r="P6" s="137"/>
      <c r="Q6" s="137"/>
      <c r="R6" s="137"/>
      <c r="S6" s="137"/>
      <c r="T6" s="137"/>
      <c r="U6" s="139"/>
      <c r="V6" s="139"/>
      <c r="W6" s="139"/>
      <c r="Y6" s="140"/>
      <c r="Z6" s="139"/>
      <c r="AA6" s="139"/>
      <c r="AB6" s="139"/>
      <c r="AC6" s="139"/>
      <c r="AD6" s="140"/>
      <c r="AE6" s="140"/>
      <c r="AF6" s="141"/>
      <c r="AG6" s="141"/>
      <c r="AH6" s="141"/>
      <c r="AI6" s="139"/>
      <c r="AJ6" s="139"/>
      <c r="AN6" s="130"/>
    </row>
    <row r="7" spans="1:41" ht="37.799999999999997" x14ac:dyDescent="0.3">
      <c r="B7" s="142" t="s">
        <v>192</v>
      </c>
      <c r="C7" s="142" t="s">
        <v>269</v>
      </c>
      <c r="D7" s="142" t="s">
        <v>270</v>
      </c>
      <c r="E7" s="142" t="s">
        <v>271</v>
      </c>
      <c r="F7" s="142" t="s">
        <v>272</v>
      </c>
      <c r="G7" s="142" t="s">
        <v>273</v>
      </c>
      <c r="H7" s="142" t="s">
        <v>62</v>
      </c>
      <c r="I7" s="142" t="s">
        <v>274</v>
      </c>
      <c r="J7" s="143" t="s">
        <v>275</v>
      </c>
      <c r="K7" s="143" t="s">
        <v>276</v>
      </c>
      <c r="L7" s="143" t="s">
        <v>277</v>
      </c>
      <c r="M7" s="143" t="s">
        <v>278</v>
      </c>
      <c r="N7" s="144" t="s">
        <v>279</v>
      </c>
      <c r="O7" s="142" t="s">
        <v>280</v>
      </c>
      <c r="P7" s="145" t="s">
        <v>281</v>
      </c>
      <c r="Q7" s="145" t="s">
        <v>282</v>
      </c>
      <c r="R7" s="145" t="s">
        <v>283</v>
      </c>
      <c r="S7" s="145" t="s">
        <v>284</v>
      </c>
      <c r="T7" s="145" t="s">
        <v>285</v>
      </c>
      <c r="U7" s="145" t="s">
        <v>286</v>
      </c>
      <c r="V7" s="145" t="s">
        <v>287</v>
      </c>
      <c r="W7" s="145" t="s">
        <v>288</v>
      </c>
      <c r="X7" s="145" t="s">
        <v>289</v>
      </c>
      <c r="Y7" s="145" t="s">
        <v>290</v>
      </c>
      <c r="Z7" s="146" t="s">
        <v>291</v>
      </c>
      <c r="AA7" s="147" t="s">
        <v>292</v>
      </c>
      <c r="AB7" s="148" t="s">
        <v>706</v>
      </c>
      <c r="AC7" s="147" t="s">
        <v>293</v>
      </c>
      <c r="AD7" s="145" t="s">
        <v>294</v>
      </c>
      <c r="AE7" s="145" t="s">
        <v>295</v>
      </c>
      <c r="AF7" s="149" t="s">
        <v>296</v>
      </c>
      <c r="AG7" s="149" t="s">
        <v>297</v>
      </c>
      <c r="AH7" s="149" t="s">
        <v>298</v>
      </c>
      <c r="AI7" s="147" t="s">
        <v>299</v>
      </c>
      <c r="AJ7" s="147" t="s">
        <v>300</v>
      </c>
    </row>
    <row r="8" spans="1:41" ht="13.8" x14ac:dyDescent="0.3">
      <c r="A8" s="215" t="s">
        <v>230</v>
      </c>
      <c r="B8" s="77" t="s">
        <v>8</v>
      </c>
      <c r="C8" s="77" t="s">
        <v>234</v>
      </c>
      <c r="D8" s="77">
        <v>45749</v>
      </c>
      <c r="E8" s="77">
        <v>45750</v>
      </c>
      <c r="F8" s="77" t="s">
        <v>301</v>
      </c>
      <c r="G8" s="77" t="s">
        <v>302</v>
      </c>
      <c r="H8" s="77" t="s">
        <v>230</v>
      </c>
      <c r="I8" s="77" t="s">
        <v>303</v>
      </c>
      <c r="J8" s="77" t="s">
        <v>304</v>
      </c>
      <c r="K8" s="77" t="s">
        <v>305</v>
      </c>
      <c r="L8" s="77" t="s">
        <v>306</v>
      </c>
      <c r="M8" s="233" t="s">
        <v>307</v>
      </c>
      <c r="N8" s="129">
        <v>150000000</v>
      </c>
      <c r="O8" s="77" t="s">
        <v>308</v>
      </c>
      <c r="P8" s="130">
        <v>7.9000000000000008E-3</v>
      </c>
      <c r="Q8" s="130">
        <v>2.3432318670297495E-2</v>
      </c>
      <c r="R8" s="130">
        <v>6.1507199764251702E-2</v>
      </c>
      <c r="S8" s="150">
        <v>101.32</v>
      </c>
      <c r="T8" s="131">
        <v>101</v>
      </c>
      <c r="U8" s="129">
        <v>250000</v>
      </c>
      <c r="V8" s="129" t="s">
        <v>28</v>
      </c>
      <c r="W8" s="131">
        <v>1</v>
      </c>
      <c r="X8" s="129">
        <v>0</v>
      </c>
      <c r="Y8" s="129">
        <v>2</v>
      </c>
      <c r="Z8" s="129">
        <f t="shared" ref="Z8:Z62" si="3">T8*U8*W8/100</f>
        <v>252500</v>
      </c>
      <c r="AA8" s="129">
        <f>Z8+X8</f>
        <v>252500</v>
      </c>
      <c r="AB8" s="129">
        <v>254200</v>
      </c>
      <c r="AC8" s="131">
        <v>3.4109589041095889</v>
      </c>
      <c r="AD8" s="151">
        <v>5.6114689999999995E-2</v>
      </c>
      <c r="AE8" s="151">
        <v>1.810749054324216E-2</v>
      </c>
      <c r="AF8" s="130">
        <f>AE8-P8</f>
        <v>1.0207490543242159E-2</v>
      </c>
      <c r="AG8" s="130">
        <f>P8/AE8</f>
        <v>0.43628353587340873</v>
      </c>
      <c r="AH8" s="131">
        <f>1/AG8</f>
        <v>2.2920874105369822</v>
      </c>
      <c r="AI8" s="129">
        <f>U8*R8</f>
        <v>15376.799941062925</v>
      </c>
      <c r="AJ8" s="129">
        <f>U8*P8</f>
        <v>1975.0000000000002</v>
      </c>
      <c r="AK8" s="127">
        <f>COUNTIF($H$8:$H$98,H8)</f>
        <v>1</v>
      </c>
    </row>
    <row r="9" spans="1:41" ht="13.8" x14ac:dyDescent="0.3">
      <c r="A9" s="215" t="s">
        <v>231</v>
      </c>
      <c r="B9" s="77" t="s">
        <v>8</v>
      </c>
      <c r="C9" s="77" t="s">
        <v>234</v>
      </c>
      <c r="D9" s="77">
        <v>45751</v>
      </c>
      <c r="E9" s="77">
        <v>45754</v>
      </c>
      <c r="F9" s="77" t="s">
        <v>309</v>
      </c>
      <c r="G9" s="77" t="s">
        <v>310</v>
      </c>
      <c r="H9" s="77" t="s">
        <v>231</v>
      </c>
      <c r="I9" s="77" t="s">
        <v>311</v>
      </c>
      <c r="J9" s="77" t="s">
        <v>312</v>
      </c>
      <c r="K9" s="77" t="s">
        <v>313</v>
      </c>
      <c r="L9" s="77" t="s">
        <v>314</v>
      </c>
      <c r="M9" s="233" t="s">
        <v>315</v>
      </c>
      <c r="N9" s="129">
        <v>30000000</v>
      </c>
      <c r="O9" s="77" t="s">
        <v>316</v>
      </c>
      <c r="P9" s="130">
        <v>2.6200000000000001E-2</v>
      </c>
      <c r="Q9" s="130">
        <v>6.6096556451882379E-2</v>
      </c>
      <c r="R9" s="130">
        <v>0.1041071997642517</v>
      </c>
      <c r="S9" s="150">
        <v>99.76</v>
      </c>
      <c r="T9" s="131">
        <v>100.2</v>
      </c>
      <c r="U9" s="129">
        <v>250000</v>
      </c>
      <c r="V9" s="129" t="s">
        <v>28</v>
      </c>
      <c r="W9" s="131">
        <v>1</v>
      </c>
      <c r="X9" s="129">
        <v>798.60999999998603</v>
      </c>
      <c r="Y9" s="129">
        <v>20</v>
      </c>
      <c r="Z9" s="129">
        <f t="shared" si="3"/>
        <v>250500</v>
      </c>
      <c r="AA9" s="129">
        <f t="shared" ref="AA9:AA22" si="4">Z9+X9</f>
        <v>251298.61</v>
      </c>
      <c r="AB9" s="129">
        <v>254500</v>
      </c>
      <c r="AC9" s="131">
        <v>2.419178082191781</v>
      </c>
      <c r="AD9" s="151">
        <v>0.10300053000000001</v>
      </c>
      <c r="AE9" s="151">
        <v>6.499333365984758E-2</v>
      </c>
      <c r="AF9" s="130">
        <f t="shared" ref="AF9:AF22" si="5">AE9-P9</f>
        <v>3.8793333659847579E-2</v>
      </c>
      <c r="AG9" s="130">
        <f t="shared" ref="AG9:AG22" si="6">P9/AE9</f>
        <v>0.40311826651517302</v>
      </c>
      <c r="AH9" s="131">
        <f t="shared" ref="AH9:AH62" si="7">1/AG9</f>
        <v>2.4806615900705182</v>
      </c>
      <c r="AI9" s="129">
        <f t="shared" ref="AI9:AI22" si="8">U9*R9</f>
        <v>26026.799941062924</v>
      </c>
      <c r="AJ9" s="129">
        <f t="shared" ref="AJ9:AJ72" si="9">U9*P9</f>
        <v>6550</v>
      </c>
      <c r="AK9" s="127">
        <f t="shared" ref="AK9:AK62" si="10">COUNTIF($H$8:$H$98,H9)</f>
        <v>1</v>
      </c>
    </row>
    <row r="10" spans="1:41" ht="13.8" x14ac:dyDescent="0.3">
      <c r="A10" s="215" t="s">
        <v>317</v>
      </c>
      <c r="B10" s="77" t="s">
        <v>8</v>
      </c>
      <c r="C10" s="77" t="s">
        <v>234</v>
      </c>
      <c r="D10" s="77">
        <v>45751</v>
      </c>
      <c r="E10" s="77">
        <v>45754</v>
      </c>
      <c r="F10" s="77" t="s">
        <v>301</v>
      </c>
      <c r="G10" s="77" t="s">
        <v>318</v>
      </c>
      <c r="H10" s="77" t="s">
        <v>317</v>
      </c>
      <c r="I10" s="77" t="s">
        <v>319</v>
      </c>
      <c r="J10" s="77" t="s">
        <v>312</v>
      </c>
      <c r="K10" s="77" t="s">
        <v>305</v>
      </c>
      <c r="L10" s="77" t="s">
        <v>320</v>
      </c>
      <c r="M10" s="233" t="s">
        <v>321</v>
      </c>
      <c r="N10" s="129">
        <v>200000000</v>
      </c>
      <c r="O10" s="77" t="s">
        <v>322</v>
      </c>
      <c r="P10" s="130">
        <v>1.0800000000000001E-2</v>
      </c>
      <c r="Q10" s="130">
        <v>5.2491396036291271E-2</v>
      </c>
      <c r="R10" s="130">
        <v>9.0999999999999998E-2</v>
      </c>
      <c r="S10" s="150">
        <v>102.71</v>
      </c>
      <c r="T10" s="131">
        <v>102.85</v>
      </c>
      <c r="U10" s="129">
        <v>250000</v>
      </c>
      <c r="V10" s="129" t="s">
        <v>28</v>
      </c>
      <c r="W10" s="131">
        <v>1</v>
      </c>
      <c r="X10" s="129">
        <v>1020.8299999999872</v>
      </c>
      <c r="Y10" s="129">
        <v>28</v>
      </c>
      <c r="Z10" s="129">
        <f t="shared" si="3"/>
        <v>257125</v>
      </c>
      <c r="AA10" s="129">
        <f t="shared" si="4"/>
        <v>258145.83</v>
      </c>
      <c r="AB10" s="129">
        <v>259025</v>
      </c>
      <c r="AC10" s="131">
        <v>1.1726027397260275</v>
      </c>
      <c r="AD10" s="151">
        <v>7.670283E-2</v>
      </c>
      <c r="AE10" s="151">
        <v>3.530283154132044E-2</v>
      </c>
      <c r="AF10" s="130">
        <f t="shared" si="5"/>
        <v>2.4502831541320439E-2</v>
      </c>
      <c r="AG10" s="130">
        <f t="shared" si="6"/>
        <v>0.30592446918483202</v>
      </c>
      <c r="AH10" s="131">
        <f t="shared" si="7"/>
        <v>3.2687806982704108</v>
      </c>
      <c r="AI10" s="129">
        <f t="shared" si="8"/>
        <v>22750</v>
      </c>
      <c r="AJ10" s="129">
        <f t="shared" si="9"/>
        <v>2700</v>
      </c>
      <c r="AK10" s="127">
        <f t="shared" si="10"/>
        <v>1</v>
      </c>
    </row>
    <row r="11" spans="1:41" ht="13.8" x14ac:dyDescent="0.3">
      <c r="A11" s="215" t="s">
        <v>323</v>
      </c>
      <c r="B11" s="77" t="s">
        <v>8</v>
      </c>
      <c r="C11" s="77" t="s">
        <v>234</v>
      </c>
      <c r="D11" s="77">
        <v>45751</v>
      </c>
      <c r="E11" s="77">
        <v>45754</v>
      </c>
      <c r="F11" s="77" t="s">
        <v>301</v>
      </c>
      <c r="G11" s="77" t="s">
        <v>324</v>
      </c>
      <c r="H11" s="77" t="s">
        <v>323</v>
      </c>
      <c r="I11" s="77" t="s">
        <v>325</v>
      </c>
      <c r="J11" s="77" t="s">
        <v>312</v>
      </c>
      <c r="K11" s="77" t="s">
        <v>305</v>
      </c>
      <c r="L11" s="77" t="s">
        <v>326</v>
      </c>
      <c r="M11" s="233" t="s">
        <v>327</v>
      </c>
      <c r="N11" s="129">
        <v>120000000</v>
      </c>
      <c r="O11" s="77" t="s">
        <v>328</v>
      </c>
      <c r="P11" s="130">
        <v>1.5100000000000001E-2</v>
      </c>
      <c r="Q11" s="130">
        <v>2.8033323381286356E-2</v>
      </c>
      <c r="R11" s="130">
        <v>6.699999999999999E-2</v>
      </c>
      <c r="S11" s="150">
        <v>99.85</v>
      </c>
      <c r="T11" s="131">
        <v>101</v>
      </c>
      <c r="U11" s="129">
        <v>250000</v>
      </c>
      <c r="V11" s="129" t="s">
        <v>28</v>
      </c>
      <c r="W11" s="131">
        <v>1</v>
      </c>
      <c r="X11" s="129">
        <v>114.57999999998719</v>
      </c>
      <c r="Y11" s="129">
        <v>6</v>
      </c>
      <c r="Z11" s="129">
        <f t="shared" si="3"/>
        <v>252500</v>
      </c>
      <c r="AA11" s="129">
        <f t="shared" si="4"/>
        <v>252614.58</v>
      </c>
      <c r="AB11" s="129">
        <v>252300</v>
      </c>
      <c r="AC11" s="131">
        <v>0.41643835616438357</v>
      </c>
      <c r="AD11" s="151">
        <v>5.9638299999999998E-2</v>
      </c>
      <c r="AE11" s="151">
        <v>1.7938303574234871E-2</v>
      </c>
      <c r="AF11" s="130">
        <f t="shared" si="5"/>
        <v>2.8383035742348701E-3</v>
      </c>
      <c r="AG11" s="130">
        <f t="shared" si="6"/>
        <v>0.8417741364176945</v>
      </c>
      <c r="AH11" s="131">
        <f t="shared" si="7"/>
        <v>1.1879671241215146</v>
      </c>
      <c r="AI11" s="129">
        <f t="shared" si="8"/>
        <v>16749.999999999996</v>
      </c>
      <c r="AJ11" s="129">
        <f t="shared" si="9"/>
        <v>3775</v>
      </c>
      <c r="AK11" s="127">
        <f t="shared" si="10"/>
        <v>1</v>
      </c>
    </row>
    <row r="12" spans="1:41" ht="13.8" x14ac:dyDescent="0.3">
      <c r="A12" s="215" t="s">
        <v>329</v>
      </c>
      <c r="B12" s="77" t="s">
        <v>8</v>
      </c>
      <c r="C12" s="77" t="s">
        <v>234</v>
      </c>
      <c r="D12" s="77">
        <v>45751</v>
      </c>
      <c r="E12" s="77">
        <v>45754</v>
      </c>
      <c r="F12" s="77" t="s">
        <v>309</v>
      </c>
      <c r="G12" s="77" t="s">
        <v>330</v>
      </c>
      <c r="H12" s="77" t="s">
        <v>329</v>
      </c>
      <c r="I12" s="77" t="s">
        <v>331</v>
      </c>
      <c r="J12" s="77" t="s">
        <v>304</v>
      </c>
      <c r="K12" s="77" t="s">
        <v>305</v>
      </c>
      <c r="L12" s="77" t="s">
        <v>332</v>
      </c>
      <c r="M12" s="233" t="s">
        <v>333</v>
      </c>
      <c r="N12" s="129">
        <v>300000000</v>
      </c>
      <c r="O12" s="77" t="s">
        <v>334</v>
      </c>
      <c r="P12" s="130">
        <v>1.0500000000000001E-2</v>
      </c>
      <c r="Q12" s="130">
        <v>5.4958647734771354E-2</v>
      </c>
      <c r="R12" s="130">
        <v>9.3599999999999989E-2</v>
      </c>
      <c r="S12" s="150">
        <v>102.96</v>
      </c>
      <c r="T12" s="131">
        <v>103.95</v>
      </c>
      <c r="U12" s="129">
        <v>250000</v>
      </c>
      <c r="V12" s="129" t="s">
        <v>28</v>
      </c>
      <c r="W12" s="131">
        <v>1</v>
      </c>
      <c r="X12" s="129">
        <v>1393.8399999999965</v>
      </c>
      <c r="Y12" s="129">
        <v>37</v>
      </c>
      <c r="Z12" s="129">
        <f t="shared" si="3"/>
        <v>259875</v>
      </c>
      <c r="AA12" s="129">
        <f t="shared" si="4"/>
        <v>261268.84</v>
      </c>
      <c r="AB12" s="129">
        <v>257000</v>
      </c>
      <c r="AC12" s="131">
        <v>1.0849315068493151</v>
      </c>
      <c r="AD12" s="151">
        <v>7.1220699999999998E-2</v>
      </c>
      <c r="AE12" s="151">
        <v>2.9620703976703605E-2</v>
      </c>
      <c r="AF12" s="130">
        <f t="shared" si="5"/>
        <v>1.9120703976703603E-2</v>
      </c>
      <c r="AG12" s="130">
        <f t="shared" si="6"/>
        <v>0.35448178437143657</v>
      </c>
      <c r="AH12" s="131">
        <f t="shared" si="7"/>
        <v>2.821019426352724</v>
      </c>
      <c r="AI12" s="129">
        <f t="shared" si="8"/>
        <v>23399.999999999996</v>
      </c>
      <c r="AJ12" s="129">
        <f t="shared" si="9"/>
        <v>2625</v>
      </c>
      <c r="AK12" s="127">
        <f t="shared" si="10"/>
        <v>1</v>
      </c>
    </row>
    <row r="13" spans="1:41" ht="13.8" x14ac:dyDescent="0.3">
      <c r="A13" s="215" t="s">
        <v>335</v>
      </c>
      <c r="B13" s="77" t="s">
        <v>8</v>
      </c>
      <c r="C13" s="77" t="s">
        <v>234</v>
      </c>
      <c r="D13" s="77">
        <v>45755</v>
      </c>
      <c r="E13" s="77">
        <v>45756</v>
      </c>
      <c r="F13" s="77" t="s">
        <v>301</v>
      </c>
      <c r="G13" s="77" t="s">
        <v>336</v>
      </c>
      <c r="H13" s="77" t="s">
        <v>335</v>
      </c>
      <c r="I13" s="77" t="s">
        <v>337</v>
      </c>
      <c r="J13" s="77" t="s">
        <v>312</v>
      </c>
      <c r="K13" s="77" t="s">
        <v>305</v>
      </c>
      <c r="L13" s="77" t="s">
        <v>338</v>
      </c>
      <c r="M13" s="233" t="s">
        <v>339</v>
      </c>
      <c r="N13" s="129">
        <v>300000000</v>
      </c>
      <c r="O13" s="77" t="s">
        <v>340</v>
      </c>
      <c r="P13" s="130">
        <v>1.43E-2</v>
      </c>
      <c r="Q13" s="130">
        <v>3.4966639433595285E-2</v>
      </c>
      <c r="R13" s="130">
        <v>7.3784539999999996E-2</v>
      </c>
      <c r="S13" s="150">
        <v>99.62</v>
      </c>
      <c r="T13" s="131">
        <v>100.25</v>
      </c>
      <c r="U13" s="129">
        <v>250000</v>
      </c>
      <c r="V13" s="129" t="s">
        <v>28</v>
      </c>
      <c r="W13" s="131">
        <v>1</v>
      </c>
      <c r="X13" s="129">
        <v>729.17000000001281</v>
      </c>
      <c r="Y13" s="129">
        <v>30</v>
      </c>
      <c r="Z13" s="129">
        <f t="shared" si="3"/>
        <v>250625</v>
      </c>
      <c r="AA13" s="129">
        <f t="shared" si="4"/>
        <v>251354.17</v>
      </c>
      <c r="AB13" s="129">
        <v>253225</v>
      </c>
      <c r="AC13" s="131">
        <v>2.3369863013698629</v>
      </c>
      <c r="AD13" s="151">
        <v>7.5587660000000001E-2</v>
      </c>
      <c r="AE13" s="151">
        <v>3.4027664109511808E-2</v>
      </c>
      <c r="AF13" s="130">
        <f t="shared" si="5"/>
        <v>1.9727664109511808E-2</v>
      </c>
      <c r="AG13" s="130">
        <f t="shared" si="6"/>
        <v>0.42024630177311223</v>
      </c>
      <c r="AH13" s="131">
        <f t="shared" si="7"/>
        <v>2.3795569307350917</v>
      </c>
      <c r="AI13" s="129">
        <f t="shared" si="8"/>
        <v>18446.134999999998</v>
      </c>
      <c r="AJ13" s="129">
        <f t="shared" si="9"/>
        <v>3575</v>
      </c>
      <c r="AK13" s="127">
        <f t="shared" si="10"/>
        <v>1</v>
      </c>
    </row>
    <row r="14" spans="1:41" ht="13.8" x14ac:dyDescent="0.3">
      <c r="A14" s="215" t="s">
        <v>341</v>
      </c>
      <c r="B14" s="77" t="s">
        <v>8</v>
      </c>
      <c r="C14" s="77" t="s">
        <v>234</v>
      </c>
      <c r="D14" s="77">
        <v>45755</v>
      </c>
      <c r="E14" s="77">
        <v>45756</v>
      </c>
      <c r="F14" s="77" t="s">
        <v>309</v>
      </c>
      <c r="G14" s="77" t="s">
        <v>342</v>
      </c>
      <c r="H14" s="77" t="s">
        <v>341</v>
      </c>
      <c r="I14" s="77" t="s">
        <v>343</v>
      </c>
      <c r="J14" s="77" t="s">
        <v>312</v>
      </c>
      <c r="K14" s="77" t="s">
        <v>305</v>
      </c>
      <c r="L14" s="77" t="s">
        <v>344</v>
      </c>
      <c r="M14" s="233" t="s">
        <v>345</v>
      </c>
      <c r="N14" s="129">
        <v>200000000</v>
      </c>
      <c r="O14" s="77" t="s">
        <v>346</v>
      </c>
      <c r="P14" s="130">
        <v>1.0800000000000001E-2</v>
      </c>
      <c r="Q14" s="130">
        <v>5.1352938521487895E-2</v>
      </c>
      <c r="R14" s="130">
        <v>8.9900000000000008E-2</v>
      </c>
      <c r="S14" s="150">
        <v>101.78</v>
      </c>
      <c r="T14" s="131">
        <v>100.65</v>
      </c>
      <c r="U14" s="129">
        <v>250000</v>
      </c>
      <c r="V14" s="129" t="s">
        <v>28</v>
      </c>
      <c r="W14" s="131">
        <v>1</v>
      </c>
      <c r="X14" s="129">
        <v>69.440000000002328</v>
      </c>
      <c r="Y14" s="129">
        <v>2</v>
      </c>
      <c r="Z14" s="129">
        <f t="shared" si="3"/>
        <v>251625</v>
      </c>
      <c r="AA14" s="129">
        <f t="shared" si="4"/>
        <v>251694.44</v>
      </c>
      <c r="AB14" s="129">
        <v>257637.5</v>
      </c>
      <c r="AC14" s="131">
        <v>2.4164383561643836</v>
      </c>
      <c r="AD14" s="151">
        <v>9.0425339999999993E-2</v>
      </c>
      <c r="AE14" s="151">
        <v>4.8925337953386092E-2</v>
      </c>
      <c r="AF14" s="130">
        <f t="shared" si="5"/>
        <v>3.8125337953386088E-2</v>
      </c>
      <c r="AG14" s="130">
        <f t="shared" si="6"/>
        <v>0.22074451504637055</v>
      </c>
      <c r="AH14" s="131">
        <f t="shared" si="7"/>
        <v>4.5301238845727863</v>
      </c>
      <c r="AI14" s="129">
        <f t="shared" si="8"/>
        <v>22475.000000000004</v>
      </c>
      <c r="AJ14" s="129">
        <f t="shared" si="9"/>
        <v>2700</v>
      </c>
      <c r="AK14" s="127">
        <f t="shared" si="10"/>
        <v>1</v>
      </c>
    </row>
    <row r="15" spans="1:41" ht="13.8" x14ac:dyDescent="0.3">
      <c r="A15" s="215" t="s">
        <v>347</v>
      </c>
      <c r="B15" s="77" t="s">
        <v>8</v>
      </c>
      <c r="C15" s="77" t="s">
        <v>234</v>
      </c>
      <c r="D15" s="77">
        <v>45756</v>
      </c>
      <c r="E15" s="77">
        <v>45757</v>
      </c>
      <c r="F15" s="77" t="s">
        <v>301</v>
      </c>
      <c r="G15" s="77" t="s">
        <v>348</v>
      </c>
      <c r="H15" s="77" t="s">
        <v>347</v>
      </c>
      <c r="I15" s="77" t="s">
        <v>349</v>
      </c>
      <c r="J15" s="77" t="s">
        <v>312</v>
      </c>
      <c r="K15" s="77" t="s">
        <v>305</v>
      </c>
      <c r="L15" s="77" t="s">
        <v>350</v>
      </c>
      <c r="M15" s="233" t="s">
        <v>321</v>
      </c>
      <c r="N15" s="129">
        <v>255000000</v>
      </c>
      <c r="O15" s="77" t="s">
        <v>351</v>
      </c>
      <c r="P15" s="130">
        <v>1.4E-3</v>
      </c>
      <c r="Q15" s="130">
        <v>4.0194036960798721E-2</v>
      </c>
      <c r="R15" s="130">
        <v>7.8799999999999995E-2</v>
      </c>
      <c r="S15" s="150">
        <v>102.14</v>
      </c>
      <c r="T15" s="131">
        <v>102.3</v>
      </c>
      <c r="U15" s="129">
        <v>250000</v>
      </c>
      <c r="V15" s="129" t="s">
        <v>28</v>
      </c>
      <c r="W15" s="131">
        <v>1</v>
      </c>
      <c r="X15" s="129">
        <v>55.559999999997672</v>
      </c>
      <c r="Y15" s="129">
        <v>2</v>
      </c>
      <c r="Z15" s="129">
        <f t="shared" si="3"/>
        <v>255750</v>
      </c>
      <c r="AA15" s="129">
        <f t="shared" si="4"/>
        <v>255805.56</v>
      </c>
      <c r="AB15" s="129">
        <v>256375</v>
      </c>
      <c r="AC15" s="131">
        <v>1.1726027397260275</v>
      </c>
      <c r="AD15" s="151">
        <v>6.796395999999999E-2</v>
      </c>
      <c r="AE15" s="151">
        <v>2.6363961699728218E-2</v>
      </c>
      <c r="AF15" s="130">
        <f t="shared" si="5"/>
        <v>2.496396169972822E-2</v>
      </c>
      <c r="AG15" s="130">
        <f t="shared" si="6"/>
        <v>5.3102792969632953E-2</v>
      </c>
      <c r="AH15" s="131">
        <f t="shared" si="7"/>
        <v>18.831401214091585</v>
      </c>
      <c r="AI15" s="129">
        <f t="shared" si="8"/>
        <v>19700</v>
      </c>
      <c r="AJ15" s="129">
        <f t="shared" si="9"/>
        <v>350</v>
      </c>
      <c r="AK15" s="127">
        <f t="shared" si="10"/>
        <v>1</v>
      </c>
    </row>
    <row r="16" spans="1:41" ht="13.8" x14ac:dyDescent="0.3">
      <c r="A16" s="215" t="s">
        <v>352</v>
      </c>
      <c r="B16" s="77" t="s">
        <v>8</v>
      </c>
      <c r="C16" s="77" t="s">
        <v>234</v>
      </c>
      <c r="D16" s="77">
        <v>45756</v>
      </c>
      <c r="E16" s="77">
        <v>45757</v>
      </c>
      <c r="F16" s="77" t="s">
        <v>309</v>
      </c>
      <c r="G16" s="77" t="s">
        <v>353</v>
      </c>
      <c r="H16" s="77" t="s">
        <v>352</v>
      </c>
      <c r="I16" s="77" t="s">
        <v>354</v>
      </c>
      <c r="J16" s="77" t="s">
        <v>312</v>
      </c>
      <c r="K16" s="77" t="s">
        <v>305</v>
      </c>
      <c r="L16" s="77" t="s">
        <v>355</v>
      </c>
      <c r="M16" s="233" t="s">
        <v>356</v>
      </c>
      <c r="N16" s="129">
        <v>100000000</v>
      </c>
      <c r="O16" s="77" t="s">
        <v>357</v>
      </c>
      <c r="P16" s="130">
        <v>1.204E-2</v>
      </c>
      <c r="Q16" s="130">
        <v>5.043372257801014E-2</v>
      </c>
      <c r="R16" s="130">
        <v>8.9099999999999999E-2</v>
      </c>
      <c r="S16" s="150">
        <v>103.37</v>
      </c>
      <c r="T16" s="131">
        <v>102.2</v>
      </c>
      <c r="U16" s="129">
        <v>250000</v>
      </c>
      <c r="V16" s="129" t="s">
        <v>28</v>
      </c>
      <c r="W16" s="131">
        <v>1</v>
      </c>
      <c r="X16" s="129">
        <v>281.25</v>
      </c>
      <c r="Y16" s="129">
        <v>9</v>
      </c>
      <c r="Z16" s="129">
        <f t="shared" si="3"/>
        <v>255500</v>
      </c>
      <c r="AA16" s="129">
        <f t="shared" si="4"/>
        <v>255781.25</v>
      </c>
      <c r="AB16" s="129">
        <v>258875</v>
      </c>
      <c r="AC16" s="131">
        <v>1.6657534246575343</v>
      </c>
      <c r="AD16" s="151">
        <v>8.1303790000000001E-2</v>
      </c>
      <c r="AE16" s="151">
        <v>3.9703792651760245E-2</v>
      </c>
      <c r="AF16" s="130">
        <f t="shared" si="5"/>
        <v>2.7663792651760243E-2</v>
      </c>
      <c r="AG16" s="130">
        <f t="shared" si="6"/>
        <v>0.30324558929677498</v>
      </c>
      <c r="AH16" s="131">
        <f t="shared" si="7"/>
        <v>3.2976571969900537</v>
      </c>
      <c r="AI16" s="129">
        <f t="shared" si="8"/>
        <v>22275</v>
      </c>
      <c r="AJ16" s="129">
        <f t="shared" si="9"/>
        <v>3010</v>
      </c>
      <c r="AK16" s="127">
        <f t="shared" si="10"/>
        <v>1</v>
      </c>
    </row>
    <row r="17" spans="1:37" ht="13.8" x14ac:dyDescent="0.3">
      <c r="A17" s="215" t="s">
        <v>358</v>
      </c>
      <c r="B17" s="77" t="s">
        <v>8</v>
      </c>
      <c r="C17" s="77" t="s">
        <v>234</v>
      </c>
      <c r="D17" s="77">
        <v>45756</v>
      </c>
      <c r="E17" s="77">
        <v>45757</v>
      </c>
      <c r="F17" s="77" t="s">
        <v>309</v>
      </c>
      <c r="G17" s="77" t="s">
        <v>359</v>
      </c>
      <c r="H17" s="77" t="s">
        <v>358</v>
      </c>
      <c r="I17" s="77" t="s">
        <v>360</v>
      </c>
      <c r="J17" s="77" t="s">
        <v>312</v>
      </c>
      <c r="K17" s="77" t="s">
        <v>305</v>
      </c>
      <c r="L17" s="77" t="s">
        <v>361</v>
      </c>
      <c r="M17" s="233" t="s">
        <v>362</v>
      </c>
      <c r="N17" s="129">
        <v>100000000</v>
      </c>
      <c r="O17" s="77" t="s">
        <v>363</v>
      </c>
      <c r="P17" s="130">
        <v>7.4999999999999997E-3</v>
      </c>
      <c r="Q17" s="130">
        <v>5.4596636649696828E-2</v>
      </c>
      <c r="R17" s="130">
        <v>9.3299999999999994E-2</v>
      </c>
      <c r="S17" s="150">
        <v>102.4</v>
      </c>
      <c r="T17" s="131">
        <v>102.6</v>
      </c>
      <c r="U17" s="129">
        <v>250000</v>
      </c>
      <c r="V17" s="129" t="s">
        <v>28</v>
      </c>
      <c r="W17" s="131">
        <v>1</v>
      </c>
      <c r="X17" s="129">
        <v>501.04000000000815</v>
      </c>
      <c r="Y17" s="129">
        <v>13</v>
      </c>
      <c r="Z17" s="129">
        <f t="shared" si="3"/>
        <v>256500</v>
      </c>
      <c r="AA17" s="129">
        <f t="shared" si="4"/>
        <v>257001.04</v>
      </c>
      <c r="AB17" s="129">
        <v>260350</v>
      </c>
      <c r="AC17" s="131">
        <v>1.4164383561643836</v>
      </c>
      <c r="AD17" s="151">
        <v>8.2204429999999995E-2</v>
      </c>
      <c r="AE17" s="151">
        <v>4.0604426001141274E-2</v>
      </c>
      <c r="AF17" s="130">
        <f t="shared" si="5"/>
        <v>3.3104426001141274E-2</v>
      </c>
      <c r="AG17" s="130">
        <f t="shared" si="6"/>
        <v>0.18470892803137265</v>
      </c>
      <c r="AH17" s="131">
        <f t="shared" si="7"/>
        <v>5.4139234668188365</v>
      </c>
      <c r="AI17" s="129">
        <f t="shared" si="8"/>
        <v>23325</v>
      </c>
      <c r="AJ17" s="129">
        <f t="shared" si="9"/>
        <v>1875</v>
      </c>
      <c r="AK17" s="127">
        <f t="shared" si="10"/>
        <v>1</v>
      </c>
    </row>
    <row r="18" spans="1:37" s="229" customFormat="1" ht="13.8" x14ac:dyDescent="0.3">
      <c r="A18" s="223" t="s">
        <v>738</v>
      </c>
      <c r="B18" s="224" t="s">
        <v>8</v>
      </c>
      <c r="C18" s="224" t="s">
        <v>234</v>
      </c>
      <c r="D18" s="224">
        <v>45756</v>
      </c>
      <c r="E18" s="224">
        <v>45757</v>
      </c>
      <c r="F18" s="224" t="s">
        <v>309</v>
      </c>
      <c r="G18" s="224" t="s">
        <v>365</v>
      </c>
      <c r="H18" s="224" t="s">
        <v>364</v>
      </c>
      <c r="I18" s="224" t="s">
        <v>366</v>
      </c>
      <c r="J18" s="224" t="s">
        <v>312</v>
      </c>
      <c r="K18" s="224" t="s">
        <v>367</v>
      </c>
      <c r="L18" s="224" t="s">
        <v>368</v>
      </c>
      <c r="M18" s="233" t="s">
        <v>369</v>
      </c>
      <c r="N18" s="225">
        <v>100000000</v>
      </c>
      <c r="O18" s="224" t="s">
        <v>370</v>
      </c>
      <c r="P18" s="226">
        <v>9.1999999999999998E-3</v>
      </c>
      <c r="Q18" s="226">
        <v>3.4996975765834139E-2</v>
      </c>
      <c r="R18" s="226">
        <v>7.3499999999999996E-2</v>
      </c>
      <c r="S18" s="227">
        <v>101.71</v>
      </c>
      <c r="T18" s="228">
        <v>101.6</v>
      </c>
      <c r="U18" s="225">
        <v>250000</v>
      </c>
      <c r="V18" s="225" t="s">
        <v>28</v>
      </c>
      <c r="W18" s="228">
        <v>1</v>
      </c>
      <c r="X18" s="225">
        <v>0</v>
      </c>
      <c r="Y18" s="225">
        <v>0</v>
      </c>
      <c r="Z18" s="225">
        <f t="shared" si="3"/>
        <v>254000</v>
      </c>
      <c r="AA18" s="225">
        <f t="shared" si="4"/>
        <v>254000</v>
      </c>
      <c r="AB18" s="225">
        <v>257875</v>
      </c>
      <c r="AC18" s="228">
        <v>2.1780821917808217</v>
      </c>
      <c r="AD18" s="226">
        <v>6.9968120000000009E-2</v>
      </c>
      <c r="AE18" s="226">
        <v>2.8668118762774905E-2</v>
      </c>
      <c r="AF18" s="226">
        <f t="shared" si="5"/>
        <v>1.9468118762774905E-2</v>
      </c>
      <c r="AG18" s="226">
        <f t="shared" si="6"/>
        <v>0.32091397681615763</v>
      </c>
      <c r="AH18" s="228">
        <f t="shared" si="7"/>
        <v>3.1160998655190117</v>
      </c>
      <c r="AI18" s="225">
        <f t="shared" si="8"/>
        <v>18375</v>
      </c>
      <c r="AJ18" s="225">
        <f t="shared" si="9"/>
        <v>2300</v>
      </c>
      <c r="AK18" s="229">
        <f t="shared" si="10"/>
        <v>2</v>
      </c>
    </row>
    <row r="19" spans="1:37" ht="13.8" x14ac:dyDescent="0.3">
      <c r="A19" s="215" t="s">
        <v>371</v>
      </c>
      <c r="B19" s="77" t="s">
        <v>8</v>
      </c>
      <c r="C19" s="77" t="s">
        <v>234</v>
      </c>
      <c r="D19" s="77">
        <v>45758</v>
      </c>
      <c r="E19" s="77">
        <v>45761</v>
      </c>
      <c r="F19" s="77" t="s">
        <v>301</v>
      </c>
      <c r="G19" s="77" t="s">
        <v>372</v>
      </c>
      <c r="H19" s="77" t="s">
        <v>371</v>
      </c>
      <c r="I19" s="77" t="s">
        <v>373</v>
      </c>
      <c r="J19" s="77" t="s">
        <v>374</v>
      </c>
      <c r="K19" s="77" t="s">
        <v>305</v>
      </c>
      <c r="L19" s="77" t="s">
        <v>375</v>
      </c>
      <c r="M19" s="233" t="s">
        <v>356</v>
      </c>
      <c r="N19" s="129">
        <v>150000000</v>
      </c>
      <c r="O19" s="77" t="s">
        <v>376</v>
      </c>
      <c r="P19" s="130">
        <v>1.6500000000000001E-2</v>
      </c>
      <c r="Q19" s="130">
        <v>9.4927510994515976E-2</v>
      </c>
      <c r="R19" s="130">
        <v>0.13300719976425171</v>
      </c>
      <c r="S19" s="150">
        <v>102.05</v>
      </c>
      <c r="T19" s="131">
        <v>100.1</v>
      </c>
      <c r="U19" s="129">
        <v>250000</v>
      </c>
      <c r="V19" s="129" t="s">
        <v>28</v>
      </c>
      <c r="W19" s="131">
        <v>1</v>
      </c>
      <c r="X19" s="129">
        <v>1847.2200000000012</v>
      </c>
      <c r="Y19" s="129">
        <v>28</v>
      </c>
      <c r="Z19" s="129">
        <f t="shared" si="3"/>
        <v>250250</v>
      </c>
      <c r="AA19" s="129">
        <f t="shared" si="4"/>
        <v>252097.22</v>
      </c>
      <c r="AB19" s="129">
        <v>264500</v>
      </c>
      <c r="AC19" s="131">
        <v>1.6657534246575343</v>
      </c>
      <c r="AD19" s="151">
        <v>0.13239720999999999</v>
      </c>
      <c r="AE19" s="151">
        <v>9.439000596503698E-2</v>
      </c>
      <c r="AF19" s="130">
        <f t="shared" si="5"/>
        <v>7.7890005965036979E-2</v>
      </c>
      <c r="AG19" s="130">
        <f t="shared" si="6"/>
        <v>0.17480664220014744</v>
      </c>
      <c r="AH19" s="131">
        <f t="shared" si="7"/>
        <v>5.7206064221234527</v>
      </c>
      <c r="AI19" s="129">
        <f t="shared" si="8"/>
        <v>33251.799941062927</v>
      </c>
      <c r="AJ19" s="129">
        <f t="shared" si="9"/>
        <v>4125</v>
      </c>
      <c r="AK19" s="127">
        <f t="shared" si="10"/>
        <v>1</v>
      </c>
    </row>
    <row r="20" spans="1:37" ht="13.8" x14ac:dyDescent="0.3">
      <c r="A20" s="215" t="s">
        <v>377</v>
      </c>
      <c r="B20" s="77" t="s">
        <v>8</v>
      </c>
      <c r="C20" s="77" t="s">
        <v>234</v>
      </c>
      <c r="D20" s="77">
        <v>45761</v>
      </c>
      <c r="E20" s="77">
        <v>45762</v>
      </c>
      <c r="F20" s="77" t="s">
        <v>301</v>
      </c>
      <c r="G20" s="77" t="s">
        <v>378</v>
      </c>
      <c r="H20" s="77" t="s">
        <v>377</v>
      </c>
      <c r="I20" s="77" t="s">
        <v>379</v>
      </c>
      <c r="J20" s="77" t="s">
        <v>312</v>
      </c>
      <c r="K20" s="77" t="s">
        <v>305</v>
      </c>
      <c r="L20" s="77" t="s">
        <v>380</v>
      </c>
      <c r="M20" s="233" t="s">
        <v>381</v>
      </c>
      <c r="N20" s="129">
        <v>210000000</v>
      </c>
      <c r="O20" s="77" t="s">
        <v>382</v>
      </c>
      <c r="P20" s="130">
        <v>1.32E-2</v>
      </c>
      <c r="Q20" s="130">
        <v>9.1253384305964677E-2</v>
      </c>
      <c r="R20" s="130">
        <v>0.13005999755859374</v>
      </c>
      <c r="S20" s="150">
        <v>103.7</v>
      </c>
      <c r="T20" s="131">
        <v>102.6</v>
      </c>
      <c r="U20" s="129">
        <v>250000</v>
      </c>
      <c r="V20" s="129" t="s">
        <v>28</v>
      </c>
      <c r="W20" s="131">
        <v>1</v>
      </c>
      <c r="X20" s="129">
        <v>500</v>
      </c>
      <c r="Y20" s="129">
        <v>8</v>
      </c>
      <c r="Z20" s="129">
        <f t="shared" si="3"/>
        <v>256500</v>
      </c>
      <c r="AA20" s="129">
        <f t="shared" si="4"/>
        <v>257000</v>
      </c>
      <c r="AB20" s="129">
        <v>266350</v>
      </c>
      <c r="AC20" s="131">
        <v>1.5835616438356164</v>
      </c>
      <c r="AD20" s="151">
        <v>0.11921872999999999</v>
      </c>
      <c r="AE20" s="151">
        <v>7.7618734295982303E-2</v>
      </c>
      <c r="AF20" s="130">
        <f t="shared" si="5"/>
        <v>6.4418734295982299E-2</v>
      </c>
      <c r="AG20" s="130">
        <f t="shared" si="6"/>
        <v>0.17006203617885143</v>
      </c>
      <c r="AH20" s="131">
        <f t="shared" si="7"/>
        <v>5.8802071436350234</v>
      </c>
      <c r="AI20" s="129">
        <f t="shared" si="8"/>
        <v>32514.999389648434</v>
      </c>
      <c r="AJ20" s="129">
        <f t="shared" si="9"/>
        <v>3300</v>
      </c>
      <c r="AK20" s="127">
        <f t="shared" si="10"/>
        <v>1</v>
      </c>
    </row>
    <row r="21" spans="1:37" ht="13.8" x14ac:dyDescent="0.3">
      <c r="A21" s="215" t="s">
        <v>383</v>
      </c>
      <c r="B21" s="77" t="s">
        <v>8</v>
      </c>
      <c r="C21" s="77" t="s">
        <v>234</v>
      </c>
      <c r="D21" s="77">
        <v>45763</v>
      </c>
      <c r="E21" s="77">
        <v>45764</v>
      </c>
      <c r="F21" s="77" t="s">
        <v>301</v>
      </c>
      <c r="G21" s="77" t="s">
        <v>384</v>
      </c>
      <c r="H21" s="77" t="s">
        <v>383</v>
      </c>
      <c r="I21" s="77" t="s">
        <v>385</v>
      </c>
      <c r="J21" s="77" t="s">
        <v>312</v>
      </c>
      <c r="K21" s="77" t="s">
        <v>305</v>
      </c>
      <c r="L21" s="77" t="s">
        <v>386</v>
      </c>
      <c r="M21" s="233" t="s">
        <v>362</v>
      </c>
      <c r="N21" s="129">
        <v>100000000</v>
      </c>
      <c r="O21" s="77" t="s">
        <v>387</v>
      </c>
      <c r="P21" s="130">
        <v>6.7000000000000002E-3</v>
      </c>
      <c r="Q21" s="130">
        <v>5.4392210302525223E-2</v>
      </c>
      <c r="R21" s="130">
        <v>9.3284540000000013E-2</v>
      </c>
      <c r="S21" s="150">
        <v>103.6</v>
      </c>
      <c r="T21" s="131">
        <v>103.85</v>
      </c>
      <c r="U21" s="129">
        <v>250000</v>
      </c>
      <c r="V21" s="129" t="s">
        <v>28</v>
      </c>
      <c r="W21" s="131">
        <v>1</v>
      </c>
      <c r="X21" s="129">
        <v>1130.2099999999919</v>
      </c>
      <c r="Y21" s="129">
        <v>31</v>
      </c>
      <c r="Z21" s="129">
        <f t="shared" si="3"/>
        <v>259625</v>
      </c>
      <c r="AA21" s="129">
        <f t="shared" si="4"/>
        <v>260755.21</v>
      </c>
      <c r="AB21" s="129">
        <v>259075</v>
      </c>
      <c r="AC21" s="131">
        <v>1.4164383561643836</v>
      </c>
      <c r="AD21" s="151">
        <v>7.525358E-2</v>
      </c>
      <c r="AE21" s="151">
        <v>3.360416032534292E-2</v>
      </c>
      <c r="AF21" s="130">
        <f t="shared" si="5"/>
        <v>2.6904160325342919E-2</v>
      </c>
      <c r="AG21" s="130">
        <f t="shared" si="6"/>
        <v>0.1993800748220787</v>
      </c>
      <c r="AH21" s="131">
        <f t="shared" si="7"/>
        <v>5.0155463172153611</v>
      </c>
      <c r="AI21" s="129">
        <f t="shared" si="8"/>
        <v>23321.135000000002</v>
      </c>
      <c r="AJ21" s="129">
        <f t="shared" si="9"/>
        <v>1675</v>
      </c>
      <c r="AK21" s="127">
        <f t="shared" si="10"/>
        <v>1</v>
      </c>
    </row>
    <row r="22" spans="1:37" ht="13.8" x14ac:dyDescent="0.3">
      <c r="A22" s="215" t="s">
        <v>388</v>
      </c>
      <c r="B22" s="77" t="s">
        <v>8</v>
      </c>
      <c r="C22" s="77" t="s">
        <v>234</v>
      </c>
      <c r="D22" s="77">
        <v>45763</v>
      </c>
      <c r="E22" s="77">
        <v>45764</v>
      </c>
      <c r="F22" s="77" t="s">
        <v>309</v>
      </c>
      <c r="G22" s="77" t="s">
        <v>389</v>
      </c>
      <c r="H22" s="77" t="s">
        <v>388</v>
      </c>
      <c r="I22" s="77" t="s">
        <v>390</v>
      </c>
      <c r="J22" s="77" t="s">
        <v>312</v>
      </c>
      <c r="K22" s="77" t="s">
        <v>367</v>
      </c>
      <c r="L22" s="77" t="s">
        <v>391</v>
      </c>
      <c r="M22" s="233" t="s">
        <v>392</v>
      </c>
      <c r="N22" s="129">
        <v>150000000</v>
      </c>
      <c r="O22" s="77" t="s">
        <v>393</v>
      </c>
      <c r="P22" s="130">
        <v>9.1000000000000004E-3</v>
      </c>
      <c r="Q22" s="130">
        <v>4.3425943418742965E-2</v>
      </c>
      <c r="R22" s="130">
        <v>8.1843249999999992E-2</v>
      </c>
      <c r="S22" s="150">
        <v>101.57</v>
      </c>
      <c r="T22" s="131">
        <v>102.4</v>
      </c>
      <c r="U22" s="129">
        <v>250000</v>
      </c>
      <c r="V22" s="129" t="s">
        <v>28</v>
      </c>
      <c r="W22" s="131">
        <v>1</v>
      </c>
      <c r="X22" s="129">
        <v>60.420000000012806</v>
      </c>
      <c r="Y22" s="129">
        <v>2</v>
      </c>
      <c r="Z22" s="129">
        <f t="shared" si="3"/>
        <v>256000</v>
      </c>
      <c r="AA22" s="129">
        <f t="shared" si="4"/>
        <v>256060.42</v>
      </c>
      <c r="AB22" s="129">
        <v>256275</v>
      </c>
      <c r="AC22" s="131">
        <v>1</v>
      </c>
      <c r="AD22" s="151">
        <v>6.8994319999999998E-2</v>
      </c>
      <c r="AE22" s="151">
        <v>2.7350368157419279E-2</v>
      </c>
      <c r="AF22" s="130">
        <f t="shared" si="5"/>
        <v>1.8250368157419278E-2</v>
      </c>
      <c r="AG22" s="130">
        <f t="shared" si="6"/>
        <v>0.33271947008623581</v>
      </c>
      <c r="AH22" s="131">
        <f t="shared" si="7"/>
        <v>3.0055349623537668</v>
      </c>
      <c r="AI22" s="129">
        <f t="shared" si="8"/>
        <v>20460.812499999996</v>
      </c>
      <c r="AJ22" s="129">
        <f>U22*P22</f>
        <v>2275</v>
      </c>
      <c r="AK22" s="127">
        <f t="shared" si="10"/>
        <v>1</v>
      </c>
    </row>
    <row r="23" spans="1:37" s="229" customFormat="1" ht="13.8" x14ac:dyDescent="0.3">
      <c r="A23" s="223" t="s">
        <v>540</v>
      </c>
      <c r="B23" s="224" t="s">
        <v>8</v>
      </c>
      <c r="C23" s="224" t="s">
        <v>234</v>
      </c>
      <c r="D23" s="224">
        <v>45770</v>
      </c>
      <c r="E23" s="224">
        <v>45771</v>
      </c>
      <c r="F23" s="224" t="s">
        <v>309</v>
      </c>
      <c r="G23" s="224" t="s">
        <v>394</v>
      </c>
      <c r="H23" s="224" t="s">
        <v>707</v>
      </c>
      <c r="I23" s="224" t="s">
        <v>395</v>
      </c>
      <c r="J23" s="224" t="s">
        <v>312</v>
      </c>
      <c r="K23" s="224" t="s">
        <v>305</v>
      </c>
      <c r="L23" s="224" t="s">
        <v>396</v>
      </c>
      <c r="M23" s="233" t="s">
        <v>321</v>
      </c>
      <c r="N23" s="225">
        <v>200000000</v>
      </c>
      <c r="O23" s="224" t="s">
        <v>397</v>
      </c>
      <c r="P23" s="226">
        <v>1.4500000000000001E-2</v>
      </c>
      <c r="Q23" s="226">
        <v>6.2406673269524024E-2</v>
      </c>
      <c r="R23" s="226">
        <v>0.10129999999999999</v>
      </c>
      <c r="S23" s="227">
        <v>102.5</v>
      </c>
      <c r="T23" s="228">
        <v>103.1</v>
      </c>
      <c r="U23" s="225">
        <v>250000</v>
      </c>
      <c r="V23" s="225" t="s">
        <v>28</v>
      </c>
      <c r="W23" s="228">
        <v>1</v>
      </c>
      <c r="X23" s="225">
        <v>998.26000000000931</v>
      </c>
      <c r="Y23" s="225">
        <v>23</v>
      </c>
      <c r="Z23" s="225">
        <f t="shared" si="3"/>
        <v>257750</v>
      </c>
      <c r="AA23" s="225">
        <f>Z23+X23</f>
        <v>258748.26</v>
      </c>
      <c r="AB23" s="225">
        <v>257625</v>
      </c>
      <c r="AC23" s="228">
        <v>1.1726027397260275</v>
      </c>
      <c r="AD23" s="226">
        <v>8.4684460000000003E-2</v>
      </c>
      <c r="AE23" s="226">
        <v>4.2984457694338826E-2</v>
      </c>
      <c r="AF23" s="226">
        <f>AE23-P23</f>
        <v>2.8484457694338827E-2</v>
      </c>
      <c r="AG23" s="226">
        <f>P23/AE23</f>
        <v>0.33733123035095758</v>
      </c>
      <c r="AH23" s="228">
        <f>1/AG23</f>
        <v>2.9644453582302637</v>
      </c>
      <c r="AI23" s="225">
        <f>U23*R23</f>
        <v>25324.999999999996</v>
      </c>
      <c r="AJ23" s="225">
        <f t="shared" si="9"/>
        <v>3625</v>
      </c>
      <c r="AK23" s="229">
        <f t="shared" si="10"/>
        <v>2</v>
      </c>
    </row>
    <row r="24" spans="1:37" s="229" customFormat="1" ht="13.8" x14ac:dyDescent="0.3">
      <c r="A24" s="223" t="s">
        <v>541</v>
      </c>
      <c r="B24" s="224" t="s">
        <v>8</v>
      </c>
      <c r="C24" s="224" t="s">
        <v>234</v>
      </c>
      <c r="D24" s="224">
        <v>45889</v>
      </c>
      <c r="E24" s="224">
        <v>45890</v>
      </c>
      <c r="F24" s="224" t="s">
        <v>301</v>
      </c>
      <c r="G24" s="224" t="s">
        <v>394</v>
      </c>
      <c r="H24" s="224" t="s">
        <v>707</v>
      </c>
      <c r="I24" s="224" t="s">
        <v>395</v>
      </c>
      <c r="J24" s="224" t="s">
        <v>312</v>
      </c>
      <c r="K24" s="224" t="s">
        <v>305</v>
      </c>
      <c r="L24" s="224" t="s">
        <v>396</v>
      </c>
      <c r="M24" s="233" t="s">
        <v>321</v>
      </c>
      <c r="N24" s="225">
        <v>200000000</v>
      </c>
      <c r="O24" s="224" t="s">
        <v>397</v>
      </c>
      <c r="P24" s="226">
        <v>1.4500000000000001E-2</v>
      </c>
      <c r="Q24" s="226">
        <v>6.2406673269524024E-2</v>
      </c>
      <c r="R24" s="226">
        <v>0.10129999999999999</v>
      </c>
      <c r="S24" s="227">
        <v>102.5</v>
      </c>
      <c r="T24" s="228">
        <v>103.6</v>
      </c>
      <c r="U24" s="225">
        <v>250000</v>
      </c>
      <c r="V24" s="225" t="s">
        <v>28</v>
      </c>
      <c r="W24" s="228">
        <v>1</v>
      </c>
      <c r="X24" s="225">
        <v>2213.54</v>
      </c>
      <c r="Y24" s="225">
        <v>51</v>
      </c>
      <c r="Z24" s="225">
        <f t="shared" si="3"/>
        <v>259000</v>
      </c>
      <c r="AA24" s="225">
        <f t="shared" ref="AA24:AA36" si="11">Z24+X24</f>
        <v>261213.54</v>
      </c>
      <c r="AB24" s="225">
        <v>257625</v>
      </c>
      <c r="AC24" s="228">
        <v>1.1726027397260275</v>
      </c>
      <c r="AD24" s="226">
        <v>7.6477260000000005E-2</v>
      </c>
      <c r="AE24" s="226">
        <v>3.5077257139152884E-2</v>
      </c>
      <c r="AF24" s="226">
        <f t="shared" ref="AF24:AF37" si="12">AE24-P24</f>
        <v>2.0577257139152885E-2</v>
      </c>
      <c r="AG24" s="226">
        <f t="shared" ref="AG24:AG37" si="13">P24/AE24</f>
        <v>0.41337325613795628</v>
      </c>
      <c r="AH24" s="228">
        <f t="shared" si="7"/>
        <v>2.4191211820105436</v>
      </c>
      <c r="AI24" s="225">
        <f t="shared" ref="AI24:AI37" si="14">U24*R24</f>
        <v>25324.999999999996</v>
      </c>
      <c r="AJ24" s="225">
        <f t="shared" si="9"/>
        <v>3625</v>
      </c>
      <c r="AK24" s="229">
        <f t="shared" si="10"/>
        <v>2</v>
      </c>
    </row>
    <row r="25" spans="1:37" ht="13.8" x14ac:dyDescent="0.3">
      <c r="A25" s="215" t="s">
        <v>398</v>
      </c>
      <c r="B25" s="77" t="s">
        <v>8</v>
      </c>
      <c r="C25" s="77" t="s">
        <v>234</v>
      </c>
      <c r="D25" s="77">
        <v>45775</v>
      </c>
      <c r="E25" s="77">
        <v>45776</v>
      </c>
      <c r="F25" s="77" t="s">
        <v>301</v>
      </c>
      <c r="G25" s="77" t="s">
        <v>399</v>
      </c>
      <c r="H25" s="77" t="s">
        <v>398</v>
      </c>
      <c r="I25" s="77" t="s">
        <v>400</v>
      </c>
      <c r="J25" s="77" t="s">
        <v>312</v>
      </c>
      <c r="K25" s="77" t="s">
        <v>305</v>
      </c>
      <c r="L25" s="77" t="s">
        <v>401</v>
      </c>
      <c r="M25" s="233" t="s">
        <v>402</v>
      </c>
      <c r="N25" s="129">
        <v>150000000</v>
      </c>
      <c r="O25" s="77" t="s">
        <v>403</v>
      </c>
      <c r="P25" s="130">
        <v>4.4999999999999997E-3</v>
      </c>
      <c r="Q25" s="130">
        <v>3.8080443805377992E-2</v>
      </c>
      <c r="R25" s="130">
        <v>7.7850000000000003E-2</v>
      </c>
      <c r="S25" s="150">
        <v>101.49</v>
      </c>
      <c r="T25" s="131">
        <v>101.15</v>
      </c>
      <c r="U25" s="129">
        <v>250000</v>
      </c>
      <c r="V25" s="129" t="s">
        <v>28</v>
      </c>
      <c r="W25" s="131">
        <v>1</v>
      </c>
      <c r="X25" s="129">
        <v>859.93</v>
      </c>
      <c r="Y25" s="129">
        <v>29</v>
      </c>
      <c r="Z25" s="129">
        <f t="shared" si="3"/>
        <v>252875</v>
      </c>
      <c r="AA25" s="129">
        <f t="shared" si="11"/>
        <v>253734.93</v>
      </c>
      <c r="AB25" s="129">
        <v>254625</v>
      </c>
      <c r="AC25" s="131">
        <v>0.66849315068493154</v>
      </c>
      <c r="AD25" s="151">
        <v>6.9939169999999995E-2</v>
      </c>
      <c r="AE25" s="151">
        <v>2.8239171046472632E-2</v>
      </c>
      <c r="AF25" s="130">
        <f t="shared" si="12"/>
        <v>2.3739171046472631E-2</v>
      </c>
      <c r="AG25" s="130">
        <f t="shared" si="13"/>
        <v>0.15935311955844741</v>
      </c>
      <c r="AH25" s="131">
        <f t="shared" si="7"/>
        <v>6.2753713436605851</v>
      </c>
      <c r="AI25" s="129">
        <f t="shared" si="14"/>
        <v>19462.5</v>
      </c>
      <c r="AJ25" s="129">
        <f t="shared" si="9"/>
        <v>1125</v>
      </c>
      <c r="AK25" s="127">
        <f t="shared" si="10"/>
        <v>1</v>
      </c>
    </row>
    <row r="26" spans="1:37" ht="13.8" x14ac:dyDescent="0.3">
      <c r="A26" s="215" t="s">
        <v>404</v>
      </c>
      <c r="B26" s="77" t="s">
        <v>8</v>
      </c>
      <c r="C26" s="77" t="s">
        <v>234</v>
      </c>
      <c r="D26" s="77">
        <v>45777</v>
      </c>
      <c r="E26" s="77">
        <v>45779</v>
      </c>
      <c r="F26" s="77" t="s">
        <v>301</v>
      </c>
      <c r="G26" s="77" t="s">
        <v>405</v>
      </c>
      <c r="H26" s="77" t="s">
        <v>404</v>
      </c>
      <c r="I26" s="77" t="s">
        <v>406</v>
      </c>
      <c r="J26" s="77" t="s">
        <v>312</v>
      </c>
      <c r="K26" s="77" t="s">
        <v>305</v>
      </c>
      <c r="L26" s="77" t="s">
        <v>407</v>
      </c>
      <c r="M26" s="233" t="s">
        <v>408</v>
      </c>
      <c r="N26" s="129">
        <v>100000000</v>
      </c>
      <c r="O26" s="77" t="s">
        <v>346</v>
      </c>
      <c r="P26" s="130">
        <v>4.7999999999999996E-3</v>
      </c>
      <c r="Q26" s="130">
        <v>6.1675746667E-2</v>
      </c>
      <c r="R26" s="130">
        <v>0.1008</v>
      </c>
      <c r="S26" s="150">
        <v>102.45</v>
      </c>
      <c r="T26" s="131">
        <v>101.95</v>
      </c>
      <c r="U26" s="129">
        <v>250000</v>
      </c>
      <c r="V26" s="129" t="s">
        <v>28</v>
      </c>
      <c r="W26" s="131">
        <v>1</v>
      </c>
      <c r="X26" s="129">
        <v>180.56</v>
      </c>
      <c r="Y26" s="129">
        <v>4</v>
      </c>
      <c r="Z26" s="129">
        <f t="shared" si="3"/>
        <v>254875</v>
      </c>
      <c r="AA26" s="129">
        <f t="shared" si="11"/>
        <v>255055.56</v>
      </c>
      <c r="AB26" s="129">
        <v>258325</v>
      </c>
      <c r="AC26" s="131">
        <v>0.75068493150684934</v>
      </c>
      <c r="AD26" s="151">
        <v>8.6950429999999995E-2</v>
      </c>
      <c r="AE26" s="151">
        <v>4.5750427756480992E-2</v>
      </c>
      <c r="AF26" s="130">
        <f t="shared" si="12"/>
        <v>4.0950427756480993E-2</v>
      </c>
      <c r="AG26" s="130">
        <f t="shared" si="13"/>
        <v>0.10491705182625387</v>
      </c>
      <c r="AH26" s="131">
        <f t="shared" si="7"/>
        <v>9.531339115933541</v>
      </c>
      <c r="AI26" s="129">
        <f t="shared" si="14"/>
        <v>25200</v>
      </c>
      <c r="AJ26" s="129">
        <f t="shared" si="9"/>
        <v>1200</v>
      </c>
      <c r="AK26" s="127">
        <f t="shared" si="10"/>
        <v>1</v>
      </c>
    </row>
    <row r="27" spans="1:37" ht="13.8" x14ac:dyDescent="0.3">
      <c r="A27" s="215" t="s">
        <v>409</v>
      </c>
      <c r="B27" s="77" t="s">
        <v>8</v>
      </c>
      <c r="C27" s="77" t="s">
        <v>234</v>
      </c>
      <c r="D27" s="77">
        <v>45777</v>
      </c>
      <c r="E27" s="77">
        <v>45778</v>
      </c>
      <c r="F27" s="77" t="s">
        <v>309</v>
      </c>
      <c r="G27" s="77" t="s">
        <v>410</v>
      </c>
      <c r="H27" s="77" t="s">
        <v>409</v>
      </c>
      <c r="I27" s="77" t="s">
        <v>411</v>
      </c>
      <c r="J27" s="77" t="s">
        <v>312</v>
      </c>
      <c r="K27" s="77" t="s">
        <v>305</v>
      </c>
      <c r="L27" s="77" t="s">
        <v>412</v>
      </c>
      <c r="M27" s="233" t="s">
        <v>413</v>
      </c>
      <c r="N27" s="129">
        <v>125000000</v>
      </c>
      <c r="O27" s="77" t="s">
        <v>414</v>
      </c>
      <c r="P27" s="130">
        <v>2.7300000000000001E-2</v>
      </c>
      <c r="Q27" s="130">
        <v>7.6310288765853801E-2</v>
      </c>
      <c r="R27" s="130">
        <v>0.11502000000000001</v>
      </c>
      <c r="S27" s="150">
        <v>104.43</v>
      </c>
      <c r="T27" s="131">
        <v>102</v>
      </c>
      <c r="U27" s="129">
        <v>250000</v>
      </c>
      <c r="V27" s="129" t="s">
        <v>28</v>
      </c>
      <c r="W27" s="131">
        <v>1</v>
      </c>
      <c r="X27" s="129">
        <v>984.38</v>
      </c>
      <c r="Y27" s="129">
        <v>21</v>
      </c>
      <c r="Z27" s="129">
        <f t="shared" si="3"/>
        <v>255000</v>
      </c>
      <c r="AA27" s="129">
        <f t="shared" si="11"/>
        <v>255984.38</v>
      </c>
      <c r="AB27" s="129">
        <v>265575</v>
      </c>
      <c r="AC27" s="131">
        <v>1.5068493150684932</v>
      </c>
      <c r="AD27" s="151">
        <v>0.10692273999999999</v>
      </c>
      <c r="AE27" s="151">
        <v>6.5422737128187594E-2</v>
      </c>
      <c r="AF27" s="130">
        <f t="shared" si="12"/>
        <v>3.8122737128187589E-2</v>
      </c>
      <c r="AG27" s="130">
        <f t="shared" si="13"/>
        <v>0.41728611792119147</v>
      </c>
      <c r="AH27" s="131">
        <f t="shared" si="7"/>
        <v>2.396437257442769</v>
      </c>
      <c r="AI27" s="129">
        <f t="shared" si="14"/>
        <v>28755.000000000004</v>
      </c>
      <c r="AJ27" s="129">
        <f t="shared" si="9"/>
        <v>6825</v>
      </c>
      <c r="AK27" s="127">
        <f t="shared" si="10"/>
        <v>1</v>
      </c>
    </row>
    <row r="28" spans="1:37" s="229" customFormat="1" ht="13.8" x14ac:dyDescent="0.3">
      <c r="A28" s="223" t="s">
        <v>740</v>
      </c>
      <c r="B28" s="224" t="s">
        <v>8</v>
      </c>
      <c r="C28" s="224" t="s">
        <v>234</v>
      </c>
      <c r="D28" s="224">
        <v>45784</v>
      </c>
      <c r="E28" s="224">
        <v>45785</v>
      </c>
      <c r="F28" s="224" t="s">
        <v>309</v>
      </c>
      <c r="G28" s="224" t="s">
        <v>416</v>
      </c>
      <c r="H28" s="224" t="s">
        <v>415</v>
      </c>
      <c r="I28" s="224" t="s">
        <v>417</v>
      </c>
      <c r="J28" s="224" t="s">
        <v>312</v>
      </c>
      <c r="K28" s="224" t="s">
        <v>305</v>
      </c>
      <c r="L28" s="224" t="s">
        <v>418</v>
      </c>
      <c r="M28" s="233" t="s">
        <v>419</v>
      </c>
      <c r="N28" s="225">
        <v>175000000</v>
      </c>
      <c r="O28" s="224" t="s">
        <v>420</v>
      </c>
      <c r="P28" s="226">
        <v>1.61E-2</v>
      </c>
      <c r="Q28" s="226">
        <v>6.4944526002461936E-2</v>
      </c>
      <c r="R28" s="226">
        <v>0.1036</v>
      </c>
      <c r="S28" s="227">
        <v>102.22</v>
      </c>
      <c r="T28" s="228">
        <v>99.85</v>
      </c>
      <c r="U28" s="225">
        <v>250000</v>
      </c>
      <c r="V28" s="225" t="s">
        <v>28</v>
      </c>
      <c r="W28" s="228">
        <v>1</v>
      </c>
      <c r="X28" s="225">
        <v>3836.81</v>
      </c>
      <c r="Y28" s="225">
        <v>85</v>
      </c>
      <c r="Z28" s="225">
        <f t="shared" si="3"/>
        <v>249625</v>
      </c>
      <c r="AA28" s="225">
        <f t="shared" si="11"/>
        <v>253461.81</v>
      </c>
      <c r="AB28" s="225">
        <v>260750</v>
      </c>
      <c r="AC28" s="228">
        <v>2.2931506849315069</v>
      </c>
      <c r="AD28" s="226">
        <v>0.10708342</v>
      </c>
      <c r="AE28" s="226">
        <v>6.5583422407575517E-2</v>
      </c>
      <c r="AF28" s="226">
        <f t="shared" si="12"/>
        <v>4.9483422407575514E-2</v>
      </c>
      <c r="AG28" s="226">
        <f t="shared" si="13"/>
        <v>0.24548886607266007</v>
      </c>
      <c r="AH28" s="228">
        <f t="shared" si="7"/>
        <v>4.0735044973649392</v>
      </c>
      <c r="AI28" s="225">
        <f t="shared" si="14"/>
        <v>25900</v>
      </c>
      <c r="AJ28" s="225">
        <f t="shared" si="9"/>
        <v>4025</v>
      </c>
      <c r="AK28" s="229">
        <f t="shared" si="10"/>
        <v>2</v>
      </c>
    </row>
    <row r="29" spans="1:37" ht="13.8" x14ac:dyDescent="0.3">
      <c r="A29" s="215" t="s">
        <v>421</v>
      </c>
      <c r="B29" s="77" t="s">
        <v>8</v>
      </c>
      <c r="C29" s="77" t="s">
        <v>234</v>
      </c>
      <c r="D29" s="77">
        <v>45785</v>
      </c>
      <c r="E29" s="77">
        <v>45786</v>
      </c>
      <c r="F29" s="77" t="s">
        <v>301</v>
      </c>
      <c r="G29" s="77" t="s">
        <v>422</v>
      </c>
      <c r="H29" s="77" t="s">
        <v>421</v>
      </c>
      <c r="I29" s="77" t="s">
        <v>423</v>
      </c>
      <c r="J29" s="77" t="s">
        <v>312</v>
      </c>
      <c r="K29" s="77" t="s">
        <v>305</v>
      </c>
      <c r="L29" s="77" t="s">
        <v>424</v>
      </c>
      <c r="M29" s="233" t="s">
        <v>425</v>
      </c>
      <c r="N29" s="129">
        <v>150000000</v>
      </c>
      <c r="O29" s="77" t="s">
        <v>334</v>
      </c>
      <c r="P29" s="130">
        <v>1.0699999999999999E-2</v>
      </c>
      <c r="Q29" s="130">
        <v>5.2875811812667747E-2</v>
      </c>
      <c r="R29" s="130">
        <v>9.1859997558593739E-2</v>
      </c>
      <c r="S29" s="150">
        <v>101.59</v>
      </c>
      <c r="T29" s="131">
        <v>101.95</v>
      </c>
      <c r="U29" s="129">
        <v>250000</v>
      </c>
      <c r="V29" s="129" t="s">
        <v>28</v>
      </c>
      <c r="W29" s="131">
        <v>1</v>
      </c>
      <c r="X29" s="129">
        <v>72.44</v>
      </c>
      <c r="Y29" s="129">
        <v>2</v>
      </c>
      <c r="Z29" s="129">
        <f t="shared" si="3"/>
        <v>254875</v>
      </c>
      <c r="AA29" s="129">
        <f t="shared" si="11"/>
        <v>254947.44</v>
      </c>
      <c r="AB29" s="129">
        <v>253825</v>
      </c>
      <c r="AC29" s="131">
        <v>0.57808219178082187</v>
      </c>
      <c r="AD29" s="151">
        <v>7.5947069999999992E-2</v>
      </c>
      <c r="AE29" s="151">
        <v>3.4347071029523404E-2</v>
      </c>
      <c r="AF29" s="130">
        <f t="shared" si="12"/>
        <v>2.3647071029523403E-2</v>
      </c>
      <c r="AG29" s="130">
        <f t="shared" si="13"/>
        <v>0.31152583551600938</v>
      </c>
      <c r="AH29" s="131">
        <f t="shared" si="7"/>
        <v>3.2100066382732155</v>
      </c>
      <c r="AI29" s="129">
        <f t="shared" si="14"/>
        <v>22964.999389648434</v>
      </c>
      <c r="AJ29" s="129">
        <f t="shared" si="9"/>
        <v>2675</v>
      </c>
      <c r="AK29" s="127">
        <f t="shared" si="10"/>
        <v>1</v>
      </c>
    </row>
    <row r="30" spans="1:37" ht="13.8" x14ac:dyDescent="0.3">
      <c r="A30" s="215" t="s">
        <v>426</v>
      </c>
      <c r="B30" s="77" t="s">
        <v>8</v>
      </c>
      <c r="C30" s="77" t="s">
        <v>234</v>
      </c>
      <c r="D30" s="77">
        <v>45789</v>
      </c>
      <c r="E30" s="77">
        <v>45790</v>
      </c>
      <c r="F30" s="77" t="s">
        <v>309</v>
      </c>
      <c r="G30" s="77" t="s">
        <v>668</v>
      </c>
      <c r="H30" s="77" t="s">
        <v>426</v>
      </c>
      <c r="I30" s="77" t="s">
        <v>427</v>
      </c>
      <c r="J30" s="77" t="s">
        <v>304</v>
      </c>
      <c r="K30" s="77" t="s">
        <v>313</v>
      </c>
      <c r="L30" s="77" t="s">
        <v>428</v>
      </c>
      <c r="M30" s="233" t="s">
        <v>429</v>
      </c>
      <c r="N30" s="129">
        <v>500000000</v>
      </c>
      <c r="O30" s="77" t="s">
        <v>430</v>
      </c>
      <c r="P30" s="130">
        <v>2.0400000000000001E-2</v>
      </c>
      <c r="Q30" s="130">
        <v>0.107284063065</v>
      </c>
      <c r="R30" s="130">
        <v>0.14878453999999999</v>
      </c>
      <c r="S30" s="150">
        <v>103</v>
      </c>
      <c r="T30" s="131">
        <v>102.8</v>
      </c>
      <c r="U30" s="129">
        <v>250000</v>
      </c>
      <c r="V30" s="129" t="s">
        <v>28</v>
      </c>
      <c r="W30" s="131">
        <v>1</v>
      </c>
      <c r="X30" s="129">
        <v>4354.17</v>
      </c>
      <c r="Y30" s="129">
        <v>57</v>
      </c>
      <c r="Z30" s="129">
        <f t="shared" si="3"/>
        <v>257000</v>
      </c>
      <c r="AA30" s="129">
        <f t="shared" si="11"/>
        <v>261354.17</v>
      </c>
      <c r="AB30" s="129">
        <v>260400</v>
      </c>
      <c r="AC30" s="131">
        <v>0.39726027397260272</v>
      </c>
      <c r="AD30" s="151">
        <v>0.11713435</v>
      </c>
      <c r="AE30" s="151">
        <v>7.5592968367092769E-2</v>
      </c>
      <c r="AF30" s="130">
        <f t="shared" si="12"/>
        <v>5.5192968367092768E-2</v>
      </c>
      <c r="AG30" s="130">
        <f t="shared" si="13"/>
        <v>0.2698663703869123</v>
      </c>
      <c r="AH30" s="131">
        <f t="shared" si="7"/>
        <v>3.7055376650535665</v>
      </c>
      <c r="AI30" s="129">
        <f t="shared" si="14"/>
        <v>37196.134999999995</v>
      </c>
      <c r="AJ30" s="129">
        <f t="shared" si="9"/>
        <v>5100</v>
      </c>
      <c r="AK30" s="127">
        <f t="shared" si="10"/>
        <v>1</v>
      </c>
    </row>
    <row r="31" spans="1:37" ht="13.8" x14ac:dyDescent="0.3">
      <c r="A31" s="215" t="s">
        <v>431</v>
      </c>
      <c r="B31" s="77" t="s">
        <v>8</v>
      </c>
      <c r="C31" s="77" t="s">
        <v>234</v>
      </c>
      <c r="D31" s="77">
        <v>45789</v>
      </c>
      <c r="E31" s="77">
        <v>45790</v>
      </c>
      <c r="F31" s="77" t="s">
        <v>309</v>
      </c>
      <c r="G31" s="77" t="s">
        <v>669</v>
      </c>
      <c r="H31" s="77" t="s">
        <v>431</v>
      </c>
      <c r="I31" s="77" t="s">
        <v>432</v>
      </c>
      <c r="J31" s="77" t="s">
        <v>304</v>
      </c>
      <c r="K31" s="77" t="s">
        <v>305</v>
      </c>
      <c r="L31" s="77" t="s">
        <v>433</v>
      </c>
      <c r="M31" s="233" t="s">
        <v>434</v>
      </c>
      <c r="N31" s="129">
        <v>500000000</v>
      </c>
      <c r="O31" s="77" t="s">
        <v>435</v>
      </c>
      <c r="P31" s="130">
        <v>2.5700000000000001E-2</v>
      </c>
      <c r="Q31" s="130">
        <v>9.0571397299765224E-2</v>
      </c>
      <c r="R31" s="130">
        <v>0.1293</v>
      </c>
      <c r="S31" s="150">
        <v>103.83</v>
      </c>
      <c r="T31" s="131">
        <v>102.5</v>
      </c>
      <c r="U31" s="129">
        <v>250000</v>
      </c>
      <c r="V31" s="129" t="s">
        <v>28</v>
      </c>
      <c r="W31" s="131">
        <v>1</v>
      </c>
      <c r="X31" s="129">
        <v>1631.78</v>
      </c>
      <c r="Y31" s="129">
        <v>28</v>
      </c>
      <c r="Z31" s="129">
        <f t="shared" si="3"/>
        <v>256250</v>
      </c>
      <c r="AA31" s="129">
        <f t="shared" si="11"/>
        <v>257881.78</v>
      </c>
      <c r="AB31" s="129">
        <v>262475</v>
      </c>
      <c r="AC31" s="131">
        <v>0.58356164383561648</v>
      </c>
      <c r="AD31" s="151">
        <v>0.10738033</v>
      </c>
      <c r="AE31" s="151">
        <v>6.6180329997306109E-2</v>
      </c>
      <c r="AF31" s="130">
        <f t="shared" si="12"/>
        <v>4.0480329997306108E-2</v>
      </c>
      <c r="AG31" s="130">
        <f t="shared" si="13"/>
        <v>0.38833290799616937</v>
      </c>
      <c r="AH31" s="131">
        <f t="shared" si="7"/>
        <v>2.5751101166266968</v>
      </c>
      <c r="AI31" s="129">
        <f t="shared" si="14"/>
        <v>32325</v>
      </c>
      <c r="AJ31" s="129">
        <f>U31*P31</f>
        <v>6425</v>
      </c>
      <c r="AK31" s="127">
        <f t="shared" si="10"/>
        <v>1</v>
      </c>
    </row>
    <row r="32" spans="1:37" ht="13.8" x14ac:dyDescent="0.3">
      <c r="A32" s="215" t="s">
        <v>436</v>
      </c>
      <c r="B32" s="77" t="s">
        <v>8</v>
      </c>
      <c r="C32" s="77" t="s">
        <v>234</v>
      </c>
      <c r="D32" s="77">
        <v>45790</v>
      </c>
      <c r="E32" s="77">
        <v>45791</v>
      </c>
      <c r="F32" s="77" t="s">
        <v>309</v>
      </c>
      <c r="G32" s="77" t="s">
        <v>670</v>
      </c>
      <c r="H32" s="77" t="s">
        <v>436</v>
      </c>
      <c r="I32" s="77" t="s">
        <v>437</v>
      </c>
      <c r="J32" s="77" t="s">
        <v>312</v>
      </c>
      <c r="K32" s="77" t="s">
        <v>305</v>
      </c>
      <c r="L32" s="77" t="s">
        <v>438</v>
      </c>
      <c r="M32" s="233" t="s">
        <v>439</v>
      </c>
      <c r="N32" s="129">
        <v>120000000</v>
      </c>
      <c r="O32" s="77" t="s">
        <v>440</v>
      </c>
      <c r="P32" s="130">
        <v>1.9800000000000002E-2</v>
      </c>
      <c r="Q32" s="130">
        <v>0.123713315691</v>
      </c>
      <c r="R32" s="130">
        <v>0.16269999999999998</v>
      </c>
      <c r="S32" s="150">
        <v>103.95</v>
      </c>
      <c r="T32" s="131">
        <v>104.6</v>
      </c>
      <c r="U32" s="129">
        <v>250000</v>
      </c>
      <c r="V32" s="129" t="s">
        <v>28</v>
      </c>
      <c r="W32" s="131">
        <v>1</v>
      </c>
      <c r="X32" s="129">
        <v>448.26</v>
      </c>
      <c r="Y32" s="129">
        <v>5</v>
      </c>
      <c r="Z32" s="129">
        <f t="shared" si="3"/>
        <v>261500</v>
      </c>
      <c r="AA32" s="129">
        <f t="shared" si="11"/>
        <v>261948.26</v>
      </c>
      <c r="AB32" s="129">
        <v>266300</v>
      </c>
      <c r="AC32" s="131">
        <v>0.55068493150684927</v>
      </c>
      <c r="AD32" s="151">
        <v>0.11846672999999999</v>
      </c>
      <c r="AE32" s="151">
        <v>7.6766731676329678E-2</v>
      </c>
      <c r="AF32" s="130">
        <f t="shared" si="12"/>
        <v>5.6966731676329679E-2</v>
      </c>
      <c r="AG32" s="130">
        <f t="shared" si="13"/>
        <v>0.25792422795179581</v>
      </c>
      <c r="AH32" s="131">
        <f t="shared" si="7"/>
        <v>3.8771076604206907</v>
      </c>
      <c r="AI32" s="129">
        <f t="shared" si="14"/>
        <v>40674.999999999993</v>
      </c>
      <c r="AJ32" s="129">
        <f t="shared" si="9"/>
        <v>4950</v>
      </c>
      <c r="AK32" s="127">
        <f t="shared" si="10"/>
        <v>1</v>
      </c>
    </row>
    <row r="33" spans="1:37" ht="13.8" x14ac:dyDescent="0.3">
      <c r="A33" s="215" t="s">
        <v>441</v>
      </c>
      <c r="B33" s="77" t="s">
        <v>8</v>
      </c>
      <c r="C33" s="77" t="s">
        <v>234</v>
      </c>
      <c r="D33" s="77">
        <v>45791</v>
      </c>
      <c r="E33" s="77">
        <v>45792</v>
      </c>
      <c r="F33" s="77" t="s">
        <v>301</v>
      </c>
      <c r="G33" s="77" t="s">
        <v>671</v>
      </c>
      <c r="H33" s="77" t="s">
        <v>441</v>
      </c>
      <c r="I33" s="77" t="s">
        <v>442</v>
      </c>
      <c r="J33" s="77" t="s">
        <v>312</v>
      </c>
      <c r="K33" s="77" t="s">
        <v>305</v>
      </c>
      <c r="L33" s="77" t="s">
        <v>412</v>
      </c>
      <c r="M33" s="233" t="s">
        <v>381</v>
      </c>
      <c r="N33" s="129">
        <v>150000000</v>
      </c>
      <c r="O33" s="77" t="s">
        <v>430</v>
      </c>
      <c r="P33" s="130">
        <v>2.1600000000000001E-2</v>
      </c>
      <c r="Q33" s="130">
        <v>9.6994090299810154E-2</v>
      </c>
      <c r="R33" s="130">
        <v>0.13500719976425171</v>
      </c>
      <c r="S33" s="150">
        <v>104.18</v>
      </c>
      <c r="T33" s="131">
        <v>102.85</v>
      </c>
      <c r="U33" s="129">
        <v>250000</v>
      </c>
      <c r="V33" s="129" t="s">
        <v>28</v>
      </c>
      <c r="W33" s="131">
        <v>1</v>
      </c>
      <c r="X33" s="129">
        <v>659.72</v>
      </c>
      <c r="Y33" s="129">
        <v>10</v>
      </c>
      <c r="Z33" s="129">
        <f t="shared" si="3"/>
        <v>257125</v>
      </c>
      <c r="AA33" s="129">
        <f t="shared" si="11"/>
        <v>257784.72</v>
      </c>
      <c r="AB33" s="129">
        <v>267737.5</v>
      </c>
      <c r="AC33" s="131">
        <v>1.5835616438356164</v>
      </c>
      <c r="AD33" s="151">
        <v>0.11898120000000001</v>
      </c>
      <c r="AE33" s="151">
        <v>8.0973998981282241E-2</v>
      </c>
      <c r="AF33" s="130">
        <f t="shared" si="12"/>
        <v>5.937399898128224E-2</v>
      </c>
      <c r="AG33" s="130">
        <f t="shared" si="13"/>
        <v>0.26675229421475166</v>
      </c>
      <c r="AH33" s="131">
        <f t="shared" si="7"/>
        <v>3.748796249133437</v>
      </c>
      <c r="AI33" s="129">
        <f t="shared" si="14"/>
        <v>33751.799941062927</v>
      </c>
      <c r="AJ33" s="129">
        <f t="shared" si="9"/>
        <v>5400</v>
      </c>
      <c r="AK33" s="127">
        <f t="shared" si="10"/>
        <v>1</v>
      </c>
    </row>
    <row r="34" spans="1:37" ht="13.8" x14ac:dyDescent="0.3">
      <c r="A34" s="215" t="s">
        <v>443</v>
      </c>
      <c r="B34" s="77" t="s">
        <v>8</v>
      </c>
      <c r="C34" s="77" t="s">
        <v>234</v>
      </c>
      <c r="D34" s="77">
        <v>45793</v>
      </c>
      <c r="E34" s="77">
        <v>45797</v>
      </c>
      <c r="F34" s="77" t="s">
        <v>309</v>
      </c>
      <c r="G34" s="77" t="s">
        <v>672</v>
      </c>
      <c r="H34" s="77" t="s">
        <v>443</v>
      </c>
      <c r="I34" s="77" t="s">
        <v>444</v>
      </c>
      <c r="J34" s="77" t="s">
        <v>304</v>
      </c>
      <c r="K34" s="77" t="s">
        <v>313</v>
      </c>
      <c r="L34" s="77" t="s">
        <v>445</v>
      </c>
      <c r="M34" s="233" t="s">
        <v>446</v>
      </c>
      <c r="N34" s="129">
        <v>75000000</v>
      </c>
      <c r="O34" s="77" t="s">
        <v>447</v>
      </c>
      <c r="P34" s="130">
        <v>3.4500000000000003E-2</v>
      </c>
      <c r="Q34" s="130">
        <v>0.132287509645</v>
      </c>
      <c r="R34" s="130">
        <v>0.16990000000000002</v>
      </c>
      <c r="S34" s="150">
        <v>102.83</v>
      </c>
      <c r="T34" s="131">
        <v>103.75</v>
      </c>
      <c r="U34" s="129">
        <v>250000</v>
      </c>
      <c r="V34" s="129" t="s">
        <v>28</v>
      </c>
      <c r="W34" s="131">
        <v>1</v>
      </c>
      <c r="X34" s="129">
        <v>2553.06</v>
      </c>
      <c r="Y34" s="129">
        <v>28</v>
      </c>
      <c r="Z34" s="129">
        <f t="shared" si="3"/>
        <v>259375</v>
      </c>
      <c r="AA34" s="129">
        <f t="shared" si="11"/>
        <v>261928.06</v>
      </c>
      <c r="AB34" s="129">
        <v>260100</v>
      </c>
      <c r="AC34" s="131">
        <v>0.30958904109589042</v>
      </c>
      <c r="AD34" s="151">
        <v>0.12294791999999999</v>
      </c>
      <c r="AE34" s="151">
        <v>8.1047922777623349E-2</v>
      </c>
      <c r="AF34" s="130">
        <f t="shared" si="12"/>
        <v>4.6547922777623346E-2</v>
      </c>
      <c r="AG34" s="130">
        <f t="shared" si="13"/>
        <v>0.42567408044077798</v>
      </c>
      <c r="AH34" s="131">
        <f t="shared" si="7"/>
        <v>2.3492151529745895</v>
      </c>
      <c r="AI34" s="129">
        <f t="shared" si="14"/>
        <v>42475.000000000007</v>
      </c>
      <c r="AJ34" s="129">
        <f t="shared" si="9"/>
        <v>8625</v>
      </c>
      <c r="AK34" s="127">
        <f t="shared" si="10"/>
        <v>1</v>
      </c>
    </row>
    <row r="35" spans="1:37" ht="13.8" x14ac:dyDescent="0.3">
      <c r="A35" s="215" t="s">
        <v>448</v>
      </c>
      <c r="B35" s="77" t="s">
        <v>8</v>
      </c>
      <c r="C35" s="77" t="s">
        <v>234</v>
      </c>
      <c r="D35" s="77">
        <v>45797</v>
      </c>
      <c r="E35" s="77">
        <v>45798</v>
      </c>
      <c r="F35" s="77" t="s">
        <v>301</v>
      </c>
      <c r="G35" s="77" t="s">
        <v>449</v>
      </c>
      <c r="H35" s="77" t="s">
        <v>448</v>
      </c>
      <c r="I35" s="77" t="s">
        <v>450</v>
      </c>
      <c r="J35" s="77" t="s">
        <v>312</v>
      </c>
      <c r="K35" s="77" t="s">
        <v>305</v>
      </c>
      <c r="L35" s="77" t="s">
        <v>451</v>
      </c>
      <c r="M35" s="233" t="s">
        <v>452</v>
      </c>
      <c r="N35" s="129">
        <v>95000000</v>
      </c>
      <c r="O35" s="77" t="s">
        <v>334</v>
      </c>
      <c r="P35" s="130">
        <v>2.64E-2</v>
      </c>
      <c r="Q35" s="130">
        <v>5.9938890575550269E-2</v>
      </c>
      <c r="R35" s="130">
        <v>9.849999999999999E-2</v>
      </c>
      <c r="S35" s="150">
        <v>102.15</v>
      </c>
      <c r="T35" s="131">
        <v>101.85</v>
      </c>
      <c r="U35" s="129">
        <v>250000</v>
      </c>
      <c r="V35" s="129" t="s">
        <v>28</v>
      </c>
      <c r="W35" s="131">
        <v>1</v>
      </c>
      <c r="X35" s="129">
        <v>0</v>
      </c>
      <c r="Y35" s="129">
        <v>0</v>
      </c>
      <c r="Z35" s="129">
        <f t="shared" si="3"/>
        <v>254625</v>
      </c>
      <c r="AA35" s="129">
        <f t="shared" si="11"/>
        <v>254625</v>
      </c>
      <c r="AB35" s="129">
        <v>256025</v>
      </c>
      <c r="AC35" s="131">
        <v>2.1232876712328768</v>
      </c>
      <c r="AD35" s="151">
        <v>9.3113240000000014E-2</v>
      </c>
      <c r="AE35" s="151">
        <v>5.1913241596361126E-2</v>
      </c>
      <c r="AF35" s="130">
        <f t="shared" si="12"/>
        <v>2.5513241596361126E-2</v>
      </c>
      <c r="AG35" s="130">
        <f t="shared" si="13"/>
        <v>0.50854077280064347</v>
      </c>
      <c r="AH35" s="131">
        <f t="shared" si="7"/>
        <v>1.9664106665288308</v>
      </c>
      <c r="AI35" s="129">
        <f t="shared" si="14"/>
        <v>24624.999999999996</v>
      </c>
      <c r="AJ35" s="129">
        <f t="shared" si="9"/>
        <v>6600</v>
      </c>
      <c r="AK35" s="127">
        <f t="shared" si="10"/>
        <v>1</v>
      </c>
    </row>
    <row r="36" spans="1:37" ht="13.8" x14ac:dyDescent="0.3">
      <c r="A36" s="215" t="s">
        <v>453</v>
      </c>
      <c r="B36" s="77" t="s">
        <v>8</v>
      </c>
      <c r="C36" s="77" t="s">
        <v>234</v>
      </c>
      <c r="D36" s="77">
        <v>45805</v>
      </c>
      <c r="E36" s="77">
        <v>45806</v>
      </c>
      <c r="F36" s="77" t="s">
        <v>309</v>
      </c>
      <c r="G36" s="77" t="s">
        <v>454</v>
      </c>
      <c r="H36" s="77" t="s">
        <v>453</v>
      </c>
      <c r="I36" s="77" t="s">
        <v>455</v>
      </c>
      <c r="J36" s="77" t="s">
        <v>312</v>
      </c>
      <c r="K36" s="77" t="s">
        <v>305</v>
      </c>
      <c r="L36" s="77" t="s">
        <v>456</v>
      </c>
      <c r="M36" s="233" t="s">
        <v>457</v>
      </c>
      <c r="N36" s="129">
        <v>50000000</v>
      </c>
      <c r="O36" s="77" t="s">
        <v>458</v>
      </c>
      <c r="P36" s="130">
        <v>2.12E-2</v>
      </c>
      <c r="Q36" s="130">
        <v>8.9036969351987266E-2</v>
      </c>
      <c r="R36" s="130">
        <v>0.1278</v>
      </c>
      <c r="S36" s="150">
        <v>101.46</v>
      </c>
      <c r="T36" s="131">
        <v>101.6</v>
      </c>
      <c r="U36" s="129">
        <v>250000</v>
      </c>
      <c r="V36" s="129" t="s">
        <v>28</v>
      </c>
      <c r="W36" s="131">
        <v>1</v>
      </c>
      <c r="X36" s="129">
        <v>3892.36</v>
      </c>
      <c r="Y36" s="129">
        <v>59</v>
      </c>
      <c r="Z36" s="129">
        <f t="shared" si="3"/>
        <v>254000</v>
      </c>
      <c r="AA36" s="129">
        <f t="shared" si="11"/>
        <v>257892.36</v>
      </c>
      <c r="AB36" s="129">
        <v>258525</v>
      </c>
      <c r="AC36" s="131">
        <v>1.1698630136986301</v>
      </c>
      <c r="AD36" s="151">
        <v>0.11989819</v>
      </c>
      <c r="AE36" s="151">
        <v>7.8098191190205071E-2</v>
      </c>
      <c r="AF36" s="130">
        <f t="shared" si="12"/>
        <v>5.6898191190205075E-2</v>
      </c>
      <c r="AG36" s="130">
        <f t="shared" si="13"/>
        <v>0.27145314989905767</v>
      </c>
      <c r="AH36" s="131">
        <f t="shared" si="7"/>
        <v>3.6838769429342011</v>
      </c>
      <c r="AI36" s="129">
        <f t="shared" si="14"/>
        <v>31950</v>
      </c>
      <c r="AJ36" s="129">
        <f t="shared" si="9"/>
        <v>5300</v>
      </c>
      <c r="AK36" s="127">
        <f t="shared" si="10"/>
        <v>1</v>
      </c>
    </row>
    <row r="37" spans="1:37" ht="13.8" x14ac:dyDescent="0.3">
      <c r="A37" s="215" t="s">
        <v>459</v>
      </c>
      <c r="B37" s="77" t="s">
        <v>8</v>
      </c>
      <c r="C37" s="77" t="s">
        <v>234</v>
      </c>
      <c r="D37" s="77">
        <v>45834</v>
      </c>
      <c r="E37" s="77">
        <v>45835</v>
      </c>
      <c r="F37" s="77" t="s">
        <v>301</v>
      </c>
      <c r="G37" s="77" t="s">
        <v>460</v>
      </c>
      <c r="H37" s="77" t="s">
        <v>459</v>
      </c>
      <c r="I37" s="77" t="s">
        <v>461</v>
      </c>
      <c r="J37" s="77" t="s">
        <v>312</v>
      </c>
      <c r="K37" s="77" t="s">
        <v>305</v>
      </c>
      <c r="L37" s="77" t="s">
        <v>462</v>
      </c>
      <c r="M37" s="233" t="s">
        <v>463</v>
      </c>
      <c r="N37" s="129">
        <v>475000000</v>
      </c>
      <c r="O37" s="77" t="s">
        <v>464</v>
      </c>
      <c r="P37" s="130">
        <v>5.6599999999999998E-2</v>
      </c>
      <c r="Q37" s="130">
        <v>0.14340064727609322</v>
      </c>
      <c r="R37" s="130">
        <v>0.18210000000000001</v>
      </c>
      <c r="S37" s="150">
        <v>105.48</v>
      </c>
      <c r="T37" s="131">
        <v>102.8</v>
      </c>
      <c r="U37" s="129">
        <v>250000</v>
      </c>
      <c r="V37" s="129" t="s">
        <v>28</v>
      </c>
      <c r="W37" s="131">
        <v>1</v>
      </c>
      <c r="X37" s="129">
        <v>2041.67</v>
      </c>
      <c r="Y37" s="129">
        <v>21</v>
      </c>
      <c r="Z37" s="129">
        <f t="shared" si="3"/>
        <v>257000</v>
      </c>
      <c r="AA37" s="129">
        <f>Z37+X37</f>
        <v>259041.67</v>
      </c>
      <c r="AB37" s="129">
        <v>268000</v>
      </c>
      <c r="AC37" s="131">
        <v>1.3452054794520547</v>
      </c>
      <c r="AD37" s="151">
        <v>0.16563422</v>
      </c>
      <c r="AE37" s="151">
        <v>0.12473422429667366</v>
      </c>
      <c r="AF37" s="130">
        <f t="shared" si="12"/>
        <v>6.8134224296673665E-2</v>
      </c>
      <c r="AG37" s="130">
        <f t="shared" si="13"/>
        <v>0.45376479726510288</v>
      </c>
      <c r="AH37" s="131">
        <f t="shared" si="7"/>
        <v>2.2037848815666727</v>
      </c>
      <c r="AI37" s="129">
        <f t="shared" si="14"/>
        <v>45525</v>
      </c>
      <c r="AJ37" s="129">
        <f t="shared" si="9"/>
        <v>14150</v>
      </c>
      <c r="AK37" s="127">
        <f t="shared" si="10"/>
        <v>1</v>
      </c>
    </row>
    <row r="38" spans="1:37" ht="13.8" x14ac:dyDescent="0.3">
      <c r="A38" s="215" t="s">
        <v>465</v>
      </c>
      <c r="B38" s="77" t="s">
        <v>8</v>
      </c>
      <c r="C38" s="77" t="s">
        <v>234</v>
      </c>
      <c r="D38" s="77">
        <v>45859</v>
      </c>
      <c r="E38" s="77">
        <v>45860</v>
      </c>
      <c r="F38" s="77" t="s">
        <v>309</v>
      </c>
      <c r="G38" s="77" t="s">
        <v>673</v>
      </c>
      <c r="H38" s="77" t="s">
        <v>465</v>
      </c>
      <c r="I38" s="77" t="s">
        <v>455</v>
      </c>
      <c r="J38" s="77" t="s">
        <v>312</v>
      </c>
      <c r="K38" s="77" t="s">
        <v>305</v>
      </c>
      <c r="L38" s="77" t="s">
        <v>466</v>
      </c>
      <c r="M38" s="233" t="s">
        <v>467</v>
      </c>
      <c r="N38" s="129">
        <v>75000000</v>
      </c>
      <c r="O38" s="77" t="s">
        <v>458</v>
      </c>
      <c r="P38" s="130">
        <v>0.03</v>
      </c>
      <c r="Q38" s="130">
        <v>8.241739053348697E-2</v>
      </c>
      <c r="R38" s="130">
        <v>0.1211</v>
      </c>
      <c r="S38" s="150">
        <v>100.27</v>
      </c>
      <c r="T38" s="131">
        <v>99.3</v>
      </c>
      <c r="U38" s="129">
        <v>250000</v>
      </c>
      <c r="V38" s="129" t="s">
        <v>28</v>
      </c>
      <c r="W38" s="131">
        <v>1</v>
      </c>
      <c r="X38" s="129">
        <v>1260.42</v>
      </c>
      <c r="Y38" s="129">
        <v>22</v>
      </c>
      <c r="Z38" s="129">
        <f t="shared" si="3"/>
        <v>248250</v>
      </c>
      <c r="AA38" s="129">
        <f t="shared" ref="AA38:AA46" si="15">Z38+X38</f>
        <v>249510.42</v>
      </c>
      <c r="AB38" s="129">
        <v>258825</v>
      </c>
      <c r="AC38" s="131">
        <v>2.1698630136986301</v>
      </c>
      <c r="AD38" s="151">
        <v>0.12753048</v>
      </c>
      <c r="AE38" s="151">
        <v>8.5730482812476083E-2</v>
      </c>
      <c r="AF38" s="130">
        <f>AE38-P38</f>
        <v>5.5730482812476084E-2</v>
      </c>
      <c r="AG38" s="130">
        <f>P38/AE38</f>
        <v>0.34993387434456619</v>
      </c>
      <c r="AH38" s="131">
        <f>1/AG38</f>
        <v>2.8576827604158699</v>
      </c>
      <c r="AI38" s="129">
        <f>U38*R38</f>
        <v>30275</v>
      </c>
      <c r="AJ38" s="129">
        <f t="shared" si="9"/>
        <v>7500</v>
      </c>
      <c r="AK38" s="127">
        <f t="shared" si="10"/>
        <v>1</v>
      </c>
    </row>
    <row r="39" spans="1:37" ht="13.8" x14ac:dyDescent="0.3">
      <c r="A39" s="215" t="s">
        <v>468</v>
      </c>
      <c r="B39" s="77" t="s">
        <v>8</v>
      </c>
      <c r="C39" s="77" t="s">
        <v>234</v>
      </c>
      <c r="D39" s="77">
        <v>45866</v>
      </c>
      <c r="E39" s="77">
        <v>45867</v>
      </c>
      <c r="F39" s="77" t="s">
        <v>309</v>
      </c>
      <c r="G39" s="77" t="s">
        <v>469</v>
      </c>
      <c r="H39" s="77" t="s">
        <v>468</v>
      </c>
      <c r="I39" s="77" t="s">
        <v>470</v>
      </c>
      <c r="J39" s="77" t="s">
        <v>312</v>
      </c>
      <c r="K39" s="77" t="s">
        <v>305</v>
      </c>
      <c r="L39" s="77" t="s">
        <v>471</v>
      </c>
      <c r="M39" s="233" t="s">
        <v>425</v>
      </c>
      <c r="N39" s="129">
        <v>110000000</v>
      </c>
      <c r="O39" s="77" t="s">
        <v>472</v>
      </c>
      <c r="P39" s="130">
        <v>9.1999999999999998E-3</v>
      </c>
      <c r="Q39" s="130">
        <v>6.7395658018000001E-2</v>
      </c>
      <c r="R39" s="130">
        <v>0.106</v>
      </c>
      <c r="S39" s="150">
        <v>103.16</v>
      </c>
      <c r="T39" s="131">
        <v>103.1</v>
      </c>
      <c r="U39" s="129">
        <v>250000</v>
      </c>
      <c r="V39" s="129" t="s">
        <v>28</v>
      </c>
      <c r="W39" s="131">
        <v>1</v>
      </c>
      <c r="X39" s="129">
        <v>1041.94</v>
      </c>
      <c r="Y39" s="129">
        <v>22</v>
      </c>
      <c r="Z39" s="129">
        <f t="shared" si="3"/>
        <v>257750</v>
      </c>
      <c r="AA39" s="129">
        <f t="shared" si="15"/>
        <v>258791.94</v>
      </c>
      <c r="AB39" s="129">
        <v>258800</v>
      </c>
      <c r="AC39" s="131">
        <v>0.57808219178082187</v>
      </c>
      <c r="AD39" s="151">
        <v>7.1520619999999993E-2</v>
      </c>
      <c r="AE39" s="151">
        <v>3.0320615416633865E-2</v>
      </c>
      <c r="AF39" s="130">
        <f t="shared" ref="AF39:AF62" si="16">AE39-P39</f>
        <v>2.1120615416633865E-2</v>
      </c>
      <c r="AG39" s="130">
        <f t="shared" ref="AG39:AG62" si="17">P39/AE39</f>
        <v>0.3034239204443353</v>
      </c>
      <c r="AH39" s="131">
        <f t="shared" si="7"/>
        <v>3.2957190670254199</v>
      </c>
      <c r="AI39" s="129">
        <f t="shared" ref="AI39:AI62" si="18">U39*R39</f>
        <v>26500</v>
      </c>
      <c r="AJ39" s="129">
        <f t="shared" si="9"/>
        <v>2300</v>
      </c>
      <c r="AK39" s="127">
        <f t="shared" si="10"/>
        <v>1</v>
      </c>
    </row>
    <row r="40" spans="1:37" ht="13.8" x14ac:dyDescent="0.3">
      <c r="A40" s="215" t="s">
        <v>473</v>
      </c>
      <c r="B40" s="77" t="s">
        <v>8</v>
      </c>
      <c r="C40" s="77" t="s">
        <v>234</v>
      </c>
      <c r="D40" s="77">
        <v>45889</v>
      </c>
      <c r="E40" s="77">
        <v>45890</v>
      </c>
      <c r="F40" s="77" t="s">
        <v>474</v>
      </c>
      <c r="G40" s="77" t="s">
        <v>674</v>
      </c>
      <c r="H40" s="77" t="s">
        <v>473</v>
      </c>
      <c r="I40" s="77" t="s">
        <v>337</v>
      </c>
      <c r="J40" s="77" t="s">
        <v>312</v>
      </c>
      <c r="K40" s="77" t="s">
        <v>305</v>
      </c>
      <c r="L40" s="77" t="s">
        <v>475</v>
      </c>
      <c r="M40" s="233" t="s">
        <v>476</v>
      </c>
      <c r="N40" s="129">
        <v>75000000</v>
      </c>
      <c r="O40" s="77" t="s">
        <v>340</v>
      </c>
      <c r="P40" s="130">
        <v>8.0999999999999996E-3</v>
      </c>
      <c r="Q40" s="130">
        <v>6.752097480611581E-2</v>
      </c>
      <c r="R40" s="130">
        <v>0.10647999877929687</v>
      </c>
      <c r="S40" s="150">
        <v>102.32</v>
      </c>
      <c r="T40" s="131">
        <v>102.925</v>
      </c>
      <c r="U40" s="129">
        <v>250000</v>
      </c>
      <c r="V40" s="129" t="s">
        <v>28</v>
      </c>
      <c r="W40" s="131">
        <v>1</v>
      </c>
      <c r="X40" s="129">
        <v>471.39</v>
      </c>
      <c r="Y40" s="129">
        <v>10</v>
      </c>
      <c r="Z40" s="129">
        <f t="shared" si="3"/>
        <v>257312.5</v>
      </c>
      <c r="AA40" s="129">
        <f t="shared" si="15"/>
        <v>257783.89</v>
      </c>
      <c r="AB40" s="129">
        <v>253750</v>
      </c>
      <c r="AC40" s="131">
        <v>0.33698630136986302</v>
      </c>
      <c r="AD40" s="151">
        <v>5.5554730000000004E-2</v>
      </c>
      <c r="AE40" s="151">
        <v>1.3954731692494411E-2</v>
      </c>
      <c r="AF40" s="130">
        <f t="shared" si="16"/>
        <v>5.8547316924944109E-3</v>
      </c>
      <c r="AG40" s="130">
        <f t="shared" si="17"/>
        <v>0.58044827937154864</v>
      </c>
      <c r="AH40" s="131">
        <f t="shared" si="7"/>
        <v>1.7228063817894335</v>
      </c>
      <c r="AI40" s="129">
        <f t="shared" si="18"/>
        <v>26619.999694824219</v>
      </c>
      <c r="AJ40" s="129">
        <f t="shared" si="9"/>
        <v>2025</v>
      </c>
      <c r="AK40" s="127">
        <f t="shared" si="10"/>
        <v>1</v>
      </c>
    </row>
    <row r="41" spans="1:37" ht="13.8" x14ac:dyDescent="0.3">
      <c r="A41" s="215" t="s">
        <v>477</v>
      </c>
      <c r="B41" s="77" t="s">
        <v>8</v>
      </c>
      <c r="C41" s="77" t="s">
        <v>234</v>
      </c>
      <c r="D41" s="77">
        <v>45908</v>
      </c>
      <c r="E41" s="77">
        <v>45909</v>
      </c>
      <c r="F41" s="77" t="s">
        <v>309</v>
      </c>
      <c r="G41" s="77" t="s">
        <v>478</v>
      </c>
      <c r="H41" s="77" t="s">
        <v>477</v>
      </c>
      <c r="I41" s="77" t="s">
        <v>423</v>
      </c>
      <c r="J41" s="77" t="s">
        <v>312</v>
      </c>
      <c r="K41" s="77" t="s">
        <v>305</v>
      </c>
      <c r="L41" s="77" t="s">
        <v>424</v>
      </c>
      <c r="M41" s="233" t="s">
        <v>425</v>
      </c>
      <c r="N41" s="129">
        <v>50000000</v>
      </c>
      <c r="O41" s="77" t="s">
        <v>340</v>
      </c>
      <c r="P41" s="130">
        <v>2.7799999999999998E-2</v>
      </c>
      <c r="Q41" s="130">
        <v>8.218366968932618E-2</v>
      </c>
      <c r="R41" s="130">
        <v>0.12100000000000001</v>
      </c>
      <c r="S41" s="150">
        <v>102.43</v>
      </c>
      <c r="T41" s="131">
        <v>102.75</v>
      </c>
      <c r="U41" s="129">
        <v>250000</v>
      </c>
      <c r="V41" s="129" t="s">
        <v>28</v>
      </c>
      <c r="W41" s="131">
        <v>1</v>
      </c>
      <c r="X41" s="129">
        <v>57.08</v>
      </c>
      <c r="Y41" s="129">
        <v>1</v>
      </c>
      <c r="Z41" s="129">
        <f t="shared" si="3"/>
        <v>256875</v>
      </c>
      <c r="AA41" s="129">
        <f t="shared" si="15"/>
        <v>256932.08</v>
      </c>
      <c r="AB41" s="129">
        <v>255837.5</v>
      </c>
      <c r="AC41" s="131">
        <v>0.57808219178082187</v>
      </c>
      <c r="AD41" s="151">
        <v>8.541536000000001E-2</v>
      </c>
      <c r="AE41" s="151">
        <v>4.4415359755865823E-2</v>
      </c>
      <c r="AF41" s="130">
        <f t="shared" si="16"/>
        <v>1.6615359755865824E-2</v>
      </c>
      <c r="AG41" s="130">
        <f t="shared" si="17"/>
        <v>0.62590959867950913</v>
      </c>
      <c r="AH41" s="131">
        <f t="shared" si="7"/>
        <v>1.59767481136208</v>
      </c>
      <c r="AI41" s="129">
        <f t="shared" si="18"/>
        <v>30250.000000000004</v>
      </c>
      <c r="AJ41" s="129">
        <f t="shared" si="9"/>
        <v>6950</v>
      </c>
      <c r="AK41" s="127">
        <f t="shared" si="10"/>
        <v>1</v>
      </c>
    </row>
    <row r="42" spans="1:37" ht="13.8" x14ac:dyDescent="0.3">
      <c r="A42" s="215" t="s">
        <v>479</v>
      </c>
      <c r="B42" s="77" t="s">
        <v>8</v>
      </c>
      <c r="C42" s="77" t="s">
        <v>234</v>
      </c>
      <c r="D42" s="77">
        <v>45908</v>
      </c>
      <c r="E42" s="77">
        <v>45909</v>
      </c>
      <c r="F42" s="77" t="s">
        <v>301</v>
      </c>
      <c r="G42" s="77" t="s">
        <v>675</v>
      </c>
      <c r="H42" s="77" t="s">
        <v>479</v>
      </c>
      <c r="I42" s="77" t="s">
        <v>480</v>
      </c>
      <c r="J42" s="77" t="s">
        <v>312</v>
      </c>
      <c r="K42" s="77" t="s">
        <v>305</v>
      </c>
      <c r="L42" s="77" t="s">
        <v>481</v>
      </c>
      <c r="M42" s="233" t="s">
        <v>434</v>
      </c>
      <c r="N42" s="129">
        <v>115000000</v>
      </c>
      <c r="O42" s="77" t="s">
        <v>376</v>
      </c>
      <c r="P42" s="130">
        <v>2.3300000000000001E-2</v>
      </c>
      <c r="Q42" s="130">
        <v>8.6685892764000003E-2</v>
      </c>
      <c r="R42" s="130">
        <v>0.12510719976425172</v>
      </c>
      <c r="S42" s="150">
        <v>103.48</v>
      </c>
      <c r="T42" s="131">
        <v>103.85</v>
      </c>
      <c r="U42" s="129">
        <v>250000</v>
      </c>
      <c r="V42" s="129" t="s">
        <v>28</v>
      </c>
      <c r="W42" s="131">
        <v>1</v>
      </c>
      <c r="X42" s="129">
        <v>3266.25</v>
      </c>
      <c r="Y42" s="129">
        <v>54</v>
      </c>
      <c r="Z42" s="129">
        <f t="shared" si="3"/>
        <v>259625</v>
      </c>
      <c r="AA42" s="129">
        <f t="shared" si="15"/>
        <v>262891.25</v>
      </c>
      <c r="AB42" s="129">
        <v>260362.5</v>
      </c>
      <c r="AC42" s="131">
        <v>0.58356164383561648</v>
      </c>
      <c r="AD42" s="151">
        <v>6.6715150000000001E-2</v>
      </c>
      <c r="AE42" s="151">
        <v>2.870795121940551E-2</v>
      </c>
      <c r="AF42" s="130">
        <f t="shared" si="16"/>
        <v>5.4079512194055088E-3</v>
      </c>
      <c r="AG42" s="130">
        <f t="shared" si="17"/>
        <v>0.81162183333549998</v>
      </c>
      <c r="AH42" s="131">
        <f t="shared" si="7"/>
        <v>1.232100910704099</v>
      </c>
      <c r="AI42" s="129">
        <f t="shared" si="18"/>
        <v>31276.799941062931</v>
      </c>
      <c r="AJ42" s="129">
        <f>U42*P42</f>
        <v>5825</v>
      </c>
      <c r="AK42" s="127">
        <f t="shared" si="10"/>
        <v>1</v>
      </c>
    </row>
    <row r="43" spans="1:37" ht="13.8" x14ac:dyDescent="0.3">
      <c r="A43" s="215" t="s">
        <v>482</v>
      </c>
      <c r="B43" s="77" t="s">
        <v>8</v>
      </c>
      <c r="C43" s="77" t="s">
        <v>234</v>
      </c>
      <c r="D43" s="77">
        <v>45908</v>
      </c>
      <c r="E43" s="77">
        <v>45909</v>
      </c>
      <c r="F43" s="77" t="s">
        <v>301</v>
      </c>
      <c r="G43" s="77" t="s">
        <v>676</v>
      </c>
      <c r="H43" s="77" t="s">
        <v>482</v>
      </c>
      <c r="I43" s="77" t="s">
        <v>379</v>
      </c>
      <c r="J43" s="77" t="s">
        <v>312</v>
      </c>
      <c r="K43" s="77" t="s">
        <v>305</v>
      </c>
      <c r="L43" s="77" t="s">
        <v>483</v>
      </c>
      <c r="M43" s="233" t="s">
        <v>425</v>
      </c>
      <c r="N43" s="129">
        <v>100000000</v>
      </c>
      <c r="O43" s="77" t="s">
        <v>382</v>
      </c>
      <c r="P43" s="130">
        <v>1.54E-2</v>
      </c>
      <c r="Q43" s="130">
        <v>0.10560776551218654</v>
      </c>
      <c r="R43" s="130">
        <v>0.14380719976425171</v>
      </c>
      <c r="S43" s="150">
        <v>103.29</v>
      </c>
      <c r="T43" s="131">
        <v>102.9</v>
      </c>
      <c r="U43" s="129">
        <v>250000</v>
      </c>
      <c r="V43" s="129" t="s">
        <v>28</v>
      </c>
      <c r="W43" s="131">
        <v>1</v>
      </c>
      <c r="X43" s="129">
        <v>293.89</v>
      </c>
      <c r="Y43" s="129">
        <v>4</v>
      </c>
      <c r="Z43" s="129">
        <f t="shared" si="3"/>
        <v>257250</v>
      </c>
      <c r="AA43" s="129">
        <f t="shared" si="15"/>
        <v>257543.89</v>
      </c>
      <c r="AB43" s="129">
        <v>264450</v>
      </c>
      <c r="AC43" s="131">
        <v>0.57808219178082187</v>
      </c>
      <c r="AD43" s="151">
        <v>9.965251E-2</v>
      </c>
      <c r="AE43" s="151">
        <v>6.1645314554845482E-2</v>
      </c>
      <c r="AF43" s="130">
        <f t="shared" si="16"/>
        <v>4.6245314554845485E-2</v>
      </c>
      <c r="AG43" s="130">
        <f t="shared" si="17"/>
        <v>0.24981622871432846</v>
      </c>
      <c r="AH43" s="131">
        <f t="shared" si="7"/>
        <v>4.0029425035613952</v>
      </c>
      <c r="AI43" s="129">
        <f t="shared" si="18"/>
        <v>35951.799941062927</v>
      </c>
      <c r="AJ43" s="129">
        <f t="shared" si="9"/>
        <v>3850</v>
      </c>
      <c r="AK43" s="127">
        <f t="shared" si="10"/>
        <v>1</v>
      </c>
    </row>
    <row r="44" spans="1:37" ht="13.8" x14ac:dyDescent="0.3">
      <c r="A44" s="215" t="s">
        <v>679</v>
      </c>
      <c r="B44" s="77" t="s">
        <v>8</v>
      </c>
      <c r="C44" s="77" t="s">
        <v>234</v>
      </c>
      <c r="D44" s="77">
        <v>45912</v>
      </c>
      <c r="E44" s="77">
        <v>45917</v>
      </c>
      <c r="F44" s="77" t="s">
        <v>677</v>
      </c>
      <c r="G44" s="77" t="s">
        <v>678</v>
      </c>
      <c r="H44" s="77" t="s">
        <v>679</v>
      </c>
      <c r="I44" s="77" t="s">
        <v>677</v>
      </c>
      <c r="J44" s="77" t="s">
        <v>304</v>
      </c>
      <c r="K44" s="77" t="s">
        <v>313</v>
      </c>
      <c r="L44" s="77">
        <v>45917</v>
      </c>
      <c r="M44" s="233">
        <v>47013</v>
      </c>
      <c r="N44" s="129">
        <v>60000000</v>
      </c>
      <c r="O44" s="77" t="s">
        <v>680</v>
      </c>
      <c r="P44" s="130">
        <v>9.7000000000000003E-3</v>
      </c>
      <c r="Q44" s="130">
        <v>2.4988381811042064E-2</v>
      </c>
      <c r="R44" s="130">
        <v>6.3007199764251703E-2</v>
      </c>
      <c r="S44" s="150">
        <v>0</v>
      </c>
      <c r="T44" s="131">
        <v>100</v>
      </c>
      <c r="U44" s="129">
        <v>250000</v>
      </c>
      <c r="V44" s="129" t="s">
        <v>28</v>
      </c>
      <c r="W44" s="131">
        <v>1</v>
      </c>
      <c r="X44" s="129">
        <v>0</v>
      </c>
      <c r="Y44" s="129">
        <v>0</v>
      </c>
      <c r="Z44" s="129">
        <f t="shared" si="3"/>
        <v>250000</v>
      </c>
      <c r="AA44" s="129">
        <f t="shared" si="15"/>
        <v>250000</v>
      </c>
      <c r="AB44" s="129">
        <v>251762.5</v>
      </c>
      <c r="AC44" s="131">
        <v>2.8657534246575342</v>
      </c>
      <c r="AD44" s="151">
        <v>6.3004889999999994E-2</v>
      </c>
      <c r="AE44" s="151">
        <v>2.4997692551247262E-2</v>
      </c>
      <c r="AF44" s="130">
        <f t="shared" si="16"/>
        <v>1.5297692551247261E-2</v>
      </c>
      <c r="AG44" s="130">
        <f t="shared" si="17"/>
        <v>0.38803581491028533</v>
      </c>
      <c r="AH44" s="131">
        <f t="shared" si="7"/>
        <v>2.5770817063141505</v>
      </c>
      <c r="AI44" s="129">
        <f t="shared" si="18"/>
        <v>15751.799941062925</v>
      </c>
      <c r="AJ44" s="129">
        <f t="shared" si="9"/>
        <v>2425</v>
      </c>
      <c r="AK44" s="127">
        <f t="shared" si="10"/>
        <v>1</v>
      </c>
    </row>
    <row r="45" spans="1:37" ht="13.8" x14ac:dyDescent="0.3">
      <c r="A45" s="215" t="s">
        <v>509</v>
      </c>
      <c r="B45" s="77" t="s">
        <v>8</v>
      </c>
      <c r="C45" s="77" t="s">
        <v>234</v>
      </c>
      <c r="D45" s="77">
        <v>45917</v>
      </c>
      <c r="E45" s="77">
        <v>45918</v>
      </c>
      <c r="F45" s="77" t="s">
        <v>301</v>
      </c>
      <c r="G45" s="77" t="s">
        <v>681</v>
      </c>
      <c r="H45" s="77" t="s">
        <v>509</v>
      </c>
      <c r="I45" s="77" t="s">
        <v>303</v>
      </c>
      <c r="J45" s="77" t="s">
        <v>304</v>
      </c>
      <c r="K45" s="77" t="s">
        <v>305</v>
      </c>
      <c r="L45" s="77" t="s">
        <v>682</v>
      </c>
      <c r="M45" s="233" t="s">
        <v>683</v>
      </c>
      <c r="N45" s="129">
        <v>150000000</v>
      </c>
      <c r="O45" s="77" t="s">
        <v>308</v>
      </c>
      <c r="P45" s="130">
        <v>1.54E-2</v>
      </c>
      <c r="Q45" s="130">
        <v>3.9706274991874312E-2</v>
      </c>
      <c r="R45" s="130">
        <v>7.7952500000000008E-2</v>
      </c>
      <c r="S45" s="150">
        <v>103.74</v>
      </c>
      <c r="T45" s="131">
        <v>104.5</v>
      </c>
      <c r="U45" s="129">
        <v>250000</v>
      </c>
      <c r="V45" s="129" t="s">
        <v>28</v>
      </c>
      <c r="W45" s="131">
        <v>1</v>
      </c>
      <c r="X45" s="129">
        <v>4444.07</v>
      </c>
      <c r="Y45" s="129">
        <v>79</v>
      </c>
      <c r="Z45" s="129">
        <f t="shared" si="3"/>
        <v>261250</v>
      </c>
      <c r="AA45" s="129">
        <f t="shared" si="15"/>
        <v>265694.07</v>
      </c>
      <c r="AB45" s="129">
        <v>261025</v>
      </c>
      <c r="AC45" s="131">
        <v>2.506849315068493</v>
      </c>
      <c r="AD45" s="151">
        <v>6.1684509999999998E-2</v>
      </c>
      <c r="AE45" s="151">
        <v>2.1454116404083068E-2</v>
      </c>
      <c r="AF45" s="130">
        <f t="shared" si="16"/>
        <v>6.0541164040830674E-3</v>
      </c>
      <c r="AG45" s="130">
        <f t="shared" si="17"/>
        <v>0.71781096503555508</v>
      </c>
      <c r="AH45" s="131">
        <f t="shared" si="7"/>
        <v>1.3931244418235758</v>
      </c>
      <c r="AI45" s="129">
        <f t="shared" si="18"/>
        <v>19488.125000000004</v>
      </c>
      <c r="AJ45" s="129">
        <f t="shared" si="9"/>
        <v>3850</v>
      </c>
      <c r="AK45" s="127">
        <f t="shared" si="10"/>
        <v>1</v>
      </c>
    </row>
    <row r="46" spans="1:37" ht="13.8" x14ac:dyDescent="0.3">
      <c r="A46" s="215" t="s">
        <v>520</v>
      </c>
      <c r="B46" s="77" t="s">
        <v>8</v>
      </c>
      <c r="C46" s="77" t="s">
        <v>234</v>
      </c>
      <c r="D46" s="77">
        <v>45918</v>
      </c>
      <c r="E46" s="77">
        <v>45919</v>
      </c>
      <c r="F46" s="77" t="s">
        <v>474</v>
      </c>
      <c r="G46" s="77" t="s">
        <v>684</v>
      </c>
      <c r="H46" s="77" t="s">
        <v>520</v>
      </c>
      <c r="I46" s="77" t="s">
        <v>685</v>
      </c>
      <c r="J46" s="77" t="s">
        <v>312</v>
      </c>
      <c r="K46" s="77" t="s">
        <v>313</v>
      </c>
      <c r="L46" s="77" t="s">
        <v>686</v>
      </c>
      <c r="M46" s="233" t="s">
        <v>687</v>
      </c>
      <c r="N46" s="129">
        <v>50000000</v>
      </c>
      <c r="O46" s="77" t="s">
        <v>688</v>
      </c>
      <c r="P46" s="130">
        <v>3.78E-2</v>
      </c>
      <c r="Q46" s="130">
        <v>7.9826155574328886E-2</v>
      </c>
      <c r="R46" s="130">
        <v>0.11890000000000001</v>
      </c>
      <c r="S46" s="150">
        <v>100.43</v>
      </c>
      <c r="T46" s="131">
        <v>104.65</v>
      </c>
      <c r="U46" s="129">
        <v>250000</v>
      </c>
      <c r="V46" s="129" t="s">
        <v>28</v>
      </c>
      <c r="W46" s="131">
        <v>1</v>
      </c>
      <c r="X46" s="129">
        <v>2333.33</v>
      </c>
      <c r="Y46" s="129">
        <v>42</v>
      </c>
      <c r="Z46" s="129">
        <f t="shared" si="3"/>
        <v>261625</v>
      </c>
      <c r="AA46" s="129">
        <f t="shared" si="15"/>
        <v>263958.33</v>
      </c>
      <c r="AB46" s="129">
        <v>253575</v>
      </c>
      <c r="AC46" s="131">
        <v>2.504109589041096</v>
      </c>
      <c r="AD46" s="151">
        <v>9.9497470000000005E-2</v>
      </c>
      <c r="AE46" s="151">
        <v>5.9797468299949516E-2</v>
      </c>
      <c r="AF46" s="130">
        <f t="shared" si="16"/>
        <v>2.1997468299949516E-2</v>
      </c>
      <c r="AG46" s="130">
        <f t="shared" si="17"/>
        <v>0.63213378550395771</v>
      </c>
      <c r="AH46" s="131">
        <f t="shared" si="7"/>
        <v>1.5819436058187704</v>
      </c>
      <c r="AI46" s="129">
        <f t="shared" si="18"/>
        <v>29725</v>
      </c>
      <c r="AJ46" s="129">
        <f t="shared" si="9"/>
        <v>9450</v>
      </c>
      <c r="AK46" s="127">
        <f t="shared" si="10"/>
        <v>1</v>
      </c>
    </row>
    <row r="47" spans="1:37" ht="13.8" x14ac:dyDescent="0.3">
      <c r="A47" s="215" t="s">
        <v>518</v>
      </c>
      <c r="B47" s="77" t="s">
        <v>8</v>
      </c>
      <c r="C47" s="77" t="s">
        <v>234</v>
      </c>
      <c r="D47" s="77">
        <v>45929</v>
      </c>
      <c r="E47" s="77">
        <v>45930</v>
      </c>
      <c r="F47" s="77" t="s">
        <v>309</v>
      </c>
      <c r="G47" s="77" t="s">
        <v>695</v>
      </c>
      <c r="H47" s="77" t="s">
        <v>518</v>
      </c>
      <c r="I47" s="77" t="s">
        <v>432</v>
      </c>
      <c r="J47" s="77" t="s">
        <v>304</v>
      </c>
      <c r="K47" s="77" t="s">
        <v>305</v>
      </c>
      <c r="L47" s="77" t="s">
        <v>412</v>
      </c>
      <c r="M47" s="233" t="s">
        <v>434</v>
      </c>
      <c r="N47" s="129">
        <v>400000000</v>
      </c>
      <c r="O47" s="77" t="s">
        <v>435</v>
      </c>
      <c r="P47" s="130">
        <v>3.9399999999999998E-2</v>
      </c>
      <c r="Q47" s="130">
        <v>0.11851947039424285</v>
      </c>
      <c r="R47" s="130">
        <v>0.1573</v>
      </c>
      <c r="S47" s="150">
        <v>104.87</v>
      </c>
      <c r="T47" s="131">
        <v>105.2</v>
      </c>
      <c r="U47" s="129">
        <v>250000</v>
      </c>
      <c r="V47" s="129" t="s">
        <v>28</v>
      </c>
      <c r="W47" s="131">
        <v>1</v>
      </c>
      <c r="X47" s="129">
        <v>1237.5</v>
      </c>
      <c r="Y47" s="129">
        <v>15</v>
      </c>
      <c r="Z47" s="129">
        <f t="shared" si="3"/>
        <v>263000</v>
      </c>
      <c r="AA47" s="129">
        <f>Z47+X47</f>
        <v>264237.5</v>
      </c>
      <c r="AB47" s="129">
        <v>263375</v>
      </c>
      <c r="AC47" s="131">
        <v>0.58356164383561648</v>
      </c>
      <c r="AD47" s="151">
        <v>8.1617250000000002E-2</v>
      </c>
      <c r="AE47" s="151">
        <v>4.1717248175702937E-2</v>
      </c>
      <c r="AF47" s="130">
        <f t="shared" si="16"/>
        <v>2.3172481757029392E-3</v>
      </c>
      <c r="AG47" s="130">
        <f t="shared" si="17"/>
        <v>0.94445347483268183</v>
      </c>
      <c r="AH47" s="131">
        <f t="shared" si="7"/>
        <v>1.058813405474694</v>
      </c>
      <c r="AI47" s="129">
        <f t="shared" si="18"/>
        <v>39325</v>
      </c>
      <c r="AJ47" s="129">
        <f t="shared" si="9"/>
        <v>9850</v>
      </c>
      <c r="AK47" s="127">
        <f t="shared" si="10"/>
        <v>1</v>
      </c>
    </row>
    <row r="48" spans="1:37" ht="13.8" x14ac:dyDescent="0.3">
      <c r="A48" s="215" t="s">
        <v>511</v>
      </c>
      <c r="B48" s="77" t="s">
        <v>8</v>
      </c>
      <c r="C48" s="77" t="s">
        <v>234</v>
      </c>
      <c r="D48" s="77">
        <v>45931</v>
      </c>
      <c r="E48" s="77">
        <v>45932</v>
      </c>
      <c r="F48" s="77" t="s">
        <v>301</v>
      </c>
      <c r="G48" s="77" t="s">
        <v>696</v>
      </c>
      <c r="H48" s="77" t="s">
        <v>511</v>
      </c>
      <c r="I48" s="77" t="s">
        <v>360</v>
      </c>
      <c r="J48" s="77" t="s">
        <v>312</v>
      </c>
      <c r="K48" s="77" t="s">
        <v>305</v>
      </c>
      <c r="L48" s="77" t="s">
        <v>697</v>
      </c>
      <c r="M48" s="233" t="s">
        <v>315</v>
      </c>
      <c r="N48" s="129">
        <v>400000000</v>
      </c>
      <c r="O48" s="77" t="s">
        <v>363</v>
      </c>
      <c r="P48" s="130">
        <v>7.7999999999999996E-3</v>
      </c>
      <c r="Q48" s="130">
        <v>5.5537226117820832E-2</v>
      </c>
      <c r="R48" s="130">
        <v>9.4200000000000006E-2</v>
      </c>
      <c r="S48" s="150">
        <v>103.91</v>
      </c>
      <c r="T48" s="131">
        <v>105.4</v>
      </c>
      <c r="U48" s="129">
        <v>675000</v>
      </c>
      <c r="V48" s="129" t="s">
        <v>28</v>
      </c>
      <c r="W48" s="131">
        <v>1</v>
      </c>
      <c r="X48" s="129">
        <v>312.75</v>
      </c>
      <c r="Y48" s="129">
        <v>3</v>
      </c>
      <c r="Z48" s="129">
        <f t="shared" si="3"/>
        <v>711450</v>
      </c>
      <c r="AA48" s="129">
        <f t="shared" ref="AA48:AA62" si="19">Z48+X48</f>
        <v>711762.75</v>
      </c>
      <c r="AB48" s="129">
        <v>714723.75</v>
      </c>
      <c r="AC48" s="131">
        <v>2.419178082191781</v>
      </c>
      <c r="AD48" s="151">
        <v>7.1962929999999994E-2</v>
      </c>
      <c r="AE48" s="151">
        <v>3.2262928048453043E-2</v>
      </c>
      <c r="AF48" s="130">
        <f t="shared" si="16"/>
        <v>2.4462928048453042E-2</v>
      </c>
      <c r="AG48" s="130">
        <f t="shared" si="17"/>
        <v>0.24176354943003994</v>
      </c>
      <c r="AH48" s="131">
        <f t="shared" si="7"/>
        <v>4.1362728267247491</v>
      </c>
      <c r="AI48" s="129">
        <f t="shared" si="18"/>
        <v>63585.000000000007</v>
      </c>
      <c r="AJ48" s="129">
        <f t="shared" si="9"/>
        <v>5265</v>
      </c>
      <c r="AK48" s="127">
        <f t="shared" si="10"/>
        <v>1</v>
      </c>
    </row>
    <row r="49" spans="1:37" ht="13.8" x14ac:dyDescent="0.3">
      <c r="A49" s="215" t="s">
        <v>514</v>
      </c>
      <c r="B49" s="77" t="s">
        <v>8</v>
      </c>
      <c r="C49" s="77" t="s">
        <v>234</v>
      </c>
      <c r="D49" s="77">
        <v>45939</v>
      </c>
      <c r="E49" s="77">
        <v>45940</v>
      </c>
      <c r="F49" s="77" t="s">
        <v>301</v>
      </c>
      <c r="G49" s="77" t="s">
        <v>698</v>
      </c>
      <c r="H49" s="77" t="s">
        <v>514</v>
      </c>
      <c r="I49" s="77" t="s">
        <v>417</v>
      </c>
      <c r="J49" s="77" t="s">
        <v>312</v>
      </c>
      <c r="K49" s="77" t="s">
        <v>305</v>
      </c>
      <c r="L49" s="77" t="s">
        <v>699</v>
      </c>
      <c r="M49" s="233" t="s">
        <v>700</v>
      </c>
      <c r="N49" s="129">
        <v>250000000</v>
      </c>
      <c r="O49" s="77" t="s">
        <v>420</v>
      </c>
      <c r="P49" s="130">
        <v>1.7500000000000002E-2</v>
      </c>
      <c r="Q49" s="130">
        <v>0.10155835726933092</v>
      </c>
      <c r="R49" s="130">
        <v>0.14069999999999999</v>
      </c>
      <c r="S49" s="150">
        <v>106.04</v>
      </c>
      <c r="T49" s="131">
        <v>107.85</v>
      </c>
      <c r="U49" s="129">
        <v>250000</v>
      </c>
      <c r="V49" s="129" t="s">
        <v>28</v>
      </c>
      <c r="W49" s="131">
        <v>1</v>
      </c>
      <c r="X49" s="129">
        <v>3627.92</v>
      </c>
      <c r="Y49" s="129">
        <v>38</v>
      </c>
      <c r="Z49" s="129">
        <f t="shared" si="3"/>
        <v>269625</v>
      </c>
      <c r="AA49" s="129">
        <f t="shared" si="19"/>
        <v>273252.92</v>
      </c>
      <c r="AB49" s="129">
        <v>269175</v>
      </c>
      <c r="AC49" s="131">
        <v>1.3068493150684932</v>
      </c>
      <c r="AD49" s="151">
        <v>8.1237019999999993E-2</v>
      </c>
      <c r="AE49" s="151">
        <v>4.1937022461208007E-2</v>
      </c>
      <c r="AF49" s="130">
        <f t="shared" si="16"/>
        <v>2.4437022461208005E-2</v>
      </c>
      <c r="AG49" s="130">
        <f t="shared" si="17"/>
        <v>0.41729238207570901</v>
      </c>
      <c r="AH49" s="131">
        <f t="shared" si="7"/>
        <v>2.3964012834976001</v>
      </c>
      <c r="AI49" s="129">
        <f t="shared" si="18"/>
        <v>35175</v>
      </c>
      <c r="AJ49" s="129">
        <f t="shared" si="9"/>
        <v>4375</v>
      </c>
      <c r="AK49" s="127">
        <f t="shared" si="10"/>
        <v>1</v>
      </c>
    </row>
    <row r="50" spans="1:37" ht="13.8" x14ac:dyDescent="0.3">
      <c r="A50" s="215" t="s">
        <v>512</v>
      </c>
      <c r="B50" s="77" t="s">
        <v>8</v>
      </c>
      <c r="C50" s="77" t="s">
        <v>234</v>
      </c>
      <c r="D50" s="77">
        <v>45939</v>
      </c>
      <c r="E50" s="77">
        <v>45944</v>
      </c>
      <c r="F50" s="77" t="s">
        <v>474</v>
      </c>
      <c r="G50" s="77" t="s">
        <v>701</v>
      </c>
      <c r="H50" s="77" t="s">
        <v>512</v>
      </c>
      <c r="I50" s="77" t="s">
        <v>417</v>
      </c>
      <c r="J50" s="77" t="s">
        <v>312</v>
      </c>
      <c r="K50" s="77" t="s">
        <v>305</v>
      </c>
      <c r="L50" s="77" t="s">
        <v>699</v>
      </c>
      <c r="M50" s="233" t="s">
        <v>700</v>
      </c>
      <c r="N50" s="129">
        <v>150000000</v>
      </c>
      <c r="O50" s="77" t="s">
        <v>420</v>
      </c>
      <c r="P50" s="130">
        <v>2.24E-2</v>
      </c>
      <c r="Q50" s="130">
        <v>0.11663967313373171</v>
      </c>
      <c r="R50" s="130">
        <v>0.1555</v>
      </c>
      <c r="S50" s="150">
        <v>105.89</v>
      </c>
      <c r="T50" s="131">
        <v>108.35</v>
      </c>
      <c r="U50" s="129">
        <v>250000</v>
      </c>
      <c r="V50" s="129" t="s">
        <v>28</v>
      </c>
      <c r="W50" s="131">
        <v>1</v>
      </c>
      <c r="X50" s="129">
        <v>4577.99</v>
      </c>
      <c r="Y50" s="129">
        <v>42</v>
      </c>
      <c r="Z50" s="129">
        <f t="shared" si="3"/>
        <v>270875</v>
      </c>
      <c r="AA50" s="129">
        <f t="shared" si="19"/>
        <v>275452.99</v>
      </c>
      <c r="AB50" s="129">
        <v>269275</v>
      </c>
      <c r="AC50" s="131">
        <v>1.3068493150684932</v>
      </c>
      <c r="AD50" s="151">
        <v>9.1780930000000011E-2</v>
      </c>
      <c r="AE50" s="151">
        <v>5.2580929798629883E-2</v>
      </c>
      <c r="AF50" s="130">
        <f t="shared" si="16"/>
        <v>3.0180929798629883E-2</v>
      </c>
      <c r="AG50" s="130">
        <f t="shared" si="17"/>
        <v>0.42600996379838996</v>
      </c>
      <c r="AH50" s="131">
        <f t="shared" si="7"/>
        <v>2.3473629374388341</v>
      </c>
      <c r="AI50" s="129">
        <f t="shared" si="18"/>
        <v>38875</v>
      </c>
      <c r="AJ50" s="129">
        <f t="shared" si="9"/>
        <v>5600</v>
      </c>
      <c r="AK50" s="127">
        <f t="shared" si="10"/>
        <v>1</v>
      </c>
    </row>
    <row r="51" spans="1:37" ht="13.8" x14ac:dyDescent="0.3">
      <c r="A51" s="215" t="s">
        <v>516</v>
      </c>
      <c r="B51" s="77" t="s">
        <v>8</v>
      </c>
      <c r="C51" s="77" t="s">
        <v>234</v>
      </c>
      <c r="D51" s="77">
        <v>45944</v>
      </c>
      <c r="E51" s="77">
        <v>45945</v>
      </c>
      <c r="F51" s="77" t="s">
        <v>301</v>
      </c>
      <c r="G51" s="77" t="s">
        <v>702</v>
      </c>
      <c r="H51" s="77" t="s">
        <v>516</v>
      </c>
      <c r="I51" s="77" t="s">
        <v>427</v>
      </c>
      <c r="J51" s="77" t="s">
        <v>304</v>
      </c>
      <c r="K51" s="77" t="s">
        <v>305</v>
      </c>
      <c r="L51" s="77" t="s">
        <v>703</v>
      </c>
      <c r="M51" s="233" t="s">
        <v>704</v>
      </c>
      <c r="N51" s="129">
        <v>450000000</v>
      </c>
      <c r="O51" s="77" t="s">
        <v>430</v>
      </c>
      <c r="P51" s="130">
        <v>1.43E-2</v>
      </c>
      <c r="Q51" s="130">
        <v>0.1048799995805455</v>
      </c>
      <c r="R51" s="130">
        <v>0.14378453999999999</v>
      </c>
      <c r="S51" s="150">
        <v>105.14</v>
      </c>
      <c r="T51" s="131">
        <v>107.75</v>
      </c>
      <c r="U51" s="129">
        <v>500000</v>
      </c>
      <c r="V51" s="129" t="s">
        <v>28</v>
      </c>
      <c r="W51" s="131">
        <v>1</v>
      </c>
      <c r="X51" s="129">
        <v>200.56</v>
      </c>
      <c r="Y51" s="129">
        <v>0</v>
      </c>
      <c r="Z51" s="129">
        <f t="shared" si="3"/>
        <v>538750</v>
      </c>
      <c r="AA51" s="129">
        <f t="shared" si="19"/>
        <v>538950.56000000006</v>
      </c>
      <c r="AB51" s="129">
        <v>537600</v>
      </c>
      <c r="AC51" s="131">
        <v>1.515068493150685</v>
      </c>
      <c r="AD51" s="151">
        <v>9.2212089999999997E-2</v>
      </c>
      <c r="AE51" s="151">
        <v>5.2857792866939986E-2</v>
      </c>
      <c r="AF51" s="130">
        <f t="shared" si="16"/>
        <v>3.8557792866939986E-2</v>
      </c>
      <c r="AG51" s="130">
        <f t="shared" si="17"/>
        <v>0.27053721361385041</v>
      </c>
      <c r="AH51" s="131">
        <f t="shared" si="7"/>
        <v>3.6963491515342644</v>
      </c>
      <c r="AI51" s="129">
        <f t="shared" si="18"/>
        <v>71892.26999999999</v>
      </c>
      <c r="AJ51" s="129">
        <f t="shared" si="9"/>
        <v>7150</v>
      </c>
      <c r="AK51" s="127">
        <f t="shared" si="10"/>
        <v>1</v>
      </c>
    </row>
    <row r="52" spans="1:37" ht="13.8" x14ac:dyDescent="0.3">
      <c r="A52" s="215" t="s">
        <v>709</v>
      </c>
      <c r="B52" s="77" t="s">
        <v>8</v>
      </c>
      <c r="C52" s="77" t="s">
        <v>234</v>
      </c>
      <c r="D52" s="77">
        <v>45947</v>
      </c>
      <c r="E52" s="77">
        <v>45965</v>
      </c>
      <c r="F52" s="77" t="s">
        <v>677</v>
      </c>
      <c r="G52" s="77" t="s">
        <v>708</v>
      </c>
      <c r="H52" s="77" t="s">
        <v>709</v>
      </c>
      <c r="I52" s="77" t="s">
        <v>710</v>
      </c>
      <c r="J52" s="77" t="s">
        <v>312</v>
      </c>
      <c r="K52" s="77" t="s">
        <v>305</v>
      </c>
      <c r="L52" s="201">
        <v>45992</v>
      </c>
      <c r="M52" s="233">
        <v>47452</v>
      </c>
      <c r="N52" s="129">
        <v>200000000</v>
      </c>
      <c r="O52" s="77" t="s">
        <v>711</v>
      </c>
      <c r="P52" s="130">
        <v>7.2700000000000001E-2</v>
      </c>
      <c r="Q52" s="130">
        <v>0.10249910460730333</v>
      </c>
      <c r="R52" s="130">
        <v>0.14050719976425172</v>
      </c>
      <c r="S52" s="150">
        <v>0</v>
      </c>
      <c r="T52" s="131">
        <v>100</v>
      </c>
      <c r="U52" s="129">
        <v>250000</v>
      </c>
      <c r="V52" s="129" t="s">
        <v>28</v>
      </c>
      <c r="W52" s="131">
        <v>1</v>
      </c>
      <c r="X52" s="129">
        <v>0</v>
      </c>
      <c r="Y52" s="129">
        <v>0</v>
      </c>
      <c r="Z52" s="129">
        <f t="shared" si="3"/>
        <v>250000</v>
      </c>
      <c r="AA52" s="129">
        <f t="shared" si="19"/>
        <v>250000</v>
      </c>
      <c r="AB52" s="129">
        <v>250285.48</v>
      </c>
      <c r="AC52" s="131">
        <v>4.0684931506849313</v>
      </c>
      <c r="AD52" s="151">
        <v>0.1405063</v>
      </c>
      <c r="AE52" s="151">
        <v>0.10249910460730333</v>
      </c>
      <c r="AF52" s="130">
        <f t="shared" si="16"/>
        <v>2.9799104607303326E-2</v>
      </c>
      <c r="AG52" s="130">
        <f t="shared" si="17"/>
        <v>0.70927448857753184</v>
      </c>
      <c r="AH52" s="131">
        <f t="shared" si="7"/>
        <v>1.4098913976245298</v>
      </c>
      <c r="AI52" s="129">
        <f t="shared" si="18"/>
        <v>35126.799941062927</v>
      </c>
      <c r="AJ52" s="129">
        <f t="shared" si="9"/>
        <v>18175</v>
      </c>
      <c r="AK52" s="127">
        <f t="shared" si="10"/>
        <v>1</v>
      </c>
    </row>
    <row r="53" spans="1:37" ht="13.8" x14ac:dyDescent="0.3">
      <c r="A53" s="215" t="s">
        <v>515</v>
      </c>
      <c r="B53" s="77" t="s">
        <v>8</v>
      </c>
      <c r="C53" s="77" t="s">
        <v>234</v>
      </c>
      <c r="D53" s="77">
        <v>45951</v>
      </c>
      <c r="E53" s="77">
        <v>45952</v>
      </c>
      <c r="F53" s="77" t="s">
        <v>309</v>
      </c>
      <c r="G53" s="77" t="s">
        <v>712</v>
      </c>
      <c r="H53" s="77" t="s">
        <v>515</v>
      </c>
      <c r="I53" s="77" t="s">
        <v>713</v>
      </c>
      <c r="J53" s="77" t="s">
        <v>304</v>
      </c>
      <c r="K53" s="77" t="s">
        <v>313</v>
      </c>
      <c r="L53" s="201" t="s">
        <v>714</v>
      </c>
      <c r="M53" s="233" t="s">
        <v>381</v>
      </c>
      <c r="N53" s="129">
        <v>90000000</v>
      </c>
      <c r="O53" s="77" t="s">
        <v>715</v>
      </c>
      <c r="P53" s="130">
        <v>9.9500000000000005E-2</v>
      </c>
      <c r="Q53" s="130">
        <v>0.30892214222389702</v>
      </c>
      <c r="R53" s="130">
        <v>0.34800719976425171</v>
      </c>
      <c r="S53" s="150">
        <v>103.39</v>
      </c>
      <c r="T53" s="131">
        <v>116</v>
      </c>
      <c r="U53" s="129">
        <v>500000</v>
      </c>
      <c r="V53" s="129" t="s">
        <v>28</v>
      </c>
      <c r="W53" s="131">
        <v>1</v>
      </c>
      <c r="X53" s="129">
        <v>21527.78</v>
      </c>
      <c r="Y53" s="129">
        <v>50</v>
      </c>
      <c r="Z53" s="129">
        <f t="shared" si="3"/>
        <v>580000</v>
      </c>
      <c r="AA53" s="129">
        <f t="shared" si="19"/>
        <v>601527.78</v>
      </c>
      <c r="AB53" s="129">
        <v>578750</v>
      </c>
      <c r="AC53" s="131">
        <v>1.5835616438356164</v>
      </c>
      <c r="AD53" s="151">
        <v>0.22822942999999998</v>
      </c>
      <c r="AE53" s="151">
        <v>0.19022223347173384</v>
      </c>
      <c r="AF53" s="130">
        <f t="shared" si="16"/>
        <v>9.0722233471733832E-2</v>
      </c>
      <c r="AG53" s="130">
        <f t="shared" si="17"/>
        <v>0.52307239897267455</v>
      </c>
      <c r="AH53" s="131">
        <f t="shared" si="7"/>
        <v>1.9117812409219479</v>
      </c>
      <c r="AI53" s="129">
        <f t="shared" si="18"/>
        <v>174003.59988212585</v>
      </c>
      <c r="AJ53" s="129">
        <f t="shared" si="9"/>
        <v>49750</v>
      </c>
      <c r="AK53" s="127">
        <f t="shared" si="10"/>
        <v>1</v>
      </c>
    </row>
    <row r="54" spans="1:37" s="229" customFormat="1" ht="13.8" x14ac:dyDescent="0.3">
      <c r="A54" s="223" t="s">
        <v>739</v>
      </c>
      <c r="B54" s="224" t="s">
        <v>8</v>
      </c>
      <c r="C54" s="224" t="s">
        <v>234</v>
      </c>
      <c r="D54" s="224">
        <v>45957</v>
      </c>
      <c r="E54" s="224">
        <v>45958</v>
      </c>
      <c r="F54" s="224" t="s">
        <v>309</v>
      </c>
      <c r="G54" s="224" t="s">
        <v>365</v>
      </c>
      <c r="H54" s="224" t="s">
        <v>364</v>
      </c>
      <c r="I54" s="224" t="s">
        <v>366</v>
      </c>
      <c r="J54" s="224" t="s">
        <v>312</v>
      </c>
      <c r="K54" s="224" t="s">
        <v>367</v>
      </c>
      <c r="L54" s="230" t="s">
        <v>368</v>
      </c>
      <c r="M54" s="233" t="s">
        <v>369</v>
      </c>
      <c r="N54" s="225">
        <v>100000000</v>
      </c>
      <c r="O54" s="224" t="s">
        <v>370</v>
      </c>
      <c r="P54" s="226">
        <v>9.1999999999999998E-3</v>
      </c>
      <c r="Q54" s="226">
        <v>3.4996975765834139E-2</v>
      </c>
      <c r="R54" s="226">
        <v>7.3499999999999996E-2</v>
      </c>
      <c r="S54" s="227">
        <v>101.71</v>
      </c>
      <c r="T54" s="228">
        <v>103.1</v>
      </c>
      <c r="U54" s="225">
        <v>250000</v>
      </c>
      <c r="V54" s="225" t="s">
        <v>28</v>
      </c>
      <c r="W54" s="228">
        <v>1</v>
      </c>
      <c r="X54" s="225">
        <v>928.47</v>
      </c>
      <c r="Y54" s="225">
        <v>18</v>
      </c>
      <c r="Z54" s="225">
        <f t="shared" si="3"/>
        <v>257750</v>
      </c>
      <c r="AA54" s="225">
        <f t="shared" si="19"/>
        <v>258678.47</v>
      </c>
      <c r="AB54" s="225">
        <v>257875</v>
      </c>
      <c r="AC54" s="228">
        <v>2.1780821917808217</v>
      </c>
      <c r="AD54" s="226">
        <v>5.9052420000000001E-2</v>
      </c>
      <c r="AE54" s="226">
        <v>2.0152418543064037E-2</v>
      </c>
      <c r="AF54" s="226">
        <f t="shared" si="16"/>
        <v>1.0952418543064037E-2</v>
      </c>
      <c r="AG54" s="226">
        <f t="shared" si="17"/>
        <v>0.45652088757189951</v>
      </c>
      <c r="AH54" s="228">
        <f t="shared" si="7"/>
        <v>2.1904802764200038</v>
      </c>
      <c r="AI54" s="225">
        <f t="shared" si="18"/>
        <v>18375</v>
      </c>
      <c r="AJ54" s="225">
        <f t="shared" si="9"/>
        <v>2300</v>
      </c>
      <c r="AK54" s="229">
        <f t="shared" si="10"/>
        <v>2</v>
      </c>
    </row>
    <row r="55" spans="1:37" ht="13.8" x14ac:dyDescent="0.3">
      <c r="A55" s="215" t="s">
        <v>510</v>
      </c>
      <c r="B55" s="77" t="s">
        <v>8</v>
      </c>
      <c r="C55" s="77" t="s">
        <v>234</v>
      </c>
      <c r="D55" s="77">
        <v>45957</v>
      </c>
      <c r="E55" s="77">
        <v>45958</v>
      </c>
      <c r="F55" s="77" t="s">
        <v>301</v>
      </c>
      <c r="G55" s="77" t="s">
        <v>716</v>
      </c>
      <c r="H55" s="77" t="s">
        <v>510</v>
      </c>
      <c r="I55" s="77" t="s">
        <v>337</v>
      </c>
      <c r="J55" s="77" t="s">
        <v>312</v>
      </c>
      <c r="K55" s="77" t="s">
        <v>305</v>
      </c>
      <c r="L55" s="201" t="s">
        <v>338</v>
      </c>
      <c r="M55" s="233" t="s">
        <v>339</v>
      </c>
      <c r="N55" s="129">
        <v>150000000</v>
      </c>
      <c r="O55" s="77" t="s">
        <v>340</v>
      </c>
      <c r="P55" s="130">
        <v>2.5700000000000001E-2</v>
      </c>
      <c r="Q55" s="130">
        <v>4.9959879564915204E-2</v>
      </c>
      <c r="R55" s="130">
        <v>8.8784539999999995E-2</v>
      </c>
      <c r="S55" s="150">
        <v>100.97</v>
      </c>
      <c r="T55" s="131">
        <v>101.25</v>
      </c>
      <c r="U55" s="129">
        <v>250000</v>
      </c>
      <c r="V55" s="129" t="s">
        <v>28</v>
      </c>
      <c r="W55" s="131">
        <v>1</v>
      </c>
      <c r="X55" s="129">
        <v>1088.72</v>
      </c>
      <c r="Y55" s="129">
        <v>18</v>
      </c>
      <c r="Z55" s="129">
        <f t="shared" si="3"/>
        <v>253125</v>
      </c>
      <c r="AA55" s="129">
        <f t="shared" si="19"/>
        <v>254213.72</v>
      </c>
      <c r="AB55" s="129">
        <v>253250</v>
      </c>
      <c r="AC55" s="131">
        <v>2.3369863013698629</v>
      </c>
      <c r="AD55" s="151">
        <v>8.3334779999999997E-2</v>
      </c>
      <c r="AE55" s="151">
        <v>4.4182315962045297E-2</v>
      </c>
      <c r="AF55" s="130">
        <f t="shared" si="16"/>
        <v>1.8482315962045297E-2</v>
      </c>
      <c r="AG55" s="130">
        <f t="shared" si="17"/>
        <v>0.58168068921686944</v>
      </c>
      <c r="AH55" s="131">
        <f t="shared" si="7"/>
        <v>1.7191562631146029</v>
      </c>
      <c r="AI55" s="129">
        <f t="shared" si="18"/>
        <v>22196.134999999998</v>
      </c>
      <c r="AJ55" s="129">
        <f t="shared" si="9"/>
        <v>6425</v>
      </c>
      <c r="AK55" s="127">
        <f t="shared" si="10"/>
        <v>1</v>
      </c>
    </row>
    <row r="56" spans="1:37" s="229" customFormat="1" ht="13.8" x14ac:dyDescent="0.3">
      <c r="A56" s="223" t="s">
        <v>741</v>
      </c>
      <c r="B56" s="224" t="s">
        <v>8</v>
      </c>
      <c r="C56" s="224" t="s">
        <v>234</v>
      </c>
      <c r="D56" s="224">
        <v>45957</v>
      </c>
      <c r="E56" s="224">
        <v>45958</v>
      </c>
      <c r="F56" s="224" t="s">
        <v>301</v>
      </c>
      <c r="G56" s="224" t="s">
        <v>717</v>
      </c>
      <c r="H56" s="224" t="s">
        <v>415</v>
      </c>
      <c r="I56" s="224" t="s">
        <v>417</v>
      </c>
      <c r="J56" s="224" t="s">
        <v>312</v>
      </c>
      <c r="K56" s="224" t="s">
        <v>305</v>
      </c>
      <c r="L56" s="230" t="s">
        <v>418</v>
      </c>
      <c r="M56" s="233" t="s">
        <v>419</v>
      </c>
      <c r="N56" s="225">
        <v>175000000</v>
      </c>
      <c r="O56" s="224" t="s">
        <v>420</v>
      </c>
      <c r="P56" s="226">
        <v>1.61E-2</v>
      </c>
      <c r="Q56" s="226">
        <v>6.4944526002461936E-2</v>
      </c>
      <c r="R56" s="226">
        <v>0.1036</v>
      </c>
      <c r="S56" s="227">
        <v>102.22</v>
      </c>
      <c r="T56" s="228">
        <v>104.2</v>
      </c>
      <c r="U56" s="225">
        <v>250000</v>
      </c>
      <c r="V56" s="225" t="s">
        <v>28</v>
      </c>
      <c r="W56" s="228">
        <v>1</v>
      </c>
      <c r="X56" s="225">
        <v>4047.99</v>
      </c>
      <c r="Y56" s="225">
        <v>56</v>
      </c>
      <c r="Z56" s="225">
        <f t="shared" si="3"/>
        <v>260500</v>
      </c>
      <c r="AA56" s="225">
        <f t="shared" si="19"/>
        <v>264547.99</v>
      </c>
      <c r="AB56" s="225">
        <v>260750</v>
      </c>
      <c r="AC56" s="228">
        <v>2.2931506849315069</v>
      </c>
      <c r="AD56" s="226">
        <v>8.3603850000000007E-2</v>
      </c>
      <c r="AE56" s="226">
        <v>4.4803848877882073E-2</v>
      </c>
      <c r="AF56" s="226">
        <f t="shared" si="16"/>
        <v>2.8703848877882073E-2</v>
      </c>
      <c r="AG56" s="226">
        <f t="shared" si="17"/>
        <v>0.3593441278646029</v>
      </c>
      <c r="AH56" s="228">
        <f t="shared" si="7"/>
        <v>2.7828477563901908</v>
      </c>
      <c r="AI56" s="225">
        <f t="shared" si="18"/>
        <v>25900</v>
      </c>
      <c r="AJ56" s="225">
        <f t="shared" si="9"/>
        <v>4025</v>
      </c>
      <c r="AK56" s="229">
        <f t="shared" si="10"/>
        <v>2</v>
      </c>
    </row>
    <row r="57" spans="1:37" ht="13.8" x14ac:dyDescent="0.3">
      <c r="A57" s="215" t="s">
        <v>517</v>
      </c>
      <c r="B57" s="77" t="s">
        <v>8</v>
      </c>
      <c r="C57" s="77" t="s">
        <v>234</v>
      </c>
      <c r="D57" s="77">
        <v>45960</v>
      </c>
      <c r="E57" s="77">
        <v>45961</v>
      </c>
      <c r="F57" s="77" t="s">
        <v>301</v>
      </c>
      <c r="G57" s="77" t="s">
        <v>718</v>
      </c>
      <c r="H57" s="77" t="s">
        <v>517</v>
      </c>
      <c r="I57" s="77" t="s">
        <v>406</v>
      </c>
      <c r="J57" s="77" t="s">
        <v>304</v>
      </c>
      <c r="K57" s="77" t="s">
        <v>305</v>
      </c>
      <c r="L57" s="201" t="s">
        <v>407</v>
      </c>
      <c r="M57" s="233" t="s">
        <v>408</v>
      </c>
      <c r="N57" s="129">
        <v>150000000</v>
      </c>
      <c r="O57" s="77" t="s">
        <v>334</v>
      </c>
      <c r="P57" s="130">
        <v>1.06E-2</v>
      </c>
      <c r="Q57" s="130">
        <v>6.6935978235605917E-2</v>
      </c>
      <c r="R57" s="130">
        <v>0.10550000000000001</v>
      </c>
      <c r="S57" s="150">
        <v>103.31</v>
      </c>
      <c r="T57" s="131">
        <v>103.15</v>
      </c>
      <c r="U57" s="129">
        <v>250000</v>
      </c>
      <c r="V57" s="129" t="s">
        <v>28</v>
      </c>
      <c r="W57" s="131">
        <v>1</v>
      </c>
      <c r="X57" s="129">
        <v>193.47</v>
      </c>
      <c r="Y57" s="129">
        <v>3</v>
      </c>
      <c r="Z57" s="129">
        <f t="shared" si="3"/>
        <v>257875</v>
      </c>
      <c r="AA57" s="129">
        <f t="shared" si="19"/>
        <v>258068.47</v>
      </c>
      <c r="AB57" s="129">
        <v>258000</v>
      </c>
      <c r="AC57" s="131">
        <v>0.75068493150684934</v>
      </c>
      <c r="AD57" s="151">
        <v>6.3872529999999997E-2</v>
      </c>
      <c r="AE57" s="151">
        <v>2.5372528841074379E-2</v>
      </c>
      <c r="AF57" s="130">
        <f t="shared" si="16"/>
        <v>1.4772528841074379E-2</v>
      </c>
      <c r="AG57" s="130">
        <f t="shared" si="17"/>
        <v>0.4177746753741064</v>
      </c>
      <c r="AH57" s="131">
        <f t="shared" si="7"/>
        <v>2.3936347963277713</v>
      </c>
      <c r="AI57" s="129">
        <f t="shared" si="18"/>
        <v>26375.000000000004</v>
      </c>
      <c r="AJ57" s="129">
        <f t="shared" si="9"/>
        <v>2650</v>
      </c>
      <c r="AK57" s="127">
        <f t="shared" si="10"/>
        <v>1</v>
      </c>
    </row>
    <row r="58" spans="1:37" ht="13.8" x14ac:dyDescent="0.3">
      <c r="A58" s="215" t="s">
        <v>519</v>
      </c>
      <c r="B58" s="77" t="s">
        <v>8</v>
      </c>
      <c r="C58" s="77" t="s">
        <v>234</v>
      </c>
      <c r="D58" s="77">
        <v>45960</v>
      </c>
      <c r="E58" s="77">
        <v>45961</v>
      </c>
      <c r="F58" s="77" t="s">
        <v>301</v>
      </c>
      <c r="G58" s="77" t="s">
        <v>719</v>
      </c>
      <c r="H58" s="77" t="s">
        <v>519</v>
      </c>
      <c r="I58" s="77" t="s">
        <v>331</v>
      </c>
      <c r="J58" s="77" t="s">
        <v>304</v>
      </c>
      <c r="K58" s="77" t="s">
        <v>305</v>
      </c>
      <c r="L58" s="201" t="s">
        <v>720</v>
      </c>
      <c r="M58" s="233" t="s">
        <v>721</v>
      </c>
      <c r="N58" s="129">
        <v>225000000</v>
      </c>
      <c r="O58" s="77" t="s">
        <v>334</v>
      </c>
      <c r="P58" s="130">
        <v>1.8599999999999998E-2</v>
      </c>
      <c r="Q58" s="130">
        <v>6.7344707219000002E-2</v>
      </c>
      <c r="R58" s="130">
        <v>0.106</v>
      </c>
      <c r="S58" s="150">
        <v>102.23</v>
      </c>
      <c r="T58" s="131">
        <v>102.35</v>
      </c>
      <c r="U58" s="129">
        <v>250000</v>
      </c>
      <c r="V58" s="129" t="s">
        <v>28</v>
      </c>
      <c r="W58" s="131">
        <v>1</v>
      </c>
      <c r="X58" s="129">
        <v>4311.71</v>
      </c>
      <c r="Y58" s="129">
        <v>59</v>
      </c>
      <c r="Z58" s="129">
        <f t="shared" si="3"/>
        <v>255875</v>
      </c>
      <c r="AA58" s="129">
        <f t="shared" si="19"/>
        <v>260186.71</v>
      </c>
      <c r="AB58" s="129">
        <v>255637.5</v>
      </c>
      <c r="AC58" s="131">
        <v>0.61643835616438358</v>
      </c>
      <c r="AD58" s="151">
        <v>6.777103000000001E-2</v>
      </c>
      <c r="AE58" s="151">
        <v>2.9271027283087746E-2</v>
      </c>
      <c r="AF58" s="130">
        <f t="shared" si="16"/>
        <v>1.0671027283087747E-2</v>
      </c>
      <c r="AG58" s="130">
        <f t="shared" si="17"/>
        <v>0.63544062940171331</v>
      </c>
      <c r="AH58" s="131">
        <f t="shared" si="7"/>
        <v>1.5737111442520293</v>
      </c>
      <c r="AI58" s="129">
        <f t="shared" si="18"/>
        <v>26500</v>
      </c>
      <c r="AJ58" s="129">
        <f t="shared" si="9"/>
        <v>4650</v>
      </c>
      <c r="AK58" s="127">
        <f t="shared" si="10"/>
        <v>1</v>
      </c>
    </row>
    <row r="59" spans="1:37" ht="13.8" x14ac:dyDescent="0.3">
      <c r="A59" s="215" t="s">
        <v>521</v>
      </c>
      <c r="B59" s="77" t="s">
        <v>8</v>
      </c>
      <c r="C59" s="77" t="s">
        <v>234</v>
      </c>
      <c r="D59" s="77">
        <v>45964</v>
      </c>
      <c r="E59" s="77">
        <v>45965</v>
      </c>
      <c r="F59" s="77" t="s">
        <v>301</v>
      </c>
      <c r="G59" s="77" t="s">
        <v>722</v>
      </c>
      <c r="H59" s="77" t="s">
        <v>521</v>
      </c>
      <c r="I59" s="77" t="s">
        <v>432</v>
      </c>
      <c r="J59" s="77" t="s">
        <v>304</v>
      </c>
      <c r="K59" s="77" t="s">
        <v>305</v>
      </c>
      <c r="L59" s="201" t="s">
        <v>723</v>
      </c>
      <c r="M59" s="233" t="s">
        <v>724</v>
      </c>
      <c r="N59" s="129">
        <v>250000000</v>
      </c>
      <c r="O59" s="77" t="s">
        <v>435</v>
      </c>
      <c r="P59" s="130">
        <v>2.0199999999999999E-2</v>
      </c>
      <c r="Q59" s="130">
        <v>5.7464214954606088E-2</v>
      </c>
      <c r="R59" s="130">
        <v>9.6000000000000002E-2</v>
      </c>
      <c r="S59" s="150">
        <v>104.66</v>
      </c>
      <c r="T59" s="131">
        <v>105.6</v>
      </c>
      <c r="U59" s="129">
        <v>250000</v>
      </c>
      <c r="V59" s="129" t="s">
        <v>28</v>
      </c>
      <c r="W59" s="131">
        <v>1</v>
      </c>
      <c r="X59" s="129">
        <v>1312.99</v>
      </c>
      <c r="Y59" s="129">
        <v>20</v>
      </c>
      <c r="Z59" s="129">
        <f t="shared" si="3"/>
        <v>264000</v>
      </c>
      <c r="AA59" s="129">
        <f t="shared" si="19"/>
        <v>265312.99</v>
      </c>
      <c r="AB59" s="129">
        <v>264125</v>
      </c>
      <c r="AC59" s="131">
        <v>2.5863013698630137</v>
      </c>
      <c r="AD59" s="151">
        <v>7.2376590000000005E-2</v>
      </c>
      <c r="AE59" s="151">
        <v>3.4076587406479709E-2</v>
      </c>
      <c r="AF59" s="130">
        <f t="shared" si="16"/>
        <v>1.387658740647971E-2</v>
      </c>
      <c r="AG59" s="130">
        <f t="shared" si="17"/>
        <v>0.59278236283011554</v>
      </c>
      <c r="AH59" s="131">
        <f t="shared" si="7"/>
        <v>1.6869597725980052</v>
      </c>
      <c r="AI59" s="129">
        <f t="shared" si="18"/>
        <v>24000</v>
      </c>
      <c r="AJ59" s="129">
        <f t="shared" si="9"/>
        <v>5050</v>
      </c>
      <c r="AK59" s="127">
        <f t="shared" si="10"/>
        <v>1</v>
      </c>
    </row>
    <row r="60" spans="1:37" ht="13.8" x14ac:dyDescent="0.3">
      <c r="A60" s="215" t="s">
        <v>522</v>
      </c>
      <c r="B60" s="77" t="s">
        <v>8</v>
      </c>
      <c r="C60" s="77" t="s">
        <v>234</v>
      </c>
      <c r="D60" s="77">
        <v>45965</v>
      </c>
      <c r="E60" s="77">
        <v>45966</v>
      </c>
      <c r="F60" s="77" t="s">
        <v>309</v>
      </c>
      <c r="G60" s="77" t="s">
        <v>725</v>
      </c>
      <c r="H60" s="77" t="s">
        <v>522</v>
      </c>
      <c r="I60" s="77" t="s">
        <v>423</v>
      </c>
      <c r="J60" s="77" t="s">
        <v>312</v>
      </c>
      <c r="K60" s="77" t="s">
        <v>305</v>
      </c>
      <c r="L60" s="201" t="s">
        <v>726</v>
      </c>
      <c r="M60" s="233" t="s">
        <v>724</v>
      </c>
      <c r="N60" s="129">
        <v>200000000</v>
      </c>
      <c r="O60" s="77" t="s">
        <v>340</v>
      </c>
      <c r="P60" s="130">
        <v>1.84E-2</v>
      </c>
      <c r="Q60" s="130">
        <v>4.4998097121062182E-2</v>
      </c>
      <c r="R60" s="130">
        <v>8.3599999999999994E-2</v>
      </c>
      <c r="S60" s="150">
        <v>100.51</v>
      </c>
      <c r="T60" s="131">
        <v>103</v>
      </c>
      <c r="U60" s="129">
        <v>250000</v>
      </c>
      <c r="V60" s="129" t="s">
        <v>28</v>
      </c>
      <c r="W60" s="131">
        <v>1</v>
      </c>
      <c r="X60" s="129">
        <v>1692.64</v>
      </c>
      <c r="Y60" s="129">
        <v>29</v>
      </c>
      <c r="Z60" s="129">
        <f t="shared" si="3"/>
        <v>257500</v>
      </c>
      <c r="AA60" s="129">
        <f t="shared" si="19"/>
        <v>259192.64</v>
      </c>
      <c r="AB60" s="129">
        <v>257612.5</v>
      </c>
      <c r="AC60" s="131">
        <v>2.5863013698630137</v>
      </c>
      <c r="AD60" s="151">
        <v>7.1044219999999991E-2</v>
      </c>
      <c r="AE60" s="151">
        <v>3.2444220183021816E-2</v>
      </c>
      <c r="AF60" s="130">
        <f t="shared" si="16"/>
        <v>1.4044220183021816E-2</v>
      </c>
      <c r="AG60" s="130">
        <f t="shared" si="17"/>
        <v>0.56712720774928005</v>
      </c>
      <c r="AH60" s="131">
        <f t="shared" si="7"/>
        <v>1.7632728360337946</v>
      </c>
      <c r="AI60" s="129">
        <f t="shared" si="18"/>
        <v>20900</v>
      </c>
      <c r="AJ60" s="129">
        <f t="shared" si="9"/>
        <v>4600</v>
      </c>
      <c r="AK60" s="127">
        <f t="shared" si="10"/>
        <v>1</v>
      </c>
    </row>
    <row r="61" spans="1:37" s="157" customFormat="1" ht="13.8" x14ac:dyDescent="0.3">
      <c r="A61" s="215" t="s">
        <v>523</v>
      </c>
      <c r="B61" s="77" t="s">
        <v>8</v>
      </c>
      <c r="C61" s="77" t="s">
        <v>234</v>
      </c>
      <c r="D61" s="77">
        <v>45966</v>
      </c>
      <c r="E61" s="77">
        <v>45968</v>
      </c>
      <c r="F61" s="77" t="s">
        <v>301</v>
      </c>
      <c r="G61" s="77" t="s">
        <v>727</v>
      </c>
      <c r="H61" s="77" t="s">
        <v>523</v>
      </c>
      <c r="I61" s="77" t="s">
        <v>728</v>
      </c>
      <c r="J61" s="77" t="s">
        <v>312</v>
      </c>
      <c r="K61" s="77" t="s">
        <v>305</v>
      </c>
      <c r="L61" s="201" t="s">
        <v>729</v>
      </c>
      <c r="M61" s="233" t="s">
        <v>730</v>
      </c>
      <c r="N61" s="129">
        <v>200000000</v>
      </c>
      <c r="O61" s="77" t="s">
        <v>731</v>
      </c>
      <c r="P61" s="130">
        <v>2.0299999999999999E-2</v>
      </c>
      <c r="Q61" s="130">
        <v>5.610743814497457E-2</v>
      </c>
      <c r="R61" s="130">
        <v>9.35E-2</v>
      </c>
      <c r="S61" s="150">
        <v>100.48</v>
      </c>
      <c r="T61" s="131">
        <v>102.9</v>
      </c>
      <c r="U61" s="129">
        <v>500000</v>
      </c>
      <c r="V61" s="129" t="s">
        <v>28</v>
      </c>
      <c r="W61" s="131">
        <v>1</v>
      </c>
      <c r="X61" s="129">
        <v>8662.2199999999993</v>
      </c>
      <c r="Y61" s="129">
        <v>66</v>
      </c>
      <c r="Z61" s="129">
        <f t="shared" si="3"/>
        <v>514500</v>
      </c>
      <c r="AA61" s="129">
        <f t="shared" si="19"/>
        <v>523162.22</v>
      </c>
      <c r="AB61" s="129">
        <v>514500</v>
      </c>
      <c r="AC61" s="131">
        <v>2.117808219178082</v>
      </c>
      <c r="AD61" s="151">
        <v>7.9524259999999999E-2</v>
      </c>
      <c r="AE61" s="151">
        <v>4.1124258599312957E-2</v>
      </c>
      <c r="AF61" s="130">
        <f t="shared" si="16"/>
        <v>2.0824258599312959E-2</v>
      </c>
      <c r="AG61" s="130">
        <f t="shared" si="17"/>
        <v>0.49362592035492991</v>
      </c>
      <c r="AH61" s="131">
        <f t="shared" si="7"/>
        <v>2.0258255467641852</v>
      </c>
      <c r="AI61" s="129">
        <f t="shared" si="18"/>
        <v>46750</v>
      </c>
      <c r="AJ61" s="129">
        <f t="shared" si="9"/>
        <v>10150</v>
      </c>
      <c r="AK61" s="127">
        <f t="shared" si="10"/>
        <v>1</v>
      </c>
    </row>
    <row r="62" spans="1:37" s="157" customFormat="1" ht="13.8" x14ac:dyDescent="0.3">
      <c r="A62" s="215" t="s">
        <v>507</v>
      </c>
      <c r="B62" s="152" t="s">
        <v>8</v>
      </c>
      <c r="C62" s="152" t="s">
        <v>234</v>
      </c>
      <c r="D62" s="152">
        <v>45967</v>
      </c>
      <c r="E62" s="152">
        <v>45968</v>
      </c>
      <c r="F62" s="152" t="s">
        <v>309</v>
      </c>
      <c r="G62" s="152" t="s">
        <v>732</v>
      </c>
      <c r="H62" s="152" t="s">
        <v>507</v>
      </c>
      <c r="I62" s="152" t="s">
        <v>733</v>
      </c>
      <c r="J62" s="152" t="s">
        <v>312</v>
      </c>
      <c r="K62" s="152" t="s">
        <v>305</v>
      </c>
      <c r="L62" s="213" t="s">
        <v>734</v>
      </c>
      <c r="M62" s="233" t="s">
        <v>467</v>
      </c>
      <c r="N62" s="153">
        <v>200000000</v>
      </c>
      <c r="O62" s="152" t="s">
        <v>430</v>
      </c>
      <c r="P62" s="154">
        <v>7.0000000000000001E-3</v>
      </c>
      <c r="Q62" s="154">
        <v>8.4885863725577285E-2</v>
      </c>
      <c r="R62" s="154">
        <v>0.12359999999999999</v>
      </c>
      <c r="S62" s="155">
        <v>104.89</v>
      </c>
      <c r="T62" s="156">
        <v>107.2</v>
      </c>
      <c r="U62" s="153">
        <v>250000</v>
      </c>
      <c r="V62" s="153" t="s">
        <v>28</v>
      </c>
      <c r="W62" s="156">
        <v>1</v>
      </c>
      <c r="X62" s="153">
        <v>3162.43</v>
      </c>
      <c r="Y62" s="153">
        <v>37</v>
      </c>
      <c r="Z62" s="153">
        <f t="shared" si="3"/>
        <v>268000</v>
      </c>
      <c r="AA62" s="153">
        <f t="shared" si="19"/>
        <v>271162.43</v>
      </c>
      <c r="AB62" s="153">
        <v>271162.43</v>
      </c>
      <c r="AC62" s="156">
        <v>2.1698630136986301</v>
      </c>
      <c r="AD62" s="154">
        <v>8.7042410000000001E-2</v>
      </c>
      <c r="AE62" s="154">
        <v>4.8542410345483802E-2</v>
      </c>
      <c r="AF62" s="154">
        <f t="shared" si="16"/>
        <v>4.1542410345483803E-2</v>
      </c>
      <c r="AG62" s="154">
        <f t="shared" si="17"/>
        <v>0.14420379932063371</v>
      </c>
      <c r="AH62" s="156">
        <f t="shared" si="7"/>
        <v>6.934630049354829</v>
      </c>
      <c r="AI62" s="153">
        <f t="shared" si="18"/>
        <v>30899.999999999996</v>
      </c>
      <c r="AJ62" s="153">
        <f t="shared" si="9"/>
        <v>1750</v>
      </c>
      <c r="AK62" s="127">
        <f t="shared" si="10"/>
        <v>1</v>
      </c>
    </row>
    <row r="63" spans="1:37" s="164" customFormat="1" ht="13.8" x14ac:dyDescent="0.3">
      <c r="A63" s="215" t="s">
        <v>484</v>
      </c>
      <c r="B63" s="159" t="s">
        <v>485</v>
      </c>
      <c r="C63" s="158" t="s">
        <v>234</v>
      </c>
      <c r="D63" s="158">
        <v>45782</v>
      </c>
      <c r="E63" s="158">
        <v>45783</v>
      </c>
      <c r="F63" s="158" t="s">
        <v>309</v>
      </c>
      <c r="G63" s="158" t="s">
        <v>486</v>
      </c>
      <c r="H63" s="158" t="s">
        <v>484</v>
      </c>
      <c r="I63" s="158" t="s">
        <v>487</v>
      </c>
      <c r="J63" s="158"/>
      <c r="K63" s="158"/>
      <c r="L63" s="158"/>
      <c r="M63" s="233">
        <v>45869</v>
      </c>
      <c r="N63" s="160"/>
      <c r="O63" s="158"/>
      <c r="P63" s="161"/>
      <c r="Q63" s="161"/>
      <c r="R63" s="161">
        <v>4.1825000000000001E-2</v>
      </c>
      <c r="S63" s="162"/>
      <c r="T63" s="163">
        <v>99.000846999999993</v>
      </c>
      <c r="U63" s="160">
        <v>250000</v>
      </c>
      <c r="V63" s="160" t="s">
        <v>28</v>
      </c>
      <c r="W63" s="163">
        <v>1</v>
      </c>
      <c r="X63" s="160"/>
      <c r="Y63" s="160"/>
      <c r="Z63" s="160">
        <f>T63*U63*W63/100</f>
        <v>247502.11749999999</v>
      </c>
      <c r="AA63" s="160">
        <f>Z63+X63</f>
        <v>247502.11749999999</v>
      </c>
      <c r="AB63" s="160">
        <v>0</v>
      </c>
      <c r="AC63" s="163"/>
      <c r="AD63" s="161">
        <v>4.22173920042722E-2</v>
      </c>
      <c r="AE63" s="161"/>
      <c r="AF63" s="161"/>
      <c r="AG63" s="161"/>
      <c r="AH63" s="163"/>
      <c r="AI63" s="160"/>
      <c r="AJ63" s="160">
        <f t="shared" si="9"/>
        <v>0</v>
      </c>
      <c r="AK63" s="127"/>
    </row>
    <row r="64" spans="1:37" s="164" customFormat="1" ht="13.8" x14ac:dyDescent="0.3">
      <c r="A64" s="215" t="s">
        <v>484</v>
      </c>
      <c r="B64" s="159" t="s">
        <v>485</v>
      </c>
      <c r="C64" s="158" t="s">
        <v>234</v>
      </c>
      <c r="D64" s="158">
        <v>45783</v>
      </c>
      <c r="E64" s="158">
        <v>45784</v>
      </c>
      <c r="F64" s="158" t="s">
        <v>309</v>
      </c>
      <c r="G64" s="158" t="s">
        <v>486</v>
      </c>
      <c r="H64" s="158" t="s">
        <v>484</v>
      </c>
      <c r="I64" s="158" t="s">
        <v>487</v>
      </c>
      <c r="J64" s="158"/>
      <c r="K64" s="158"/>
      <c r="L64" s="158"/>
      <c r="M64" s="233">
        <v>45869</v>
      </c>
      <c r="N64" s="160"/>
      <c r="O64" s="158"/>
      <c r="P64" s="161"/>
      <c r="Q64" s="161"/>
      <c r="R64" s="161">
        <v>4.1724999999999998E-2</v>
      </c>
      <c r="S64" s="162"/>
      <c r="T64" s="163">
        <v>99.014825999999999</v>
      </c>
      <c r="U64" s="160">
        <v>750000</v>
      </c>
      <c r="V64" s="160" t="s">
        <v>28</v>
      </c>
      <c r="W64" s="163">
        <v>1</v>
      </c>
      <c r="X64" s="160"/>
      <c r="Y64" s="160"/>
      <c r="Z64" s="160">
        <f t="shared" ref="Z64:Z98" si="20">T64*U64*W64/100</f>
        <v>742611.19499999995</v>
      </c>
      <c r="AA64" s="160">
        <f t="shared" ref="AA64:AA98" si="21">Z64+X64</f>
        <v>742611.19499999995</v>
      </c>
      <c r="AB64" s="160">
        <v>0</v>
      </c>
      <c r="AC64" s="163"/>
      <c r="AD64" s="161">
        <v>4.210566121851822E-2</v>
      </c>
      <c r="AE64" s="161"/>
      <c r="AF64" s="161"/>
      <c r="AG64" s="161"/>
      <c r="AH64" s="163"/>
      <c r="AI64" s="160"/>
      <c r="AJ64" s="160">
        <f t="shared" si="9"/>
        <v>0</v>
      </c>
      <c r="AK64" s="127"/>
    </row>
    <row r="65" spans="1:37" s="164" customFormat="1" ht="13.8" x14ac:dyDescent="0.3">
      <c r="A65" s="215" t="s">
        <v>488</v>
      </c>
      <c r="B65" s="159" t="s">
        <v>485</v>
      </c>
      <c r="C65" s="158" t="s">
        <v>234</v>
      </c>
      <c r="D65" s="158">
        <v>45786</v>
      </c>
      <c r="E65" s="158">
        <v>45789</v>
      </c>
      <c r="F65" s="158" t="s">
        <v>309</v>
      </c>
      <c r="G65" s="158" t="s">
        <v>489</v>
      </c>
      <c r="H65" s="158" t="s">
        <v>488</v>
      </c>
      <c r="I65" s="158" t="s">
        <v>487</v>
      </c>
      <c r="J65" s="158"/>
      <c r="K65" s="158"/>
      <c r="L65" s="158"/>
      <c r="M65" s="233">
        <v>45876</v>
      </c>
      <c r="N65" s="160"/>
      <c r="O65" s="158"/>
      <c r="P65" s="161"/>
      <c r="Q65" s="161"/>
      <c r="R65" s="161">
        <v>4.2099999999999999E-2</v>
      </c>
      <c r="S65" s="162"/>
      <c r="T65" s="163">
        <v>98.982583000000005</v>
      </c>
      <c r="U65" s="160">
        <v>500000</v>
      </c>
      <c r="V65" s="160" t="s">
        <v>28</v>
      </c>
      <c r="W65" s="163">
        <v>1</v>
      </c>
      <c r="X65" s="160"/>
      <c r="Y65" s="160"/>
      <c r="Z65" s="160">
        <f t="shared" si="20"/>
        <v>494912.91499999998</v>
      </c>
      <c r="AA65" s="160">
        <f t="shared" si="21"/>
        <v>494912.91499999998</v>
      </c>
      <c r="AB65" s="160">
        <v>0</v>
      </c>
      <c r="AC65" s="163"/>
      <c r="AD65" s="161">
        <v>4.3007721475601945E-2</v>
      </c>
      <c r="AE65" s="160"/>
      <c r="AF65" s="161"/>
      <c r="AG65" s="161"/>
      <c r="AH65" s="161"/>
      <c r="AI65" s="160"/>
      <c r="AJ65" s="160">
        <f t="shared" si="9"/>
        <v>0</v>
      </c>
      <c r="AK65" s="127"/>
    </row>
    <row r="66" spans="1:37" s="164" customFormat="1" ht="13.8" x14ac:dyDescent="0.3">
      <c r="A66" s="215" t="s">
        <v>490</v>
      </c>
      <c r="B66" s="159" t="s">
        <v>485</v>
      </c>
      <c r="C66" s="158" t="s">
        <v>234</v>
      </c>
      <c r="D66" s="158">
        <v>45796</v>
      </c>
      <c r="E66" s="158">
        <v>45797</v>
      </c>
      <c r="F66" s="158" t="s">
        <v>309</v>
      </c>
      <c r="G66" s="158" t="s">
        <v>491</v>
      </c>
      <c r="H66" s="158" t="s">
        <v>490</v>
      </c>
      <c r="I66" s="158" t="s">
        <v>487</v>
      </c>
      <c r="J66" s="158"/>
      <c r="K66" s="158"/>
      <c r="L66" s="158"/>
      <c r="M66" s="233">
        <v>45883</v>
      </c>
      <c r="N66" s="160"/>
      <c r="O66" s="158"/>
      <c r="P66" s="161"/>
      <c r="Q66" s="161"/>
      <c r="R66" s="161">
        <v>4.2450000000000002E-2</v>
      </c>
      <c r="S66" s="162"/>
      <c r="T66" s="163">
        <v>98.985917000000001</v>
      </c>
      <c r="U66" s="160">
        <v>500000</v>
      </c>
      <c r="V66" s="160" t="s">
        <v>28</v>
      </c>
      <c r="W66" s="163">
        <v>1</v>
      </c>
      <c r="X66" s="160"/>
      <c r="Y66" s="160"/>
      <c r="Z66" s="160">
        <f t="shared" si="20"/>
        <v>494929.58500000002</v>
      </c>
      <c r="AA66" s="160">
        <f t="shared" si="21"/>
        <v>494929.58500000002</v>
      </c>
      <c r="AB66" s="160">
        <v>0</v>
      </c>
      <c r="AC66" s="163"/>
      <c r="AD66" s="161">
        <v>4.3364420892538058E-2</v>
      </c>
      <c r="AE66" s="160"/>
      <c r="AF66" s="161"/>
      <c r="AG66" s="161"/>
      <c r="AH66" s="161"/>
      <c r="AI66" s="160"/>
      <c r="AJ66" s="160">
        <f t="shared" si="9"/>
        <v>0</v>
      </c>
      <c r="AK66" s="127"/>
    </row>
    <row r="67" spans="1:37" s="164" customFormat="1" ht="13.8" x14ac:dyDescent="0.3">
      <c r="A67" s="215" t="s">
        <v>484</v>
      </c>
      <c r="B67" s="159" t="s">
        <v>485</v>
      </c>
      <c r="C67" s="158" t="s">
        <v>492</v>
      </c>
      <c r="D67" s="158">
        <v>45805</v>
      </c>
      <c r="E67" s="158">
        <v>45806</v>
      </c>
      <c r="F67" s="158" t="s">
        <v>309</v>
      </c>
      <c r="G67" s="158" t="s">
        <v>486</v>
      </c>
      <c r="H67" s="158" t="s">
        <v>484</v>
      </c>
      <c r="I67" s="158" t="s">
        <v>487</v>
      </c>
      <c r="J67" s="158"/>
      <c r="K67" s="158"/>
      <c r="L67" s="158"/>
      <c r="M67" s="233">
        <v>45869</v>
      </c>
      <c r="N67" s="160"/>
      <c r="O67" s="158"/>
      <c r="P67" s="161"/>
      <c r="Q67" s="161"/>
      <c r="R67" s="161">
        <v>4.1799999999999997E-2</v>
      </c>
      <c r="S67" s="162"/>
      <c r="T67" s="163">
        <v>99.259749999999997</v>
      </c>
      <c r="U67" s="160">
        <v>-250000</v>
      </c>
      <c r="V67" s="160" t="s">
        <v>28</v>
      </c>
      <c r="W67" s="163">
        <v>1</v>
      </c>
      <c r="X67" s="160"/>
      <c r="Y67" s="160"/>
      <c r="Z67" s="160">
        <f t="shared" si="20"/>
        <v>-248149.375</v>
      </c>
      <c r="AA67" s="160">
        <f t="shared" si="21"/>
        <v>-248149.375</v>
      </c>
      <c r="AB67" s="160">
        <v>0</v>
      </c>
      <c r="AC67" s="163"/>
      <c r="AD67" s="161">
        <v>4.2224419519832704E-2</v>
      </c>
      <c r="AE67" s="160"/>
      <c r="AF67" s="161"/>
      <c r="AG67" s="161"/>
      <c r="AH67" s="161"/>
      <c r="AI67" s="160"/>
      <c r="AJ67" s="160">
        <f t="shared" si="9"/>
        <v>0</v>
      </c>
      <c r="AK67" s="127"/>
    </row>
    <row r="68" spans="1:37" s="164" customFormat="1" ht="13.8" x14ac:dyDescent="0.3">
      <c r="A68" s="215" t="s">
        <v>484</v>
      </c>
      <c r="B68" s="159" t="s">
        <v>485</v>
      </c>
      <c r="C68" s="158" t="s">
        <v>492</v>
      </c>
      <c r="D68" s="158">
        <v>45833</v>
      </c>
      <c r="E68" s="158">
        <v>45834</v>
      </c>
      <c r="F68" s="158" t="s">
        <v>309</v>
      </c>
      <c r="G68" s="158" t="s">
        <v>486</v>
      </c>
      <c r="H68" s="158" t="s">
        <v>484</v>
      </c>
      <c r="I68" s="158" t="s">
        <v>487</v>
      </c>
      <c r="J68" s="158"/>
      <c r="K68" s="158"/>
      <c r="L68" s="158"/>
      <c r="M68" s="233">
        <v>45869</v>
      </c>
      <c r="N68" s="160"/>
      <c r="O68" s="158"/>
      <c r="P68" s="161"/>
      <c r="Q68" s="161"/>
      <c r="R68" s="161">
        <v>4.1799999999999997E-2</v>
      </c>
      <c r="S68" s="162"/>
      <c r="T68" s="163">
        <v>99.597986000000006</v>
      </c>
      <c r="U68" s="160">
        <v>-50000</v>
      </c>
      <c r="V68" s="160" t="s">
        <v>28</v>
      </c>
      <c r="W68" s="163">
        <v>1</v>
      </c>
      <c r="X68" s="160"/>
      <c r="Y68" s="160"/>
      <c r="Z68" s="160">
        <f t="shared" si="20"/>
        <v>-49798.993000000009</v>
      </c>
      <c r="AA68" s="160">
        <f t="shared" si="21"/>
        <v>-49798.993000000009</v>
      </c>
      <c r="AB68" s="160">
        <v>0</v>
      </c>
      <c r="AC68" s="163"/>
      <c r="AD68" s="161">
        <v>4.0876404260818996E-2</v>
      </c>
      <c r="AE68" s="160"/>
      <c r="AF68" s="161"/>
      <c r="AG68" s="161"/>
      <c r="AH68" s="161"/>
      <c r="AI68" s="160"/>
      <c r="AJ68" s="160">
        <f t="shared" si="9"/>
        <v>0</v>
      </c>
      <c r="AK68" s="127"/>
    </row>
    <row r="69" spans="1:37" s="164" customFormat="1" ht="13.8" x14ac:dyDescent="0.3">
      <c r="A69" s="215" t="s">
        <v>484</v>
      </c>
      <c r="B69" s="159" t="s">
        <v>485</v>
      </c>
      <c r="C69" s="158" t="s">
        <v>492</v>
      </c>
      <c r="D69" s="158">
        <v>45834</v>
      </c>
      <c r="E69" s="158">
        <v>45834</v>
      </c>
      <c r="F69" s="158" t="s">
        <v>309</v>
      </c>
      <c r="G69" s="158" t="s">
        <v>486</v>
      </c>
      <c r="H69" s="158" t="s">
        <v>484</v>
      </c>
      <c r="I69" s="158" t="s">
        <v>487</v>
      </c>
      <c r="J69" s="158"/>
      <c r="K69" s="158"/>
      <c r="L69" s="158"/>
      <c r="M69" s="233">
        <v>45869</v>
      </c>
      <c r="N69" s="160"/>
      <c r="O69" s="158"/>
      <c r="P69" s="161"/>
      <c r="Q69" s="161"/>
      <c r="R69" s="161">
        <v>4.1799999999999997E-2</v>
      </c>
      <c r="S69" s="162"/>
      <c r="T69" s="163">
        <v>99.601875000000007</v>
      </c>
      <c r="U69" s="160">
        <v>-250000</v>
      </c>
      <c r="V69" s="160" t="s">
        <v>28</v>
      </c>
      <c r="W69" s="163">
        <v>1</v>
      </c>
      <c r="X69" s="160"/>
      <c r="Y69" s="160"/>
      <c r="Z69" s="160">
        <f t="shared" si="20"/>
        <v>-249004.6875</v>
      </c>
      <c r="AA69" s="160">
        <f t="shared" si="21"/>
        <v>-249004.6875</v>
      </c>
      <c r="AB69" s="160">
        <v>0</v>
      </c>
      <c r="AC69" s="163"/>
      <c r="AD69" s="161">
        <v>4.067531580159086E-2</v>
      </c>
      <c r="AE69" s="160"/>
      <c r="AF69" s="161"/>
      <c r="AG69" s="161"/>
      <c r="AH69" s="161"/>
      <c r="AI69" s="160"/>
      <c r="AJ69" s="160">
        <f t="shared" si="9"/>
        <v>0</v>
      </c>
      <c r="AK69" s="127"/>
    </row>
    <row r="70" spans="1:37" s="164" customFormat="1" ht="13.8" x14ac:dyDescent="0.3">
      <c r="A70" s="215" t="s">
        <v>493</v>
      </c>
      <c r="B70" s="159" t="s">
        <v>485</v>
      </c>
      <c r="C70" s="158" t="s">
        <v>234</v>
      </c>
      <c r="D70" s="158">
        <v>45849</v>
      </c>
      <c r="E70" s="158">
        <v>45849</v>
      </c>
      <c r="F70" s="158" t="s">
        <v>309</v>
      </c>
      <c r="G70" s="158" t="s">
        <v>494</v>
      </c>
      <c r="H70" s="158" t="s">
        <v>493</v>
      </c>
      <c r="I70" s="158" t="s">
        <v>487</v>
      </c>
      <c r="J70" s="158"/>
      <c r="K70" s="158"/>
      <c r="L70" s="158"/>
      <c r="M70" s="233">
        <v>45939</v>
      </c>
      <c r="N70" s="160"/>
      <c r="O70" s="158"/>
      <c r="P70" s="161"/>
      <c r="Q70" s="161"/>
      <c r="R70" s="161">
        <v>4.2450000000000002E-2</v>
      </c>
      <c r="S70" s="162"/>
      <c r="T70" s="163">
        <v>98.938749999999999</v>
      </c>
      <c r="U70" s="160">
        <v>500000</v>
      </c>
      <c r="V70" s="160" t="s">
        <v>28</v>
      </c>
      <c r="W70" s="163">
        <v>1</v>
      </c>
      <c r="X70" s="160"/>
      <c r="Y70" s="160"/>
      <c r="Z70" s="160">
        <f t="shared" si="20"/>
        <v>494693.75</v>
      </c>
      <c r="AA70" s="160">
        <f t="shared" si="21"/>
        <v>494693.75</v>
      </c>
      <c r="AB70" s="160">
        <v>0</v>
      </c>
      <c r="AC70" s="163"/>
      <c r="AD70" s="161">
        <v>4.3382552651651564E-2</v>
      </c>
      <c r="AE70" s="160"/>
      <c r="AF70" s="161"/>
      <c r="AG70" s="161"/>
      <c r="AH70" s="161"/>
      <c r="AI70" s="160"/>
      <c r="AJ70" s="160">
        <f t="shared" si="9"/>
        <v>0</v>
      </c>
      <c r="AK70" s="127"/>
    </row>
    <row r="71" spans="1:37" s="164" customFormat="1" ht="13.8" x14ac:dyDescent="0.3">
      <c r="A71" s="215" t="s">
        <v>495</v>
      </c>
      <c r="B71" s="159" t="s">
        <v>485</v>
      </c>
      <c r="C71" s="158" t="s">
        <v>234</v>
      </c>
      <c r="D71" s="158">
        <v>45855</v>
      </c>
      <c r="E71" s="158">
        <v>45855</v>
      </c>
      <c r="F71" s="158" t="s">
        <v>309</v>
      </c>
      <c r="G71" s="158" t="s">
        <v>496</v>
      </c>
      <c r="H71" s="158" t="s">
        <v>495</v>
      </c>
      <c r="I71" s="158" t="s">
        <v>487</v>
      </c>
      <c r="J71" s="158"/>
      <c r="K71" s="158"/>
      <c r="L71" s="158"/>
      <c r="M71" s="233">
        <v>45946</v>
      </c>
      <c r="N71" s="160"/>
      <c r="O71" s="158"/>
      <c r="P71" s="161"/>
      <c r="Q71" s="161"/>
      <c r="R71" s="161">
        <v>4.2200000000000001E-2</v>
      </c>
      <c r="S71" s="162"/>
      <c r="T71" s="163">
        <v>98.933278000000001</v>
      </c>
      <c r="U71" s="160">
        <v>250000</v>
      </c>
      <c r="V71" s="160" t="s">
        <v>28</v>
      </c>
      <c r="W71" s="163">
        <v>1</v>
      </c>
      <c r="X71" s="160"/>
      <c r="Y71" s="160"/>
      <c r="Z71" s="160">
        <f t="shared" si="20"/>
        <v>247333.19500000001</v>
      </c>
      <c r="AA71" s="160">
        <f t="shared" si="21"/>
        <v>247333.19500000001</v>
      </c>
      <c r="AB71" s="160">
        <v>0</v>
      </c>
      <c r="AC71" s="163"/>
      <c r="AD71" s="161">
        <v>4.3129165408202809E-2</v>
      </c>
      <c r="AE71" s="160"/>
      <c r="AF71" s="161"/>
      <c r="AG71" s="161"/>
      <c r="AH71" s="161"/>
      <c r="AI71" s="160"/>
      <c r="AJ71" s="160">
        <f t="shared" si="9"/>
        <v>0</v>
      </c>
      <c r="AK71" s="127"/>
    </row>
    <row r="72" spans="1:37" s="164" customFormat="1" ht="13.8" x14ac:dyDescent="0.3">
      <c r="A72" s="215" t="s">
        <v>497</v>
      </c>
      <c r="B72" s="159" t="s">
        <v>485</v>
      </c>
      <c r="C72" s="158" t="s">
        <v>234</v>
      </c>
      <c r="D72" s="158">
        <v>45867</v>
      </c>
      <c r="E72" s="158">
        <v>45867</v>
      </c>
      <c r="F72" s="158" t="s">
        <v>309</v>
      </c>
      <c r="G72" s="158" t="s">
        <v>498</v>
      </c>
      <c r="H72" s="158" t="s">
        <v>497</v>
      </c>
      <c r="I72" s="158" t="s">
        <v>487</v>
      </c>
      <c r="J72" s="158"/>
      <c r="K72" s="158"/>
      <c r="L72" s="158"/>
      <c r="M72" s="233">
        <v>45960</v>
      </c>
      <c r="N72" s="160"/>
      <c r="O72" s="158"/>
      <c r="P72" s="161"/>
      <c r="Q72" s="161"/>
      <c r="R72" s="161">
        <v>4.2250000000000003E-2</v>
      </c>
      <c r="S72" s="162"/>
      <c r="T72" s="163">
        <v>98.908541999999997</v>
      </c>
      <c r="U72" s="160">
        <v>250000</v>
      </c>
      <c r="V72" s="160" t="s">
        <v>28</v>
      </c>
      <c r="W72" s="163">
        <v>1</v>
      </c>
      <c r="X72" s="160"/>
      <c r="Y72" s="160"/>
      <c r="Z72" s="160">
        <f t="shared" si="20"/>
        <v>247271.35500000001</v>
      </c>
      <c r="AA72" s="160">
        <f t="shared" si="21"/>
        <v>247271.35500000001</v>
      </c>
      <c r="AB72" s="160">
        <v>0</v>
      </c>
      <c r="AC72" s="163"/>
      <c r="AD72" s="161">
        <v>4.3180491301483569E-2</v>
      </c>
      <c r="AE72" s="160"/>
      <c r="AF72" s="161"/>
      <c r="AG72" s="161"/>
      <c r="AH72" s="161"/>
      <c r="AI72" s="160"/>
      <c r="AJ72" s="160">
        <f t="shared" si="9"/>
        <v>0</v>
      </c>
      <c r="AK72" s="127"/>
    </row>
    <row r="73" spans="1:37" s="164" customFormat="1" ht="13.8" x14ac:dyDescent="0.3">
      <c r="A73" s="215" t="s">
        <v>497</v>
      </c>
      <c r="B73" s="159" t="s">
        <v>485</v>
      </c>
      <c r="C73" s="158" t="s">
        <v>234</v>
      </c>
      <c r="D73" s="158">
        <v>45868</v>
      </c>
      <c r="E73" s="158">
        <v>45868</v>
      </c>
      <c r="F73" s="158" t="s">
        <v>309</v>
      </c>
      <c r="G73" s="158" t="s">
        <v>498</v>
      </c>
      <c r="H73" s="158" t="s">
        <v>497</v>
      </c>
      <c r="I73" s="158" t="s">
        <v>487</v>
      </c>
      <c r="J73" s="158"/>
      <c r="K73" s="158"/>
      <c r="L73" s="158"/>
      <c r="M73" s="233">
        <v>45960</v>
      </c>
      <c r="N73" s="160"/>
      <c r="O73" s="158"/>
      <c r="P73" s="161"/>
      <c r="Q73" s="161"/>
      <c r="R73" s="161">
        <v>4.2250000000000003E-2</v>
      </c>
      <c r="S73" s="162"/>
      <c r="T73" s="163">
        <v>98.920277999999996</v>
      </c>
      <c r="U73" s="160">
        <v>250000</v>
      </c>
      <c r="V73" s="160" t="s">
        <v>28</v>
      </c>
      <c r="W73" s="163">
        <v>1</v>
      </c>
      <c r="X73" s="160"/>
      <c r="Y73" s="160"/>
      <c r="Z73" s="160">
        <f t="shared" si="20"/>
        <v>247300.69500000001</v>
      </c>
      <c r="AA73" s="160">
        <f t="shared" si="21"/>
        <v>247300.69500000001</v>
      </c>
      <c r="AB73" s="160">
        <v>0</v>
      </c>
      <c r="AC73" s="163"/>
      <c r="AD73" s="161">
        <v>4.3185725782129487E-2</v>
      </c>
      <c r="AE73" s="160"/>
      <c r="AF73" s="161"/>
      <c r="AG73" s="161"/>
      <c r="AH73" s="161"/>
      <c r="AI73" s="160"/>
      <c r="AJ73" s="160">
        <f t="shared" ref="AJ73:AJ84" si="22">U73*P73</f>
        <v>0</v>
      </c>
      <c r="AK73" s="127"/>
    </row>
    <row r="74" spans="1:37" s="164" customFormat="1" ht="13.8" x14ac:dyDescent="0.3">
      <c r="A74" s="215" t="s">
        <v>484</v>
      </c>
      <c r="B74" s="159" t="s">
        <v>485</v>
      </c>
      <c r="C74" s="158" t="s">
        <v>492</v>
      </c>
      <c r="D74" s="158">
        <v>45869</v>
      </c>
      <c r="E74" s="158">
        <v>45869</v>
      </c>
      <c r="F74" s="158" t="s">
        <v>499</v>
      </c>
      <c r="G74" s="158" t="s">
        <v>486</v>
      </c>
      <c r="H74" s="158" t="s">
        <v>484</v>
      </c>
      <c r="I74" s="158" t="s">
        <v>487</v>
      </c>
      <c r="J74" s="158"/>
      <c r="K74" s="158"/>
      <c r="L74" s="158"/>
      <c r="M74" s="233">
        <v>45869</v>
      </c>
      <c r="N74" s="160"/>
      <c r="O74" s="158"/>
      <c r="P74" s="161"/>
      <c r="Q74" s="161"/>
      <c r="R74" s="161">
        <v>0</v>
      </c>
      <c r="S74" s="162"/>
      <c r="T74" s="163">
        <v>100</v>
      </c>
      <c r="U74" s="160">
        <v>-450000</v>
      </c>
      <c r="V74" s="160" t="s">
        <v>28</v>
      </c>
      <c r="W74" s="163">
        <v>1</v>
      </c>
      <c r="X74" s="160"/>
      <c r="Y74" s="160"/>
      <c r="Z74" s="160">
        <f t="shared" si="20"/>
        <v>-450000</v>
      </c>
      <c r="AA74" s="160">
        <f t="shared" si="21"/>
        <v>-450000</v>
      </c>
      <c r="AB74" s="160">
        <v>0</v>
      </c>
      <c r="AC74" s="163"/>
      <c r="AD74" s="161">
        <v>0</v>
      </c>
      <c r="AE74" s="160"/>
      <c r="AF74" s="161"/>
      <c r="AG74" s="161"/>
      <c r="AH74" s="161"/>
      <c r="AI74" s="160"/>
      <c r="AJ74" s="160">
        <f t="shared" si="22"/>
        <v>0</v>
      </c>
      <c r="AK74" s="127"/>
    </row>
    <row r="75" spans="1:37" s="164" customFormat="1" ht="13.8" x14ac:dyDescent="0.3">
      <c r="A75" s="215" t="s">
        <v>497</v>
      </c>
      <c r="B75" s="159" t="s">
        <v>485</v>
      </c>
      <c r="C75" s="158" t="s">
        <v>234</v>
      </c>
      <c r="D75" s="158">
        <v>45869</v>
      </c>
      <c r="E75" s="158">
        <v>45869</v>
      </c>
      <c r="F75" s="158" t="s">
        <v>309</v>
      </c>
      <c r="G75" s="158" t="s">
        <v>498</v>
      </c>
      <c r="H75" s="158" t="s">
        <v>497</v>
      </c>
      <c r="I75" s="158" t="s">
        <v>487</v>
      </c>
      <c r="J75" s="158"/>
      <c r="K75" s="158"/>
      <c r="L75" s="158"/>
      <c r="M75" s="233">
        <v>45960</v>
      </c>
      <c r="N75" s="160"/>
      <c r="O75" s="158"/>
      <c r="P75" s="161"/>
      <c r="Q75" s="161"/>
      <c r="R75" s="161">
        <v>4.2299999999999997E-2</v>
      </c>
      <c r="S75" s="162"/>
      <c r="T75" s="163">
        <v>98.930750000000003</v>
      </c>
      <c r="U75" s="160">
        <v>500000</v>
      </c>
      <c r="V75" s="160" t="s">
        <v>28</v>
      </c>
      <c r="W75" s="163">
        <v>1</v>
      </c>
      <c r="X75" s="160"/>
      <c r="Y75" s="160"/>
      <c r="Z75" s="160">
        <f t="shared" si="20"/>
        <v>494653.75</v>
      </c>
      <c r="AA75" s="160">
        <f t="shared" si="21"/>
        <v>494653.75</v>
      </c>
      <c r="AB75" s="160">
        <v>0</v>
      </c>
      <c r="AC75" s="163"/>
      <c r="AD75" s="161">
        <v>4.2994721054879288E-2</v>
      </c>
      <c r="AE75" s="160"/>
      <c r="AF75" s="161"/>
      <c r="AG75" s="161"/>
      <c r="AH75" s="161"/>
      <c r="AI75" s="160"/>
      <c r="AJ75" s="160">
        <f t="shared" si="22"/>
        <v>0</v>
      </c>
      <c r="AK75" s="127"/>
    </row>
    <row r="76" spans="1:37" s="164" customFormat="1" ht="13.8" x14ac:dyDescent="0.3">
      <c r="A76" s="215" t="s">
        <v>497</v>
      </c>
      <c r="B76" s="159" t="s">
        <v>485</v>
      </c>
      <c r="C76" s="158" t="s">
        <v>234</v>
      </c>
      <c r="D76" s="158">
        <v>45870</v>
      </c>
      <c r="E76" s="158">
        <v>45870</v>
      </c>
      <c r="F76" s="158" t="s">
        <v>309</v>
      </c>
      <c r="G76" s="158" t="s">
        <v>498</v>
      </c>
      <c r="H76" s="158" t="s">
        <v>497</v>
      </c>
      <c r="I76" s="158" t="s">
        <v>487</v>
      </c>
      <c r="J76" s="158"/>
      <c r="K76" s="158"/>
      <c r="L76" s="158"/>
      <c r="M76" s="233">
        <v>45960</v>
      </c>
      <c r="N76" s="160"/>
      <c r="O76" s="158"/>
      <c r="P76" s="161"/>
      <c r="Q76" s="161"/>
      <c r="R76" s="161">
        <v>4.1799999999999997E-2</v>
      </c>
      <c r="S76" s="162"/>
      <c r="T76" s="163">
        <v>98.954999999999998</v>
      </c>
      <c r="U76" s="160">
        <v>200000</v>
      </c>
      <c r="V76" s="160" t="s">
        <v>28</v>
      </c>
      <c r="W76" s="163">
        <v>1</v>
      </c>
      <c r="X76" s="160"/>
      <c r="Y76" s="160"/>
      <c r="Z76" s="160">
        <f t="shared" si="20"/>
        <v>197910</v>
      </c>
      <c r="AA76" s="160">
        <f t="shared" si="21"/>
        <v>197910</v>
      </c>
      <c r="AB76" s="160">
        <v>0</v>
      </c>
      <c r="AC76" s="163"/>
      <c r="AD76" s="161">
        <v>4.2473750478816963E-2</v>
      </c>
      <c r="AE76" s="160"/>
      <c r="AF76" s="161"/>
      <c r="AG76" s="161"/>
      <c r="AH76" s="161"/>
      <c r="AI76" s="160"/>
      <c r="AJ76" s="160">
        <f t="shared" si="22"/>
        <v>0</v>
      </c>
      <c r="AK76" s="127"/>
    </row>
    <row r="77" spans="1:37" s="164" customFormat="1" ht="13.8" x14ac:dyDescent="0.3">
      <c r="A77" s="215" t="s">
        <v>488</v>
      </c>
      <c r="B77" s="159" t="s">
        <v>485</v>
      </c>
      <c r="C77" s="158" t="s">
        <v>492</v>
      </c>
      <c r="D77" s="158">
        <v>45874</v>
      </c>
      <c r="E77" s="158">
        <v>45875</v>
      </c>
      <c r="F77" s="158" t="s">
        <v>309</v>
      </c>
      <c r="G77" s="158" t="s">
        <v>489</v>
      </c>
      <c r="H77" s="158" t="s">
        <v>488</v>
      </c>
      <c r="I77" s="158" t="s">
        <v>487</v>
      </c>
      <c r="J77" s="158"/>
      <c r="K77" s="158"/>
      <c r="L77" s="158"/>
      <c r="M77" s="233">
        <v>45876</v>
      </c>
      <c r="N77" s="160"/>
      <c r="O77" s="158"/>
      <c r="P77" s="161"/>
      <c r="Q77" s="161"/>
      <c r="R77" s="161">
        <v>4.2099999999999999E-2</v>
      </c>
      <c r="S77" s="162"/>
      <c r="T77" s="163">
        <v>99.988167000000004</v>
      </c>
      <c r="U77" s="160">
        <v>-500000</v>
      </c>
      <c r="V77" s="160" t="s">
        <v>28</v>
      </c>
      <c r="W77" s="163">
        <v>1</v>
      </c>
      <c r="X77" s="160"/>
      <c r="Y77" s="160"/>
      <c r="Z77" s="160">
        <f t="shared" si="20"/>
        <v>-499940.83500000002</v>
      </c>
      <c r="AA77" s="160">
        <f t="shared" si="21"/>
        <v>-499940.83500000002</v>
      </c>
      <c r="AB77" s="160">
        <v>0</v>
      </c>
      <c r="AC77" s="163"/>
      <c r="AD77" s="161">
        <v>4.1918074517366975E-2</v>
      </c>
      <c r="AE77" s="160"/>
      <c r="AF77" s="161"/>
      <c r="AG77" s="161"/>
      <c r="AH77" s="161"/>
      <c r="AI77" s="160"/>
      <c r="AJ77" s="160">
        <f t="shared" si="22"/>
        <v>0</v>
      </c>
      <c r="AK77" s="127"/>
    </row>
    <row r="78" spans="1:37" s="164" customFormat="1" ht="13.8" x14ac:dyDescent="0.3">
      <c r="A78" s="215" t="s">
        <v>490</v>
      </c>
      <c r="B78" s="159" t="s">
        <v>485</v>
      </c>
      <c r="C78" s="158" t="s">
        <v>492</v>
      </c>
      <c r="D78" s="158">
        <v>45874</v>
      </c>
      <c r="E78" s="158">
        <v>45875</v>
      </c>
      <c r="F78" s="158" t="s">
        <v>309</v>
      </c>
      <c r="G78" s="158" t="s">
        <v>491</v>
      </c>
      <c r="H78" s="158" t="s">
        <v>490</v>
      </c>
      <c r="I78" s="158" t="s">
        <v>487</v>
      </c>
      <c r="J78" s="158"/>
      <c r="K78" s="158"/>
      <c r="L78" s="158"/>
      <c r="M78" s="233">
        <v>45883</v>
      </c>
      <c r="N78" s="160"/>
      <c r="O78" s="158"/>
      <c r="P78" s="161"/>
      <c r="Q78" s="161"/>
      <c r="R78" s="161">
        <v>4.2450000000000002E-2</v>
      </c>
      <c r="S78" s="162"/>
      <c r="T78" s="163">
        <v>99.905332999999999</v>
      </c>
      <c r="U78" s="160">
        <v>-500000</v>
      </c>
      <c r="V78" s="160" t="s">
        <v>28</v>
      </c>
      <c r="W78" s="163">
        <v>1</v>
      </c>
      <c r="X78" s="160"/>
      <c r="Y78" s="160"/>
      <c r="Z78" s="160">
        <f t="shared" si="20"/>
        <v>-499526.66499999998</v>
      </c>
      <c r="AA78" s="160">
        <f t="shared" si="21"/>
        <v>-499526.66499999998</v>
      </c>
      <c r="AB78" s="160">
        <v>0</v>
      </c>
      <c r="AC78" s="163"/>
      <c r="AD78" s="161">
        <v>4.2157357588954891E-2</v>
      </c>
      <c r="AE78" s="160"/>
      <c r="AF78" s="161"/>
      <c r="AG78" s="161"/>
      <c r="AH78" s="161"/>
      <c r="AI78" s="160"/>
      <c r="AJ78" s="160">
        <f t="shared" si="22"/>
        <v>0</v>
      </c>
      <c r="AK78" s="127"/>
    </row>
    <row r="79" spans="1:37" s="164" customFormat="1" ht="13.8" x14ac:dyDescent="0.3">
      <c r="A79" s="215" t="s">
        <v>497</v>
      </c>
      <c r="B79" s="159" t="s">
        <v>485</v>
      </c>
      <c r="C79" s="158" t="s">
        <v>234</v>
      </c>
      <c r="D79" s="158">
        <v>45874</v>
      </c>
      <c r="E79" s="158">
        <v>45875</v>
      </c>
      <c r="F79" s="158" t="s">
        <v>309</v>
      </c>
      <c r="G79" s="158" t="s">
        <v>498</v>
      </c>
      <c r="H79" s="158" t="s">
        <v>497</v>
      </c>
      <c r="I79" s="158" t="s">
        <v>487</v>
      </c>
      <c r="J79" s="158"/>
      <c r="K79" s="158"/>
      <c r="L79" s="158"/>
      <c r="M79" s="233">
        <v>45960</v>
      </c>
      <c r="N79" s="160"/>
      <c r="O79" s="158"/>
      <c r="P79" s="161"/>
      <c r="Q79" s="161"/>
      <c r="R79" s="161">
        <v>4.1450000000000001E-2</v>
      </c>
      <c r="S79" s="162"/>
      <c r="T79" s="163">
        <v>99.021319000000005</v>
      </c>
      <c r="U79" s="160">
        <v>1000000</v>
      </c>
      <c r="V79" s="160" t="s">
        <v>28</v>
      </c>
      <c r="W79" s="163">
        <v>1</v>
      </c>
      <c r="X79" s="160"/>
      <c r="Y79" s="160"/>
      <c r="Z79" s="160">
        <f t="shared" si="20"/>
        <v>990213.19</v>
      </c>
      <c r="AA79" s="160">
        <f t="shared" si="21"/>
        <v>990213.19</v>
      </c>
      <c r="AB79" s="160">
        <v>0</v>
      </c>
      <c r="AC79" s="163"/>
      <c r="AD79" s="161">
        <v>4.2079489771391532E-2</v>
      </c>
      <c r="AE79" s="160"/>
      <c r="AF79" s="161"/>
      <c r="AG79" s="161"/>
      <c r="AH79" s="161"/>
      <c r="AI79" s="160"/>
      <c r="AJ79" s="160">
        <f t="shared" si="22"/>
        <v>0</v>
      </c>
      <c r="AK79" s="127"/>
    </row>
    <row r="80" spans="1:37" s="164" customFormat="1" ht="13.8" x14ac:dyDescent="0.3">
      <c r="A80" s="215" t="s">
        <v>500</v>
      </c>
      <c r="B80" s="159" t="s">
        <v>485</v>
      </c>
      <c r="C80" s="158" t="s">
        <v>234</v>
      </c>
      <c r="D80" s="158">
        <v>45887</v>
      </c>
      <c r="E80" s="158">
        <v>45888</v>
      </c>
      <c r="F80" s="158" t="s">
        <v>309</v>
      </c>
      <c r="G80" s="158" t="s">
        <v>501</v>
      </c>
      <c r="H80" s="158" t="s">
        <v>500</v>
      </c>
      <c r="I80" s="158" t="s">
        <v>487</v>
      </c>
      <c r="J80" s="158"/>
      <c r="K80" s="158"/>
      <c r="L80" s="158"/>
      <c r="M80" s="233">
        <v>45974</v>
      </c>
      <c r="N80" s="160"/>
      <c r="O80" s="158"/>
      <c r="P80" s="161"/>
      <c r="Q80" s="161"/>
      <c r="R80" s="161">
        <v>4.1250000000000002E-2</v>
      </c>
      <c r="S80" s="162"/>
      <c r="T80" s="163">
        <v>99.014583000000002</v>
      </c>
      <c r="U80" s="160">
        <v>500000</v>
      </c>
      <c r="V80" s="160" t="s">
        <v>28</v>
      </c>
      <c r="W80" s="163">
        <v>1</v>
      </c>
      <c r="X80" s="160"/>
      <c r="Y80" s="160"/>
      <c r="Z80" s="160">
        <f t="shared" si="20"/>
        <v>495072.91499999998</v>
      </c>
      <c r="AA80" s="160">
        <f t="shared" si="21"/>
        <v>495072.91499999998</v>
      </c>
      <c r="AB80" s="160">
        <v>0</v>
      </c>
      <c r="AC80" s="163"/>
      <c r="AD80" s="161">
        <v>4.212724512550315E-2</v>
      </c>
      <c r="AE80" s="160"/>
      <c r="AF80" s="161"/>
      <c r="AG80" s="161"/>
      <c r="AH80" s="161"/>
      <c r="AI80" s="160"/>
      <c r="AJ80" s="160">
        <f t="shared" si="22"/>
        <v>0</v>
      </c>
      <c r="AK80" s="127"/>
    </row>
    <row r="81" spans="1:37" s="164" customFormat="1" ht="13.8" x14ac:dyDescent="0.3">
      <c r="A81" s="215" t="s">
        <v>493</v>
      </c>
      <c r="B81" s="159" t="s">
        <v>485</v>
      </c>
      <c r="C81" s="158" t="s">
        <v>492</v>
      </c>
      <c r="D81" s="158">
        <v>45908</v>
      </c>
      <c r="E81" s="158">
        <v>45908</v>
      </c>
      <c r="F81" s="158" t="s">
        <v>309</v>
      </c>
      <c r="G81" s="158" t="s">
        <v>494</v>
      </c>
      <c r="H81" s="158" t="s">
        <v>493</v>
      </c>
      <c r="I81" s="158" t="s">
        <v>487</v>
      </c>
      <c r="J81" s="158"/>
      <c r="K81" s="158"/>
      <c r="L81" s="158"/>
      <c r="M81" s="233">
        <v>45939</v>
      </c>
      <c r="N81" s="160"/>
      <c r="O81" s="158"/>
      <c r="P81" s="161"/>
      <c r="Q81" s="161"/>
      <c r="R81" s="161">
        <v>4.1700000000000001E-2</v>
      </c>
      <c r="S81" s="162"/>
      <c r="T81" s="163">
        <v>99.646944000000005</v>
      </c>
      <c r="U81" s="160">
        <v>-250000</v>
      </c>
      <c r="V81" s="160" t="s">
        <v>28</v>
      </c>
      <c r="W81" s="163">
        <v>1</v>
      </c>
      <c r="X81" s="160"/>
      <c r="Y81" s="160"/>
      <c r="Z81" s="160">
        <f t="shared" si="20"/>
        <v>-249117.36</v>
      </c>
      <c r="AA81" s="160">
        <f t="shared" si="21"/>
        <v>-249117.36</v>
      </c>
      <c r="AB81" s="160">
        <v>0</v>
      </c>
      <c r="AC81" s="163"/>
      <c r="AD81" s="161">
        <v>4.1213871386180136E-2</v>
      </c>
      <c r="AE81" s="160"/>
      <c r="AF81" s="161"/>
      <c r="AG81" s="161"/>
      <c r="AH81" s="161"/>
      <c r="AI81" s="160"/>
      <c r="AJ81" s="160">
        <f t="shared" si="22"/>
        <v>0</v>
      </c>
      <c r="AK81" s="127"/>
    </row>
    <row r="82" spans="1:37" s="164" customFormat="1" ht="13.8" x14ac:dyDescent="0.3">
      <c r="A82" s="215" t="s">
        <v>493</v>
      </c>
      <c r="B82" s="159" t="s">
        <v>485</v>
      </c>
      <c r="C82" s="158" t="s">
        <v>492</v>
      </c>
      <c r="D82" s="158">
        <v>45908</v>
      </c>
      <c r="E82" s="158">
        <v>45908</v>
      </c>
      <c r="F82" s="158" t="s">
        <v>309</v>
      </c>
      <c r="G82" s="158" t="s">
        <v>494</v>
      </c>
      <c r="H82" s="158" t="s">
        <v>493</v>
      </c>
      <c r="I82" s="158" t="s">
        <v>487</v>
      </c>
      <c r="J82" s="158"/>
      <c r="K82" s="158"/>
      <c r="L82" s="158"/>
      <c r="M82" s="233">
        <v>45939</v>
      </c>
      <c r="N82" s="160"/>
      <c r="O82" s="158"/>
      <c r="P82" s="161"/>
      <c r="Q82" s="161"/>
      <c r="R82" s="161">
        <v>4.156E-2</v>
      </c>
      <c r="S82" s="162"/>
      <c r="T82" s="163">
        <v>99.648235999999997</v>
      </c>
      <c r="U82" s="160">
        <v>-250000</v>
      </c>
      <c r="V82" s="160" t="s">
        <v>28</v>
      </c>
      <c r="W82" s="163">
        <v>1</v>
      </c>
      <c r="X82" s="160"/>
      <c r="Y82" s="160"/>
      <c r="Z82" s="160">
        <f t="shared" si="20"/>
        <v>-249120.59</v>
      </c>
      <c r="AA82" s="160">
        <f t="shared" si="21"/>
        <v>-249120.59</v>
      </c>
      <c r="AB82" s="160">
        <v>0</v>
      </c>
      <c r="AC82" s="163"/>
      <c r="AD82" s="161">
        <v>4.1069739886451129E-2</v>
      </c>
      <c r="AE82" s="160"/>
      <c r="AF82" s="161"/>
      <c r="AG82" s="161"/>
      <c r="AH82" s="161"/>
      <c r="AI82" s="160"/>
      <c r="AJ82" s="160">
        <f t="shared" si="22"/>
        <v>0</v>
      </c>
      <c r="AK82" s="127"/>
    </row>
    <row r="83" spans="1:37" s="164" customFormat="1" ht="13.8" x14ac:dyDescent="0.3">
      <c r="A83" s="215" t="s">
        <v>495</v>
      </c>
      <c r="B83" s="159" t="s">
        <v>485</v>
      </c>
      <c r="C83" s="158" t="s">
        <v>492</v>
      </c>
      <c r="D83" s="158">
        <v>45908</v>
      </c>
      <c r="E83" s="158">
        <v>45908</v>
      </c>
      <c r="F83" s="158" t="s">
        <v>309</v>
      </c>
      <c r="G83" s="158" t="s">
        <v>496</v>
      </c>
      <c r="H83" s="158" t="s">
        <v>495</v>
      </c>
      <c r="I83" s="158" t="s">
        <v>487</v>
      </c>
      <c r="J83" s="158"/>
      <c r="K83" s="158"/>
      <c r="L83" s="158"/>
      <c r="M83" s="233">
        <v>45946</v>
      </c>
      <c r="N83" s="160"/>
      <c r="O83" s="158"/>
      <c r="P83" s="161"/>
      <c r="Q83" s="161"/>
      <c r="R83" s="161">
        <v>4.1439999999999998E-2</v>
      </c>
      <c r="S83" s="162"/>
      <c r="T83" s="163">
        <v>99.570389000000006</v>
      </c>
      <c r="U83" s="160">
        <v>-250000</v>
      </c>
      <c r="V83" s="160" t="s">
        <v>28</v>
      </c>
      <c r="W83" s="163">
        <v>1</v>
      </c>
      <c r="X83" s="160"/>
      <c r="Y83" s="160"/>
      <c r="Z83" s="160">
        <f t="shared" si="20"/>
        <v>-248925.9725</v>
      </c>
      <c r="AA83" s="160">
        <f t="shared" si="21"/>
        <v>-248925.9725</v>
      </c>
      <c r="AB83" s="160">
        <v>0</v>
      </c>
      <c r="AC83" s="163"/>
      <c r="AD83" s="161">
        <v>4.1000717146213936E-2</v>
      </c>
      <c r="AE83" s="160"/>
      <c r="AF83" s="161"/>
      <c r="AG83" s="161"/>
      <c r="AH83" s="161"/>
      <c r="AI83" s="160"/>
      <c r="AJ83" s="160">
        <f t="shared" si="22"/>
        <v>0</v>
      </c>
      <c r="AK83" s="127"/>
    </row>
    <row r="84" spans="1:37" s="164" customFormat="1" ht="13.8" x14ac:dyDescent="0.3">
      <c r="A84" s="215" t="s">
        <v>497</v>
      </c>
      <c r="B84" s="159" t="s">
        <v>485</v>
      </c>
      <c r="C84" s="158" t="s">
        <v>492</v>
      </c>
      <c r="D84" s="158">
        <v>45916</v>
      </c>
      <c r="E84" s="158">
        <v>45916</v>
      </c>
      <c r="F84" s="158" t="s">
        <v>309</v>
      </c>
      <c r="G84" s="158" t="s">
        <v>498</v>
      </c>
      <c r="H84" s="158" t="s">
        <v>497</v>
      </c>
      <c r="I84" s="158" t="s">
        <v>487</v>
      </c>
      <c r="J84" s="158"/>
      <c r="K84" s="158"/>
      <c r="L84" s="158"/>
      <c r="M84" s="233">
        <v>45960</v>
      </c>
      <c r="N84" s="160"/>
      <c r="O84" s="158"/>
      <c r="P84" s="161"/>
      <c r="Q84" s="161"/>
      <c r="R84" s="161">
        <v>4.1000000000000002E-2</v>
      </c>
      <c r="S84" s="162"/>
      <c r="T84" s="163">
        <v>99.498889000000005</v>
      </c>
      <c r="U84" s="160">
        <v>-250000</v>
      </c>
      <c r="V84" s="160" t="s">
        <v>28</v>
      </c>
      <c r="W84" s="163">
        <v>1</v>
      </c>
      <c r="X84" s="160"/>
      <c r="Y84" s="160"/>
      <c r="Z84" s="160">
        <f t="shared" si="20"/>
        <v>-248747.2225</v>
      </c>
      <c r="AA84" s="160">
        <f t="shared" si="21"/>
        <v>-248747.2225</v>
      </c>
      <c r="AB84" s="160">
        <v>0</v>
      </c>
      <c r="AC84" s="163"/>
      <c r="AD84" s="161">
        <v>4.0990658647864074E-2</v>
      </c>
      <c r="AE84" s="160"/>
      <c r="AF84" s="161"/>
      <c r="AG84" s="161"/>
      <c r="AH84" s="161"/>
      <c r="AI84" s="160"/>
      <c r="AJ84" s="160">
        <f t="shared" si="22"/>
        <v>0</v>
      </c>
      <c r="AK84" s="127"/>
    </row>
    <row r="85" spans="1:37" s="164" customFormat="1" ht="13.8" x14ac:dyDescent="0.3">
      <c r="A85" s="215" t="s">
        <v>497</v>
      </c>
      <c r="B85" s="159" t="s">
        <v>485</v>
      </c>
      <c r="C85" s="158" t="s">
        <v>492</v>
      </c>
      <c r="D85" s="158">
        <v>45917</v>
      </c>
      <c r="E85" s="158">
        <v>45917</v>
      </c>
      <c r="F85" s="158" t="s">
        <v>309</v>
      </c>
      <c r="G85" s="158" t="s">
        <v>498</v>
      </c>
      <c r="H85" s="158" t="s">
        <v>497</v>
      </c>
      <c r="I85" s="158" t="s">
        <v>487</v>
      </c>
      <c r="J85" s="158"/>
      <c r="K85" s="158"/>
      <c r="L85" s="158"/>
      <c r="M85" s="233">
        <v>45960</v>
      </c>
      <c r="N85" s="160"/>
      <c r="O85" s="158"/>
      <c r="P85" s="161"/>
      <c r="Q85" s="161"/>
      <c r="R85" s="161">
        <v>4.0300000000000002E-2</v>
      </c>
      <c r="S85" s="162"/>
      <c r="T85" s="163">
        <v>99.518638999999993</v>
      </c>
      <c r="U85" s="160">
        <v>-250000</v>
      </c>
      <c r="V85" s="160" t="s">
        <v>28</v>
      </c>
      <c r="W85" s="163">
        <v>1</v>
      </c>
      <c r="X85" s="160"/>
      <c r="Y85" s="160"/>
      <c r="Z85" s="160">
        <f t="shared" si="20"/>
        <v>-248796.5975</v>
      </c>
      <c r="AA85" s="160">
        <f t="shared" si="21"/>
        <v>-248796.5975</v>
      </c>
      <c r="AB85" s="160">
        <v>0</v>
      </c>
      <c r="AC85" s="163"/>
      <c r="AD85" s="161">
        <v>4.0281957938469844E-2</v>
      </c>
      <c r="AE85" s="160"/>
      <c r="AF85" s="161"/>
      <c r="AG85" s="161"/>
      <c r="AH85" s="161"/>
      <c r="AI85" s="160"/>
      <c r="AJ85" s="160"/>
    </row>
    <row r="86" spans="1:37" s="164" customFormat="1" ht="13.8" x14ac:dyDescent="0.3">
      <c r="A86" s="215" t="s">
        <v>497</v>
      </c>
      <c r="B86" s="159" t="s">
        <v>485</v>
      </c>
      <c r="C86" s="158" t="s">
        <v>492</v>
      </c>
      <c r="D86" s="158">
        <v>45918</v>
      </c>
      <c r="E86" s="158">
        <v>45918</v>
      </c>
      <c r="F86" s="158" t="s">
        <v>309</v>
      </c>
      <c r="G86" s="158" t="s">
        <v>498</v>
      </c>
      <c r="H86" s="158" t="s">
        <v>497</v>
      </c>
      <c r="I86" s="158" t="s">
        <v>487</v>
      </c>
      <c r="J86" s="158"/>
      <c r="K86" s="158"/>
      <c r="L86" s="158"/>
      <c r="M86" s="233">
        <v>45960</v>
      </c>
      <c r="N86" s="160"/>
      <c r="O86" s="158"/>
      <c r="P86" s="161"/>
      <c r="Q86" s="161"/>
      <c r="R86" s="161">
        <v>4.0300000000000002E-2</v>
      </c>
      <c r="S86" s="162"/>
      <c r="T86" s="163">
        <v>99.529832999999996</v>
      </c>
      <c r="U86" s="160">
        <v>-250000</v>
      </c>
      <c r="V86" s="160" t="s">
        <v>28</v>
      </c>
      <c r="W86" s="163">
        <v>1</v>
      </c>
      <c r="X86" s="160"/>
      <c r="Y86" s="160"/>
      <c r="Z86" s="160">
        <f t="shared" si="20"/>
        <v>-248824.58249999999</v>
      </c>
      <c r="AA86" s="160">
        <f t="shared" si="21"/>
        <v>-248824.58249999999</v>
      </c>
      <c r="AB86" s="160">
        <v>0</v>
      </c>
      <c r="AC86" s="163"/>
      <c r="AD86" s="161">
        <v>4.0272964412194627E-2</v>
      </c>
      <c r="AE86" s="160"/>
      <c r="AF86" s="161"/>
      <c r="AG86" s="161"/>
      <c r="AH86" s="161"/>
      <c r="AI86" s="160"/>
      <c r="AJ86" s="160"/>
    </row>
    <row r="87" spans="1:37" s="164" customFormat="1" ht="13.8" x14ac:dyDescent="0.3">
      <c r="A87" s="215" t="s">
        <v>497</v>
      </c>
      <c r="B87" s="159" t="s">
        <v>485</v>
      </c>
      <c r="C87" s="158" t="s">
        <v>492</v>
      </c>
      <c r="D87" s="158">
        <v>45922</v>
      </c>
      <c r="E87" s="158">
        <v>45922</v>
      </c>
      <c r="F87" s="158" t="s">
        <v>309</v>
      </c>
      <c r="G87" s="158" t="s">
        <v>498</v>
      </c>
      <c r="H87" s="158" t="s">
        <v>497</v>
      </c>
      <c r="I87" s="158" t="s">
        <v>487</v>
      </c>
      <c r="J87" s="158"/>
      <c r="K87" s="158"/>
      <c r="L87" s="158"/>
      <c r="M87" s="233">
        <v>45960</v>
      </c>
      <c r="N87" s="160"/>
      <c r="O87" s="158"/>
      <c r="P87" s="161"/>
      <c r="Q87" s="161"/>
      <c r="R87" s="161">
        <v>4.0050000000000002E-2</v>
      </c>
      <c r="S87" s="162"/>
      <c r="T87" s="163">
        <v>99.577250000000006</v>
      </c>
      <c r="U87" s="160">
        <v>-200000</v>
      </c>
      <c r="V87" s="160" t="s">
        <v>28</v>
      </c>
      <c r="W87" s="163">
        <v>1</v>
      </c>
      <c r="X87" s="160"/>
      <c r="Y87" s="160"/>
      <c r="Z87" s="160">
        <f t="shared" si="20"/>
        <v>-199154.5</v>
      </c>
      <c r="AA87" s="160">
        <f t="shared" si="21"/>
        <v>-199154.5</v>
      </c>
      <c r="AB87" s="160"/>
      <c r="AC87" s="163"/>
      <c r="AD87" s="161">
        <v>3.9987719127458403E-2</v>
      </c>
      <c r="AE87" s="160"/>
      <c r="AF87" s="161"/>
      <c r="AG87" s="161"/>
      <c r="AH87" s="161"/>
      <c r="AI87" s="160"/>
      <c r="AJ87" s="160"/>
    </row>
    <row r="88" spans="1:37" s="164" customFormat="1" ht="13.8" x14ac:dyDescent="0.3">
      <c r="A88" s="215" t="s">
        <v>497</v>
      </c>
      <c r="B88" s="159" t="s">
        <v>485</v>
      </c>
      <c r="C88" s="158" t="s">
        <v>492</v>
      </c>
      <c r="D88" s="158">
        <v>45939</v>
      </c>
      <c r="E88" s="158">
        <v>45939</v>
      </c>
      <c r="F88" s="158" t="s">
        <v>309</v>
      </c>
      <c r="G88" s="158" t="s">
        <v>498</v>
      </c>
      <c r="H88" s="158" t="s">
        <v>497</v>
      </c>
      <c r="I88" s="158" t="s">
        <v>487</v>
      </c>
      <c r="J88" s="158"/>
      <c r="K88" s="158"/>
      <c r="L88" s="158"/>
      <c r="M88" s="233">
        <v>45960</v>
      </c>
      <c r="N88" s="160"/>
      <c r="O88" s="158"/>
      <c r="P88" s="161"/>
      <c r="Q88" s="161"/>
      <c r="R88" s="161">
        <v>4.0300000000000002E-2</v>
      </c>
      <c r="S88" s="162"/>
      <c r="T88" s="163">
        <v>99.764624999999995</v>
      </c>
      <c r="U88" s="160">
        <v>-250000</v>
      </c>
      <c r="V88" s="160" t="s">
        <v>28</v>
      </c>
      <c r="W88" s="163">
        <v>1</v>
      </c>
      <c r="X88" s="160"/>
      <c r="Y88" s="160"/>
      <c r="Z88" s="160">
        <f t="shared" si="20"/>
        <v>-249411.5625</v>
      </c>
      <c r="AA88" s="160">
        <f t="shared" si="21"/>
        <v>-249411.5625</v>
      </c>
      <c r="AB88" s="160"/>
      <c r="AC88" s="163"/>
      <c r="AD88" s="161">
        <v>4.0109594763788364E-2</v>
      </c>
      <c r="AE88" s="160"/>
      <c r="AF88" s="161"/>
      <c r="AG88" s="161"/>
      <c r="AH88" s="161"/>
      <c r="AI88" s="160"/>
      <c r="AJ88" s="160"/>
    </row>
    <row r="89" spans="1:37" s="164" customFormat="1" ht="13.8" x14ac:dyDescent="0.3">
      <c r="A89" s="215" t="s">
        <v>497</v>
      </c>
      <c r="B89" s="159" t="s">
        <v>485</v>
      </c>
      <c r="C89" s="158" t="s">
        <v>492</v>
      </c>
      <c r="D89" s="158">
        <v>45940</v>
      </c>
      <c r="E89" s="158">
        <v>45940</v>
      </c>
      <c r="F89" s="158" t="s">
        <v>309</v>
      </c>
      <c r="G89" s="158" t="s">
        <v>498</v>
      </c>
      <c r="H89" s="158" t="s">
        <v>497</v>
      </c>
      <c r="I89" s="158" t="s">
        <v>487</v>
      </c>
      <c r="J89" s="158"/>
      <c r="K89" s="158"/>
      <c r="L89" s="158"/>
      <c r="M89" s="233">
        <v>45960</v>
      </c>
      <c r="N89" s="160"/>
      <c r="O89" s="158"/>
      <c r="P89" s="161"/>
      <c r="Q89" s="161"/>
      <c r="R89" s="161">
        <v>4.0500000000000001E-2</v>
      </c>
      <c r="S89" s="162"/>
      <c r="T89" s="163">
        <v>99.775000000000006</v>
      </c>
      <c r="U89" s="160">
        <v>-250000</v>
      </c>
      <c r="V89" s="160" t="s">
        <v>28</v>
      </c>
      <c r="W89" s="163">
        <v>1</v>
      </c>
      <c r="X89" s="160"/>
      <c r="Y89" s="160"/>
      <c r="Z89" s="160">
        <f t="shared" si="20"/>
        <v>-249437.5</v>
      </c>
      <c r="AA89" s="160">
        <f t="shared" si="21"/>
        <v>-249437.5</v>
      </c>
      <c r="AB89" s="160"/>
      <c r="AC89" s="163"/>
      <c r="AD89" s="161">
        <v>4.0273461777501088E-2</v>
      </c>
      <c r="AE89" s="160"/>
      <c r="AF89" s="161"/>
      <c r="AG89" s="161"/>
      <c r="AH89" s="161"/>
      <c r="AI89" s="160"/>
      <c r="AJ89" s="160"/>
    </row>
    <row r="90" spans="1:37" s="164" customFormat="1" ht="13.8" x14ac:dyDescent="0.3">
      <c r="A90" s="215" t="s">
        <v>497</v>
      </c>
      <c r="B90" s="159" t="s">
        <v>485</v>
      </c>
      <c r="C90" s="158" t="s">
        <v>492</v>
      </c>
      <c r="D90" s="158">
        <v>45944</v>
      </c>
      <c r="E90" s="158">
        <v>45944</v>
      </c>
      <c r="F90" s="158" t="s">
        <v>309</v>
      </c>
      <c r="G90" s="158" t="s">
        <v>498</v>
      </c>
      <c r="H90" s="158" t="s">
        <v>497</v>
      </c>
      <c r="I90" s="158" t="s">
        <v>487</v>
      </c>
      <c r="J90" s="158"/>
      <c r="K90" s="158"/>
      <c r="L90" s="158"/>
      <c r="M90" s="233">
        <v>45960</v>
      </c>
      <c r="N90" s="160"/>
      <c r="O90" s="158"/>
      <c r="P90" s="161"/>
      <c r="Q90" s="161"/>
      <c r="R90" s="161">
        <v>4.0300000000000002E-2</v>
      </c>
      <c r="S90" s="162"/>
      <c r="T90" s="163">
        <v>99.820667</v>
      </c>
      <c r="U90" s="160">
        <v>-500000</v>
      </c>
      <c r="V90" s="160" t="s">
        <v>28</v>
      </c>
      <c r="W90" s="163">
        <v>1</v>
      </c>
      <c r="X90" s="160"/>
      <c r="Y90" s="160"/>
      <c r="Z90" s="160">
        <f t="shared" si="20"/>
        <v>-499103.33500000002</v>
      </c>
      <c r="AA90" s="160">
        <f t="shared" si="21"/>
        <v>-499103.33500000002</v>
      </c>
      <c r="AB90" s="160"/>
      <c r="AC90" s="163"/>
      <c r="AD90" s="161">
        <v>4.0064918785247088E-2</v>
      </c>
      <c r="AE90" s="160"/>
      <c r="AF90" s="161"/>
      <c r="AG90" s="161"/>
      <c r="AH90" s="161"/>
      <c r="AI90" s="160"/>
      <c r="AJ90" s="160"/>
    </row>
    <row r="91" spans="1:37" s="164" customFormat="1" ht="13.8" x14ac:dyDescent="0.3">
      <c r="A91" s="215" t="s">
        <v>736</v>
      </c>
      <c r="B91" s="159" t="s">
        <v>485</v>
      </c>
      <c r="C91" s="158" t="s">
        <v>234</v>
      </c>
      <c r="D91" s="158">
        <v>45950</v>
      </c>
      <c r="E91" s="158">
        <v>45950</v>
      </c>
      <c r="F91" s="158" t="s">
        <v>309</v>
      </c>
      <c r="G91" s="158" t="s">
        <v>735</v>
      </c>
      <c r="H91" s="158" t="s">
        <v>736</v>
      </c>
      <c r="I91" s="158" t="s">
        <v>487</v>
      </c>
      <c r="J91" s="158"/>
      <c r="K91" s="158"/>
      <c r="L91" s="158"/>
      <c r="M91" s="233">
        <v>46037</v>
      </c>
      <c r="N91" s="160"/>
      <c r="O91" s="158"/>
      <c r="P91" s="161"/>
      <c r="Q91" s="161"/>
      <c r="R91" s="161">
        <v>3.7900000000000003E-2</v>
      </c>
      <c r="S91" s="162"/>
      <c r="T91" s="163">
        <v>99.084083000000007</v>
      </c>
      <c r="U91" s="160">
        <v>750000</v>
      </c>
      <c r="V91" s="160" t="s">
        <v>28</v>
      </c>
      <c r="W91" s="163">
        <v>1</v>
      </c>
      <c r="X91" s="160"/>
      <c r="Y91" s="160"/>
      <c r="Z91" s="160">
        <f t="shared" si="20"/>
        <v>743130.62250000006</v>
      </c>
      <c r="AA91" s="160">
        <f t="shared" si="21"/>
        <v>743130.62250000006</v>
      </c>
      <c r="AB91" s="160"/>
      <c r="AC91" s="163"/>
      <c r="AD91" s="161">
        <v>3.8679803690444589E-2</v>
      </c>
      <c r="AE91" s="160"/>
      <c r="AF91" s="161"/>
      <c r="AG91" s="161"/>
      <c r="AH91" s="161"/>
      <c r="AI91" s="160"/>
      <c r="AJ91" s="160"/>
    </row>
    <row r="92" spans="1:37" s="164" customFormat="1" ht="13.8" x14ac:dyDescent="0.3">
      <c r="A92" s="215" t="s">
        <v>500</v>
      </c>
      <c r="B92" s="159" t="s">
        <v>485</v>
      </c>
      <c r="C92" s="158" t="s">
        <v>492</v>
      </c>
      <c r="D92" s="158">
        <v>45951</v>
      </c>
      <c r="E92" s="158">
        <v>45951</v>
      </c>
      <c r="F92" s="158" t="s">
        <v>309</v>
      </c>
      <c r="G92" s="158" t="s">
        <v>501</v>
      </c>
      <c r="H92" s="158" t="s">
        <v>500</v>
      </c>
      <c r="I92" s="158" t="s">
        <v>487</v>
      </c>
      <c r="J92" s="158"/>
      <c r="K92" s="158"/>
      <c r="L92" s="158"/>
      <c r="M92" s="233">
        <v>45974</v>
      </c>
      <c r="N92" s="160"/>
      <c r="O92" s="158"/>
      <c r="P92" s="161"/>
      <c r="Q92" s="161"/>
      <c r="R92" s="161">
        <v>3.9600000000000003E-2</v>
      </c>
      <c r="S92" s="162"/>
      <c r="T92" s="163">
        <v>99.747</v>
      </c>
      <c r="U92" s="160">
        <v>-300000</v>
      </c>
      <c r="V92" s="160" t="s">
        <v>28</v>
      </c>
      <c r="W92" s="163">
        <v>1</v>
      </c>
      <c r="X92" s="160"/>
      <c r="Y92" s="160"/>
      <c r="Z92" s="160">
        <f t="shared" si="20"/>
        <v>-299241</v>
      </c>
      <c r="AA92" s="160">
        <f t="shared" si="21"/>
        <v>-299241</v>
      </c>
      <c r="AB92" s="160"/>
      <c r="AC92" s="163"/>
      <c r="AD92" s="161">
        <v>4.0300512463306709E-2</v>
      </c>
      <c r="AE92" s="160"/>
      <c r="AF92" s="161"/>
      <c r="AG92" s="161"/>
      <c r="AH92" s="161"/>
      <c r="AI92" s="160"/>
      <c r="AJ92" s="160"/>
    </row>
    <row r="93" spans="1:37" ht="13.8" x14ac:dyDescent="0.3">
      <c r="A93" s="215" t="s">
        <v>736</v>
      </c>
      <c r="B93" s="165" t="s">
        <v>485</v>
      </c>
      <c r="C93" s="77" t="s">
        <v>234</v>
      </c>
      <c r="D93" s="77">
        <v>45958</v>
      </c>
      <c r="E93" s="77">
        <v>45958</v>
      </c>
      <c r="F93" s="77" t="s">
        <v>309</v>
      </c>
      <c r="G93" s="77" t="s">
        <v>735</v>
      </c>
      <c r="H93" s="77" t="s">
        <v>736</v>
      </c>
      <c r="I93" s="77" t="s">
        <v>487</v>
      </c>
      <c r="J93" s="77"/>
      <c r="K93" s="77"/>
      <c r="L93" s="77"/>
      <c r="M93" s="233">
        <v>46037</v>
      </c>
      <c r="O93" s="77"/>
      <c r="R93" s="130">
        <v>3.6999999999999998E-2</v>
      </c>
      <c r="S93" s="150"/>
      <c r="T93" s="131">
        <v>99.188056000000003</v>
      </c>
      <c r="U93" s="129">
        <v>1000000</v>
      </c>
      <c r="V93" s="129" t="s">
        <v>28</v>
      </c>
      <c r="W93" s="131">
        <v>1</v>
      </c>
      <c r="Z93" s="129">
        <f t="shared" si="20"/>
        <v>991880.56</v>
      </c>
      <c r="AA93" s="129">
        <f t="shared" si="21"/>
        <v>991880.56</v>
      </c>
      <c r="AC93" s="131"/>
      <c r="AD93" s="161">
        <v>3.7736488100808464E-2</v>
      </c>
      <c r="AI93" s="160">
        <f>650000*R93</f>
        <v>24050</v>
      </c>
    </row>
    <row r="94" spans="1:37" s="164" customFormat="1" ht="13.8" x14ac:dyDescent="0.3">
      <c r="A94" s="215" t="s">
        <v>497</v>
      </c>
      <c r="B94" s="159" t="s">
        <v>485</v>
      </c>
      <c r="C94" s="158" t="s">
        <v>492</v>
      </c>
      <c r="D94" s="158">
        <v>45960</v>
      </c>
      <c r="E94" s="158">
        <v>45960</v>
      </c>
      <c r="F94" s="158" t="s">
        <v>309</v>
      </c>
      <c r="G94" s="158" t="s">
        <v>498</v>
      </c>
      <c r="H94" s="158" t="s">
        <v>497</v>
      </c>
      <c r="I94" s="158" t="s">
        <v>487</v>
      </c>
      <c r="J94" s="158"/>
      <c r="K94" s="158"/>
      <c r="L94" s="158"/>
      <c r="M94" s="233">
        <v>45960</v>
      </c>
      <c r="N94" s="160"/>
      <c r="O94" s="158"/>
      <c r="P94" s="161"/>
      <c r="Q94" s="161"/>
      <c r="R94" s="161">
        <v>0</v>
      </c>
      <c r="S94" s="162"/>
      <c r="T94" s="163">
        <v>100</v>
      </c>
      <c r="U94" s="160">
        <v>-250000</v>
      </c>
      <c r="V94" s="160" t="s">
        <v>28</v>
      </c>
      <c r="W94" s="163">
        <v>1</v>
      </c>
      <c r="X94" s="160"/>
      <c r="Y94" s="160"/>
      <c r="Z94" s="160">
        <f t="shared" si="20"/>
        <v>-250000</v>
      </c>
      <c r="AA94" s="160">
        <f t="shared" si="21"/>
        <v>-250000</v>
      </c>
      <c r="AB94" s="160"/>
      <c r="AC94" s="163"/>
      <c r="AD94" s="161" t="e">
        <v>#NUM!</v>
      </c>
      <c r="AE94" s="160"/>
      <c r="AF94" s="161"/>
      <c r="AG94" s="161"/>
      <c r="AH94" s="161"/>
      <c r="AI94" s="160"/>
      <c r="AJ94" s="160"/>
    </row>
    <row r="95" spans="1:37" s="164" customFormat="1" ht="13.8" x14ac:dyDescent="0.3">
      <c r="A95" s="215" t="s">
        <v>500</v>
      </c>
      <c r="B95" s="159" t="s">
        <v>485</v>
      </c>
      <c r="C95" s="158" t="s">
        <v>492</v>
      </c>
      <c r="D95" s="158">
        <v>45964</v>
      </c>
      <c r="E95" s="158">
        <v>45964</v>
      </c>
      <c r="F95" s="158" t="s">
        <v>309</v>
      </c>
      <c r="G95" s="158" t="s">
        <v>501</v>
      </c>
      <c r="H95" s="158" t="s">
        <v>500</v>
      </c>
      <c r="I95" s="158" t="s">
        <v>487</v>
      </c>
      <c r="J95" s="158"/>
      <c r="K95" s="158"/>
      <c r="L95" s="158"/>
      <c r="M95" s="233">
        <v>45974</v>
      </c>
      <c r="N95" s="160"/>
      <c r="O95" s="158"/>
      <c r="P95" s="161"/>
      <c r="Q95" s="161"/>
      <c r="R95" s="161">
        <v>3.85E-2</v>
      </c>
      <c r="S95" s="162"/>
      <c r="T95" s="163">
        <v>99.893056000000001</v>
      </c>
      <c r="U95" s="160">
        <v>-200000</v>
      </c>
      <c r="V95" s="160" t="s">
        <v>28</v>
      </c>
      <c r="W95" s="163">
        <v>1</v>
      </c>
      <c r="X95" s="160"/>
      <c r="Y95" s="160"/>
      <c r="Z95" s="160">
        <f t="shared" si="20"/>
        <v>-199786.11199999999</v>
      </c>
      <c r="AA95" s="160">
        <f t="shared" si="21"/>
        <v>-199786.11199999999</v>
      </c>
      <c r="AB95" s="160"/>
      <c r="AC95" s="163"/>
      <c r="AD95" s="161">
        <v>3.8213846727572894E-2</v>
      </c>
      <c r="AE95" s="160"/>
      <c r="AF95" s="161"/>
      <c r="AG95" s="161"/>
      <c r="AH95" s="161"/>
      <c r="AI95" s="160"/>
      <c r="AJ95" s="160"/>
    </row>
    <row r="96" spans="1:37" s="164" customFormat="1" ht="13.8" x14ac:dyDescent="0.3">
      <c r="A96" s="215" t="s">
        <v>736</v>
      </c>
      <c r="B96" s="159" t="s">
        <v>485</v>
      </c>
      <c r="C96" s="158" t="s">
        <v>492</v>
      </c>
      <c r="D96" s="158">
        <v>45964</v>
      </c>
      <c r="E96" s="158">
        <v>45964</v>
      </c>
      <c r="F96" s="158" t="s">
        <v>309</v>
      </c>
      <c r="G96" s="158" t="s">
        <v>735</v>
      </c>
      <c r="H96" s="158" t="s">
        <v>736</v>
      </c>
      <c r="I96" s="158" t="s">
        <v>487</v>
      </c>
      <c r="J96" s="158"/>
      <c r="K96" s="158"/>
      <c r="L96" s="158"/>
      <c r="M96" s="233">
        <v>46037</v>
      </c>
      <c r="N96" s="160"/>
      <c r="O96" s="158"/>
      <c r="P96" s="161"/>
      <c r="Q96" s="161"/>
      <c r="R96" s="161">
        <v>3.7850000000000002E-2</v>
      </c>
      <c r="S96" s="162"/>
      <c r="T96" s="163">
        <v>99.232485999999994</v>
      </c>
      <c r="U96" s="160">
        <v>-300000</v>
      </c>
      <c r="V96" s="160" t="s">
        <v>28</v>
      </c>
      <c r="W96" s="163">
        <v>1</v>
      </c>
      <c r="X96" s="160"/>
      <c r="Y96" s="160"/>
      <c r="Z96" s="160">
        <f t="shared" si="20"/>
        <v>-297697.45799999998</v>
      </c>
      <c r="AA96" s="160">
        <f t="shared" si="21"/>
        <v>-297697.45799999998</v>
      </c>
      <c r="AB96" s="160"/>
      <c r="AC96" s="163"/>
      <c r="AD96" s="161">
        <v>3.8334524756236381E-2</v>
      </c>
      <c r="AE96" s="160"/>
      <c r="AF96" s="161"/>
      <c r="AG96" s="161"/>
      <c r="AH96" s="161"/>
      <c r="AI96" s="160"/>
      <c r="AJ96" s="160"/>
    </row>
    <row r="97" spans="1:36" s="164" customFormat="1" ht="13.8" x14ac:dyDescent="0.3">
      <c r="A97" s="215" t="s">
        <v>736</v>
      </c>
      <c r="B97" s="159" t="s">
        <v>485</v>
      </c>
      <c r="C97" s="158" t="s">
        <v>492</v>
      </c>
      <c r="D97" s="158">
        <v>45965</v>
      </c>
      <c r="E97" s="158">
        <v>45965</v>
      </c>
      <c r="F97" s="158" t="s">
        <v>309</v>
      </c>
      <c r="G97" s="158" t="s">
        <v>735</v>
      </c>
      <c r="H97" s="158" t="s">
        <v>736</v>
      </c>
      <c r="I97" s="158" t="s">
        <v>487</v>
      </c>
      <c r="J97" s="158"/>
      <c r="K97" s="158"/>
      <c r="L97" s="158"/>
      <c r="M97" s="233">
        <v>46037</v>
      </c>
      <c r="N97" s="160"/>
      <c r="O97" s="158"/>
      <c r="P97" s="161"/>
      <c r="Q97" s="161"/>
      <c r="R97" s="161">
        <v>3.7749999999999999E-2</v>
      </c>
      <c r="S97" s="162"/>
      <c r="T97" s="163">
        <v>99.245000000000005</v>
      </c>
      <c r="U97" s="160">
        <v>-300000</v>
      </c>
      <c r="V97" s="160" t="s">
        <v>28</v>
      </c>
      <c r="W97" s="163">
        <v>1</v>
      </c>
      <c r="X97" s="160"/>
      <c r="Y97" s="160"/>
      <c r="Z97" s="160">
        <f t="shared" si="20"/>
        <v>-297735</v>
      </c>
      <c r="AA97" s="160">
        <f t="shared" si="21"/>
        <v>-297735</v>
      </c>
      <c r="AB97" s="160"/>
      <c r="AC97" s="163"/>
      <c r="AD97" s="161">
        <v>3.8228304180391567E-2</v>
      </c>
      <c r="AE97" s="160"/>
      <c r="AF97" s="161"/>
      <c r="AG97" s="161"/>
      <c r="AH97" s="161"/>
      <c r="AI97" s="160"/>
      <c r="AJ97" s="160"/>
    </row>
    <row r="98" spans="1:36" s="164" customFormat="1" ht="13.8" x14ac:dyDescent="0.3">
      <c r="A98" s="215" t="s">
        <v>736</v>
      </c>
      <c r="B98" s="159" t="s">
        <v>485</v>
      </c>
      <c r="C98" s="158" t="s">
        <v>492</v>
      </c>
      <c r="D98" s="158">
        <v>45967</v>
      </c>
      <c r="E98" s="158">
        <v>45967</v>
      </c>
      <c r="F98" s="158" t="s">
        <v>309</v>
      </c>
      <c r="G98" s="158" t="s">
        <v>735</v>
      </c>
      <c r="H98" s="158" t="s">
        <v>736</v>
      </c>
      <c r="I98" s="158" t="s">
        <v>487</v>
      </c>
      <c r="J98" s="158"/>
      <c r="K98" s="158"/>
      <c r="L98" s="158"/>
      <c r="M98" s="233">
        <v>46037</v>
      </c>
      <c r="N98" s="160"/>
      <c r="O98" s="158"/>
      <c r="P98" s="161"/>
      <c r="Q98" s="161"/>
      <c r="R98" s="161">
        <v>3.7749999999999999E-2</v>
      </c>
      <c r="S98" s="162"/>
      <c r="T98" s="163">
        <v>99.245000000000005</v>
      </c>
      <c r="U98" s="160">
        <v>-500000</v>
      </c>
      <c r="V98" s="160" t="s">
        <v>28</v>
      </c>
      <c r="W98" s="163">
        <v>1</v>
      </c>
      <c r="X98" s="160"/>
      <c r="Y98" s="160"/>
      <c r="Z98" s="160">
        <f t="shared" si="20"/>
        <v>-496225</v>
      </c>
      <c r="AA98" s="160">
        <f t="shared" si="21"/>
        <v>-496225</v>
      </c>
      <c r="AB98" s="160"/>
      <c r="AC98" s="163"/>
      <c r="AD98" s="161">
        <v>3.8778033867533486E-2</v>
      </c>
      <c r="AE98" s="160"/>
      <c r="AF98" s="161"/>
      <c r="AG98" s="161"/>
      <c r="AH98" s="161"/>
      <c r="AI98" s="160"/>
      <c r="AJ98" s="160"/>
    </row>
    <row r="99" spans="1:36" s="164" customFormat="1" ht="13.8" x14ac:dyDescent="0.3">
      <c r="A99" s="216"/>
      <c r="B99" s="159"/>
      <c r="C99" s="158"/>
      <c r="D99" s="158"/>
      <c r="E99" s="158"/>
      <c r="F99" s="158"/>
      <c r="G99" s="158"/>
      <c r="H99" s="158"/>
      <c r="I99" s="158"/>
      <c r="J99" s="158"/>
      <c r="K99" s="158"/>
      <c r="L99" s="158"/>
      <c r="M99" s="158"/>
      <c r="N99" s="160"/>
      <c r="O99" s="158"/>
      <c r="P99" s="161"/>
      <c r="Q99" s="161"/>
      <c r="R99" s="161"/>
      <c r="S99" s="162"/>
      <c r="T99" s="163"/>
      <c r="U99" s="160"/>
      <c r="V99" s="160"/>
      <c r="W99" s="163"/>
      <c r="X99" s="160"/>
      <c r="Y99" s="160"/>
      <c r="Z99" s="160"/>
      <c r="AA99" s="160"/>
      <c r="AB99" s="160"/>
      <c r="AC99" s="163"/>
      <c r="AD99" s="161"/>
      <c r="AE99" s="160"/>
      <c r="AF99" s="161"/>
      <c r="AG99" s="161"/>
      <c r="AH99" s="161"/>
      <c r="AI99" s="160"/>
      <c r="AJ99" s="160"/>
    </row>
    <row r="100" spans="1:36" ht="13.8" x14ac:dyDescent="0.3">
      <c r="B100" s="165"/>
      <c r="C100" s="77"/>
      <c r="D100" s="77"/>
      <c r="E100" s="77"/>
      <c r="F100" s="77"/>
      <c r="G100" s="77"/>
      <c r="H100" s="77"/>
      <c r="I100" s="77"/>
      <c r="J100" s="77"/>
      <c r="K100" s="77"/>
      <c r="L100" s="77"/>
      <c r="M100" s="77"/>
      <c r="O100" s="77"/>
      <c r="S100" s="150"/>
      <c r="W100" s="131"/>
      <c r="AC100" s="131"/>
      <c r="AD100" s="161"/>
    </row>
    <row r="102" spans="1:36" s="167" customFormat="1" ht="6" customHeight="1" x14ac:dyDescent="0.3">
      <c r="A102" s="217"/>
      <c r="B102" s="166"/>
      <c r="F102" s="168"/>
      <c r="N102" s="169"/>
      <c r="P102" s="170"/>
      <c r="Q102" s="170"/>
      <c r="R102" s="170"/>
      <c r="S102" s="170"/>
      <c r="T102" s="171"/>
      <c r="U102" s="169"/>
      <c r="V102" s="169"/>
      <c r="W102" s="169"/>
      <c r="X102" s="169"/>
      <c r="Y102" s="169"/>
      <c r="Z102" s="169"/>
      <c r="AA102" s="169"/>
      <c r="AB102" s="169"/>
      <c r="AC102" s="169"/>
      <c r="AD102" s="169"/>
      <c r="AE102" s="169"/>
      <c r="AF102" s="170"/>
      <c r="AG102" s="170"/>
      <c r="AH102" s="170"/>
      <c r="AI102" s="169"/>
      <c r="AJ102" s="169"/>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H337"/>
  <sheetViews>
    <sheetView zoomScale="110" zoomScaleNormal="110" workbookViewId="0">
      <pane ySplit="1" topLeftCell="A315" activePane="bottomLeft" state="frozen"/>
      <selection pane="bottomLeft" activeCell="B1" sqref="B1:H1"/>
    </sheetView>
  </sheetViews>
  <sheetFormatPr defaultColWidth="10.33203125" defaultRowHeight="13.2" x14ac:dyDescent="0.25"/>
  <cols>
    <col min="1" max="1" width="16" style="172" bestFit="1" customWidth="1"/>
    <col min="2" max="2" width="13.5546875" style="172" bestFit="1" customWidth="1"/>
    <col min="3" max="3" width="53.109375" style="172" bestFit="1" customWidth="1"/>
    <col min="4" max="4" width="16.33203125" style="207" bestFit="1" customWidth="1"/>
    <col min="5" max="5" width="19.88671875" style="207" bestFit="1" customWidth="1"/>
    <col min="6" max="6" width="17.77734375" style="207" bestFit="1" customWidth="1"/>
    <col min="7" max="7" width="18.77734375" style="207" bestFit="1" customWidth="1"/>
    <col min="8" max="8" width="15.109375" style="207" bestFit="1" customWidth="1"/>
    <col min="9" max="16384" width="10.33203125" style="172"/>
  </cols>
  <sheetData>
    <row r="1" spans="1:8" x14ac:dyDescent="0.25">
      <c r="A1" s="208" t="s">
        <v>502</v>
      </c>
      <c r="B1" s="208" t="s">
        <v>503</v>
      </c>
      <c r="C1" s="208" t="s">
        <v>60</v>
      </c>
      <c r="D1" s="209" t="s">
        <v>505</v>
      </c>
      <c r="E1" s="209" t="s">
        <v>742</v>
      </c>
      <c r="F1" s="209" t="s">
        <v>71</v>
      </c>
      <c r="G1" s="209" t="s">
        <v>743</v>
      </c>
      <c r="H1" s="209" t="s">
        <v>504</v>
      </c>
    </row>
    <row r="2" spans="1:8" ht="14.4" x14ac:dyDescent="0.3">
      <c r="A2">
        <v>1</v>
      </c>
      <c r="B2" s="172" t="s">
        <v>776</v>
      </c>
      <c r="C2" s="102" t="s">
        <v>777</v>
      </c>
      <c r="D2" s="102"/>
      <c r="E2" s="207">
        <v>1950000000</v>
      </c>
      <c r="F2" s="207">
        <v>700000000</v>
      </c>
      <c r="H2" s="207">
        <v>50000000</v>
      </c>
    </row>
    <row r="3" spans="1:8" ht="14.4" x14ac:dyDescent="0.3">
      <c r="A3">
        <v>2</v>
      </c>
      <c r="B3" s="172" t="s">
        <v>778</v>
      </c>
      <c r="C3" s="102" t="s">
        <v>779</v>
      </c>
      <c r="D3" s="102"/>
      <c r="E3" s="207">
        <v>1200000000</v>
      </c>
      <c r="F3" s="207">
        <v>1150000000</v>
      </c>
      <c r="H3" s="207">
        <v>125000000</v>
      </c>
    </row>
    <row r="4" spans="1:8" ht="14.4" x14ac:dyDescent="0.3">
      <c r="A4">
        <v>3</v>
      </c>
      <c r="B4" s="172" t="s">
        <v>780</v>
      </c>
      <c r="C4" s="102" t="s">
        <v>781</v>
      </c>
      <c r="D4" s="102"/>
      <c r="E4" s="207">
        <v>1000000000</v>
      </c>
      <c r="F4" s="207">
        <v>950000000</v>
      </c>
      <c r="H4" s="207">
        <v>125000000</v>
      </c>
    </row>
    <row r="5" spans="1:8" ht="14.4" x14ac:dyDescent="0.3">
      <c r="A5">
        <v>4</v>
      </c>
      <c r="B5" s="172" t="s">
        <v>782</v>
      </c>
      <c r="C5" s="102" t="s">
        <v>783</v>
      </c>
      <c r="D5" s="102"/>
      <c r="E5" s="207">
        <v>1950000000</v>
      </c>
      <c r="F5" s="207">
        <v>400000000</v>
      </c>
      <c r="H5" s="207">
        <v>125000000</v>
      </c>
    </row>
    <row r="6" spans="1:8" ht="14.4" x14ac:dyDescent="0.3">
      <c r="A6">
        <v>5</v>
      </c>
      <c r="B6" s="172" t="s">
        <v>784</v>
      </c>
      <c r="C6" s="102" t="s">
        <v>785</v>
      </c>
      <c r="D6" s="102"/>
      <c r="E6" s="207">
        <v>1200000000</v>
      </c>
      <c r="F6" s="207">
        <v>750000000</v>
      </c>
      <c r="H6" s="207">
        <v>100000000</v>
      </c>
    </row>
    <row r="7" spans="1:8" ht="14.4" x14ac:dyDescent="0.3">
      <c r="A7">
        <v>6</v>
      </c>
      <c r="B7" s="172" t="s">
        <v>786</v>
      </c>
      <c r="C7" s="102" t="s">
        <v>787</v>
      </c>
      <c r="D7" s="102"/>
      <c r="E7" s="207">
        <v>6500000000</v>
      </c>
      <c r="F7" s="207">
        <v>5000000000</v>
      </c>
      <c r="H7" s="207">
        <v>100000000</v>
      </c>
    </row>
    <row r="8" spans="1:8" ht="14.4" x14ac:dyDescent="0.3">
      <c r="A8">
        <v>7</v>
      </c>
      <c r="B8" s="172" t="s">
        <v>788</v>
      </c>
      <c r="C8" s="102" t="s">
        <v>789</v>
      </c>
      <c r="D8" s="102"/>
      <c r="F8" s="207">
        <v>42106000000</v>
      </c>
      <c r="H8" s="207">
        <v>150000000</v>
      </c>
    </row>
    <row r="9" spans="1:8" ht="14.4" x14ac:dyDescent="0.3">
      <c r="A9">
        <v>8</v>
      </c>
      <c r="B9" s="172" t="s">
        <v>790</v>
      </c>
      <c r="C9" s="102" t="s">
        <v>791</v>
      </c>
      <c r="D9" s="102"/>
      <c r="E9" s="207">
        <v>3300000000</v>
      </c>
      <c r="F9" s="207">
        <v>600000000</v>
      </c>
      <c r="H9" s="207">
        <v>100000000</v>
      </c>
    </row>
    <row r="10" spans="1:8" ht="14.4" x14ac:dyDescent="0.3">
      <c r="A10">
        <v>9</v>
      </c>
      <c r="B10" s="172" t="s">
        <v>792</v>
      </c>
      <c r="C10" s="102" t="s">
        <v>793</v>
      </c>
      <c r="D10" s="102"/>
      <c r="F10" s="207">
        <v>420000000</v>
      </c>
      <c r="H10" s="207">
        <v>50000000</v>
      </c>
    </row>
    <row r="11" spans="1:8" ht="14.4" x14ac:dyDescent="0.3">
      <c r="A11">
        <v>10</v>
      </c>
      <c r="B11" s="172" t="s">
        <v>426</v>
      </c>
      <c r="C11" s="102" t="s">
        <v>225</v>
      </c>
      <c r="D11" s="102"/>
      <c r="F11" s="207">
        <v>16626000000</v>
      </c>
      <c r="G11" s="207">
        <v>58160000000</v>
      </c>
      <c r="H11" s="207">
        <v>500000000</v>
      </c>
    </row>
    <row r="12" spans="1:8" ht="14.4" x14ac:dyDescent="0.3">
      <c r="A12">
        <v>11</v>
      </c>
      <c r="B12" s="172" t="s">
        <v>794</v>
      </c>
      <c r="C12" s="102" t="s">
        <v>795</v>
      </c>
      <c r="D12" s="102"/>
      <c r="F12" s="207">
        <v>100000000</v>
      </c>
      <c r="G12" s="207">
        <v>600000000</v>
      </c>
      <c r="H12" s="207">
        <v>125000000</v>
      </c>
    </row>
    <row r="13" spans="1:8" ht="14.4" x14ac:dyDescent="0.3">
      <c r="A13">
        <v>12</v>
      </c>
      <c r="B13" s="172" t="s">
        <v>796</v>
      </c>
      <c r="C13" s="102" t="s">
        <v>797</v>
      </c>
      <c r="D13" s="102"/>
      <c r="F13" s="207">
        <v>100000000</v>
      </c>
      <c r="G13" s="207">
        <v>396000000</v>
      </c>
      <c r="H13" s="207">
        <v>100000000</v>
      </c>
    </row>
    <row r="14" spans="1:8" ht="14.4" x14ac:dyDescent="0.3">
      <c r="A14">
        <v>13</v>
      </c>
      <c r="B14" s="172" t="s">
        <v>798</v>
      </c>
      <c r="C14" s="102" t="s">
        <v>799</v>
      </c>
      <c r="D14" s="102">
        <v>0</v>
      </c>
      <c r="F14" s="207">
        <v>350000000</v>
      </c>
      <c r="G14" s="207">
        <v>3400000000</v>
      </c>
      <c r="H14" s="207">
        <v>350000000</v>
      </c>
    </row>
    <row r="15" spans="1:8" ht="14.4" x14ac:dyDescent="0.3">
      <c r="A15">
        <v>14</v>
      </c>
      <c r="B15" s="172" t="s">
        <v>800</v>
      </c>
      <c r="C15" s="102" t="s">
        <v>801</v>
      </c>
      <c r="D15" s="102">
        <v>0</v>
      </c>
      <c r="F15" s="207">
        <v>450000000</v>
      </c>
      <c r="G15" s="207">
        <v>2350000000</v>
      </c>
      <c r="H15" s="207">
        <v>450000000</v>
      </c>
    </row>
    <row r="16" spans="1:8" ht="14.4" x14ac:dyDescent="0.3">
      <c r="A16">
        <v>15</v>
      </c>
      <c r="B16" s="172" t="s">
        <v>802</v>
      </c>
      <c r="C16" s="102" t="s">
        <v>803</v>
      </c>
      <c r="D16" s="102"/>
      <c r="E16" s="207">
        <v>1000000000</v>
      </c>
      <c r="F16" s="207">
        <v>650000000</v>
      </c>
      <c r="H16" s="207">
        <v>105000000</v>
      </c>
    </row>
    <row r="17" spans="1:8" ht="14.4" x14ac:dyDescent="0.3">
      <c r="A17">
        <v>16</v>
      </c>
      <c r="B17" s="172" t="s">
        <v>804</v>
      </c>
      <c r="C17" s="102" t="s">
        <v>805</v>
      </c>
      <c r="D17" s="102"/>
      <c r="E17" s="207">
        <v>300000000</v>
      </c>
      <c r="F17" s="207">
        <v>200000000</v>
      </c>
      <c r="H17" s="207">
        <v>100000000</v>
      </c>
    </row>
    <row r="18" spans="1:8" ht="14.4" x14ac:dyDescent="0.3">
      <c r="A18">
        <v>17</v>
      </c>
      <c r="B18" s="172" t="s">
        <v>806</v>
      </c>
      <c r="C18" s="102" t="s">
        <v>807</v>
      </c>
      <c r="D18" s="102">
        <v>0</v>
      </c>
      <c r="E18" s="207">
        <v>1510000000</v>
      </c>
      <c r="F18" s="207">
        <v>420000000</v>
      </c>
      <c r="H18" s="207">
        <v>200000000</v>
      </c>
    </row>
    <row r="19" spans="1:8" ht="14.4" x14ac:dyDescent="0.3">
      <c r="A19">
        <v>18</v>
      </c>
      <c r="B19" s="172" t="s">
        <v>808</v>
      </c>
      <c r="C19" s="102" t="s">
        <v>809</v>
      </c>
      <c r="D19" s="102">
        <v>0</v>
      </c>
      <c r="E19" s="207">
        <v>1510000000</v>
      </c>
      <c r="F19" s="207">
        <v>420000000</v>
      </c>
      <c r="H19" s="207">
        <v>175000000</v>
      </c>
    </row>
    <row r="20" spans="1:8" ht="14.4" x14ac:dyDescent="0.3">
      <c r="A20">
        <v>19</v>
      </c>
      <c r="B20" s="172" t="s">
        <v>810</v>
      </c>
      <c r="C20" s="102" t="s">
        <v>811</v>
      </c>
      <c r="D20" s="102"/>
      <c r="E20" s="207">
        <v>2350000000</v>
      </c>
      <c r="F20" s="207">
        <v>150000000</v>
      </c>
      <c r="H20" s="207">
        <v>150000000</v>
      </c>
    </row>
    <row r="21" spans="1:8" ht="14.4" x14ac:dyDescent="0.3">
      <c r="A21">
        <v>20</v>
      </c>
      <c r="B21" s="172" t="s">
        <v>812</v>
      </c>
      <c r="C21" s="102" t="s">
        <v>813</v>
      </c>
      <c r="D21" s="102">
        <v>0</v>
      </c>
      <c r="F21" s="207">
        <v>100000000</v>
      </c>
      <c r="H21" s="207">
        <v>70000000</v>
      </c>
    </row>
    <row r="22" spans="1:8" ht="14.4" x14ac:dyDescent="0.3">
      <c r="A22">
        <v>21</v>
      </c>
      <c r="B22" s="172" t="s">
        <v>814</v>
      </c>
      <c r="C22" s="102" t="s">
        <v>815</v>
      </c>
      <c r="D22" s="102">
        <v>0</v>
      </c>
      <c r="E22" s="207">
        <v>1050000000</v>
      </c>
      <c r="F22" s="207">
        <v>330000000</v>
      </c>
      <c r="H22" s="207">
        <v>75000000</v>
      </c>
    </row>
    <row r="23" spans="1:8" ht="14.4" x14ac:dyDescent="0.3">
      <c r="A23">
        <v>22</v>
      </c>
      <c r="B23" s="172" t="s">
        <v>523</v>
      </c>
      <c r="C23" s="102" t="s">
        <v>816</v>
      </c>
      <c r="D23" s="102">
        <v>0</v>
      </c>
      <c r="E23" s="207">
        <v>1050000000</v>
      </c>
      <c r="F23" s="207">
        <v>200000000</v>
      </c>
      <c r="H23" s="207">
        <v>200000000</v>
      </c>
    </row>
    <row r="24" spans="1:8" ht="14.4" x14ac:dyDescent="0.3">
      <c r="A24">
        <v>23</v>
      </c>
      <c r="B24" s="172" t="s">
        <v>817</v>
      </c>
      <c r="C24" s="102" t="s">
        <v>818</v>
      </c>
      <c r="D24" s="102">
        <v>0</v>
      </c>
      <c r="E24" s="207">
        <v>4250000000</v>
      </c>
      <c r="F24" s="207">
        <v>950000000</v>
      </c>
      <c r="H24" s="207">
        <v>350000000</v>
      </c>
    </row>
    <row r="25" spans="1:8" ht="14.4" x14ac:dyDescent="0.3">
      <c r="A25">
        <v>24</v>
      </c>
      <c r="B25" s="172" t="s">
        <v>819</v>
      </c>
      <c r="C25" s="102" t="s">
        <v>820</v>
      </c>
      <c r="D25" s="102">
        <v>0</v>
      </c>
      <c r="E25" s="207">
        <v>4250000000</v>
      </c>
      <c r="F25" s="207">
        <v>1999375000</v>
      </c>
      <c r="H25" s="207">
        <v>300000000</v>
      </c>
    </row>
    <row r="26" spans="1:8" ht="14.4" x14ac:dyDescent="0.3">
      <c r="A26">
        <v>25</v>
      </c>
      <c r="B26" s="172" t="s">
        <v>821</v>
      </c>
      <c r="C26" s="102" t="s">
        <v>822</v>
      </c>
      <c r="D26" s="102"/>
      <c r="E26" s="207">
        <v>152330000000</v>
      </c>
      <c r="F26" s="207">
        <v>59765000000</v>
      </c>
      <c r="H26" s="207">
        <v>300000000</v>
      </c>
    </row>
    <row r="27" spans="1:8" ht="14.4" x14ac:dyDescent="0.3">
      <c r="A27">
        <v>26</v>
      </c>
      <c r="B27" s="172" t="s">
        <v>823</v>
      </c>
      <c r="C27" s="102" t="s">
        <v>824</v>
      </c>
      <c r="D27" s="102">
        <v>0</v>
      </c>
      <c r="E27" s="207">
        <v>50000000</v>
      </c>
      <c r="F27" s="207">
        <v>800000000</v>
      </c>
      <c r="G27" s="207">
        <v>3625000000</v>
      </c>
      <c r="H27" s="207">
        <v>50000000</v>
      </c>
    </row>
    <row r="28" spans="1:8" ht="14.4" x14ac:dyDescent="0.3">
      <c r="A28">
        <v>27</v>
      </c>
      <c r="B28" s="172" t="s">
        <v>825</v>
      </c>
      <c r="C28" s="102" t="s">
        <v>826</v>
      </c>
      <c r="D28" s="102">
        <v>0</v>
      </c>
      <c r="E28" s="207">
        <v>50000000</v>
      </c>
      <c r="F28" s="207">
        <v>1100000000</v>
      </c>
      <c r="G28" s="207">
        <v>4425000000</v>
      </c>
      <c r="H28" s="207">
        <v>150000000</v>
      </c>
    </row>
    <row r="29" spans="1:8" ht="14.4" x14ac:dyDescent="0.3">
      <c r="A29">
        <v>28</v>
      </c>
      <c r="B29" s="172" t="s">
        <v>827</v>
      </c>
      <c r="C29" s="102" t="s">
        <v>828</v>
      </c>
      <c r="D29" s="102">
        <v>0</v>
      </c>
      <c r="E29" s="207">
        <v>50000000</v>
      </c>
      <c r="F29" s="207">
        <v>450000000</v>
      </c>
      <c r="G29" s="207">
        <v>5525000000</v>
      </c>
      <c r="H29" s="207">
        <v>225000000</v>
      </c>
    </row>
    <row r="30" spans="1:8" ht="14.4" x14ac:dyDescent="0.3">
      <c r="A30">
        <v>29</v>
      </c>
      <c r="B30" s="172" t="s">
        <v>829</v>
      </c>
      <c r="C30" s="102" t="s">
        <v>830</v>
      </c>
      <c r="D30" s="102">
        <v>0</v>
      </c>
      <c r="E30" s="207">
        <v>445000000</v>
      </c>
      <c r="F30" s="207">
        <v>330000000</v>
      </c>
      <c r="H30" s="207">
        <v>200000000</v>
      </c>
    </row>
    <row r="31" spans="1:8" ht="14.4" x14ac:dyDescent="0.3">
      <c r="A31">
        <v>30</v>
      </c>
      <c r="B31" s="172" t="s">
        <v>831</v>
      </c>
      <c r="C31" s="102" t="s">
        <v>832</v>
      </c>
      <c r="D31" s="102"/>
      <c r="F31" s="207">
        <v>250000000</v>
      </c>
      <c r="G31" s="207">
        <v>500000000</v>
      </c>
      <c r="H31" s="207">
        <v>250000000</v>
      </c>
    </row>
    <row r="32" spans="1:8" ht="14.4" x14ac:dyDescent="0.3">
      <c r="A32">
        <v>31</v>
      </c>
      <c r="B32" s="172" t="s">
        <v>833</v>
      </c>
      <c r="C32" s="102" t="s">
        <v>834</v>
      </c>
      <c r="D32" s="102">
        <v>0</v>
      </c>
      <c r="E32" s="207">
        <v>1800000000</v>
      </c>
      <c r="F32" s="207">
        <v>1400000000</v>
      </c>
      <c r="H32" s="207">
        <v>175000000</v>
      </c>
    </row>
    <row r="33" spans="1:8" ht="14.4" x14ac:dyDescent="0.3">
      <c r="A33">
        <v>32</v>
      </c>
      <c r="B33" s="172" t="s">
        <v>835</v>
      </c>
      <c r="C33" s="102" t="s">
        <v>836</v>
      </c>
      <c r="D33" s="102">
        <v>0</v>
      </c>
      <c r="E33" s="207">
        <v>3200000000</v>
      </c>
      <c r="F33" s="207">
        <v>1300000000</v>
      </c>
      <c r="H33" s="207">
        <v>125000000</v>
      </c>
    </row>
    <row r="34" spans="1:8" ht="14.4" x14ac:dyDescent="0.3">
      <c r="A34">
        <v>33</v>
      </c>
      <c r="B34" s="172" t="s">
        <v>837</v>
      </c>
      <c r="C34" s="102" t="s">
        <v>838</v>
      </c>
      <c r="D34" s="102">
        <v>0</v>
      </c>
      <c r="E34" s="207">
        <v>3200000000</v>
      </c>
      <c r="F34" s="207">
        <v>1300000000</v>
      </c>
      <c r="H34" s="207">
        <v>60000000</v>
      </c>
    </row>
    <row r="35" spans="1:8" ht="14.4" x14ac:dyDescent="0.3">
      <c r="A35">
        <v>34</v>
      </c>
      <c r="B35" s="172" t="s">
        <v>839</v>
      </c>
      <c r="C35" s="102" t="s">
        <v>840</v>
      </c>
      <c r="D35" s="102">
        <v>0</v>
      </c>
      <c r="E35" s="207">
        <v>5000000000</v>
      </c>
      <c r="F35" s="207">
        <v>500000000</v>
      </c>
      <c r="H35" s="207">
        <v>135000000</v>
      </c>
    </row>
    <row r="36" spans="1:8" ht="14.4" x14ac:dyDescent="0.3">
      <c r="A36">
        <v>35</v>
      </c>
      <c r="B36" s="172" t="s">
        <v>841</v>
      </c>
      <c r="C36" s="102" t="s">
        <v>842</v>
      </c>
      <c r="D36" s="102">
        <v>0</v>
      </c>
      <c r="E36" s="207">
        <v>3200000000</v>
      </c>
      <c r="F36" s="207">
        <v>1300000000</v>
      </c>
      <c r="H36" s="207">
        <v>150000000</v>
      </c>
    </row>
    <row r="37" spans="1:8" ht="14.4" x14ac:dyDescent="0.3">
      <c r="A37">
        <v>36</v>
      </c>
      <c r="B37" s="172" t="s">
        <v>843</v>
      </c>
      <c r="C37" s="102" t="s">
        <v>844</v>
      </c>
      <c r="D37" s="102"/>
      <c r="E37" s="207">
        <v>5500000000</v>
      </c>
      <c r="F37" s="207">
        <v>600000000</v>
      </c>
      <c r="H37" s="207">
        <v>200000000</v>
      </c>
    </row>
    <row r="38" spans="1:8" ht="14.4" x14ac:dyDescent="0.3">
      <c r="A38">
        <v>37</v>
      </c>
      <c r="B38" s="172" t="s">
        <v>845</v>
      </c>
      <c r="C38" s="102" t="s">
        <v>846</v>
      </c>
      <c r="D38" s="102">
        <v>0</v>
      </c>
      <c r="E38" s="207">
        <v>2100000000</v>
      </c>
      <c r="F38" s="207">
        <v>1100000000</v>
      </c>
      <c r="H38" s="207">
        <v>75000000</v>
      </c>
    </row>
    <row r="39" spans="1:8" ht="14.4" x14ac:dyDescent="0.3">
      <c r="A39">
        <v>38</v>
      </c>
      <c r="B39" s="172" t="s">
        <v>847</v>
      </c>
      <c r="C39" s="102" t="s">
        <v>848</v>
      </c>
      <c r="D39" s="102">
        <v>0</v>
      </c>
      <c r="E39" s="207">
        <v>3200000000</v>
      </c>
      <c r="F39" s="207">
        <v>1300000000</v>
      </c>
      <c r="H39" s="207">
        <v>200000000</v>
      </c>
    </row>
    <row r="40" spans="1:8" ht="14.4" x14ac:dyDescent="0.3">
      <c r="A40">
        <v>39</v>
      </c>
      <c r="B40" s="172" t="s">
        <v>849</v>
      </c>
      <c r="C40" s="102" t="s">
        <v>850</v>
      </c>
      <c r="D40" s="102">
        <v>0</v>
      </c>
      <c r="E40" s="207">
        <v>4500000000</v>
      </c>
      <c r="F40" s="207">
        <v>500000000</v>
      </c>
      <c r="H40" s="207">
        <v>175000000</v>
      </c>
    </row>
    <row r="41" spans="1:8" ht="14.4" x14ac:dyDescent="0.3">
      <c r="A41">
        <v>40</v>
      </c>
      <c r="B41" s="172" t="s">
        <v>851</v>
      </c>
      <c r="C41" s="102" t="s">
        <v>852</v>
      </c>
      <c r="D41" s="102"/>
      <c r="E41" s="207">
        <v>500000000</v>
      </c>
      <c r="F41" s="207">
        <v>500000000</v>
      </c>
      <c r="H41" s="207">
        <v>250000000</v>
      </c>
    </row>
    <row r="42" spans="1:8" ht="14.4" x14ac:dyDescent="0.3">
      <c r="A42">
        <v>41</v>
      </c>
      <c r="B42" s="172" t="s">
        <v>352</v>
      </c>
      <c r="C42" s="102" t="s">
        <v>853</v>
      </c>
      <c r="D42" s="102"/>
      <c r="E42" s="207">
        <v>500000000</v>
      </c>
      <c r="F42" s="207">
        <v>300000000</v>
      </c>
      <c r="H42" s="207">
        <v>100000000</v>
      </c>
    </row>
    <row r="43" spans="1:8" ht="14.4" x14ac:dyDescent="0.3">
      <c r="A43">
        <v>42</v>
      </c>
      <c r="B43" s="172" t="s">
        <v>854</v>
      </c>
      <c r="C43" s="102" t="s">
        <v>855</v>
      </c>
      <c r="D43" s="102"/>
      <c r="F43" s="207">
        <v>400000000</v>
      </c>
      <c r="G43" s="207">
        <v>850000000</v>
      </c>
      <c r="H43" s="207">
        <v>100000000</v>
      </c>
    </row>
    <row r="44" spans="1:8" ht="14.4" x14ac:dyDescent="0.3">
      <c r="A44">
        <v>43</v>
      </c>
      <c r="B44" s="172" t="s">
        <v>856</v>
      </c>
      <c r="C44" s="102" t="s">
        <v>857</v>
      </c>
      <c r="D44" s="102"/>
      <c r="F44" s="207">
        <v>300000000</v>
      </c>
      <c r="G44" s="207">
        <v>550000000</v>
      </c>
      <c r="H44" s="207">
        <v>150000000</v>
      </c>
    </row>
    <row r="45" spans="1:8" ht="14.4" x14ac:dyDescent="0.3">
      <c r="A45">
        <v>44</v>
      </c>
      <c r="B45" s="172" t="s">
        <v>858</v>
      </c>
      <c r="C45" s="102" t="s">
        <v>859</v>
      </c>
      <c r="D45" s="102"/>
      <c r="F45" s="207">
        <v>500000000</v>
      </c>
      <c r="G45" s="207">
        <v>1250000000</v>
      </c>
      <c r="H45" s="207">
        <v>100000000</v>
      </c>
    </row>
    <row r="46" spans="1:8" ht="14.4" x14ac:dyDescent="0.3">
      <c r="A46">
        <v>45</v>
      </c>
      <c r="B46" s="172" t="s">
        <v>860</v>
      </c>
      <c r="C46" s="102" t="s">
        <v>861</v>
      </c>
      <c r="D46" s="102"/>
      <c r="F46" s="207">
        <v>600000000</v>
      </c>
      <c r="G46" s="207">
        <v>1750000000</v>
      </c>
      <c r="H46" s="207">
        <v>225000000</v>
      </c>
    </row>
    <row r="47" spans="1:8" ht="14.4" x14ac:dyDescent="0.3">
      <c r="A47">
        <v>46</v>
      </c>
      <c r="B47" s="172" t="s">
        <v>862</v>
      </c>
      <c r="C47" s="102" t="s">
        <v>863</v>
      </c>
      <c r="D47" s="102">
        <v>0</v>
      </c>
      <c r="E47" s="207">
        <v>50000000</v>
      </c>
      <c r="F47" s="207">
        <v>550000000</v>
      </c>
      <c r="G47" s="207">
        <v>3075000000</v>
      </c>
      <c r="H47" s="207">
        <v>35000000</v>
      </c>
    </row>
    <row r="48" spans="1:8" ht="14.4" x14ac:dyDescent="0.3">
      <c r="A48">
        <v>47</v>
      </c>
      <c r="B48" s="172" t="s">
        <v>864</v>
      </c>
      <c r="C48" s="102" t="s">
        <v>865</v>
      </c>
      <c r="D48" s="102">
        <v>0</v>
      </c>
      <c r="E48" s="207">
        <v>50000000</v>
      </c>
      <c r="F48" s="207">
        <v>600000000</v>
      </c>
      <c r="G48" s="207">
        <v>3625000000</v>
      </c>
      <c r="H48" s="207">
        <v>60000000</v>
      </c>
    </row>
    <row r="49" spans="1:8" ht="14.4" x14ac:dyDescent="0.3">
      <c r="A49">
        <v>48</v>
      </c>
      <c r="B49" s="172" t="s">
        <v>866</v>
      </c>
      <c r="C49" s="102" t="s">
        <v>867</v>
      </c>
      <c r="D49" s="102">
        <v>0</v>
      </c>
      <c r="E49" s="207">
        <v>50000000</v>
      </c>
      <c r="F49" s="207">
        <v>400000000</v>
      </c>
      <c r="G49" s="207">
        <v>4225000000</v>
      </c>
      <c r="H49" s="207">
        <v>155000000</v>
      </c>
    </row>
    <row r="50" spans="1:8" ht="14.4" x14ac:dyDescent="0.3">
      <c r="A50">
        <v>49</v>
      </c>
      <c r="B50" s="172" t="s">
        <v>868</v>
      </c>
      <c r="C50" s="102" t="s">
        <v>869</v>
      </c>
      <c r="D50" s="102">
        <v>0</v>
      </c>
      <c r="E50" s="207">
        <v>50000000</v>
      </c>
      <c r="F50" s="207">
        <v>450000000</v>
      </c>
      <c r="G50" s="207">
        <v>5525000000</v>
      </c>
      <c r="H50" s="207">
        <v>180000000</v>
      </c>
    </row>
    <row r="51" spans="1:8" ht="14.4" x14ac:dyDescent="0.3">
      <c r="A51">
        <v>50</v>
      </c>
      <c r="B51" s="172" t="s">
        <v>870</v>
      </c>
      <c r="C51" s="102" t="s">
        <v>871</v>
      </c>
      <c r="D51" s="102">
        <v>0</v>
      </c>
      <c r="E51" s="207">
        <v>50000000</v>
      </c>
      <c r="F51" s="207">
        <v>600000000</v>
      </c>
      <c r="G51" s="207">
        <v>3625000000</v>
      </c>
      <c r="H51" s="207">
        <v>125000000</v>
      </c>
    </row>
    <row r="52" spans="1:8" ht="14.4" x14ac:dyDescent="0.3">
      <c r="A52">
        <v>51</v>
      </c>
      <c r="B52" s="172" t="s">
        <v>872</v>
      </c>
      <c r="C52" s="102" t="s">
        <v>873</v>
      </c>
      <c r="D52" s="102">
        <v>0</v>
      </c>
      <c r="E52" s="207">
        <v>50000000</v>
      </c>
      <c r="F52" s="207">
        <v>900000000</v>
      </c>
      <c r="G52" s="207">
        <v>4625000000</v>
      </c>
      <c r="H52" s="207">
        <v>275000000</v>
      </c>
    </row>
    <row r="53" spans="1:8" ht="14.4" x14ac:dyDescent="0.3">
      <c r="A53">
        <v>52</v>
      </c>
      <c r="B53" s="172" t="s">
        <v>874</v>
      </c>
      <c r="C53" s="102" t="s">
        <v>875</v>
      </c>
      <c r="D53" s="102">
        <v>0</v>
      </c>
      <c r="E53" s="207">
        <v>50000000</v>
      </c>
      <c r="F53" s="207">
        <v>600000000</v>
      </c>
      <c r="G53" s="207">
        <v>3625000000</v>
      </c>
      <c r="H53" s="207">
        <v>50000000</v>
      </c>
    </row>
    <row r="54" spans="1:8" ht="14.4" x14ac:dyDescent="0.3">
      <c r="A54">
        <v>53</v>
      </c>
      <c r="B54" s="172" t="s">
        <v>876</v>
      </c>
      <c r="C54" s="102" t="s">
        <v>877</v>
      </c>
      <c r="D54" s="102">
        <v>0</v>
      </c>
      <c r="E54" s="207">
        <v>50000000</v>
      </c>
      <c r="F54" s="207">
        <v>900000000</v>
      </c>
      <c r="G54" s="207">
        <v>4625000000</v>
      </c>
      <c r="H54" s="207">
        <v>75000000</v>
      </c>
    </row>
    <row r="55" spans="1:8" ht="14.4" x14ac:dyDescent="0.3">
      <c r="A55">
        <v>54</v>
      </c>
      <c r="B55" s="172" t="s">
        <v>878</v>
      </c>
      <c r="C55" s="102" t="s">
        <v>879</v>
      </c>
      <c r="D55" s="102"/>
      <c r="E55" s="207">
        <v>1310000000</v>
      </c>
      <c r="F55" s="207">
        <v>125000000</v>
      </c>
      <c r="H55" s="207">
        <v>110000000</v>
      </c>
    </row>
    <row r="56" spans="1:8" ht="14.4" x14ac:dyDescent="0.3">
      <c r="A56">
        <v>55</v>
      </c>
      <c r="B56" s="172" t="s">
        <v>880</v>
      </c>
      <c r="C56" s="102" t="s">
        <v>881</v>
      </c>
      <c r="D56" s="102">
        <v>200000000</v>
      </c>
      <c r="E56" s="207">
        <v>100000000</v>
      </c>
      <c r="F56" s="207">
        <v>200000000</v>
      </c>
      <c r="G56" s="207">
        <v>200000000</v>
      </c>
      <c r="H56" s="207">
        <v>50000000</v>
      </c>
    </row>
    <row r="57" spans="1:8" ht="14.4" x14ac:dyDescent="0.3">
      <c r="A57">
        <v>56</v>
      </c>
      <c r="B57" s="172" t="s">
        <v>882</v>
      </c>
      <c r="C57" s="102" t="s">
        <v>883</v>
      </c>
      <c r="D57" s="102"/>
      <c r="E57" s="207">
        <v>525000000</v>
      </c>
      <c r="F57" s="207">
        <v>160000000</v>
      </c>
      <c r="H57" s="207">
        <v>130000000</v>
      </c>
    </row>
    <row r="58" spans="1:8" ht="14.4" x14ac:dyDescent="0.3">
      <c r="A58">
        <v>57</v>
      </c>
      <c r="B58" s="172" t="s">
        <v>884</v>
      </c>
      <c r="C58" s="102" t="s">
        <v>885</v>
      </c>
      <c r="D58" s="102"/>
      <c r="E58" s="207">
        <v>525000000</v>
      </c>
      <c r="F58" s="207">
        <v>400000000</v>
      </c>
      <c r="H58" s="207">
        <v>80000000</v>
      </c>
    </row>
    <row r="59" spans="1:8" ht="14.4" x14ac:dyDescent="0.3">
      <c r="A59">
        <v>58</v>
      </c>
      <c r="B59" s="172" t="s">
        <v>371</v>
      </c>
      <c r="C59" s="102" t="s">
        <v>220</v>
      </c>
      <c r="D59" s="102">
        <v>200000000</v>
      </c>
      <c r="E59" s="207">
        <v>100000000</v>
      </c>
      <c r="F59" s="207">
        <v>200000000</v>
      </c>
      <c r="G59" s="207">
        <v>200000000</v>
      </c>
      <c r="H59" s="207">
        <v>150000000</v>
      </c>
    </row>
    <row r="60" spans="1:8" ht="14.4" x14ac:dyDescent="0.3">
      <c r="A60">
        <v>59</v>
      </c>
      <c r="B60" s="172" t="s">
        <v>886</v>
      </c>
      <c r="C60" s="102" t="s">
        <v>887</v>
      </c>
      <c r="D60" s="102"/>
      <c r="E60" s="207">
        <v>250000000</v>
      </c>
      <c r="F60" s="207">
        <v>250000000</v>
      </c>
      <c r="H60" s="207">
        <v>150000000</v>
      </c>
    </row>
    <row r="61" spans="1:8" ht="14.4" x14ac:dyDescent="0.3">
      <c r="A61">
        <v>60</v>
      </c>
      <c r="B61" s="172" t="s">
        <v>888</v>
      </c>
      <c r="C61" s="102" t="s">
        <v>889</v>
      </c>
      <c r="D61" s="102">
        <v>0</v>
      </c>
      <c r="E61" s="207">
        <v>0</v>
      </c>
      <c r="F61" s="207">
        <v>100000000</v>
      </c>
      <c r="H61" s="207">
        <v>100000000</v>
      </c>
    </row>
    <row r="62" spans="1:8" ht="14.4" x14ac:dyDescent="0.3">
      <c r="A62">
        <v>61</v>
      </c>
      <c r="B62" s="172" t="s">
        <v>890</v>
      </c>
      <c r="C62" s="102" t="s">
        <v>891</v>
      </c>
      <c r="D62" s="102">
        <v>0</v>
      </c>
      <c r="E62" s="207">
        <v>0</v>
      </c>
      <c r="F62" s="207">
        <v>150000000</v>
      </c>
      <c r="H62" s="207">
        <v>150000000</v>
      </c>
    </row>
    <row r="63" spans="1:8" ht="14.4" x14ac:dyDescent="0.3">
      <c r="A63">
        <v>62</v>
      </c>
      <c r="B63" s="172" t="s">
        <v>892</v>
      </c>
      <c r="C63" s="102" t="s">
        <v>893</v>
      </c>
      <c r="D63" s="102">
        <v>0</v>
      </c>
      <c r="E63" s="207">
        <v>0</v>
      </c>
      <c r="F63" s="207">
        <v>350000000</v>
      </c>
      <c r="H63" s="207">
        <v>350000000</v>
      </c>
    </row>
    <row r="64" spans="1:8" ht="14.4" x14ac:dyDescent="0.3">
      <c r="A64">
        <v>63</v>
      </c>
      <c r="B64" s="172" t="s">
        <v>894</v>
      </c>
      <c r="C64" s="102" t="s">
        <v>895</v>
      </c>
      <c r="D64" s="102"/>
      <c r="E64" s="207">
        <v>700000000</v>
      </c>
      <c r="F64" s="207">
        <v>300000000</v>
      </c>
      <c r="H64" s="207">
        <v>150000000</v>
      </c>
    </row>
    <row r="65" spans="1:8" ht="14.4" x14ac:dyDescent="0.3">
      <c r="A65">
        <v>64</v>
      </c>
      <c r="B65" s="172" t="s">
        <v>511</v>
      </c>
      <c r="C65" s="102" t="s">
        <v>896</v>
      </c>
      <c r="D65" s="102">
        <v>0</v>
      </c>
      <c r="E65" s="207">
        <v>4250000000</v>
      </c>
      <c r="F65" s="207">
        <v>1000000000</v>
      </c>
      <c r="H65" s="207">
        <v>400000000</v>
      </c>
    </row>
    <row r="66" spans="1:8" ht="14.4" x14ac:dyDescent="0.3">
      <c r="A66">
        <v>65</v>
      </c>
      <c r="B66" s="172" t="s">
        <v>358</v>
      </c>
      <c r="C66" s="102" t="s">
        <v>897</v>
      </c>
      <c r="D66" s="102">
        <v>0</v>
      </c>
      <c r="E66" s="207">
        <v>4250000000</v>
      </c>
      <c r="F66" s="207">
        <v>750000000</v>
      </c>
      <c r="H66" s="207">
        <v>100000000</v>
      </c>
    </row>
    <row r="67" spans="1:8" ht="14.4" x14ac:dyDescent="0.3">
      <c r="A67">
        <v>66</v>
      </c>
      <c r="B67" s="172" t="s">
        <v>898</v>
      </c>
      <c r="C67" s="102" t="s">
        <v>899</v>
      </c>
      <c r="D67" s="102">
        <v>0</v>
      </c>
      <c r="E67" s="207">
        <v>50000000</v>
      </c>
      <c r="F67" s="207">
        <v>500000000</v>
      </c>
      <c r="G67" s="207">
        <v>4500000000</v>
      </c>
      <c r="H67" s="207">
        <v>150000000</v>
      </c>
    </row>
    <row r="68" spans="1:8" ht="14.4" x14ac:dyDescent="0.3">
      <c r="A68">
        <v>67</v>
      </c>
      <c r="B68" s="172" t="s">
        <v>900</v>
      </c>
      <c r="C68" s="102" t="s">
        <v>901</v>
      </c>
      <c r="D68" s="102">
        <v>0</v>
      </c>
      <c r="E68" s="207">
        <v>4250000000</v>
      </c>
      <c r="F68" s="207">
        <v>250000000</v>
      </c>
      <c r="H68" s="207">
        <v>100000000</v>
      </c>
    </row>
    <row r="69" spans="1:8" ht="14.4" x14ac:dyDescent="0.3">
      <c r="A69">
        <v>68</v>
      </c>
      <c r="B69" s="172" t="s">
        <v>902</v>
      </c>
      <c r="C69" s="102" t="s">
        <v>903</v>
      </c>
      <c r="D69" s="102">
        <v>0</v>
      </c>
      <c r="E69" s="207">
        <v>4250000000</v>
      </c>
      <c r="F69" s="207">
        <v>750000000</v>
      </c>
      <c r="H69" s="207">
        <v>200000000</v>
      </c>
    </row>
    <row r="70" spans="1:8" ht="14.4" x14ac:dyDescent="0.3">
      <c r="A70">
        <v>69</v>
      </c>
      <c r="B70" s="172" t="s">
        <v>898</v>
      </c>
      <c r="C70" s="102" t="s">
        <v>904</v>
      </c>
      <c r="D70" s="102">
        <v>0</v>
      </c>
      <c r="F70" s="207">
        <v>500000000</v>
      </c>
      <c r="H70" s="207">
        <v>175000000</v>
      </c>
    </row>
    <row r="71" spans="1:8" ht="14.4" x14ac:dyDescent="0.3">
      <c r="A71">
        <v>70</v>
      </c>
      <c r="B71" s="172" t="s">
        <v>905</v>
      </c>
      <c r="C71" s="102" t="s">
        <v>906</v>
      </c>
      <c r="D71" s="102">
        <v>0</v>
      </c>
      <c r="E71" s="207">
        <v>50000000</v>
      </c>
      <c r="F71" s="207">
        <v>500000000</v>
      </c>
      <c r="G71" s="207">
        <v>4000000000</v>
      </c>
      <c r="H71" s="207">
        <v>175000000</v>
      </c>
    </row>
    <row r="72" spans="1:8" ht="14.4" x14ac:dyDescent="0.3">
      <c r="A72">
        <v>71</v>
      </c>
      <c r="B72" s="172" t="s">
        <v>907</v>
      </c>
      <c r="C72" s="102" t="s">
        <v>908</v>
      </c>
      <c r="D72" s="102">
        <v>0</v>
      </c>
      <c r="E72" s="207">
        <v>4250000000</v>
      </c>
      <c r="F72" s="207">
        <v>998636875</v>
      </c>
      <c r="H72" s="207">
        <v>175000000</v>
      </c>
    </row>
    <row r="73" spans="1:8" ht="14.4" x14ac:dyDescent="0.3">
      <c r="A73">
        <v>72</v>
      </c>
      <c r="B73" s="172" t="s">
        <v>909</v>
      </c>
      <c r="C73" s="102" t="s">
        <v>910</v>
      </c>
      <c r="D73" s="102">
        <v>0</v>
      </c>
      <c r="E73" s="207">
        <v>4250000000</v>
      </c>
      <c r="F73" s="207">
        <v>1999375000</v>
      </c>
      <c r="H73" s="207">
        <v>100000000</v>
      </c>
    </row>
    <row r="74" spans="1:8" ht="14.4" x14ac:dyDescent="0.3">
      <c r="A74">
        <v>73</v>
      </c>
      <c r="B74" s="172" t="s">
        <v>911</v>
      </c>
      <c r="C74" s="102" t="s">
        <v>912</v>
      </c>
      <c r="D74" s="102">
        <v>0</v>
      </c>
      <c r="E74" s="207">
        <v>4250000000</v>
      </c>
      <c r="F74" s="207">
        <v>998636875</v>
      </c>
      <c r="H74" s="207">
        <v>175000000</v>
      </c>
    </row>
    <row r="75" spans="1:8" ht="14.4" x14ac:dyDescent="0.3">
      <c r="A75">
        <v>74</v>
      </c>
      <c r="B75" s="172" t="s">
        <v>913</v>
      </c>
      <c r="C75" s="102" t="s">
        <v>914</v>
      </c>
      <c r="D75" s="102">
        <v>0</v>
      </c>
      <c r="E75" s="207">
        <v>4250000000</v>
      </c>
      <c r="F75" s="207">
        <v>1999375000</v>
      </c>
      <c r="H75" s="207">
        <v>300000000</v>
      </c>
    </row>
    <row r="76" spans="1:8" ht="14.4" x14ac:dyDescent="0.3">
      <c r="A76">
        <v>75</v>
      </c>
      <c r="B76" s="172" t="s">
        <v>679</v>
      </c>
      <c r="C76" s="102" t="s">
        <v>915</v>
      </c>
      <c r="D76" s="102">
        <v>0</v>
      </c>
      <c r="E76" s="207">
        <v>0</v>
      </c>
      <c r="F76" s="207">
        <v>65000000000</v>
      </c>
      <c r="G76" s="207">
        <v>45000000000</v>
      </c>
      <c r="H76" s="207">
        <v>60000000</v>
      </c>
    </row>
    <row r="77" spans="1:8" ht="14.4" x14ac:dyDescent="0.3">
      <c r="A77">
        <v>76</v>
      </c>
      <c r="B77" s="172" t="s">
        <v>916</v>
      </c>
      <c r="C77" s="102" t="s">
        <v>917</v>
      </c>
      <c r="D77" s="102">
        <v>0</v>
      </c>
      <c r="E77" s="207">
        <v>0</v>
      </c>
      <c r="F77" s="207">
        <v>24000000000</v>
      </c>
      <c r="G77" s="207">
        <v>21000000000</v>
      </c>
      <c r="H77" s="207">
        <v>40000000</v>
      </c>
    </row>
    <row r="78" spans="1:8" ht="14.4" x14ac:dyDescent="0.3">
      <c r="A78">
        <v>77</v>
      </c>
      <c r="B78" s="172" t="s">
        <v>918</v>
      </c>
      <c r="C78" s="102" t="s">
        <v>919</v>
      </c>
      <c r="D78" s="102"/>
      <c r="F78" s="207">
        <v>1043000000</v>
      </c>
      <c r="G78" s="207">
        <v>2508000000</v>
      </c>
      <c r="H78" s="207">
        <v>60000000</v>
      </c>
    </row>
    <row r="79" spans="1:8" ht="14.4" x14ac:dyDescent="0.3">
      <c r="A79">
        <v>78</v>
      </c>
      <c r="B79" s="172" t="s">
        <v>920</v>
      </c>
      <c r="C79" s="102" t="s">
        <v>921</v>
      </c>
      <c r="D79" s="102"/>
      <c r="F79" s="207">
        <v>1156000000</v>
      </c>
      <c r="G79" s="207">
        <v>1578000000</v>
      </c>
      <c r="H79" s="207">
        <v>30000000</v>
      </c>
    </row>
    <row r="80" spans="1:8" ht="14.4" x14ac:dyDescent="0.3">
      <c r="A80">
        <v>79</v>
      </c>
      <c r="B80" s="172" t="s">
        <v>922</v>
      </c>
      <c r="C80" s="102" t="s">
        <v>923</v>
      </c>
      <c r="D80" s="102"/>
      <c r="E80" s="207">
        <v>110000000</v>
      </c>
      <c r="F80" s="207">
        <v>175000000</v>
      </c>
      <c r="H80" s="207">
        <v>75000000</v>
      </c>
    </row>
    <row r="81" spans="1:8" ht="14.4" x14ac:dyDescent="0.3">
      <c r="A81">
        <v>80</v>
      </c>
      <c r="B81" s="172" t="s">
        <v>924</v>
      </c>
      <c r="C81" s="102" t="s">
        <v>925</v>
      </c>
      <c r="D81" s="102"/>
      <c r="E81" s="207">
        <v>2000000000</v>
      </c>
      <c r="F81" s="207">
        <v>875000000</v>
      </c>
      <c r="H81" s="207">
        <v>100000000</v>
      </c>
    </row>
    <row r="82" spans="1:8" ht="14.4" x14ac:dyDescent="0.3">
      <c r="A82">
        <v>81</v>
      </c>
      <c r="B82" s="172" t="s">
        <v>926</v>
      </c>
      <c r="C82" s="102" t="s">
        <v>927</v>
      </c>
      <c r="D82" s="102"/>
      <c r="E82" s="207">
        <v>2000000000</v>
      </c>
      <c r="F82" s="207">
        <v>875000000</v>
      </c>
      <c r="H82" s="207">
        <v>125000000</v>
      </c>
    </row>
    <row r="83" spans="1:8" ht="14.4" x14ac:dyDescent="0.3">
      <c r="A83">
        <v>82</v>
      </c>
      <c r="B83" s="172" t="s">
        <v>453</v>
      </c>
      <c r="C83" s="102" t="s">
        <v>228</v>
      </c>
      <c r="D83" s="102"/>
      <c r="E83" s="207">
        <v>1200000000</v>
      </c>
      <c r="F83" s="207">
        <v>600000000</v>
      </c>
      <c r="H83" s="207">
        <v>50000000</v>
      </c>
    </row>
    <row r="84" spans="1:8" ht="14.4" x14ac:dyDescent="0.3">
      <c r="A84">
        <v>83</v>
      </c>
      <c r="B84" s="172" t="s">
        <v>928</v>
      </c>
      <c r="C84" s="102" t="s">
        <v>929</v>
      </c>
      <c r="D84" s="102"/>
      <c r="E84" s="207">
        <v>1800000000</v>
      </c>
      <c r="F84" s="207">
        <v>200000000</v>
      </c>
      <c r="H84" s="207">
        <v>200000000</v>
      </c>
    </row>
    <row r="85" spans="1:8" ht="14.4" x14ac:dyDescent="0.3">
      <c r="A85">
        <v>84</v>
      </c>
      <c r="B85" s="172" t="s">
        <v>465</v>
      </c>
      <c r="C85" s="102" t="s">
        <v>930</v>
      </c>
      <c r="D85" s="102"/>
      <c r="E85" s="207">
        <v>1200000000</v>
      </c>
      <c r="F85" s="207">
        <v>600000000</v>
      </c>
      <c r="H85" s="207">
        <v>75000000</v>
      </c>
    </row>
    <row r="86" spans="1:8" ht="14.4" x14ac:dyDescent="0.3">
      <c r="A86">
        <v>85</v>
      </c>
      <c r="B86" s="172" t="s">
        <v>931</v>
      </c>
      <c r="C86" s="102" t="s">
        <v>932</v>
      </c>
      <c r="D86" s="102"/>
      <c r="E86" s="207">
        <v>0</v>
      </c>
      <c r="F86" s="207">
        <v>1920000000</v>
      </c>
      <c r="G86" s="207">
        <v>5987000000</v>
      </c>
      <c r="H86" s="207">
        <v>105000000</v>
      </c>
    </row>
    <row r="87" spans="1:8" ht="14.4" x14ac:dyDescent="0.3">
      <c r="A87">
        <v>86</v>
      </c>
      <c r="B87" s="172" t="s">
        <v>933</v>
      </c>
      <c r="C87" s="102" t="s">
        <v>934</v>
      </c>
      <c r="D87" s="102"/>
      <c r="F87" s="207">
        <v>1516000000</v>
      </c>
      <c r="G87" s="207">
        <v>3700000000</v>
      </c>
      <c r="H87" s="207">
        <v>120000000</v>
      </c>
    </row>
    <row r="88" spans="1:8" ht="14.4" x14ac:dyDescent="0.3">
      <c r="A88">
        <v>87</v>
      </c>
      <c r="B88" s="172" t="s">
        <v>935</v>
      </c>
      <c r="C88" s="102" t="s">
        <v>936</v>
      </c>
      <c r="D88" s="102"/>
      <c r="E88" s="207">
        <v>4495000000</v>
      </c>
      <c r="F88" s="207">
        <v>2295000000</v>
      </c>
      <c r="H88" s="207">
        <v>170000000</v>
      </c>
    </row>
    <row r="89" spans="1:8" ht="14.4" x14ac:dyDescent="0.3">
      <c r="A89">
        <v>88</v>
      </c>
      <c r="B89" s="172" t="s">
        <v>937</v>
      </c>
      <c r="C89" s="102" t="s">
        <v>938</v>
      </c>
      <c r="D89" s="102"/>
      <c r="E89" s="207">
        <v>2500000000</v>
      </c>
      <c r="F89" s="207">
        <v>1995000000</v>
      </c>
      <c r="H89" s="207">
        <v>105000000</v>
      </c>
    </row>
    <row r="90" spans="1:8" ht="14.4" x14ac:dyDescent="0.3">
      <c r="A90">
        <v>89</v>
      </c>
      <c r="B90" s="172" t="s">
        <v>939</v>
      </c>
      <c r="C90" s="102" t="s">
        <v>940</v>
      </c>
      <c r="D90" s="102"/>
      <c r="F90" s="207">
        <v>1920000000</v>
      </c>
      <c r="G90" s="207">
        <v>5987000000</v>
      </c>
      <c r="H90" s="207">
        <v>105000000</v>
      </c>
    </row>
    <row r="91" spans="1:8" ht="14.4" x14ac:dyDescent="0.3">
      <c r="A91">
        <v>90</v>
      </c>
      <c r="B91" s="172" t="s">
        <v>941</v>
      </c>
      <c r="C91" s="102" t="s">
        <v>942</v>
      </c>
      <c r="D91" s="102"/>
      <c r="F91" s="207">
        <v>1516000000</v>
      </c>
      <c r="G91" s="207">
        <v>3700000000</v>
      </c>
      <c r="H91" s="207">
        <v>120000000</v>
      </c>
    </row>
    <row r="92" spans="1:8" ht="14.4" x14ac:dyDescent="0.3">
      <c r="A92">
        <v>91</v>
      </c>
      <c r="B92" s="172" t="s">
        <v>943</v>
      </c>
      <c r="C92" s="102" t="s">
        <v>944</v>
      </c>
      <c r="D92" s="102"/>
      <c r="E92" s="207">
        <v>4495000000</v>
      </c>
      <c r="F92" s="207">
        <v>2295000000</v>
      </c>
      <c r="H92" s="207">
        <v>170000000</v>
      </c>
    </row>
    <row r="93" spans="1:8" ht="14.4" x14ac:dyDescent="0.3">
      <c r="A93">
        <v>92</v>
      </c>
      <c r="B93" s="172" t="s">
        <v>945</v>
      </c>
      <c r="C93" s="102" t="s">
        <v>946</v>
      </c>
      <c r="D93" s="102"/>
      <c r="E93" s="207">
        <v>2500000000</v>
      </c>
      <c r="F93" s="207">
        <v>1995000000</v>
      </c>
      <c r="H93" s="207">
        <v>105000000</v>
      </c>
    </row>
    <row r="94" spans="1:8" ht="14.4" x14ac:dyDescent="0.3">
      <c r="A94">
        <v>93</v>
      </c>
      <c r="B94" s="172" t="s">
        <v>947</v>
      </c>
      <c r="C94" s="102" t="s">
        <v>948</v>
      </c>
      <c r="D94" s="102"/>
      <c r="E94" s="207">
        <v>4576000000</v>
      </c>
      <c r="F94" s="207">
        <v>1507000000</v>
      </c>
      <c r="H94" s="207">
        <v>75000000</v>
      </c>
    </row>
    <row r="95" spans="1:8" ht="14.4" x14ac:dyDescent="0.3">
      <c r="A95">
        <v>94</v>
      </c>
      <c r="B95" s="172" t="s">
        <v>949</v>
      </c>
      <c r="C95" s="102" t="s">
        <v>950</v>
      </c>
      <c r="D95" s="102"/>
      <c r="E95" s="207">
        <v>4055000000</v>
      </c>
      <c r="F95" s="207">
        <v>1597000000</v>
      </c>
      <c r="H95" s="207">
        <v>125000000</v>
      </c>
    </row>
    <row r="96" spans="1:8" ht="14.4" x14ac:dyDescent="0.3">
      <c r="A96">
        <v>95</v>
      </c>
      <c r="B96" s="172" t="s">
        <v>951</v>
      </c>
      <c r="C96" s="102" t="s">
        <v>952</v>
      </c>
      <c r="D96" s="102">
        <v>0</v>
      </c>
      <c r="E96" s="207">
        <v>2095000000</v>
      </c>
      <c r="F96" s="207">
        <v>320000000</v>
      </c>
      <c r="H96" s="207">
        <v>150000000</v>
      </c>
    </row>
    <row r="97" spans="1:8" ht="14.4" x14ac:dyDescent="0.3">
      <c r="A97">
        <v>96</v>
      </c>
      <c r="B97" s="172" t="s">
        <v>953</v>
      </c>
      <c r="C97" s="102" t="s">
        <v>954</v>
      </c>
      <c r="D97" s="102">
        <v>0</v>
      </c>
      <c r="E97" s="207">
        <v>0</v>
      </c>
      <c r="F97" s="207">
        <v>734000000</v>
      </c>
      <c r="G97" s="207">
        <v>6139000000</v>
      </c>
      <c r="H97" s="207">
        <v>90000000</v>
      </c>
    </row>
    <row r="98" spans="1:8" ht="14.4" x14ac:dyDescent="0.3">
      <c r="A98">
        <v>97</v>
      </c>
      <c r="B98" s="172" t="s">
        <v>955</v>
      </c>
      <c r="C98" s="102" t="s">
        <v>956</v>
      </c>
      <c r="D98" s="102">
        <v>0</v>
      </c>
      <c r="E98" s="207">
        <v>0</v>
      </c>
      <c r="F98" s="207">
        <v>392000000</v>
      </c>
      <c r="G98" s="207">
        <v>6935000000</v>
      </c>
      <c r="H98" s="207">
        <v>90000000</v>
      </c>
    </row>
    <row r="99" spans="1:8" ht="14.4" x14ac:dyDescent="0.3">
      <c r="A99">
        <v>98</v>
      </c>
      <c r="B99" s="172" t="s">
        <v>957</v>
      </c>
      <c r="C99" s="102" t="s">
        <v>958</v>
      </c>
      <c r="D99" s="102">
        <v>0</v>
      </c>
      <c r="E99" s="207">
        <v>275000000</v>
      </c>
      <c r="F99" s="207">
        <v>125000000</v>
      </c>
      <c r="H99" s="207">
        <v>110000000</v>
      </c>
    </row>
    <row r="100" spans="1:8" ht="14.4" x14ac:dyDescent="0.3">
      <c r="A100">
        <v>99</v>
      </c>
      <c r="B100" s="172" t="s">
        <v>959</v>
      </c>
      <c r="C100" s="102" t="s">
        <v>960</v>
      </c>
      <c r="D100" s="102">
        <v>0</v>
      </c>
      <c r="E100" s="207">
        <v>400000000</v>
      </c>
      <c r="F100" s="207">
        <v>225000000</v>
      </c>
      <c r="H100" s="207">
        <v>200000000</v>
      </c>
    </row>
    <row r="101" spans="1:8" ht="14.4" x14ac:dyDescent="0.3">
      <c r="A101">
        <v>100</v>
      </c>
      <c r="B101" s="172" t="s">
        <v>961</v>
      </c>
      <c r="C101" s="102" t="s">
        <v>962</v>
      </c>
      <c r="D101" s="102"/>
      <c r="E101" s="207">
        <v>0</v>
      </c>
      <c r="F101" s="207">
        <v>185000000</v>
      </c>
      <c r="G101" s="207">
        <v>433000000</v>
      </c>
      <c r="H101" s="207">
        <v>200000000</v>
      </c>
    </row>
    <row r="102" spans="1:8" ht="14.4" x14ac:dyDescent="0.3">
      <c r="A102">
        <v>101</v>
      </c>
      <c r="B102" s="172" t="s">
        <v>963</v>
      </c>
      <c r="C102" s="102" t="s">
        <v>964</v>
      </c>
      <c r="D102" s="102"/>
      <c r="F102" s="207">
        <v>100000000</v>
      </c>
      <c r="G102" s="207">
        <v>490000000</v>
      </c>
      <c r="H102" s="207">
        <v>100000000</v>
      </c>
    </row>
    <row r="103" spans="1:8" ht="14.4" x14ac:dyDescent="0.3">
      <c r="A103">
        <v>102</v>
      </c>
      <c r="B103" s="172" t="s">
        <v>965</v>
      </c>
      <c r="C103" s="102" t="s">
        <v>966</v>
      </c>
      <c r="D103" s="102">
        <v>57000000</v>
      </c>
      <c r="F103" s="207">
        <v>51000000</v>
      </c>
      <c r="G103" s="207">
        <v>57000000</v>
      </c>
      <c r="H103" s="207">
        <v>50000000</v>
      </c>
    </row>
    <row r="104" spans="1:8" ht="14.4" x14ac:dyDescent="0.3">
      <c r="A104">
        <v>103</v>
      </c>
      <c r="B104" s="172" t="s">
        <v>967</v>
      </c>
      <c r="C104" s="102" t="s">
        <v>968</v>
      </c>
      <c r="D104" s="102"/>
      <c r="E104" s="207">
        <v>200000000</v>
      </c>
      <c r="F104" s="207">
        <v>240000000</v>
      </c>
      <c r="H104" s="207">
        <v>125000000</v>
      </c>
    </row>
    <row r="105" spans="1:8" ht="14.4" x14ac:dyDescent="0.3">
      <c r="A105">
        <v>104</v>
      </c>
      <c r="B105" s="172" t="s">
        <v>383</v>
      </c>
      <c r="C105" s="102" t="s">
        <v>221</v>
      </c>
      <c r="D105" s="102">
        <v>0</v>
      </c>
      <c r="E105" s="207">
        <v>0</v>
      </c>
      <c r="F105" s="207">
        <v>250000000</v>
      </c>
      <c r="H105" s="207">
        <v>100000000</v>
      </c>
    </row>
    <row r="106" spans="1:8" ht="14.4" x14ac:dyDescent="0.3">
      <c r="A106">
        <v>105</v>
      </c>
      <c r="B106" s="172" t="s">
        <v>969</v>
      </c>
      <c r="C106" s="102" t="s">
        <v>970</v>
      </c>
      <c r="D106" s="102"/>
      <c r="E106" s="207">
        <v>355000000</v>
      </c>
      <c r="F106" s="207">
        <v>250000000</v>
      </c>
      <c r="H106" s="207">
        <v>200000000</v>
      </c>
    </row>
    <row r="107" spans="1:8" ht="14.4" x14ac:dyDescent="0.3">
      <c r="A107">
        <v>106</v>
      </c>
      <c r="B107" s="172" t="s">
        <v>421</v>
      </c>
      <c r="C107" s="102" t="s">
        <v>971</v>
      </c>
      <c r="D107" s="102">
        <v>0</v>
      </c>
      <c r="E107" s="207">
        <v>1500000000</v>
      </c>
      <c r="F107" s="207">
        <v>150000000</v>
      </c>
      <c r="H107" s="207">
        <v>150000000</v>
      </c>
    </row>
    <row r="108" spans="1:8" ht="14.4" x14ac:dyDescent="0.3">
      <c r="A108">
        <v>107</v>
      </c>
      <c r="B108" s="172" t="s">
        <v>477</v>
      </c>
      <c r="C108" s="102" t="s">
        <v>972</v>
      </c>
      <c r="D108" s="102">
        <v>0</v>
      </c>
      <c r="E108" s="207">
        <v>525000000</v>
      </c>
      <c r="F108" s="207">
        <v>125000000</v>
      </c>
      <c r="H108" s="207">
        <v>50000000</v>
      </c>
    </row>
    <row r="109" spans="1:8" ht="14.4" x14ac:dyDescent="0.3">
      <c r="A109">
        <v>108</v>
      </c>
      <c r="B109" s="172" t="s">
        <v>973</v>
      </c>
      <c r="C109" s="102" t="s">
        <v>974</v>
      </c>
      <c r="D109" s="102">
        <v>0</v>
      </c>
      <c r="E109" s="207">
        <v>900000000</v>
      </c>
      <c r="F109" s="207">
        <v>400000000</v>
      </c>
      <c r="H109" s="207">
        <v>215000000</v>
      </c>
    </row>
    <row r="110" spans="1:8" ht="14.4" x14ac:dyDescent="0.3">
      <c r="A110">
        <v>109</v>
      </c>
      <c r="B110" s="172" t="s">
        <v>975</v>
      </c>
      <c r="C110" s="102" t="s">
        <v>976</v>
      </c>
      <c r="D110" s="102">
        <v>0</v>
      </c>
      <c r="E110" s="207">
        <v>650000000</v>
      </c>
      <c r="F110" s="207">
        <v>250000000</v>
      </c>
      <c r="H110" s="207">
        <v>130000000</v>
      </c>
    </row>
    <row r="111" spans="1:8" ht="14.4" x14ac:dyDescent="0.3">
      <c r="A111">
        <v>110</v>
      </c>
      <c r="B111" s="172" t="s">
        <v>977</v>
      </c>
      <c r="C111" s="102" t="s">
        <v>978</v>
      </c>
      <c r="D111" s="102">
        <v>0</v>
      </c>
      <c r="E111" s="207">
        <v>325000000</v>
      </c>
      <c r="F111" s="207">
        <v>200000000</v>
      </c>
      <c r="H111" s="207">
        <v>75000000</v>
      </c>
    </row>
    <row r="112" spans="1:8" ht="14.4" x14ac:dyDescent="0.3">
      <c r="A112">
        <v>111</v>
      </c>
      <c r="B112" s="172" t="s">
        <v>979</v>
      </c>
      <c r="C112" s="102" t="s">
        <v>980</v>
      </c>
      <c r="D112" s="102">
        <v>0</v>
      </c>
      <c r="E112" s="207">
        <v>1300000000</v>
      </c>
      <c r="F112" s="207">
        <v>200000000</v>
      </c>
      <c r="H112" s="207">
        <v>150000000</v>
      </c>
    </row>
    <row r="113" spans="1:8" ht="14.4" x14ac:dyDescent="0.3">
      <c r="A113">
        <v>112</v>
      </c>
      <c r="B113" s="172" t="s">
        <v>522</v>
      </c>
      <c r="C113" s="102" t="s">
        <v>981</v>
      </c>
      <c r="D113" s="102">
        <v>0</v>
      </c>
      <c r="E113" s="207">
        <v>650000000</v>
      </c>
      <c r="F113" s="207">
        <v>650000000</v>
      </c>
      <c r="H113" s="207">
        <v>200000000</v>
      </c>
    </row>
    <row r="114" spans="1:8" ht="14.4" x14ac:dyDescent="0.3">
      <c r="A114">
        <v>113</v>
      </c>
      <c r="B114" s="172" t="s">
        <v>982</v>
      </c>
      <c r="C114" s="102" t="s">
        <v>983</v>
      </c>
      <c r="D114" s="102">
        <v>0</v>
      </c>
      <c r="E114" s="207">
        <v>325000000</v>
      </c>
      <c r="F114" s="207">
        <v>325000000</v>
      </c>
      <c r="H114" s="207">
        <v>175000000</v>
      </c>
    </row>
    <row r="115" spans="1:8" ht="14.4" x14ac:dyDescent="0.3">
      <c r="A115">
        <v>114</v>
      </c>
      <c r="B115" s="172" t="s">
        <v>984</v>
      </c>
      <c r="C115" s="102" t="s">
        <v>985</v>
      </c>
      <c r="D115" s="102"/>
      <c r="F115" s="207">
        <v>125000000</v>
      </c>
      <c r="G115" s="207">
        <v>310000000</v>
      </c>
      <c r="H115" s="207">
        <v>125000000</v>
      </c>
    </row>
    <row r="116" spans="1:8" ht="14.4" x14ac:dyDescent="0.3">
      <c r="A116">
        <v>115</v>
      </c>
      <c r="B116" s="172" t="s">
        <v>986</v>
      </c>
      <c r="C116" s="102" t="s">
        <v>987</v>
      </c>
      <c r="D116" s="102">
        <v>0</v>
      </c>
      <c r="E116" s="207">
        <v>0</v>
      </c>
      <c r="F116" s="207">
        <v>225000000</v>
      </c>
      <c r="H116" s="207">
        <v>225000000</v>
      </c>
    </row>
    <row r="117" spans="1:8" ht="14.4" x14ac:dyDescent="0.3">
      <c r="A117">
        <v>116</v>
      </c>
      <c r="B117" s="172" t="s">
        <v>988</v>
      </c>
      <c r="C117" s="172" t="s">
        <v>989</v>
      </c>
      <c r="D117" s="102">
        <v>0</v>
      </c>
      <c r="E117" s="207">
        <v>0</v>
      </c>
      <c r="F117" s="207">
        <v>70000000</v>
      </c>
      <c r="H117" s="207">
        <v>70000000</v>
      </c>
    </row>
    <row r="118" spans="1:8" ht="14.4" x14ac:dyDescent="0.3">
      <c r="A118">
        <v>117</v>
      </c>
      <c r="B118" s="172" t="s">
        <v>990</v>
      </c>
      <c r="C118" s="172" t="s">
        <v>991</v>
      </c>
      <c r="D118" s="102">
        <v>0</v>
      </c>
      <c r="E118" s="207">
        <v>0</v>
      </c>
      <c r="F118" s="207">
        <v>125000000</v>
      </c>
      <c r="H118" s="207">
        <v>125000000</v>
      </c>
    </row>
    <row r="119" spans="1:8" ht="14.4" x14ac:dyDescent="0.3">
      <c r="A119">
        <v>118</v>
      </c>
      <c r="B119" s="172" t="s">
        <v>992</v>
      </c>
      <c r="C119" s="172" t="s">
        <v>993</v>
      </c>
      <c r="D119" s="102">
        <v>0</v>
      </c>
      <c r="E119" s="207">
        <v>0</v>
      </c>
      <c r="F119" s="207">
        <v>175000000</v>
      </c>
      <c r="H119" s="207">
        <v>175000000</v>
      </c>
    </row>
    <row r="120" spans="1:8" ht="14.4" x14ac:dyDescent="0.3">
      <c r="A120">
        <v>119</v>
      </c>
      <c r="B120" s="172" t="s">
        <v>994</v>
      </c>
      <c r="C120" s="172" t="s">
        <v>995</v>
      </c>
      <c r="D120" s="102"/>
      <c r="E120" s="207">
        <v>697000000</v>
      </c>
      <c r="F120" s="207">
        <v>77000000</v>
      </c>
      <c r="H120" s="207">
        <v>80000000</v>
      </c>
    </row>
    <row r="121" spans="1:8" ht="14.4" x14ac:dyDescent="0.3">
      <c r="A121">
        <v>120</v>
      </c>
      <c r="B121" s="172" t="s">
        <v>996</v>
      </c>
      <c r="C121" s="172" t="s">
        <v>997</v>
      </c>
      <c r="D121" s="102"/>
      <c r="E121" s="207">
        <v>174000000</v>
      </c>
      <c r="F121" s="207">
        <v>80000000</v>
      </c>
      <c r="H121" s="207">
        <v>60000000</v>
      </c>
    </row>
    <row r="122" spans="1:8" ht="14.4" x14ac:dyDescent="0.3">
      <c r="A122">
        <v>121</v>
      </c>
      <c r="B122" s="172" t="s">
        <v>998</v>
      </c>
      <c r="C122" s="172" t="s">
        <v>999</v>
      </c>
      <c r="D122" s="102">
        <v>0</v>
      </c>
      <c r="F122" s="207">
        <v>10000000000</v>
      </c>
      <c r="H122" s="207">
        <v>150000000</v>
      </c>
    </row>
    <row r="123" spans="1:8" ht="14.4" x14ac:dyDescent="0.3">
      <c r="A123">
        <v>122</v>
      </c>
      <c r="B123" s="172" t="s">
        <v>1000</v>
      </c>
      <c r="C123" s="172" t="s">
        <v>1001</v>
      </c>
      <c r="D123" s="102"/>
      <c r="E123" s="207">
        <v>100000000</v>
      </c>
      <c r="F123" s="207">
        <v>100000000</v>
      </c>
      <c r="H123" s="207">
        <v>100000000</v>
      </c>
    </row>
    <row r="124" spans="1:8" ht="14.4" x14ac:dyDescent="0.3">
      <c r="A124">
        <v>123</v>
      </c>
      <c r="B124" s="172" t="s">
        <v>1002</v>
      </c>
      <c r="C124" s="172" t="s">
        <v>1003</v>
      </c>
      <c r="D124" s="102">
        <v>0</v>
      </c>
      <c r="F124" s="207">
        <v>145000000</v>
      </c>
      <c r="G124" s="207">
        <v>175000000</v>
      </c>
      <c r="H124" s="207">
        <v>145000000</v>
      </c>
    </row>
    <row r="125" spans="1:8" ht="14.4" x14ac:dyDescent="0.3">
      <c r="A125">
        <v>124</v>
      </c>
      <c r="B125" s="172" t="s">
        <v>473</v>
      </c>
      <c r="C125" s="172" t="s">
        <v>1004</v>
      </c>
      <c r="D125" s="102"/>
      <c r="E125" s="207">
        <v>1225000000</v>
      </c>
      <c r="F125" s="207">
        <v>100000000</v>
      </c>
      <c r="H125" s="207">
        <v>75000000</v>
      </c>
    </row>
    <row r="126" spans="1:8" ht="14.4" x14ac:dyDescent="0.3">
      <c r="A126">
        <v>125</v>
      </c>
      <c r="B126" s="172" t="s">
        <v>1005</v>
      </c>
      <c r="C126" s="172" t="s">
        <v>1006</v>
      </c>
      <c r="D126" s="102"/>
      <c r="E126" s="207">
        <v>325000000</v>
      </c>
      <c r="F126" s="207">
        <v>100000000</v>
      </c>
      <c r="H126" s="207">
        <v>75000000</v>
      </c>
    </row>
    <row r="127" spans="1:8" ht="14.4" x14ac:dyDescent="0.3">
      <c r="A127">
        <v>126</v>
      </c>
      <c r="B127" s="172" t="s">
        <v>1007</v>
      </c>
      <c r="C127" s="172" t="s">
        <v>1008</v>
      </c>
      <c r="D127" s="102"/>
      <c r="E127" s="207">
        <v>1000000000</v>
      </c>
      <c r="F127" s="207">
        <v>225000000</v>
      </c>
      <c r="H127" s="207">
        <v>175000000</v>
      </c>
    </row>
    <row r="128" spans="1:8" ht="14.4" x14ac:dyDescent="0.3">
      <c r="A128">
        <v>127</v>
      </c>
      <c r="B128" s="172" t="s">
        <v>335</v>
      </c>
      <c r="C128" s="172" t="s">
        <v>217</v>
      </c>
      <c r="D128" s="102"/>
      <c r="E128" s="207">
        <v>700000000</v>
      </c>
      <c r="F128" s="207">
        <v>300000000</v>
      </c>
      <c r="H128" s="207">
        <v>300000000</v>
      </c>
    </row>
    <row r="129" spans="1:8" ht="14.4" x14ac:dyDescent="0.3">
      <c r="A129">
        <v>128</v>
      </c>
      <c r="B129" s="172" t="s">
        <v>510</v>
      </c>
      <c r="C129" s="172" t="s">
        <v>1009</v>
      </c>
      <c r="D129" s="102"/>
      <c r="E129" s="207">
        <v>425000000</v>
      </c>
      <c r="F129" s="207">
        <v>150000000</v>
      </c>
      <c r="H129" s="207">
        <v>150000000</v>
      </c>
    </row>
    <row r="130" spans="1:8" ht="14.4" x14ac:dyDescent="0.3">
      <c r="A130">
        <v>129</v>
      </c>
      <c r="B130" s="172" t="s">
        <v>1010</v>
      </c>
      <c r="C130" s="172" t="s">
        <v>1011</v>
      </c>
      <c r="D130" s="102"/>
      <c r="F130" s="207">
        <v>600000000</v>
      </c>
      <c r="G130" s="207">
        <v>800000000</v>
      </c>
      <c r="H130" s="207">
        <v>140000000</v>
      </c>
    </row>
    <row r="131" spans="1:8" ht="14.4" x14ac:dyDescent="0.3">
      <c r="A131">
        <v>130</v>
      </c>
      <c r="B131" s="172" t="s">
        <v>506</v>
      </c>
      <c r="C131" s="172" t="s">
        <v>1012</v>
      </c>
      <c r="D131" s="102">
        <v>0</v>
      </c>
      <c r="E131" s="207">
        <v>0</v>
      </c>
      <c r="F131" s="207">
        <v>85000000</v>
      </c>
      <c r="H131" s="207">
        <v>85000000</v>
      </c>
    </row>
    <row r="132" spans="1:8" ht="14.4" x14ac:dyDescent="0.3">
      <c r="A132">
        <v>131</v>
      </c>
      <c r="B132" s="172" t="s">
        <v>520</v>
      </c>
      <c r="C132" s="210" t="s">
        <v>1013</v>
      </c>
      <c r="D132" s="102"/>
      <c r="F132" s="207">
        <v>50000000</v>
      </c>
      <c r="H132" s="207">
        <v>50000000</v>
      </c>
    </row>
    <row r="133" spans="1:8" ht="14.4" x14ac:dyDescent="0.3">
      <c r="A133">
        <v>132</v>
      </c>
      <c r="B133" s="172" t="s">
        <v>1014</v>
      </c>
      <c r="C133" s="172" t="s">
        <v>1015</v>
      </c>
      <c r="D133" s="102"/>
      <c r="E133" s="207">
        <v>700000000</v>
      </c>
      <c r="F133" s="207">
        <v>200000000</v>
      </c>
      <c r="H133" s="207">
        <v>100000000</v>
      </c>
    </row>
    <row r="134" spans="1:8" ht="14.4" x14ac:dyDescent="0.3">
      <c r="A134">
        <v>133</v>
      </c>
      <c r="B134" s="172" t="s">
        <v>1016</v>
      </c>
      <c r="C134" s="172" t="s">
        <v>1017</v>
      </c>
      <c r="D134" s="102"/>
      <c r="E134" s="207">
        <v>290000000</v>
      </c>
      <c r="F134" s="207">
        <v>205000000</v>
      </c>
      <c r="H134" s="207">
        <v>100000000</v>
      </c>
    </row>
    <row r="135" spans="1:8" ht="14.4" x14ac:dyDescent="0.3">
      <c r="A135">
        <v>134</v>
      </c>
      <c r="B135" s="172" t="s">
        <v>1018</v>
      </c>
      <c r="C135" s="172" t="s">
        <v>1019</v>
      </c>
      <c r="D135" s="102">
        <v>0</v>
      </c>
      <c r="E135" s="207">
        <v>300000000</v>
      </c>
      <c r="F135" s="207">
        <v>250000000</v>
      </c>
      <c r="H135" s="207">
        <v>120000000</v>
      </c>
    </row>
    <row r="136" spans="1:8" ht="14.4" x14ac:dyDescent="0.3">
      <c r="A136">
        <v>135</v>
      </c>
      <c r="B136" s="172" t="s">
        <v>479</v>
      </c>
      <c r="C136" s="172" t="s">
        <v>1020</v>
      </c>
      <c r="D136" s="102">
        <v>0</v>
      </c>
      <c r="E136" s="207">
        <v>345000000</v>
      </c>
      <c r="F136" s="207">
        <v>115000000</v>
      </c>
      <c r="H136" s="207">
        <v>115000000</v>
      </c>
    </row>
    <row r="137" spans="1:8" ht="14.4" x14ac:dyDescent="0.3">
      <c r="A137">
        <v>136</v>
      </c>
      <c r="B137" s="172" t="s">
        <v>1021</v>
      </c>
      <c r="C137" s="172" t="s">
        <v>1022</v>
      </c>
      <c r="D137" s="102"/>
      <c r="E137" s="207">
        <v>700000000</v>
      </c>
      <c r="F137" s="207">
        <v>100000000</v>
      </c>
      <c r="H137" s="207">
        <v>50000000</v>
      </c>
    </row>
    <row r="138" spans="1:8" ht="14.4" x14ac:dyDescent="0.3">
      <c r="A138">
        <v>137</v>
      </c>
      <c r="B138" s="172" t="s">
        <v>1023</v>
      </c>
      <c r="C138" s="172" t="s">
        <v>1024</v>
      </c>
      <c r="D138" s="102"/>
      <c r="E138" s="207">
        <v>560000000</v>
      </c>
      <c r="F138" s="207">
        <v>140000000</v>
      </c>
      <c r="H138" s="207">
        <v>50000000</v>
      </c>
    </row>
    <row r="139" spans="1:8" ht="14.4" x14ac:dyDescent="0.3">
      <c r="A139">
        <v>138</v>
      </c>
      <c r="B139" s="172" t="s">
        <v>317</v>
      </c>
      <c r="C139" s="172" t="s">
        <v>236</v>
      </c>
      <c r="D139" s="102">
        <v>0</v>
      </c>
      <c r="E139" s="207">
        <v>1000000000</v>
      </c>
      <c r="F139" s="207">
        <v>600000000</v>
      </c>
      <c r="H139" s="207">
        <v>200000000</v>
      </c>
    </row>
    <row r="140" spans="1:8" ht="14.4" x14ac:dyDescent="0.3">
      <c r="A140">
        <v>139</v>
      </c>
      <c r="B140" s="172" t="s">
        <v>1025</v>
      </c>
      <c r="C140" s="172" t="s">
        <v>1026</v>
      </c>
      <c r="D140" s="102">
        <v>0</v>
      </c>
      <c r="E140" s="207">
        <v>500000000</v>
      </c>
      <c r="F140" s="207">
        <v>500000000</v>
      </c>
      <c r="H140" s="207">
        <v>200000000</v>
      </c>
    </row>
    <row r="141" spans="1:8" ht="14.4" x14ac:dyDescent="0.3">
      <c r="A141">
        <v>140</v>
      </c>
      <c r="B141" s="172" t="s">
        <v>507</v>
      </c>
      <c r="C141" s="172" t="s">
        <v>1027</v>
      </c>
      <c r="D141" s="102"/>
      <c r="E141" s="207">
        <v>50000000</v>
      </c>
      <c r="F141" s="207">
        <v>200000000</v>
      </c>
      <c r="H141" s="207">
        <v>200000000</v>
      </c>
    </row>
    <row r="142" spans="1:8" ht="14.4" x14ac:dyDescent="0.3">
      <c r="A142">
        <v>141</v>
      </c>
      <c r="B142" s="172" t="s">
        <v>508</v>
      </c>
      <c r="C142" s="172" t="s">
        <v>1028</v>
      </c>
      <c r="D142" s="102">
        <v>0</v>
      </c>
      <c r="F142" s="207">
        <v>600000000</v>
      </c>
      <c r="G142" s="207">
        <v>2800000000</v>
      </c>
      <c r="H142" s="207">
        <v>600000000</v>
      </c>
    </row>
    <row r="143" spans="1:8" ht="14.4" x14ac:dyDescent="0.3">
      <c r="A143">
        <v>142</v>
      </c>
      <c r="B143" s="172" t="s">
        <v>436</v>
      </c>
      <c r="C143" s="172" t="s">
        <v>1029</v>
      </c>
      <c r="D143" s="102">
        <v>0</v>
      </c>
      <c r="E143" s="207">
        <v>800000000</v>
      </c>
      <c r="F143" s="207">
        <v>250000000</v>
      </c>
      <c r="H143" s="207">
        <v>120000000</v>
      </c>
    </row>
    <row r="144" spans="1:8" ht="14.4" x14ac:dyDescent="0.3">
      <c r="A144">
        <v>143</v>
      </c>
      <c r="B144" s="172" t="s">
        <v>1030</v>
      </c>
      <c r="C144" s="172" t="s">
        <v>1031</v>
      </c>
      <c r="D144" s="102">
        <v>0</v>
      </c>
      <c r="E144" s="207">
        <v>490000000</v>
      </c>
      <c r="F144" s="207">
        <v>310000000</v>
      </c>
      <c r="H144" s="207">
        <v>75000000</v>
      </c>
    </row>
    <row r="145" spans="1:8" ht="14.4" x14ac:dyDescent="0.3">
      <c r="A145">
        <v>144</v>
      </c>
      <c r="B145" s="172" t="s">
        <v>1032</v>
      </c>
      <c r="C145" s="172" t="s">
        <v>1033</v>
      </c>
      <c r="D145" s="102"/>
      <c r="E145" s="207">
        <v>607000000</v>
      </c>
      <c r="F145" s="207">
        <v>257000000</v>
      </c>
      <c r="H145" s="207">
        <v>125000000</v>
      </c>
    </row>
    <row r="146" spans="1:8" ht="14.4" x14ac:dyDescent="0.3">
      <c r="A146">
        <v>145</v>
      </c>
      <c r="B146" s="172" t="s">
        <v>1034</v>
      </c>
      <c r="C146" s="172" t="s">
        <v>1035</v>
      </c>
      <c r="D146" s="102"/>
      <c r="E146" s="207">
        <v>607000000</v>
      </c>
      <c r="F146" s="207">
        <v>250000000</v>
      </c>
      <c r="H146" s="207">
        <v>125000000</v>
      </c>
    </row>
    <row r="147" spans="1:8" ht="14.4" x14ac:dyDescent="0.3">
      <c r="A147">
        <v>146</v>
      </c>
      <c r="B147" s="172" t="s">
        <v>377</v>
      </c>
      <c r="C147" s="172" t="s">
        <v>1036</v>
      </c>
      <c r="D147" s="102"/>
      <c r="E147" s="207">
        <v>607000000</v>
      </c>
      <c r="F147" s="207">
        <v>300000000</v>
      </c>
      <c r="H147" s="207">
        <v>210000000</v>
      </c>
    </row>
    <row r="148" spans="1:8" ht="14.4" x14ac:dyDescent="0.3">
      <c r="A148">
        <v>147</v>
      </c>
      <c r="B148" s="172" t="s">
        <v>482</v>
      </c>
      <c r="C148" s="172" t="s">
        <v>1037</v>
      </c>
      <c r="D148" s="102"/>
      <c r="E148" s="207">
        <v>607000000</v>
      </c>
      <c r="F148" s="207">
        <v>100000000</v>
      </c>
      <c r="H148" s="207">
        <v>100000000</v>
      </c>
    </row>
    <row r="149" spans="1:8" ht="14.4" x14ac:dyDescent="0.3">
      <c r="A149">
        <v>148</v>
      </c>
      <c r="B149" s="172" t="s">
        <v>1038</v>
      </c>
      <c r="C149" s="172" t="s">
        <v>1039</v>
      </c>
      <c r="D149" s="102">
        <v>0</v>
      </c>
      <c r="E149" s="207">
        <v>607000000</v>
      </c>
      <c r="F149" s="207">
        <v>100000000</v>
      </c>
      <c r="H149" s="207">
        <v>100000000</v>
      </c>
    </row>
    <row r="150" spans="1:8" ht="14.4" x14ac:dyDescent="0.3">
      <c r="A150">
        <v>149</v>
      </c>
      <c r="B150" s="172" t="s">
        <v>1040</v>
      </c>
      <c r="C150" s="172" t="s">
        <v>1041</v>
      </c>
      <c r="D150" s="102">
        <v>0</v>
      </c>
      <c r="E150" s="207">
        <v>0</v>
      </c>
      <c r="F150" s="207">
        <v>75000000</v>
      </c>
      <c r="H150" s="207">
        <v>75000000</v>
      </c>
    </row>
    <row r="151" spans="1:8" ht="14.4" x14ac:dyDescent="0.3">
      <c r="A151">
        <v>150</v>
      </c>
      <c r="B151" s="172" t="s">
        <v>509</v>
      </c>
      <c r="C151" s="172" t="s">
        <v>1042</v>
      </c>
      <c r="D151" s="102">
        <v>0</v>
      </c>
      <c r="E151" s="207">
        <v>0</v>
      </c>
      <c r="F151" s="207">
        <v>150000000</v>
      </c>
      <c r="H151" s="207">
        <v>150000000</v>
      </c>
    </row>
    <row r="152" spans="1:8" ht="14.4" x14ac:dyDescent="0.3">
      <c r="A152">
        <v>151</v>
      </c>
      <c r="B152" s="172" t="s">
        <v>230</v>
      </c>
      <c r="C152" s="172" t="s">
        <v>237</v>
      </c>
      <c r="D152" s="102">
        <v>0</v>
      </c>
      <c r="E152" s="207">
        <v>0</v>
      </c>
      <c r="F152" s="207">
        <v>150000000</v>
      </c>
      <c r="H152" s="207">
        <v>150000000</v>
      </c>
    </row>
    <row r="153" spans="1:8" ht="14.4" x14ac:dyDescent="0.3">
      <c r="A153">
        <v>152</v>
      </c>
      <c r="B153" s="172" t="s">
        <v>1043</v>
      </c>
      <c r="C153" s="172" t="s">
        <v>1044</v>
      </c>
      <c r="D153" s="102">
        <v>0</v>
      </c>
      <c r="E153" s="207">
        <v>0</v>
      </c>
      <c r="F153" s="207">
        <v>100000000</v>
      </c>
      <c r="H153" s="207">
        <v>100000000</v>
      </c>
    </row>
    <row r="154" spans="1:8" ht="14.4" x14ac:dyDescent="0.3">
      <c r="A154">
        <v>153</v>
      </c>
      <c r="B154" s="172" t="s">
        <v>1045</v>
      </c>
      <c r="C154" s="172" t="s">
        <v>1046</v>
      </c>
      <c r="D154" s="102">
        <v>0</v>
      </c>
      <c r="E154" s="207">
        <v>0</v>
      </c>
      <c r="F154" s="207">
        <v>550000000</v>
      </c>
      <c r="H154" s="207">
        <v>550000000</v>
      </c>
    </row>
    <row r="155" spans="1:8" ht="14.4" x14ac:dyDescent="0.3">
      <c r="A155">
        <v>154</v>
      </c>
      <c r="B155" s="172" t="s">
        <v>1047</v>
      </c>
      <c r="C155" s="172" t="s">
        <v>1048</v>
      </c>
      <c r="D155" s="102">
        <v>0</v>
      </c>
      <c r="E155" s="207">
        <v>0</v>
      </c>
      <c r="F155" s="207">
        <v>225000000</v>
      </c>
      <c r="H155" s="207">
        <v>225000000</v>
      </c>
    </row>
    <row r="156" spans="1:8" ht="14.4" x14ac:dyDescent="0.3">
      <c r="A156">
        <v>155</v>
      </c>
      <c r="B156" s="172" t="s">
        <v>1049</v>
      </c>
      <c r="C156" s="172" t="s">
        <v>1050</v>
      </c>
      <c r="D156" s="102"/>
      <c r="E156" s="207">
        <v>70000000</v>
      </c>
      <c r="F156" s="207">
        <v>300000000</v>
      </c>
      <c r="G156" s="207">
        <v>1580000000</v>
      </c>
      <c r="H156" s="207">
        <v>175000000</v>
      </c>
    </row>
    <row r="157" spans="1:8" ht="14.4" x14ac:dyDescent="0.3">
      <c r="A157">
        <v>156</v>
      </c>
      <c r="B157" s="172" t="s">
        <v>1051</v>
      </c>
      <c r="C157" s="172" t="s">
        <v>1052</v>
      </c>
      <c r="D157" s="102">
        <v>0</v>
      </c>
      <c r="E157" s="207">
        <v>482000000</v>
      </c>
      <c r="F157" s="207">
        <v>318000000</v>
      </c>
      <c r="H157" s="207">
        <v>100000000</v>
      </c>
    </row>
    <row r="158" spans="1:8" ht="14.4" x14ac:dyDescent="0.3">
      <c r="A158">
        <v>157</v>
      </c>
      <c r="B158" s="172" t="s">
        <v>1053</v>
      </c>
      <c r="C158" s="172" t="s">
        <v>1054</v>
      </c>
      <c r="D158" s="102">
        <v>0</v>
      </c>
      <c r="E158" s="207">
        <v>0</v>
      </c>
      <c r="F158" s="207">
        <v>100000000</v>
      </c>
      <c r="H158" s="207">
        <v>41776653</v>
      </c>
    </row>
    <row r="159" spans="1:8" ht="14.4" x14ac:dyDescent="0.3">
      <c r="A159">
        <v>158</v>
      </c>
      <c r="B159" s="172" t="s">
        <v>1055</v>
      </c>
      <c r="C159" s="172" t="s">
        <v>1056</v>
      </c>
      <c r="D159" s="102">
        <v>0</v>
      </c>
      <c r="E159" s="207">
        <v>100000000</v>
      </c>
      <c r="F159" s="207">
        <v>382000000</v>
      </c>
      <c r="H159" s="207">
        <v>120000000</v>
      </c>
    </row>
    <row r="160" spans="1:8" ht="14.4" x14ac:dyDescent="0.3">
      <c r="A160">
        <v>159</v>
      </c>
      <c r="B160" s="172" t="s">
        <v>1057</v>
      </c>
      <c r="C160" s="172" t="s">
        <v>1058</v>
      </c>
      <c r="D160" s="102">
        <v>0</v>
      </c>
      <c r="E160" s="207">
        <v>0</v>
      </c>
      <c r="F160" s="207">
        <v>100000000</v>
      </c>
      <c r="H160" s="207">
        <v>25000000</v>
      </c>
    </row>
    <row r="161" spans="1:8" ht="14.4" x14ac:dyDescent="0.3">
      <c r="A161">
        <v>160</v>
      </c>
      <c r="B161" s="172" t="s">
        <v>521</v>
      </c>
      <c r="C161" s="172" t="s">
        <v>1059</v>
      </c>
      <c r="D161" s="102"/>
      <c r="F161" s="207">
        <v>1427000000</v>
      </c>
      <c r="G161" s="207">
        <v>4800000000</v>
      </c>
      <c r="H161" s="207">
        <v>250000000</v>
      </c>
    </row>
    <row r="162" spans="1:8" ht="14.4" x14ac:dyDescent="0.3">
      <c r="A162">
        <v>161</v>
      </c>
      <c r="B162" s="172" t="s">
        <v>1060</v>
      </c>
      <c r="C162" s="172" t="s">
        <v>1061</v>
      </c>
      <c r="D162" s="102"/>
      <c r="F162" s="207">
        <v>800000000</v>
      </c>
      <c r="G162" s="207">
        <v>3000000000</v>
      </c>
      <c r="H162" s="207">
        <v>200000000</v>
      </c>
    </row>
    <row r="163" spans="1:8" ht="14.4" x14ac:dyDescent="0.3">
      <c r="A163">
        <v>162</v>
      </c>
      <c r="B163" s="172" t="s">
        <v>1062</v>
      </c>
      <c r="C163" s="172" t="s">
        <v>1063</v>
      </c>
      <c r="D163" s="102"/>
      <c r="F163" s="207">
        <v>1000000000</v>
      </c>
      <c r="G163" s="207">
        <v>2000000000</v>
      </c>
      <c r="H163" s="207">
        <v>100000000</v>
      </c>
    </row>
    <row r="164" spans="1:8" ht="14.4" x14ac:dyDescent="0.3">
      <c r="A164">
        <v>163</v>
      </c>
      <c r="B164" s="172" t="s">
        <v>1064</v>
      </c>
      <c r="C164" s="172" t="s">
        <v>1065</v>
      </c>
      <c r="D164" s="102"/>
      <c r="E164" s="207">
        <v>180000000</v>
      </c>
      <c r="F164" s="207">
        <v>320000000</v>
      </c>
      <c r="H164" s="207">
        <v>200000000</v>
      </c>
    </row>
    <row r="165" spans="1:8" ht="14.4" x14ac:dyDescent="0.3">
      <c r="A165">
        <v>164</v>
      </c>
      <c r="B165" s="172" t="s">
        <v>1066</v>
      </c>
      <c r="C165" s="172" t="s">
        <v>1067</v>
      </c>
      <c r="D165" s="102">
        <v>0</v>
      </c>
      <c r="E165" s="207">
        <v>605000000</v>
      </c>
      <c r="F165" s="207">
        <v>200000000</v>
      </c>
      <c r="H165" s="207">
        <v>200000000</v>
      </c>
    </row>
    <row r="166" spans="1:8" ht="14.4" x14ac:dyDescent="0.3">
      <c r="A166">
        <v>165</v>
      </c>
      <c r="B166" s="172" t="s">
        <v>1068</v>
      </c>
      <c r="C166" s="172" t="s">
        <v>1069</v>
      </c>
      <c r="D166" s="102">
        <v>0</v>
      </c>
      <c r="E166" s="207">
        <v>405000000</v>
      </c>
      <c r="F166" s="207">
        <v>200000000</v>
      </c>
      <c r="H166" s="207">
        <v>100000000</v>
      </c>
    </row>
    <row r="167" spans="1:8" ht="14.4" x14ac:dyDescent="0.3">
      <c r="A167">
        <v>166</v>
      </c>
      <c r="B167" s="172" t="s">
        <v>1070</v>
      </c>
      <c r="C167" s="172" t="s">
        <v>1071</v>
      </c>
      <c r="D167" s="102"/>
      <c r="E167" s="207">
        <v>405000000</v>
      </c>
      <c r="F167" s="207">
        <v>200000000</v>
      </c>
      <c r="H167" s="207">
        <v>100000000</v>
      </c>
    </row>
    <row r="168" spans="1:8" ht="14.4" x14ac:dyDescent="0.3">
      <c r="A168">
        <v>167</v>
      </c>
      <c r="B168" s="172" t="s">
        <v>1072</v>
      </c>
      <c r="C168" s="172" t="s">
        <v>1073</v>
      </c>
      <c r="D168" s="102"/>
      <c r="F168" s="207">
        <v>20000000000</v>
      </c>
      <c r="G168" s="207">
        <v>80000000000</v>
      </c>
      <c r="H168" s="207">
        <v>150000000</v>
      </c>
    </row>
    <row r="169" spans="1:8" ht="14.4" x14ac:dyDescent="0.3">
      <c r="A169">
        <v>168</v>
      </c>
      <c r="B169" s="172" t="s">
        <v>1074</v>
      </c>
      <c r="C169" s="172" t="s">
        <v>1075</v>
      </c>
      <c r="D169" s="102"/>
      <c r="E169" s="207">
        <v>225000000</v>
      </c>
      <c r="F169" s="207">
        <v>160000000</v>
      </c>
      <c r="H169" s="207">
        <v>100000000</v>
      </c>
    </row>
    <row r="170" spans="1:8" ht="14.4" x14ac:dyDescent="0.3">
      <c r="A170">
        <v>169</v>
      </c>
      <c r="B170" s="172" t="s">
        <v>1076</v>
      </c>
      <c r="C170" s="172" t="s">
        <v>1077</v>
      </c>
      <c r="D170" s="102">
        <v>0</v>
      </c>
      <c r="E170" s="207">
        <v>517100000</v>
      </c>
      <c r="F170" s="207">
        <v>268800000</v>
      </c>
      <c r="H170" s="207">
        <v>50000000</v>
      </c>
    </row>
    <row r="171" spans="1:8" ht="14.4" x14ac:dyDescent="0.3">
      <c r="A171">
        <v>170</v>
      </c>
      <c r="B171" s="172" t="s">
        <v>1078</v>
      </c>
      <c r="C171" s="172" t="s">
        <v>1079</v>
      </c>
      <c r="D171" s="102">
        <v>0</v>
      </c>
      <c r="E171" s="207">
        <v>517100000</v>
      </c>
      <c r="F171" s="207">
        <v>290100000</v>
      </c>
      <c r="H171" s="207">
        <v>50000000</v>
      </c>
    </row>
    <row r="172" spans="1:8" ht="14.4" x14ac:dyDescent="0.3">
      <c r="A172">
        <v>171</v>
      </c>
      <c r="B172" s="172" t="s">
        <v>1080</v>
      </c>
      <c r="C172" s="172" t="s">
        <v>1081</v>
      </c>
      <c r="D172" s="102">
        <v>0</v>
      </c>
      <c r="E172" s="207">
        <v>517100000</v>
      </c>
      <c r="F172" s="207">
        <v>285300000</v>
      </c>
      <c r="H172" s="207">
        <v>165000000</v>
      </c>
    </row>
    <row r="173" spans="1:8" ht="14.4" x14ac:dyDescent="0.3">
      <c r="A173">
        <v>172</v>
      </c>
      <c r="B173" s="172" t="s">
        <v>1082</v>
      </c>
      <c r="C173" s="172" t="s">
        <v>1083</v>
      </c>
      <c r="D173" s="102">
        <v>0</v>
      </c>
      <c r="E173" s="207">
        <v>353200000</v>
      </c>
      <c r="F173" s="207">
        <v>163900000</v>
      </c>
      <c r="H173" s="207">
        <v>100000000</v>
      </c>
    </row>
    <row r="174" spans="1:8" ht="14.4" x14ac:dyDescent="0.3">
      <c r="A174">
        <v>173</v>
      </c>
      <c r="B174" s="172" t="s">
        <v>1084</v>
      </c>
      <c r="C174" s="172" t="s">
        <v>1085</v>
      </c>
      <c r="D174" s="102">
        <v>0</v>
      </c>
      <c r="E174" s="207">
        <v>517100000</v>
      </c>
      <c r="F174" s="207">
        <v>268800000</v>
      </c>
      <c r="H174" s="207">
        <v>100000000</v>
      </c>
    </row>
    <row r="175" spans="1:8" ht="14.4" x14ac:dyDescent="0.3">
      <c r="A175">
        <v>174</v>
      </c>
      <c r="B175" s="172" t="s">
        <v>1086</v>
      </c>
      <c r="C175" s="172" t="s">
        <v>1087</v>
      </c>
      <c r="D175" s="102">
        <v>0</v>
      </c>
      <c r="E175" s="207">
        <v>517100000</v>
      </c>
      <c r="F175" s="207">
        <v>290100000</v>
      </c>
      <c r="H175" s="207">
        <v>100000000</v>
      </c>
    </row>
    <row r="176" spans="1:8" ht="14.4" x14ac:dyDescent="0.3">
      <c r="A176">
        <v>175</v>
      </c>
      <c r="B176" s="172" t="s">
        <v>1088</v>
      </c>
      <c r="C176" s="172" t="s">
        <v>1089</v>
      </c>
      <c r="D176" s="102">
        <v>60000000</v>
      </c>
      <c r="E176" s="207">
        <v>25000000</v>
      </c>
      <c r="F176" s="207">
        <v>120000000</v>
      </c>
      <c r="G176" s="207">
        <v>120000000</v>
      </c>
      <c r="H176" s="207">
        <v>120000000</v>
      </c>
    </row>
    <row r="177" spans="1:8" ht="14.4" x14ac:dyDescent="0.3">
      <c r="A177">
        <v>176</v>
      </c>
      <c r="B177" s="172" t="s">
        <v>1090</v>
      </c>
      <c r="C177" s="172" t="s">
        <v>1091</v>
      </c>
      <c r="D177" s="102">
        <v>0</v>
      </c>
      <c r="E177" s="207">
        <v>545600000</v>
      </c>
      <c r="F177" s="207">
        <v>110200000</v>
      </c>
      <c r="H177" s="207">
        <v>50000000</v>
      </c>
    </row>
    <row r="178" spans="1:8" ht="14.4" x14ac:dyDescent="0.3">
      <c r="A178">
        <v>177</v>
      </c>
      <c r="B178" s="172" t="s">
        <v>1092</v>
      </c>
      <c r="C178" s="172" t="s">
        <v>1093</v>
      </c>
      <c r="D178" s="102">
        <v>0</v>
      </c>
      <c r="E178" s="207">
        <v>60000000</v>
      </c>
      <c r="F178" s="207">
        <v>138700000</v>
      </c>
      <c r="H178" s="207">
        <v>60000000</v>
      </c>
    </row>
    <row r="179" spans="1:8" ht="14.4" x14ac:dyDescent="0.3">
      <c r="A179">
        <v>178</v>
      </c>
      <c r="B179" s="172" t="s">
        <v>1094</v>
      </c>
      <c r="C179" s="172" t="s">
        <v>1095</v>
      </c>
      <c r="D179" s="102">
        <v>0</v>
      </c>
      <c r="E179" s="207">
        <v>353200000</v>
      </c>
      <c r="F179" s="207">
        <v>192400000</v>
      </c>
      <c r="H179" s="207">
        <v>75000000</v>
      </c>
    </row>
    <row r="180" spans="1:8" ht="14.4" x14ac:dyDescent="0.3">
      <c r="A180">
        <v>179</v>
      </c>
      <c r="B180" s="172" t="s">
        <v>1096</v>
      </c>
      <c r="C180" s="172" t="s">
        <v>1097</v>
      </c>
      <c r="D180" s="102"/>
      <c r="F180" s="207">
        <v>200000000</v>
      </c>
      <c r="G180" s="207">
        <v>575000000</v>
      </c>
      <c r="H180" s="207">
        <v>125000000</v>
      </c>
    </row>
    <row r="181" spans="1:8" ht="14.4" x14ac:dyDescent="0.3">
      <c r="A181">
        <v>180</v>
      </c>
      <c r="B181" s="172" t="s">
        <v>1098</v>
      </c>
      <c r="C181" s="172" t="s">
        <v>1099</v>
      </c>
      <c r="D181" s="102"/>
      <c r="F181" s="207">
        <v>200000000</v>
      </c>
      <c r="G181" s="207">
        <v>800000000</v>
      </c>
      <c r="H181" s="207">
        <v>150000000</v>
      </c>
    </row>
    <row r="182" spans="1:8" ht="14.4" x14ac:dyDescent="0.3">
      <c r="A182">
        <v>181</v>
      </c>
      <c r="B182" s="172" t="s">
        <v>1100</v>
      </c>
      <c r="C182" s="172" t="s">
        <v>1101</v>
      </c>
      <c r="D182" s="102">
        <v>50000000</v>
      </c>
      <c r="E182" s="207">
        <v>110000000</v>
      </c>
      <c r="F182" s="207">
        <v>50000000</v>
      </c>
      <c r="G182" s="207">
        <v>50000000</v>
      </c>
      <c r="H182" s="207">
        <v>50000000</v>
      </c>
    </row>
    <row r="183" spans="1:8" ht="14.4" x14ac:dyDescent="0.3">
      <c r="A183">
        <v>182</v>
      </c>
      <c r="B183" s="172" t="s">
        <v>1102</v>
      </c>
      <c r="C183" s="172" t="s">
        <v>1103</v>
      </c>
      <c r="D183" s="102"/>
      <c r="E183" s="207">
        <v>1330000000</v>
      </c>
      <c r="F183" s="207">
        <v>445000000</v>
      </c>
      <c r="H183" s="207">
        <v>200000000</v>
      </c>
    </row>
    <row r="184" spans="1:8" ht="14.4" x14ac:dyDescent="0.3">
      <c r="A184">
        <v>183</v>
      </c>
      <c r="B184" s="172" t="s">
        <v>1104</v>
      </c>
      <c r="C184" s="172" t="s">
        <v>1105</v>
      </c>
      <c r="D184" s="102"/>
      <c r="E184" s="207">
        <v>490000000</v>
      </c>
      <c r="F184" s="207">
        <v>310000000</v>
      </c>
      <c r="H184" s="207">
        <v>75000000</v>
      </c>
    </row>
    <row r="185" spans="1:8" ht="14.4" x14ac:dyDescent="0.3">
      <c r="A185">
        <v>184</v>
      </c>
      <c r="B185" s="172" t="s">
        <v>1106</v>
      </c>
      <c r="C185" s="172" t="s">
        <v>1107</v>
      </c>
      <c r="D185" s="102"/>
      <c r="E185" s="207">
        <v>1050000000</v>
      </c>
      <c r="F185" s="207">
        <v>280000000</v>
      </c>
      <c r="H185" s="207">
        <v>280000000</v>
      </c>
    </row>
    <row r="186" spans="1:8" ht="14.4" x14ac:dyDescent="0.3">
      <c r="A186">
        <v>185</v>
      </c>
      <c r="B186" s="172" t="s">
        <v>448</v>
      </c>
      <c r="C186" s="172" t="s">
        <v>227</v>
      </c>
      <c r="D186" s="102">
        <v>0</v>
      </c>
      <c r="F186" s="207">
        <v>95000000</v>
      </c>
      <c r="H186" s="207">
        <v>95000000</v>
      </c>
    </row>
    <row r="187" spans="1:8" ht="14.4" x14ac:dyDescent="0.3">
      <c r="A187">
        <v>186</v>
      </c>
      <c r="B187" s="172" t="s">
        <v>1108</v>
      </c>
      <c r="C187" s="172" t="s">
        <v>1109</v>
      </c>
      <c r="D187" s="102"/>
      <c r="E187" s="207">
        <v>600000000</v>
      </c>
      <c r="F187" s="207">
        <v>200000000</v>
      </c>
      <c r="H187" s="207">
        <v>65000000</v>
      </c>
    </row>
    <row r="188" spans="1:8" ht="14.4" x14ac:dyDescent="0.3">
      <c r="A188">
        <v>187</v>
      </c>
      <c r="B188" s="172" t="s">
        <v>1110</v>
      </c>
      <c r="C188" s="172" t="s">
        <v>1111</v>
      </c>
      <c r="D188" s="102"/>
      <c r="E188" s="207">
        <v>300000000</v>
      </c>
      <c r="F188" s="207">
        <v>300000000</v>
      </c>
      <c r="H188" s="207">
        <v>125000000</v>
      </c>
    </row>
    <row r="189" spans="1:8" ht="14.4" x14ac:dyDescent="0.3">
      <c r="A189">
        <v>188</v>
      </c>
      <c r="B189" s="172" t="s">
        <v>1112</v>
      </c>
      <c r="C189" s="172" t="s">
        <v>1113</v>
      </c>
      <c r="D189" s="102"/>
      <c r="E189" s="207">
        <v>1600000000</v>
      </c>
      <c r="F189" s="207">
        <v>150000000</v>
      </c>
      <c r="H189" s="207">
        <v>150000000</v>
      </c>
    </row>
    <row r="190" spans="1:8" ht="14.4" x14ac:dyDescent="0.3">
      <c r="A190">
        <v>189</v>
      </c>
      <c r="B190" s="172" t="s">
        <v>1114</v>
      </c>
      <c r="C190" s="172" t="s">
        <v>1115</v>
      </c>
      <c r="D190" s="102">
        <v>0</v>
      </c>
      <c r="E190" s="207">
        <v>0</v>
      </c>
      <c r="F190" s="207">
        <v>10000000000</v>
      </c>
      <c r="H190" s="207">
        <v>150000000</v>
      </c>
    </row>
    <row r="191" spans="1:8" ht="14.4" x14ac:dyDescent="0.3">
      <c r="A191">
        <v>190</v>
      </c>
      <c r="B191" s="172" t="s">
        <v>1116</v>
      </c>
      <c r="C191" s="172" t="s">
        <v>1117</v>
      </c>
      <c r="D191" s="102">
        <v>0</v>
      </c>
      <c r="E191" s="207">
        <v>0</v>
      </c>
      <c r="F191" s="207">
        <v>19000000000</v>
      </c>
      <c r="G191" s="207">
        <v>29000000000</v>
      </c>
      <c r="H191" s="207">
        <v>87500000</v>
      </c>
    </row>
    <row r="192" spans="1:8" ht="14.4" x14ac:dyDescent="0.3">
      <c r="A192">
        <v>191</v>
      </c>
      <c r="B192" s="172" t="s">
        <v>1118</v>
      </c>
      <c r="C192" s="172" t="s">
        <v>1119</v>
      </c>
      <c r="D192" s="102">
        <v>0</v>
      </c>
      <c r="E192" s="207">
        <v>0</v>
      </c>
      <c r="F192" s="207">
        <v>40000000000</v>
      </c>
      <c r="G192" s="207">
        <v>80000000000</v>
      </c>
      <c r="H192" s="207">
        <v>122500000</v>
      </c>
    </row>
    <row r="193" spans="1:8" ht="14.4" x14ac:dyDescent="0.3">
      <c r="A193">
        <v>192</v>
      </c>
      <c r="B193" s="172" t="s">
        <v>1120</v>
      </c>
      <c r="C193" s="172" t="s">
        <v>1121</v>
      </c>
      <c r="D193" s="102">
        <v>0</v>
      </c>
      <c r="E193" s="207">
        <v>0</v>
      </c>
      <c r="F193" s="207">
        <v>38500000000</v>
      </c>
      <c r="G193" s="207">
        <v>75000000000</v>
      </c>
      <c r="H193" s="207">
        <v>65000000</v>
      </c>
    </row>
    <row r="194" spans="1:8" ht="14.4" x14ac:dyDescent="0.3">
      <c r="A194">
        <v>193</v>
      </c>
      <c r="B194" s="172" t="s">
        <v>1122</v>
      </c>
      <c r="C194" s="172" t="s">
        <v>1123</v>
      </c>
      <c r="D194" s="102">
        <v>0</v>
      </c>
      <c r="E194" s="207">
        <v>0</v>
      </c>
      <c r="F194" s="207">
        <v>100000000</v>
      </c>
      <c r="H194" s="207">
        <v>100000000</v>
      </c>
    </row>
    <row r="195" spans="1:8" ht="14.4" x14ac:dyDescent="0.3">
      <c r="A195">
        <v>194</v>
      </c>
      <c r="B195" s="172" t="s">
        <v>1124</v>
      </c>
      <c r="C195" s="172" t="s">
        <v>1125</v>
      </c>
      <c r="D195" s="102">
        <v>0</v>
      </c>
      <c r="E195" s="207">
        <v>0</v>
      </c>
      <c r="F195" s="207">
        <v>150000000</v>
      </c>
      <c r="G195" s="207">
        <v>0</v>
      </c>
      <c r="H195" s="207">
        <v>150000000</v>
      </c>
    </row>
    <row r="196" spans="1:8" ht="14.4" x14ac:dyDescent="0.3">
      <c r="A196">
        <v>195</v>
      </c>
      <c r="B196" s="172" t="s">
        <v>1126</v>
      </c>
      <c r="C196" s="172" t="s">
        <v>1127</v>
      </c>
      <c r="D196" s="102"/>
      <c r="F196" s="207">
        <v>100000000</v>
      </c>
      <c r="H196" s="207">
        <v>100000000</v>
      </c>
    </row>
    <row r="197" spans="1:8" ht="14.4" x14ac:dyDescent="0.3">
      <c r="A197">
        <v>196</v>
      </c>
      <c r="B197" s="172" t="s">
        <v>323</v>
      </c>
      <c r="C197" s="172" t="s">
        <v>215</v>
      </c>
      <c r="D197" s="102"/>
      <c r="F197" s="207">
        <v>100000000</v>
      </c>
      <c r="H197" s="207">
        <v>120000000</v>
      </c>
    </row>
    <row r="198" spans="1:8" ht="14.4" x14ac:dyDescent="0.3">
      <c r="A198">
        <v>197</v>
      </c>
      <c r="B198" s="172" t="s">
        <v>1128</v>
      </c>
      <c r="C198" s="172" t="s">
        <v>1129</v>
      </c>
      <c r="D198" s="102"/>
      <c r="F198" s="207">
        <v>100000000</v>
      </c>
      <c r="H198" s="207">
        <v>100000000</v>
      </c>
    </row>
    <row r="199" spans="1:8" ht="14.4" x14ac:dyDescent="0.3">
      <c r="A199">
        <v>198</v>
      </c>
      <c r="B199" s="172" t="s">
        <v>1130</v>
      </c>
      <c r="C199" s="172" t="s">
        <v>1131</v>
      </c>
      <c r="D199" s="102"/>
      <c r="F199" s="207">
        <v>100000000</v>
      </c>
      <c r="H199" s="207">
        <v>100000000</v>
      </c>
    </row>
    <row r="200" spans="1:8" ht="14.4" x14ac:dyDescent="0.3">
      <c r="A200">
        <v>199</v>
      </c>
      <c r="B200" s="172" t="s">
        <v>1132</v>
      </c>
      <c r="C200" s="172" t="s">
        <v>1133</v>
      </c>
      <c r="D200" s="102"/>
      <c r="E200" s="207">
        <v>0</v>
      </c>
      <c r="F200" s="207">
        <v>164000000</v>
      </c>
      <c r="H200" s="207">
        <v>150000000</v>
      </c>
    </row>
    <row r="201" spans="1:8" ht="14.4" x14ac:dyDescent="0.3">
      <c r="A201">
        <v>200</v>
      </c>
      <c r="B201" s="172" t="s">
        <v>1134</v>
      </c>
      <c r="C201" s="172" t="s">
        <v>1135</v>
      </c>
      <c r="D201" s="102"/>
      <c r="E201" s="207">
        <v>0</v>
      </c>
      <c r="F201" s="207">
        <v>251000000</v>
      </c>
      <c r="H201" s="207">
        <v>45000000</v>
      </c>
    </row>
    <row r="202" spans="1:8" ht="14.4" x14ac:dyDescent="0.3">
      <c r="A202">
        <v>201</v>
      </c>
      <c r="B202" s="172" t="s">
        <v>1136</v>
      </c>
      <c r="C202" s="172" t="s">
        <v>1137</v>
      </c>
      <c r="D202" s="102"/>
      <c r="E202" s="207">
        <v>0</v>
      </c>
      <c r="F202" s="207">
        <v>270000000</v>
      </c>
      <c r="H202" s="207">
        <v>50000000</v>
      </c>
    </row>
    <row r="203" spans="1:8" ht="14.4" x14ac:dyDescent="0.3">
      <c r="A203">
        <v>202</v>
      </c>
      <c r="B203" s="172" t="s">
        <v>1138</v>
      </c>
      <c r="C203" s="172" t="s">
        <v>1139</v>
      </c>
      <c r="D203" s="102"/>
      <c r="E203" s="207">
        <v>600000000</v>
      </c>
      <c r="F203" s="207">
        <v>800000000</v>
      </c>
      <c r="H203" s="207">
        <v>150000000</v>
      </c>
    </row>
    <row r="204" spans="1:8" ht="14.4" x14ac:dyDescent="0.3">
      <c r="A204">
        <v>203</v>
      </c>
      <c r="B204" s="172" t="s">
        <v>409</v>
      </c>
      <c r="C204" s="172" t="s">
        <v>1140</v>
      </c>
      <c r="D204" s="102"/>
      <c r="E204" s="207">
        <v>130000000</v>
      </c>
      <c r="F204" s="207">
        <v>125000000</v>
      </c>
      <c r="H204" s="207">
        <v>125000000</v>
      </c>
    </row>
    <row r="205" spans="1:8" ht="14.4" x14ac:dyDescent="0.3">
      <c r="A205">
        <v>204</v>
      </c>
      <c r="B205" s="172" t="s">
        <v>1141</v>
      </c>
      <c r="C205" s="172" t="s">
        <v>1142</v>
      </c>
      <c r="D205" s="102"/>
      <c r="E205" s="207">
        <v>82000000</v>
      </c>
      <c r="F205" s="207">
        <v>125000000</v>
      </c>
      <c r="H205" s="207">
        <v>125000000</v>
      </c>
    </row>
    <row r="206" spans="1:8" ht="14.4" x14ac:dyDescent="0.3">
      <c r="A206">
        <v>205</v>
      </c>
      <c r="B206" s="172" t="s">
        <v>1143</v>
      </c>
      <c r="C206" s="172" t="s">
        <v>1144</v>
      </c>
      <c r="D206" s="102"/>
      <c r="E206" s="207">
        <v>528000000</v>
      </c>
      <c r="F206" s="207">
        <v>400000000</v>
      </c>
      <c r="H206" s="207">
        <v>300000000</v>
      </c>
    </row>
    <row r="207" spans="1:8" ht="14.4" x14ac:dyDescent="0.3">
      <c r="A207">
        <v>206</v>
      </c>
      <c r="B207" s="172" t="s">
        <v>1145</v>
      </c>
      <c r="C207" s="172" t="s">
        <v>1146</v>
      </c>
      <c r="D207" s="102"/>
      <c r="E207" s="207">
        <v>393000000</v>
      </c>
      <c r="F207" s="207">
        <v>135000000</v>
      </c>
      <c r="H207" s="207">
        <v>55000000</v>
      </c>
    </row>
    <row r="208" spans="1:8" ht="14.4" x14ac:dyDescent="0.3">
      <c r="A208">
        <v>207</v>
      </c>
      <c r="B208" s="172" t="s">
        <v>1147</v>
      </c>
      <c r="C208" s="172" t="s">
        <v>1148</v>
      </c>
      <c r="D208" s="102"/>
      <c r="E208" s="207">
        <v>928000000</v>
      </c>
      <c r="F208" s="207">
        <v>132000000</v>
      </c>
      <c r="H208" s="207">
        <v>100000000</v>
      </c>
    </row>
    <row r="209" spans="1:8" ht="14.4" x14ac:dyDescent="0.3">
      <c r="A209">
        <v>208</v>
      </c>
      <c r="B209" s="172" t="s">
        <v>364</v>
      </c>
      <c r="C209" s="172" t="s">
        <v>219</v>
      </c>
      <c r="D209" s="102"/>
      <c r="F209" s="207">
        <v>100000000</v>
      </c>
      <c r="H209" s="207">
        <v>100000000</v>
      </c>
    </row>
    <row r="210" spans="1:8" ht="14.4" x14ac:dyDescent="0.3">
      <c r="A210">
        <v>209</v>
      </c>
      <c r="B210" s="172" t="s">
        <v>1149</v>
      </c>
      <c r="C210" s="172" t="s">
        <v>1150</v>
      </c>
      <c r="D210" s="102">
        <v>0</v>
      </c>
      <c r="E210" s="207">
        <v>2500000000</v>
      </c>
      <c r="F210" s="207">
        <v>1300000000</v>
      </c>
      <c r="H210" s="207">
        <v>150000000</v>
      </c>
    </row>
    <row r="211" spans="1:8" ht="14.4" x14ac:dyDescent="0.3">
      <c r="A211">
        <v>210</v>
      </c>
      <c r="B211" s="172" t="s">
        <v>1151</v>
      </c>
      <c r="C211" s="172" t="s">
        <v>1152</v>
      </c>
      <c r="D211" s="102"/>
      <c r="E211" s="207">
        <v>150000000</v>
      </c>
      <c r="F211" s="207">
        <v>100000000</v>
      </c>
      <c r="H211" s="207">
        <v>100000000</v>
      </c>
    </row>
    <row r="212" spans="1:8" ht="14.4" x14ac:dyDescent="0.3">
      <c r="A212">
        <v>211</v>
      </c>
      <c r="B212" s="172" t="s">
        <v>1153</v>
      </c>
      <c r="C212" s="172" t="s">
        <v>1154</v>
      </c>
      <c r="D212" s="102"/>
      <c r="F212" s="207">
        <v>200000000</v>
      </c>
      <c r="H212" s="207">
        <v>125000000</v>
      </c>
    </row>
    <row r="213" spans="1:8" ht="14.4" x14ac:dyDescent="0.3">
      <c r="A213">
        <v>212</v>
      </c>
      <c r="B213" s="172" t="s">
        <v>1155</v>
      </c>
      <c r="C213" s="172" t="s">
        <v>1156</v>
      </c>
      <c r="D213" s="102"/>
      <c r="E213" s="207">
        <v>400000000</v>
      </c>
      <c r="F213" s="207">
        <v>100000000</v>
      </c>
      <c r="H213" s="207">
        <v>75000000</v>
      </c>
    </row>
    <row r="214" spans="1:8" ht="14.4" x14ac:dyDescent="0.3">
      <c r="A214">
        <v>213</v>
      </c>
      <c r="B214" s="172" t="s">
        <v>1157</v>
      </c>
      <c r="C214" s="172" t="s">
        <v>1158</v>
      </c>
      <c r="D214" s="102">
        <v>0</v>
      </c>
      <c r="E214" s="207">
        <v>0</v>
      </c>
      <c r="F214" s="207">
        <v>100000000</v>
      </c>
      <c r="H214" s="207">
        <v>100000000</v>
      </c>
    </row>
    <row r="215" spans="1:8" ht="14.4" x14ac:dyDescent="0.3">
      <c r="A215">
        <v>214</v>
      </c>
      <c r="B215" s="172" t="s">
        <v>1159</v>
      </c>
      <c r="C215" s="172" t="s">
        <v>1160</v>
      </c>
      <c r="D215" s="102"/>
      <c r="F215" s="207">
        <v>60000000</v>
      </c>
      <c r="H215" s="207">
        <v>60000000</v>
      </c>
    </row>
    <row r="216" spans="1:8" ht="14.4" x14ac:dyDescent="0.3">
      <c r="A216">
        <v>215</v>
      </c>
      <c r="B216" s="172" t="s">
        <v>1161</v>
      </c>
      <c r="C216" s="172" t="s">
        <v>1162</v>
      </c>
      <c r="D216" s="102"/>
      <c r="F216" s="207">
        <v>100000000</v>
      </c>
      <c r="H216" s="207">
        <v>100000000</v>
      </c>
    </row>
    <row r="217" spans="1:8" ht="14.4" x14ac:dyDescent="0.3">
      <c r="A217">
        <v>216</v>
      </c>
      <c r="B217" s="172" t="s">
        <v>1163</v>
      </c>
      <c r="C217" s="172" t="s">
        <v>1164</v>
      </c>
      <c r="D217" s="102"/>
      <c r="F217" s="207">
        <v>170000000</v>
      </c>
      <c r="H217" s="207">
        <v>170000000</v>
      </c>
    </row>
    <row r="218" spans="1:8" ht="14.4" x14ac:dyDescent="0.3">
      <c r="A218">
        <v>217</v>
      </c>
      <c r="B218" s="172" t="s">
        <v>1165</v>
      </c>
      <c r="C218" s="172" t="s">
        <v>1166</v>
      </c>
      <c r="D218" s="102">
        <v>0</v>
      </c>
      <c r="E218" s="207">
        <v>0</v>
      </c>
      <c r="F218" s="207">
        <v>500000000</v>
      </c>
      <c r="G218" s="207">
        <v>4125000000</v>
      </c>
      <c r="H218" s="207">
        <v>150000000</v>
      </c>
    </row>
    <row r="219" spans="1:8" ht="14.4" x14ac:dyDescent="0.3">
      <c r="A219">
        <v>218</v>
      </c>
      <c r="B219" s="172" t="s">
        <v>398</v>
      </c>
      <c r="C219" s="172" t="s">
        <v>1167</v>
      </c>
      <c r="D219" s="102"/>
      <c r="E219" s="207">
        <v>1600000000</v>
      </c>
      <c r="F219" s="207">
        <v>150000000</v>
      </c>
      <c r="H219" s="207">
        <v>150000000</v>
      </c>
    </row>
    <row r="220" spans="1:8" ht="14.4" x14ac:dyDescent="0.3">
      <c r="A220">
        <v>219</v>
      </c>
      <c r="B220" s="172" t="s">
        <v>516</v>
      </c>
      <c r="C220" s="172" t="s">
        <v>1168</v>
      </c>
      <c r="D220" s="102"/>
      <c r="F220" s="207">
        <v>1454000000</v>
      </c>
      <c r="G220" s="207">
        <v>9847000000</v>
      </c>
      <c r="H220" s="207">
        <v>450000000</v>
      </c>
    </row>
    <row r="221" spans="1:8" ht="14.4" x14ac:dyDescent="0.3">
      <c r="A221">
        <v>220</v>
      </c>
      <c r="B221" s="172" t="s">
        <v>1169</v>
      </c>
      <c r="C221" s="172" t="s">
        <v>1170</v>
      </c>
      <c r="D221" s="102">
        <v>0</v>
      </c>
      <c r="E221" s="207">
        <v>0</v>
      </c>
      <c r="F221" s="207">
        <v>1217000000</v>
      </c>
      <c r="G221" s="207">
        <v>8630000000</v>
      </c>
      <c r="H221" s="207">
        <v>425000000</v>
      </c>
    </row>
    <row r="222" spans="1:8" ht="14.4" x14ac:dyDescent="0.3">
      <c r="A222">
        <v>221</v>
      </c>
      <c r="B222" s="172" t="s">
        <v>1171</v>
      </c>
      <c r="C222" s="172" t="s">
        <v>1172</v>
      </c>
      <c r="D222" s="102"/>
      <c r="F222" s="207">
        <v>1430000000</v>
      </c>
      <c r="G222" s="207">
        <v>7200000000</v>
      </c>
      <c r="H222" s="207">
        <v>225000000</v>
      </c>
    </row>
    <row r="223" spans="1:8" ht="14.4" x14ac:dyDescent="0.3">
      <c r="A223">
        <v>222</v>
      </c>
      <c r="B223" s="172" t="s">
        <v>1173</v>
      </c>
      <c r="C223" s="172" t="s">
        <v>1174</v>
      </c>
      <c r="D223" s="102"/>
      <c r="F223" s="207">
        <v>1200000000</v>
      </c>
      <c r="G223" s="207">
        <v>9600000000</v>
      </c>
      <c r="H223" s="207">
        <v>450000000</v>
      </c>
    </row>
    <row r="224" spans="1:8" ht="14.4" x14ac:dyDescent="0.3">
      <c r="A224">
        <v>223</v>
      </c>
      <c r="B224" s="172" t="s">
        <v>1175</v>
      </c>
      <c r="C224" s="172" t="s">
        <v>1176</v>
      </c>
      <c r="D224" s="102">
        <v>0</v>
      </c>
      <c r="E224" s="207">
        <v>0</v>
      </c>
      <c r="F224" s="207">
        <v>1200000000</v>
      </c>
      <c r="G224" s="207">
        <v>8400000000</v>
      </c>
      <c r="H224" s="207">
        <v>475000000</v>
      </c>
    </row>
    <row r="225" spans="1:8" ht="14.4" x14ac:dyDescent="0.3">
      <c r="A225">
        <v>224</v>
      </c>
      <c r="B225" s="172" t="s">
        <v>1177</v>
      </c>
      <c r="C225" s="172" t="s">
        <v>1178</v>
      </c>
      <c r="D225" s="102"/>
      <c r="F225" s="207">
        <v>1200000000</v>
      </c>
      <c r="G225" s="207">
        <v>7200000000</v>
      </c>
      <c r="H225" s="207">
        <v>375000000</v>
      </c>
    </row>
    <row r="226" spans="1:8" ht="14.4" x14ac:dyDescent="0.3">
      <c r="A226">
        <v>225</v>
      </c>
      <c r="B226" s="172" t="s">
        <v>1179</v>
      </c>
      <c r="C226" s="172" t="s">
        <v>1180</v>
      </c>
      <c r="D226" s="102"/>
      <c r="F226" s="207">
        <v>711000000</v>
      </c>
      <c r="G226" s="207">
        <v>6489000000</v>
      </c>
      <c r="H226" s="207">
        <v>225000000</v>
      </c>
    </row>
    <row r="227" spans="1:8" ht="14.4" x14ac:dyDescent="0.3">
      <c r="A227">
        <v>226</v>
      </c>
      <c r="B227" s="172" t="s">
        <v>347</v>
      </c>
      <c r="C227" s="172" t="s">
        <v>218</v>
      </c>
      <c r="D227" s="102">
        <v>0</v>
      </c>
      <c r="E227" s="207">
        <v>1025000000</v>
      </c>
      <c r="F227" s="207">
        <v>400000000</v>
      </c>
      <c r="H227" s="207">
        <v>255000000</v>
      </c>
    </row>
    <row r="228" spans="1:8" ht="14.4" x14ac:dyDescent="0.3">
      <c r="A228">
        <v>227</v>
      </c>
      <c r="B228" s="172" t="s">
        <v>468</v>
      </c>
      <c r="C228" s="172" t="s">
        <v>1181</v>
      </c>
      <c r="D228" s="102"/>
      <c r="E228" s="207">
        <v>75000000</v>
      </c>
      <c r="F228" s="207">
        <v>110000000</v>
      </c>
      <c r="H228" s="207">
        <v>110000000</v>
      </c>
    </row>
    <row r="229" spans="1:8" ht="14.4" x14ac:dyDescent="0.3">
      <c r="A229">
        <v>228</v>
      </c>
      <c r="B229" s="172" t="s">
        <v>1182</v>
      </c>
      <c r="C229" s="172" t="s">
        <v>1183</v>
      </c>
      <c r="D229" s="102">
        <v>0</v>
      </c>
      <c r="E229" s="207">
        <v>796000000</v>
      </c>
      <c r="F229" s="207">
        <v>511000000</v>
      </c>
      <c r="H229" s="207">
        <v>300000000</v>
      </c>
    </row>
    <row r="230" spans="1:8" ht="14.4" x14ac:dyDescent="0.3">
      <c r="A230">
        <v>229</v>
      </c>
      <c r="B230" s="172" t="s">
        <v>1184</v>
      </c>
      <c r="C230" s="172" t="s">
        <v>1185</v>
      </c>
      <c r="D230" s="102"/>
      <c r="E230" s="207">
        <v>665000000</v>
      </c>
      <c r="F230" s="207">
        <v>200000000</v>
      </c>
      <c r="H230" s="207">
        <v>200000000</v>
      </c>
    </row>
    <row r="231" spans="1:8" ht="14.4" x14ac:dyDescent="0.3">
      <c r="A231">
        <v>230</v>
      </c>
      <c r="B231" s="172" t="s">
        <v>1186</v>
      </c>
      <c r="C231" s="172" t="s">
        <v>1187</v>
      </c>
      <c r="D231" s="102"/>
      <c r="E231" s="207">
        <v>50000000</v>
      </c>
      <c r="F231" s="207">
        <v>100000000</v>
      </c>
      <c r="H231" s="207">
        <v>75000000</v>
      </c>
    </row>
    <row r="232" spans="1:8" ht="14.4" x14ac:dyDescent="0.3">
      <c r="A232">
        <v>231</v>
      </c>
      <c r="B232" s="172" t="s">
        <v>441</v>
      </c>
      <c r="C232" s="172" t="s">
        <v>1188</v>
      </c>
      <c r="D232" s="102"/>
      <c r="E232" s="207">
        <v>745000000</v>
      </c>
      <c r="F232" s="207">
        <v>300000000</v>
      </c>
      <c r="H232" s="207">
        <v>150000000</v>
      </c>
    </row>
    <row r="233" spans="1:8" ht="14.4" x14ac:dyDescent="0.3">
      <c r="A233">
        <v>232</v>
      </c>
      <c r="B233" s="172" t="s">
        <v>514</v>
      </c>
      <c r="C233" s="172" t="s">
        <v>1189</v>
      </c>
      <c r="D233" s="102">
        <v>0</v>
      </c>
      <c r="E233" s="207">
        <v>800000000</v>
      </c>
      <c r="F233" s="207">
        <v>250000000</v>
      </c>
      <c r="H233" s="207">
        <v>250000000</v>
      </c>
    </row>
    <row r="234" spans="1:8" ht="14.4" x14ac:dyDescent="0.3">
      <c r="A234">
        <v>233</v>
      </c>
      <c r="B234" s="172" t="s">
        <v>512</v>
      </c>
      <c r="C234" s="172" t="s">
        <v>1190</v>
      </c>
      <c r="D234" s="102">
        <v>0</v>
      </c>
      <c r="E234" s="207">
        <v>600000000</v>
      </c>
      <c r="F234" s="207">
        <v>200000000</v>
      </c>
      <c r="H234" s="207">
        <v>150000000</v>
      </c>
    </row>
    <row r="235" spans="1:8" ht="14.4" x14ac:dyDescent="0.3">
      <c r="A235">
        <v>234</v>
      </c>
      <c r="B235" s="172" t="s">
        <v>415</v>
      </c>
      <c r="C235" s="172" t="s">
        <v>224</v>
      </c>
      <c r="D235" s="102">
        <v>0</v>
      </c>
      <c r="E235" s="207">
        <v>925000000</v>
      </c>
      <c r="F235" s="207">
        <v>200000000</v>
      </c>
      <c r="H235" s="207">
        <v>175000000</v>
      </c>
    </row>
    <row r="236" spans="1:8" ht="14.4" x14ac:dyDescent="0.3">
      <c r="A236">
        <v>235</v>
      </c>
      <c r="B236" s="172" t="s">
        <v>1191</v>
      </c>
      <c r="C236" s="172" t="s">
        <v>1192</v>
      </c>
      <c r="D236" s="102"/>
      <c r="E236" s="207">
        <v>1045000000</v>
      </c>
      <c r="F236" s="207">
        <v>400000000</v>
      </c>
      <c r="H236" s="207">
        <v>250000000</v>
      </c>
    </row>
    <row r="237" spans="1:8" ht="14.4" x14ac:dyDescent="0.3">
      <c r="A237">
        <v>236</v>
      </c>
      <c r="B237" s="172" t="s">
        <v>388</v>
      </c>
      <c r="C237" s="172" t="s">
        <v>222</v>
      </c>
      <c r="D237" s="102">
        <v>0</v>
      </c>
      <c r="E237" s="207">
        <v>0</v>
      </c>
      <c r="F237" s="207">
        <v>150000000</v>
      </c>
      <c r="H237" s="207">
        <v>150000000</v>
      </c>
    </row>
    <row r="238" spans="1:8" ht="14.4" x14ac:dyDescent="0.3">
      <c r="A238">
        <v>237</v>
      </c>
      <c r="B238" s="172" t="s">
        <v>1193</v>
      </c>
      <c r="C238" s="172" t="s">
        <v>1194</v>
      </c>
      <c r="D238" s="102">
        <v>0</v>
      </c>
      <c r="E238" s="207">
        <v>0</v>
      </c>
      <c r="F238" s="207">
        <v>225000000</v>
      </c>
      <c r="H238" s="207">
        <v>225000000</v>
      </c>
    </row>
    <row r="239" spans="1:8" ht="14.4" x14ac:dyDescent="0.3">
      <c r="A239">
        <v>238</v>
      </c>
      <c r="B239" s="172" t="s">
        <v>1195</v>
      </c>
      <c r="C239" s="172" t="s">
        <v>1196</v>
      </c>
      <c r="D239" s="102">
        <v>0</v>
      </c>
      <c r="E239" s="207">
        <v>0</v>
      </c>
      <c r="F239" s="207">
        <v>225000000</v>
      </c>
      <c r="H239" s="207">
        <v>225000000</v>
      </c>
    </row>
    <row r="240" spans="1:8" ht="14.4" x14ac:dyDescent="0.3">
      <c r="A240">
        <v>239</v>
      </c>
      <c r="B240" s="172" t="s">
        <v>1197</v>
      </c>
      <c r="C240" s="172" t="s">
        <v>1198</v>
      </c>
      <c r="D240" s="102">
        <v>0</v>
      </c>
      <c r="E240" s="207">
        <v>0</v>
      </c>
      <c r="F240" s="207">
        <v>1000000000</v>
      </c>
      <c r="G240" s="207">
        <v>8184000000</v>
      </c>
      <c r="H240" s="207">
        <v>185000000</v>
      </c>
    </row>
    <row r="241" spans="1:8" ht="14.4" x14ac:dyDescent="0.3">
      <c r="A241">
        <v>240</v>
      </c>
      <c r="B241" s="172" t="s">
        <v>1199</v>
      </c>
      <c r="C241" s="172" t="s">
        <v>1200</v>
      </c>
      <c r="D241" s="102">
        <v>0</v>
      </c>
      <c r="E241" s="207">
        <v>0</v>
      </c>
      <c r="F241" s="207">
        <v>500000000</v>
      </c>
      <c r="G241" s="207">
        <v>4222000000</v>
      </c>
      <c r="H241" s="207">
        <v>120000000</v>
      </c>
    </row>
    <row r="242" spans="1:8" ht="14.4" x14ac:dyDescent="0.3">
      <c r="A242">
        <v>241</v>
      </c>
      <c r="B242" s="172" t="s">
        <v>1201</v>
      </c>
      <c r="C242" s="172" t="s">
        <v>1202</v>
      </c>
      <c r="D242" s="102"/>
      <c r="F242" s="207">
        <v>400000000</v>
      </c>
      <c r="G242" s="207">
        <v>1700000000</v>
      </c>
      <c r="H242" s="207">
        <v>400000000</v>
      </c>
    </row>
    <row r="243" spans="1:8" ht="14.4" x14ac:dyDescent="0.3">
      <c r="A243">
        <v>242</v>
      </c>
      <c r="B243" s="172" t="s">
        <v>1203</v>
      </c>
      <c r="C243" s="172" t="s">
        <v>1204</v>
      </c>
      <c r="D243" s="102">
        <v>0</v>
      </c>
      <c r="E243" s="207">
        <v>0</v>
      </c>
      <c r="F243" s="207">
        <v>500000000</v>
      </c>
      <c r="G243" s="207">
        <v>2776000000</v>
      </c>
      <c r="H243" s="207">
        <v>230000000</v>
      </c>
    </row>
    <row r="244" spans="1:8" ht="14.4" x14ac:dyDescent="0.3">
      <c r="A244">
        <v>243</v>
      </c>
      <c r="B244" s="172" t="s">
        <v>329</v>
      </c>
      <c r="C244" s="172" t="s">
        <v>216</v>
      </c>
      <c r="D244" s="102">
        <v>0</v>
      </c>
      <c r="E244" s="207">
        <v>0</v>
      </c>
      <c r="F244" s="207">
        <v>1000000000</v>
      </c>
      <c r="G244" s="207">
        <v>8184000000</v>
      </c>
      <c r="H244" s="207">
        <v>300000000</v>
      </c>
    </row>
    <row r="245" spans="1:8" ht="14.4" x14ac:dyDescent="0.3">
      <c r="A245">
        <v>244</v>
      </c>
      <c r="B245" s="172" t="s">
        <v>1205</v>
      </c>
      <c r="C245" s="172" t="s">
        <v>1206</v>
      </c>
      <c r="D245" s="102">
        <v>0</v>
      </c>
      <c r="E245" s="207">
        <v>0</v>
      </c>
      <c r="F245" s="207">
        <v>500000000</v>
      </c>
      <c r="G245" s="207">
        <v>3567000000</v>
      </c>
      <c r="H245" s="207">
        <v>350000000</v>
      </c>
    </row>
    <row r="246" spans="1:8" ht="14.4" x14ac:dyDescent="0.3">
      <c r="A246">
        <v>245</v>
      </c>
      <c r="B246" s="172" t="s">
        <v>1207</v>
      </c>
      <c r="C246" s="172" t="s">
        <v>1208</v>
      </c>
      <c r="D246" s="102">
        <v>0</v>
      </c>
      <c r="E246" s="207">
        <v>0</v>
      </c>
      <c r="F246" s="207">
        <v>1000000000</v>
      </c>
      <c r="G246" s="207">
        <v>8184000000</v>
      </c>
      <c r="H246" s="207">
        <v>125000000</v>
      </c>
    </row>
    <row r="247" spans="1:8" ht="14.4" x14ac:dyDescent="0.3">
      <c r="A247">
        <v>246</v>
      </c>
      <c r="B247" s="172" t="s">
        <v>1209</v>
      </c>
      <c r="C247" s="172" t="s">
        <v>1210</v>
      </c>
      <c r="D247" s="102">
        <v>0</v>
      </c>
      <c r="E247" s="207">
        <v>0</v>
      </c>
      <c r="F247" s="207">
        <v>500000000</v>
      </c>
      <c r="G247" s="207">
        <v>4222000000</v>
      </c>
      <c r="H247" s="207">
        <v>75000000</v>
      </c>
    </row>
    <row r="248" spans="1:8" ht="14.4" x14ac:dyDescent="0.3">
      <c r="A248">
        <v>247</v>
      </c>
      <c r="B248" s="172" t="s">
        <v>1211</v>
      </c>
      <c r="C248" s="172" t="s">
        <v>1212</v>
      </c>
      <c r="D248" s="102">
        <v>0</v>
      </c>
      <c r="E248" s="207">
        <v>0</v>
      </c>
      <c r="F248" s="207">
        <v>500000000</v>
      </c>
      <c r="G248" s="207">
        <v>2100000000</v>
      </c>
      <c r="H248" s="207">
        <v>400000000</v>
      </c>
    </row>
    <row r="249" spans="1:8" ht="14.4" x14ac:dyDescent="0.3">
      <c r="A249">
        <v>248</v>
      </c>
      <c r="B249" s="172" t="s">
        <v>1213</v>
      </c>
      <c r="C249" s="172" t="s">
        <v>1214</v>
      </c>
      <c r="D249" s="102">
        <v>0</v>
      </c>
      <c r="F249" s="207">
        <v>87000000</v>
      </c>
      <c r="G249" s="207">
        <v>178000000</v>
      </c>
      <c r="H249" s="207">
        <v>110000000</v>
      </c>
    </row>
    <row r="250" spans="1:8" ht="14.4" x14ac:dyDescent="0.3">
      <c r="A250">
        <v>249</v>
      </c>
      <c r="B250" s="172" t="s">
        <v>1215</v>
      </c>
      <c r="C250" s="172" t="s">
        <v>1216</v>
      </c>
      <c r="D250" s="102"/>
      <c r="E250" s="207">
        <v>2172000000</v>
      </c>
      <c r="F250" s="207">
        <v>272000000</v>
      </c>
      <c r="H250" s="207">
        <v>225000000</v>
      </c>
    </row>
    <row r="251" spans="1:8" ht="14.4" x14ac:dyDescent="0.3">
      <c r="A251">
        <v>250</v>
      </c>
      <c r="B251" s="172" t="s">
        <v>1217</v>
      </c>
      <c r="C251" s="172" t="s">
        <v>1218</v>
      </c>
      <c r="D251" s="102">
        <v>0</v>
      </c>
      <c r="E251" s="207">
        <v>8000000000</v>
      </c>
      <c r="F251" s="207">
        <v>2465000000</v>
      </c>
      <c r="H251" s="207">
        <v>225000000</v>
      </c>
    </row>
    <row r="252" spans="1:8" ht="14.4" x14ac:dyDescent="0.3">
      <c r="A252">
        <v>251</v>
      </c>
      <c r="B252" s="172" t="s">
        <v>1219</v>
      </c>
      <c r="C252" s="172" t="s">
        <v>1220</v>
      </c>
      <c r="D252" s="102">
        <v>0</v>
      </c>
      <c r="E252" s="207">
        <v>7000000000</v>
      </c>
      <c r="F252" s="207">
        <v>1516000000</v>
      </c>
      <c r="H252" s="207">
        <v>50000000</v>
      </c>
    </row>
    <row r="253" spans="1:8" ht="14.4" x14ac:dyDescent="0.3">
      <c r="A253">
        <v>252</v>
      </c>
      <c r="B253" s="172" t="s">
        <v>459</v>
      </c>
      <c r="C253" s="172" t="s">
        <v>1221</v>
      </c>
      <c r="D253" s="102">
        <v>0</v>
      </c>
      <c r="E253" s="207">
        <v>9000000000</v>
      </c>
      <c r="F253" s="207">
        <v>2000000000</v>
      </c>
      <c r="H253" s="207">
        <v>475000000</v>
      </c>
    </row>
    <row r="254" spans="1:8" ht="14.4" x14ac:dyDescent="0.3">
      <c r="A254">
        <v>253</v>
      </c>
      <c r="B254" s="172" t="s">
        <v>1222</v>
      </c>
      <c r="C254" s="172" t="s">
        <v>1223</v>
      </c>
      <c r="D254" s="102">
        <v>0</v>
      </c>
      <c r="E254" s="207">
        <v>8000000000</v>
      </c>
      <c r="F254" s="207">
        <v>1000000000</v>
      </c>
      <c r="H254" s="207">
        <v>100000000</v>
      </c>
    </row>
    <row r="255" spans="1:8" ht="14.4" x14ac:dyDescent="0.3">
      <c r="A255">
        <v>254</v>
      </c>
      <c r="B255" s="172" t="s">
        <v>707</v>
      </c>
      <c r="C255" s="172" t="s">
        <v>223</v>
      </c>
      <c r="D255" s="102"/>
      <c r="E255" s="207">
        <v>1191000000</v>
      </c>
      <c r="F255" s="207">
        <v>301000000</v>
      </c>
      <c r="H255" s="207">
        <v>200000000</v>
      </c>
    </row>
    <row r="256" spans="1:8" ht="14.4" x14ac:dyDescent="0.3">
      <c r="A256">
        <v>255</v>
      </c>
      <c r="B256" s="172" t="s">
        <v>1224</v>
      </c>
      <c r="C256" s="172" t="s">
        <v>1225</v>
      </c>
      <c r="D256" s="102"/>
      <c r="E256" s="207">
        <v>0</v>
      </c>
      <c r="F256" s="207">
        <v>150000000</v>
      </c>
      <c r="H256" s="207">
        <v>150000000</v>
      </c>
    </row>
    <row r="257" spans="1:8" ht="14.4" x14ac:dyDescent="0.3">
      <c r="A257">
        <v>256</v>
      </c>
      <c r="B257" s="172" t="s">
        <v>1226</v>
      </c>
      <c r="C257" s="172" t="s">
        <v>1227</v>
      </c>
      <c r="D257" s="102"/>
      <c r="E257" s="207">
        <v>190000000</v>
      </c>
      <c r="F257" s="207">
        <v>100000000</v>
      </c>
      <c r="H257" s="207">
        <v>100000000</v>
      </c>
    </row>
    <row r="258" spans="1:8" ht="14.4" x14ac:dyDescent="0.3">
      <c r="A258">
        <v>257</v>
      </c>
      <c r="B258" s="172" t="s">
        <v>1228</v>
      </c>
      <c r="C258" s="172" t="s">
        <v>1229</v>
      </c>
      <c r="D258" s="102"/>
      <c r="F258" s="207">
        <v>150000000</v>
      </c>
      <c r="H258" s="207">
        <v>150000000</v>
      </c>
    </row>
    <row r="259" spans="1:8" ht="14.4" x14ac:dyDescent="0.3">
      <c r="A259">
        <v>258</v>
      </c>
      <c r="B259" s="172" t="s">
        <v>1230</v>
      </c>
      <c r="C259" s="172" t="s">
        <v>1231</v>
      </c>
      <c r="D259" s="102"/>
      <c r="E259" s="207">
        <v>250000000</v>
      </c>
      <c r="F259" s="207">
        <v>200000000</v>
      </c>
      <c r="H259" s="207">
        <v>150000000</v>
      </c>
    </row>
    <row r="260" spans="1:8" ht="14.4" x14ac:dyDescent="0.3">
      <c r="A260">
        <v>259</v>
      </c>
      <c r="B260" s="172" t="s">
        <v>1232</v>
      </c>
      <c r="C260" s="172" t="s">
        <v>1233</v>
      </c>
      <c r="D260" s="102">
        <v>0</v>
      </c>
      <c r="E260" s="207">
        <v>300000000</v>
      </c>
      <c r="F260" s="207">
        <v>300000000</v>
      </c>
      <c r="H260" s="207">
        <v>110000000</v>
      </c>
    </row>
    <row r="261" spans="1:8" ht="14.4" x14ac:dyDescent="0.3">
      <c r="A261">
        <v>260</v>
      </c>
      <c r="B261" s="172" t="s">
        <v>1234</v>
      </c>
      <c r="C261" s="172" t="s">
        <v>1235</v>
      </c>
      <c r="D261" s="102">
        <v>90000000</v>
      </c>
      <c r="E261" s="207">
        <v>75000000</v>
      </c>
      <c r="F261" s="207">
        <v>90000000</v>
      </c>
      <c r="G261" s="207">
        <v>90000000</v>
      </c>
      <c r="H261" s="207">
        <v>50000000</v>
      </c>
    </row>
    <row r="262" spans="1:8" ht="14.4" x14ac:dyDescent="0.3">
      <c r="A262">
        <v>261</v>
      </c>
      <c r="B262" s="172" t="s">
        <v>517</v>
      </c>
      <c r="C262" s="172" t="s">
        <v>1236</v>
      </c>
      <c r="D262" s="102"/>
      <c r="F262" s="207">
        <v>150000000</v>
      </c>
      <c r="G262" s="207">
        <v>750000000</v>
      </c>
      <c r="H262" s="207">
        <v>150000000</v>
      </c>
    </row>
    <row r="263" spans="1:8" ht="14.4" x14ac:dyDescent="0.3">
      <c r="A263">
        <v>262</v>
      </c>
      <c r="B263" s="172" t="s">
        <v>404</v>
      </c>
      <c r="C263" s="172" t="s">
        <v>1237</v>
      </c>
      <c r="D263" s="102"/>
      <c r="F263" s="207">
        <v>300000000</v>
      </c>
      <c r="H263" s="207">
        <v>100000000</v>
      </c>
    </row>
    <row r="264" spans="1:8" ht="14.4" x14ac:dyDescent="0.3">
      <c r="A264">
        <v>263</v>
      </c>
      <c r="B264" s="172" t="s">
        <v>1238</v>
      </c>
      <c r="C264" s="172" t="s">
        <v>1239</v>
      </c>
      <c r="D264" s="102"/>
      <c r="E264" s="207">
        <v>280000000</v>
      </c>
      <c r="F264" s="207">
        <v>110000000</v>
      </c>
      <c r="H264" s="207">
        <v>95000000</v>
      </c>
    </row>
    <row r="265" spans="1:8" ht="14.4" x14ac:dyDescent="0.3">
      <c r="A265">
        <v>264</v>
      </c>
      <c r="B265" s="172" t="s">
        <v>1240</v>
      </c>
      <c r="C265" s="172" t="s">
        <v>1241</v>
      </c>
      <c r="D265" s="102">
        <v>0</v>
      </c>
      <c r="F265" s="207">
        <v>36000000</v>
      </c>
      <c r="G265" s="207">
        <v>142000000</v>
      </c>
      <c r="H265" s="207">
        <v>100000000</v>
      </c>
    </row>
    <row r="266" spans="1:8" ht="14.4" x14ac:dyDescent="0.3">
      <c r="A266">
        <v>265</v>
      </c>
      <c r="B266" s="172" t="s">
        <v>1242</v>
      </c>
      <c r="C266" s="172" t="s">
        <v>1243</v>
      </c>
      <c r="D266" s="102"/>
      <c r="E266" s="207">
        <v>600000000</v>
      </c>
      <c r="F266" s="207">
        <v>300000000</v>
      </c>
      <c r="H266" s="207">
        <v>100000000</v>
      </c>
    </row>
    <row r="267" spans="1:8" ht="14.4" x14ac:dyDescent="0.3">
      <c r="A267">
        <v>266</v>
      </c>
      <c r="B267" s="172" t="s">
        <v>341</v>
      </c>
      <c r="C267" s="172" t="s">
        <v>1244</v>
      </c>
      <c r="D267" s="102">
        <v>0</v>
      </c>
      <c r="E267" s="207">
        <v>900000000</v>
      </c>
      <c r="F267" s="207">
        <v>300000000</v>
      </c>
      <c r="H267" s="207">
        <v>200000000</v>
      </c>
    </row>
    <row r="268" spans="1:8" ht="14.4" x14ac:dyDescent="0.3">
      <c r="A268">
        <v>267</v>
      </c>
      <c r="B268" s="172" t="s">
        <v>1245</v>
      </c>
      <c r="C268" s="172" t="s">
        <v>1246</v>
      </c>
      <c r="D268" s="102"/>
      <c r="F268" s="207">
        <v>85000000</v>
      </c>
      <c r="G268" s="207">
        <v>189000000</v>
      </c>
      <c r="H268" s="207">
        <v>85000000</v>
      </c>
    </row>
    <row r="269" spans="1:8" ht="14.4" x14ac:dyDescent="0.3">
      <c r="A269">
        <v>268</v>
      </c>
      <c r="B269" s="172" t="s">
        <v>231</v>
      </c>
      <c r="C269" s="172" t="s">
        <v>238</v>
      </c>
      <c r="D269" s="102">
        <v>5000000</v>
      </c>
      <c r="E269" s="207">
        <v>25000000</v>
      </c>
      <c r="F269" s="207">
        <v>5000000</v>
      </c>
      <c r="G269" s="207">
        <v>5000000</v>
      </c>
      <c r="H269" s="207">
        <v>30000000</v>
      </c>
    </row>
    <row r="270" spans="1:8" ht="14.4" x14ac:dyDescent="0.3">
      <c r="A270">
        <v>269</v>
      </c>
      <c r="B270" s="172" t="s">
        <v>1247</v>
      </c>
      <c r="C270" s="172" t="s">
        <v>1248</v>
      </c>
      <c r="D270" s="102">
        <v>0</v>
      </c>
      <c r="E270" s="207">
        <v>2500000000</v>
      </c>
      <c r="F270" s="207">
        <v>1300000000</v>
      </c>
      <c r="H270" s="207">
        <v>125000000</v>
      </c>
    </row>
    <row r="271" spans="1:8" ht="14.4" x14ac:dyDescent="0.3">
      <c r="A271">
        <v>270</v>
      </c>
      <c r="B271" s="172" t="s">
        <v>1249</v>
      </c>
      <c r="C271" s="172" t="s">
        <v>1250</v>
      </c>
      <c r="D271" s="102">
        <v>0</v>
      </c>
      <c r="E271" s="207">
        <v>1000000000</v>
      </c>
      <c r="F271" s="207">
        <v>750000000</v>
      </c>
      <c r="H271" s="207">
        <v>100000000</v>
      </c>
    </row>
    <row r="272" spans="1:8" ht="14.4" x14ac:dyDescent="0.3">
      <c r="A272">
        <v>271</v>
      </c>
      <c r="B272" s="172" t="s">
        <v>1251</v>
      </c>
      <c r="C272" s="172" t="s">
        <v>1252</v>
      </c>
      <c r="D272" s="102">
        <v>0</v>
      </c>
      <c r="E272" s="207">
        <v>0</v>
      </c>
      <c r="F272" s="207">
        <v>500000000</v>
      </c>
      <c r="G272" s="207">
        <v>2400000000</v>
      </c>
      <c r="H272" s="207">
        <v>100000000</v>
      </c>
    </row>
    <row r="273" spans="1:8" ht="14.4" x14ac:dyDescent="0.3">
      <c r="A273">
        <v>272</v>
      </c>
      <c r="B273" s="172" t="s">
        <v>431</v>
      </c>
      <c r="C273" s="172" t="s">
        <v>1253</v>
      </c>
      <c r="D273" s="102"/>
      <c r="F273" s="207">
        <v>1000000000</v>
      </c>
      <c r="G273" s="207">
        <v>3800000000</v>
      </c>
      <c r="H273" s="207">
        <v>500000000</v>
      </c>
    </row>
    <row r="274" spans="1:8" ht="14.4" x14ac:dyDescent="0.3">
      <c r="A274">
        <v>273</v>
      </c>
      <c r="B274" s="172" t="s">
        <v>1254</v>
      </c>
      <c r="C274" s="172" t="s">
        <v>1255</v>
      </c>
      <c r="D274" s="102"/>
      <c r="F274" s="207">
        <v>1427000000</v>
      </c>
      <c r="G274" s="207">
        <v>4800000000</v>
      </c>
      <c r="H274" s="207">
        <v>500000000</v>
      </c>
    </row>
    <row r="275" spans="1:8" ht="14.4" x14ac:dyDescent="0.3">
      <c r="A275">
        <v>274</v>
      </c>
      <c r="B275" s="172" t="s">
        <v>1256</v>
      </c>
      <c r="C275" s="172" t="s">
        <v>1257</v>
      </c>
      <c r="D275" s="102"/>
      <c r="F275" s="207">
        <v>1000000000</v>
      </c>
      <c r="G275" s="207">
        <v>3800000000</v>
      </c>
      <c r="H275" s="207">
        <v>500000000</v>
      </c>
    </row>
    <row r="276" spans="1:8" ht="14.4" x14ac:dyDescent="0.3">
      <c r="A276">
        <v>275</v>
      </c>
      <c r="B276" s="172" t="s">
        <v>518</v>
      </c>
      <c r="C276" s="172" t="s">
        <v>1258</v>
      </c>
      <c r="D276" s="102"/>
      <c r="F276" s="207">
        <v>1800000000</v>
      </c>
      <c r="G276" s="207">
        <v>2000000000</v>
      </c>
      <c r="H276" s="207">
        <v>400000000</v>
      </c>
    </row>
    <row r="277" spans="1:8" ht="14.4" x14ac:dyDescent="0.3">
      <c r="A277">
        <v>276</v>
      </c>
      <c r="B277" s="172" t="s">
        <v>1259</v>
      </c>
      <c r="C277" s="172" t="s">
        <v>1260</v>
      </c>
      <c r="D277" s="102"/>
      <c r="E277" s="207">
        <v>600000000</v>
      </c>
      <c r="F277" s="207">
        <v>767000000</v>
      </c>
      <c r="H277" s="207">
        <v>100000000</v>
      </c>
    </row>
    <row r="278" spans="1:8" ht="14.4" x14ac:dyDescent="0.3">
      <c r="A278">
        <v>277</v>
      </c>
      <c r="B278" s="172" t="s">
        <v>1261</v>
      </c>
      <c r="C278" s="172" t="s">
        <v>1262</v>
      </c>
      <c r="D278" s="102">
        <v>0</v>
      </c>
      <c r="E278" s="207">
        <v>30000000</v>
      </c>
      <c r="F278" s="207">
        <v>300000000</v>
      </c>
      <c r="H278" s="207">
        <v>300000000</v>
      </c>
    </row>
    <row r="279" spans="1:8" ht="14.4" x14ac:dyDescent="0.3">
      <c r="A279">
        <v>278</v>
      </c>
      <c r="B279" s="172" t="s">
        <v>1263</v>
      </c>
      <c r="C279" s="172" t="s">
        <v>1264</v>
      </c>
      <c r="D279" s="102">
        <v>0</v>
      </c>
      <c r="E279" s="207">
        <v>0</v>
      </c>
      <c r="F279" s="207">
        <v>200000000</v>
      </c>
      <c r="G279" s="207">
        <v>1200000000</v>
      </c>
      <c r="H279" s="207">
        <v>175000000</v>
      </c>
    </row>
    <row r="280" spans="1:8" ht="14.4" x14ac:dyDescent="0.3">
      <c r="A280">
        <v>279</v>
      </c>
      <c r="B280" s="172" t="s">
        <v>1265</v>
      </c>
      <c r="C280" s="172" t="s">
        <v>1266</v>
      </c>
      <c r="D280" s="102">
        <v>0</v>
      </c>
      <c r="E280" s="207">
        <v>0</v>
      </c>
      <c r="F280" s="207">
        <v>200000000</v>
      </c>
      <c r="G280" s="207">
        <v>1000000000</v>
      </c>
      <c r="H280" s="207">
        <v>175000000</v>
      </c>
    </row>
    <row r="281" spans="1:8" ht="14.4" x14ac:dyDescent="0.3">
      <c r="A281">
        <v>280</v>
      </c>
      <c r="B281" s="172" t="s">
        <v>1267</v>
      </c>
      <c r="C281" s="172" t="s">
        <v>1268</v>
      </c>
      <c r="D281" s="102">
        <v>0</v>
      </c>
      <c r="E281" s="207">
        <v>0</v>
      </c>
      <c r="F281" s="207">
        <v>150000000</v>
      </c>
      <c r="G281" s="207">
        <v>940000000</v>
      </c>
      <c r="H281" s="207">
        <v>150000000</v>
      </c>
    </row>
    <row r="282" spans="1:8" ht="14.4" x14ac:dyDescent="0.3">
      <c r="A282">
        <v>281</v>
      </c>
      <c r="B282" s="172" t="s">
        <v>1269</v>
      </c>
      <c r="C282" s="172" t="s">
        <v>1270</v>
      </c>
      <c r="D282" s="102">
        <v>0</v>
      </c>
      <c r="E282" s="207">
        <v>0</v>
      </c>
      <c r="F282" s="207">
        <v>240000000</v>
      </c>
      <c r="G282" s="207">
        <v>959000000</v>
      </c>
      <c r="H282" s="207">
        <v>85000000</v>
      </c>
    </row>
    <row r="283" spans="1:8" ht="14.4" x14ac:dyDescent="0.3">
      <c r="A283">
        <v>282</v>
      </c>
      <c r="B283" s="172" t="s">
        <v>1271</v>
      </c>
      <c r="C283" s="172" t="s">
        <v>1272</v>
      </c>
      <c r="D283" s="102">
        <v>0</v>
      </c>
      <c r="E283" s="207">
        <v>1249000000</v>
      </c>
      <c r="F283" s="207">
        <v>208000000</v>
      </c>
      <c r="H283" s="207">
        <v>100000000</v>
      </c>
    </row>
    <row r="284" spans="1:8" ht="14.4" x14ac:dyDescent="0.3">
      <c r="A284">
        <v>283</v>
      </c>
      <c r="B284" s="172">
        <v>272383405</v>
      </c>
      <c r="C284" s="172" t="s">
        <v>1273</v>
      </c>
      <c r="D284" s="102"/>
      <c r="E284" s="207">
        <v>900000000</v>
      </c>
      <c r="F284" s="207">
        <v>250000000</v>
      </c>
      <c r="H284" s="207">
        <v>175000000</v>
      </c>
    </row>
    <row r="285" spans="1:8" ht="14.4" x14ac:dyDescent="0.3">
      <c r="A285">
        <v>284</v>
      </c>
      <c r="B285" s="172" t="s">
        <v>1274</v>
      </c>
      <c r="C285" s="172" t="s">
        <v>1275</v>
      </c>
      <c r="D285" s="102"/>
      <c r="E285" s="207">
        <v>375000000</v>
      </c>
      <c r="F285" s="207">
        <v>75000000</v>
      </c>
      <c r="H285" s="207">
        <v>75000000</v>
      </c>
    </row>
    <row r="286" spans="1:8" ht="14.4" x14ac:dyDescent="0.3">
      <c r="A286">
        <v>285</v>
      </c>
      <c r="B286" s="172" t="s">
        <v>1276</v>
      </c>
      <c r="C286" s="172" t="s">
        <v>1277</v>
      </c>
      <c r="D286" s="102"/>
      <c r="E286" s="207">
        <v>275000000</v>
      </c>
      <c r="F286" s="207">
        <v>75000000</v>
      </c>
      <c r="H286" s="207">
        <v>75000000</v>
      </c>
    </row>
    <row r="287" spans="1:8" ht="14.4" x14ac:dyDescent="0.3">
      <c r="A287">
        <v>286</v>
      </c>
      <c r="B287" s="172" t="s">
        <v>1278</v>
      </c>
      <c r="C287" s="172" t="s">
        <v>1279</v>
      </c>
      <c r="D287" s="102"/>
      <c r="E287" s="207">
        <v>1100000000</v>
      </c>
      <c r="F287" s="207">
        <v>450000000</v>
      </c>
      <c r="H287" s="207">
        <v>175000000</v>
      </c>
    </row>
    <row r="288" spans="1:8" ht="14.4" x14ac:dyDescent="0.3">
      <c r="A288">
        <v>287</v>
      </c>
      <c r="B288" s="172" t="s">
        <v>1280</v>
      </c>
      <c r="C288" s="172" t="s">
        <v>1281</v>
      </c>
      <c r="D288" s="102">
        <v>0</v>
      </c>
      <c r="E288" s="207">
        <v>0</v>
      </c>
      <c r="F288" s="207">
        <v>47163000000</v>
      </c>
      <c r="G288" s="207">
        <v>102823000000</v>
      </c>
      <c r="H288" s="207">
        <v>100000000</v>
      </c>
    </row>
    <row r="289" spans="1:8" ht="14.4" x14ac:dyDescent="0.3">
      <c r="A289">
        <v>288</v>
      </c>
      <c r="B289" s="172" t="s">
        <v>1282</v>
      </c>
      <c r="C289" s="172" t="s">
        <v>1283</v>
      </c>
      <c r="D289" s="102">
        <v>0</v>
      </c>
      <c r="E289" s="207">
        <v>0</v>
      </c>
      <c r="F289" s="207">
        <v>44649000000</v>
      </c>
      <c r="G289" s="207">
        <v>77130000000</v>
      </c>
      <c r="H289" s="207">
        <v>50000000</v>
      </c>
    </row>
    <row r="290" spans="1:8" ht="14.4" x14ac:dyDescent="0.3">
      <c r="A290">
        <v>289</v>
      </c>
      <c r="B290" s="172" t="s">
        <v>1284</v>
      </c>
      <c r="C290" s="172" t="s">
        <v>1285</v>
      </c>
      <c r="D290" s="102">
        <v>0</v>
      </c>
      <c r="E290" s="207">
        <v>0</v>
      </c>
      <c r="F290" s="207">
        <v>40000000000</v>
      </c>
      <c r="G290" s="207">
        <v>110000000000</v>
      </c>
      <c r="H290" s="207">
        <v>150000000</v>
      </c>
    </row>
    <row r="291" spans="1:8" ht="14.4" x14ac:dyDescent="0.3">
      <c r="A291">
        <v>290</v>
      </c>
      <c r="B291" s="172" t="s">
        <v>1286</v>
      </c>
      <c r="C291" s="172" t="s">
        <v>1287</v>
      </c>
      <c r="D291" s="102">
        <v>0</v>
      </c>
      <c r="E291" s="207">
        <v>0</v>
      </c>
      <c r="F291" s="207">
        <v>43000000000</v>
      </c>
      <c r="G291" s="207">
        <v>78000000000</v>
      </c>
      <c r="H291" s="207">
        <v>150000000</v>
      </c>
    </row>
    <row r="292" spans="1:8" ht="14.4" x14ac:dyDescent="0.3">
      <c r="A292">
        <v>291</v>
      </c>
      <c r="B292" s="172" t="s">
        <v>1288</v>
      </c>
      <c r="C292" s="172" t="s">
        <v>1289</v>
      </c>
      <c r="D292" s="102">
        <v>0</v>
      </c>
      <c r="E292" s="207">
        <v>0</v>
      </c>
      <c r="F292" s="207">
        <v>40000000000</v>
      </c>
      <c r="G292" s="207">
        <v>38000000000</v>
      </c>
      <c r="H292" s="207">
        <v>75000000</v>
      </c>
    </row>
    <row r="293" spans="1:8" ht="14.4" x14ac:dyDescent="0.3">
      <c r="A293">
        <v>292</v>
      </c>
      <c r="B293" s="172" t="s">
        <v>1290</v>
      </c>
      <c r="C293" s="172" t="s">
        <v>1291</v>
      </c>
      <c r="D293" s="102">
        <v>0</v>
      </c>
      <c r="E293" s="207">
        <v>0</v>
      </c>
      <c r="F293" s="207">
        <v>7671000000</v>
      </c>
      <c r="G293" s="207">
        <v>11833000000</v>
      </c>
      <c r="H293" s="207">
        <v>80000000</v>
      </c>
    </row>
    <row r="294" spans="1:8" ht="14.4" x14ac:dyDescent="0.3">
      <c r="A294">
        <v>293</v>
      </c>
      <c r="B294" s="172" t="s">
        <v>1292</v>
      </c>
      <c r="C294" s="172" t="s">
        <v>1293</v>
      </c>
      <c r="D294" s="102">
        <v>0</v>
      </c>
      <c r="E294" s="207">
        <v>2887000000</v>
      </c>
      <c r="F294" s="207">
        <v>575000000</v>
      </c>
      <c r="H294" s="207">
        <v>575000000</v>
      </c>
    </row>
    <row r="295" spans="1:8" ht="14.4" x14ac:dyDescent="0.3">
      <c r="A295">
        <v>294</v>
      </c>
      <c r="B295" s="172" t="s">
        <v>519</v>
      </c>
      <c r="C295" s="172" t="s">
        <v>1294</v>
      </c>
      <c r="D295" s="102">
        <v>0</v>
      </c>
      <c r="E295" s="207">
        <v>0</v>
      </c>
      <c r="F295" s="207">
        <v>500000000</v>
      </c>
      <c r="G295" s="207">
        <v>5479000000</v>
      </c>
      <c r="H295" s="207">
        <v>225000000</v>
      </c>
    </row>
    <row r="296" spans="1:8" ht="14.4" x14ac:dyDescent="0.3">
      <c r="A296">
        <v>295</v>
      </c>
      <c r="B296" s="172" t="s">
        <v>1295</v>
      </c>
      <c r="C296" s="172" t="s">
        <v>1296</v>
      </c>
      <c r="D296" s="102">
        <v>0</v>
      </c>
      <c r="E296" s="207">
        <v>0</v>
      </c>
      <c r="F296" s="207">
        <v>500000000</v>
      </c>
      <c r="G296" s="207">
        <v>2920000000</v>
      </c>
      <c r="H296" s="207">
        <v>200000000</v>
      </c>
    </row>
    <row r="297" spans="1:8" ht="14.4" x14ac:dyDescent="0.3">
      <c r="A297">
        <v>296</v>
      </c>
      <c r="B297" s="172" t="s">
        <v>1297</v>
      </c>
      <c r="C297" s="172" t="s">
        <v>1298</v>
      </c>
      <c r="D297" s="102">
        <v>0</v>
      </c>
      <c r="E297" s="207">
        <v>525000000</v>
      </c>
      <c r="F297" s="207">
        <v>150000000</v>
      </c>
      <c r="H297" s="207">
        <v>100000000</v>
      </c>
    </row>
    <row r="298" spans="1:8" ht="14.4" x14ac:dyDescent="0.3">
      <c r="A298">
        <v>297</v>
      </c>
      <c r="B298" s="172" t="s">
        <v>443</v>
      </c>
      <c r="C298" s="172" t="s">
        <v>226</v>
      </c>
      <c r="D298" s="102"/>
      <c r="F298" s="207">
        <v>250000000</v>
      </c>
      <c r="G298" s="207">
        <v>2920000000</v>
      </c>
      <c r="H298" s="207">
        <v>75000000</v>
      </c>
    </row>
    <row r="299" spans="1:8" ht="14.4" x14ac:dyDescent="0.3">
      <c r="A299">
        <v>298</v>
      </c>
      <c r="B299" s="172" t="s">
        <v>1299</v>
      </c>
      <c r="C299" s="172" t="s">
        <v>1300</v>
      </c>
      <c r="D299" s="102"/>
      <c r="E299" s="207">
        <v>1800000000</v>
      </c>
      <c r="F299" s="207">
        <v>312000000</v>
      </c>
      <c r="H299" s="207">
        <v>50000000</v>
      </c>
    </row>
    <row r="300" spans="1:8" ht="14.4" x14ac:dyDescent="0.3">
      <c r="A300">
        <v>299</v>
      </c>
      <c r="B300" s="172" t="s">
        <v>1301</v>
      </c>
      <c r="C300" s="172" t="s">
        <v>1302</v>
      </c>
      <c r="D300" s="102"/>
      <c r="F300" s="207">
        <v>1225000000</v>
      </c>
      <c r="G300" s="207">
        <v>3065000000</v>
      </c>
      <c r="H300" s="207">
        <v>175000000</v>
      </c>
    </row>
    <row r="301" spans="1:8" ht="14.4" x14ac:dyDescent="0.3">
      <c r="A301">
        <v>300</v>
      </c>
      <c r="B301" s="172" t="s">
        <v>1303</v>
      </c>
      <c r="C301" s="172" t="s">
        <v>1304</v>
      </c>
      <c r="D301" s="102"/>
      <c r="F301" s="207">
        <v>520000000</v>
      </c>
      <c r="G301" s="207">
        <v>2550000000</v>
      </c>
      <c r="H301" s="207">
        <v>150000000</v>
      </c>
    </row>
    <row r="302" spans="1:8" ht="14.4" x14ac:dyDescent="0.3">
      <c r="A302">
        <v>301</v>
      </c>
      <c r="B302" s="172" t="s">
        <v>513</v>
      </c>
      <c r="C302" s="172" t="s">
        <v>1305</v>
      </c>
      <c r="D302" s="102"/>
      <c r="F302" s="207">
        <v>300000000</v>
      </c>
      <c r="G302" s="207">
        <v>2500000000</v>
      </c>
      <c r="H302" s="207">
        <v>75000000</v>
      </c>
    </row>
    <row r="303" spans="1:8" ht="14.4" x14ac:dyDescent="0.3">
      <c r="A303">
        <v>302</v>
      </c>
      <c r="B303" s="172" t="s">
        <v>1306</v>
      </c>
      <c r="C303" s="172" t="s">
        <v>1307</v>
      </c>
      <c r="D303" s="102"/>
      <c r="F303" s="207">
        <v>300000000</v>
      </c>
      <c r="G303" s="207">
        <v>1300000000</v>
      </c>
      <c r="H303" s="207">
        <v>75000000</v>
      </c>
    </row>
    <row r="304" spans="1:8" ht="14.4" x14ac:dyDescent="0.3">
      <c r="A304">
        <v>303</v>
      </c>
      <c r="B304" s="172" t="s">
        <v>1308</v>
      </c>
      <c r="C304" s="172" t="s">
        <v>1309</v>
      </c>
      <c r="D304" s="102"/>
      <c r="F304" s="207">
        <v>150000000</v>
      </c>
      <c r="G304" s="207">
        <v>403000000</v>
      </c>
      <c r="H304" s="207">
        <v>225000000</v>
      </c>
    </row>
    <row r="305" spans="1:8" ht="14.4" x14ac:dyDescent="0.3">
      <c r="A305">
        <v>304</v>
      </c>
      <c r="B305" s="172" t="s">
        <v>1310</v>
      </c>
      <c r="C305" s="172" t="s">
        <v>1311</v>
      </c>
      <c r="D305" s="102"/>
      <c r="F305" s="207">
        <v>150000000</v>
      </c>
      <c r="G305" s="207">
        <v>259000000</v>
      </c>
      <c r="H305" s="207">
        <v>75000000</v>
      </c>
    </row>
    <row r="306" spans="1:8" ht="14.4" x14ac:dyDescent="0.3">
      <c r="A306">
        <v>305</v>
      </c>
      <c r="B306" s="172" t="s">
        <v>1312</v>
      </c>
      <c r="C306" s="172" t="s">
        <v>1313</v>
      </c>
      <c r="D306" s="102">
        <v>0</v>
      </c>
      <c r="E306" s="207">
        <v>95500000</v>
      </c>
      <c r="F306" s="207">
        <v>300000000</v>
      </c>
      <c r="H306" s="207">
        <v>150000000</v>
      </c>
    </row>
    <row r="307" spans="1:8" ht="14.4" x14ac:dyDescent="0.3">
      <c r="A307">
        <v>306</v>
      </c>
      <c r="B307" s="172" t="s">
        <v>1314</v>
      </c>
      <c r="C307" s="172" t="s">
        <v>1315</v>
      </c>
      <c r="D307" s="102"/>
      <c r="E307" s="207">
        <v>800000000</v>
      </c>
      <c r="F307" s="207">
        <v>600000000</v>
      </c>
      <c r="H307" s="207">
        <v>325000000</v>
      </c>
    </row>
    <row r="308" spans="1:8" ht="14.4" x14ac:dyDescent="0.3">
      <c r="A308">
        <v>307</v>
      </c>
      <c r="B308" s="172" t="s">
        <v>1316</v>
      </c>
      <c r="C308" s="172" t="s">
        <v>1317</v>
      </c>
      <c r="D308" s="102">
        <v>0</v>
      </c>
      <c r="E308" s="207">
        <v>250000000</v>
      </c>
      <c r="F308" s="207">
        <v>100000000</v>
      </c>
      <c r="H308" s="207">
        <v>100000000</v>
      </c>
    </row>
    <row r="309" spans="1:8" ht="14.4" x14ac:dyDescent="0.3">
      <c r="A309">
        <v>308</v>
      </c>
      <c r="B309" s="172" t="s">
        <v>1318</v>
      </c>
      <c r="C309" s="172" t="s">
        <v>1319</v>
      </c>
      <c r="D309" s="102">
        <v>0</v>
      </c>
      <c r="E309" s="207">
        <v>1050000000</v>
      </c>
      <c r="F309" s="207">
        <v>140000000</v>
      </c>
      <c r="H309" s="207">
        <v>70000000</v>
      </c>
    </row>
    <row r="310" spans="1:8" ht="14.4" x14ac:dyDescent="0.3">
      <c r="A310">
        <v>309</v>
      </c>
      <c r="B310" s="172" t="s">
        <v>1320</v>
      </c>
      <c r="C310" s="172" t="s">
        <v>1321</v>
      </c>
      <c r="D310" s="102"/>
      <c r="E310" s="207">
        <v>1600000000</v>
      </c>
      <c r="F310" s="207">
        <v>800000000</v>
      </c>
      <c r="H310" s="207">
        <v>250000000</v>
      </c>
    </row>
    <row r="311" spans="1:8" ht="14.4" x14ac:dyDescent="0.3">
      <c r="A311">
        <v>310</v>
      </c>
      <c r="B311" s="172" t="s">
        <v>1322</v>
      </c>
      <c r="C311" s="172" t="s">
        <v>1323</v>
      </c>
      <c r="D311" s="102">
        <v>0</v>
      </c>
      <c r="E311" s="207">
        <v>3400000000</v>
      </c>
      <c r="F311" s="207">
        <v>600000000</v>
      </c>
      <c r="H311" s="207">
        <v>150000000</v>
      </c>
    </row>
    <row r="312" spans="1:8" ht="14.4" x14ac:dyDescent="0.3">
      <c r="A312">
        <v>311</v>
      </c>
      <c r="B312" s="172" t="s">
        <v>1324</v>
      </c>
      <c r="C312" s="172" t="s">
        <v>1325</v>
      </c>
      <c r="D312" s="102"/>
      <c r="F312" s="207">
        <v>137000000</v>
      </c>
      <c r="H312" s="207">
        <v>75000000</v>
      </c>
    </row>
    <row r="313" spans="1:8" ht="14.4" x14ac:dyDescent="0.3">
      <c r="A313">
        <v>312</v>
      </c>
      <c r="B313" s="172" t="s">
        <v>1326</v>
      </c>
      <c r="C313" s="172" t="s">
        <v>1327</v>
      </c>
      <c r="D313" s="102">
        <v>0</v>
      </c>
      <c r="E313" s="207">
        <v>0</v>
      </c>
      <c r="F313" s="207">
        <v>273900000</v>
      </c>
      <c r="H313" s="207">
        <v>240000000</v>
      </c>
    </row>
    <row r="314" spans="1:8" ht="14.4" x14ac:dyDescent="0.3">
      <c r="A314">
        <v>313</v>
      </c>
      <c r="B314" s="172" t="s">
        <v>1328</v>
      </c>
      <c r="C314" s="172" t="s">
        <v>1329</v>
      </c>
      <c r="D314" s="102"/>
      <c r="E314" s="207">
        <v>1100000000</v>
      </c>
      <c r="F314" s="207">
        <v>150000000</v>
      </c>
      <c r="H314" s="207">
        <v>200000000</v>
      </c>
    </row>
    <row r="315" spans="1:8" ht="14.4" x14ac:dyDescent="0.3">
      <c r="A315">
        <v>314</v>
      </c>
      <c r="B315" s="172" t="s">
        <v>1330</v>
      </c>
      <c r="C315" s="172" t="s">
        <v>1331</v>
      </c>
      <c r="D315" s="102"/>
      <c r="E315" s="207">
        <v>100000000</v>
      </c>
      <c r="F315" s="207">
        <v>150000000</v>
      </c>
      <c r="H315" s="207">
        <v>150000000</v>
      </c>
    </row>
    <row r="316" spans="1:8" ht="14.4" x14ac:dyDescent="0.3">
      <c r="A316">
        <v>315</v>
      </c>
      <c r="B316" s="172" t="s">
        <v>1332</v>
      </c>
      <c r="C316" s="231" t="s">
        <v>1333</v>
      </c>
      <c r="D316" s="102"/>
      <c r="E316" s="207">
        <v>40000000</v>
      </c>
      <c r="F316" s="207">
        <v>60000000</v>
      </c>
      <c r="H316" s="207">
        <v>100000000</v>
      </c>
    </row>
    <row r="317" spans="1:8" ht="14.4" x14ac:dyDescent="0.3">
      <c r="A317">
        <v>316</v>
      </c>
      <c r="B317" s="172" t="s">
        <v>1334</v>
      </c>
      <c r="C317" s="232" t="s">
        <v>1335</v>
      </c>
      <c r="D317" s="102">
        <v>0</v>
      </c>
      <c r="E317" s="207">
        <v>65000000000</v>
      </c>
      <c r="F317" s="207">
        <v>10000000000</v>
      </c>
      <c r="H317" s="207">
        <v>100000000</v>
      </c>
    </row>
    <row r="318" spans="1:8" ht="14.4" x14ac:dyDescent="0.3">
      <c r="A318">
        <v>317</v>
      </c>
      <c r="B318" s="172" t="s">
        <v>1336</v>
      </c>
      <c r="C318" s="172" t="s">
        <v>1337</v>
      </c>
      <c r="D318" s="102">
        <v>0</v>
      </c>
      <c r="F318" s="207">
        <v>30000000000</v>
      </c>
      <c r="G318" s="207">
        <v>85000000000</v>
      </c>
      <c r="H318" s="207">
        <v>100000000</v>
      </c>
    </row>
    <row r="319" spans="1:8" x14ac:dyDescent="0.25">
      <c r="A319" s="172">
        <v>318</v>
      </c>
      <c r="B319" s="172" t="s">
        <v>1338</v>
      </c>
      <c r="C319" s="172" t="s">
        <v>1339</v>
      </c>
      <c r="D319" s="207">
        <v>0</v>
      </c>
      <c r="E319" s="207">
        <v>290000000</v>
      </c>
      <c r="F319" s="207">
        <v>275000000</v>
      </c>
      <c r="H319" s="207">
        <v>275000000</v>
      </c>
    </row>
    <row r="320" spans="1:8" ht="14.4" x14ac:dyDescent="0.3">
      <c r="A320">
        <v>319</v>
      </c>
      <c r="B320" s="172" t="s">
        <v>515</v>
      </c>
      <c r="C320" s="172" t="s">
        <v>1340</v>
      </c>
      <c r="D320" s="102"/>
      <c r="F320" s="207">
        <v>30000000000</v>
      </c>
      <c r="G320" s="207">
        <v>60000000000</v>
      </c>
      <c r="H320" s="207">
        <v>90000000</v>
      </c>
    </row>
    <row r="321" spans="1:8" ht="14.4" x14ac:dyDescent="0.3">
      <c r="A321">
        <v>320</v>
      </c>
      <c r="B321" s="172" t="s">
        <v>709</v>
      </c>
      <c r="C321" s="172" t="s">
        <v>1341</v>
      </c>
      <c r="D321" s="102">
        <v>0</v>
      </c>
      <c r="E321" s="207">
        <v>2250000000</v>
      </c>
      <c r="F321" s="207">
        <v>950000000</v>
      </c>
      <c r="H321" s="207">
        <v>200000000</v>
      </c>
    </row>
    <row r="322" spans="1:8" ht="14.4" x14ac:dyDescent="0.3">
      <c r="A322">
        <v>327</v>
      </c>
      <c r="B322" s="172" t="s">
        <v>453</v>
      </c>
      <c r="C322" s="172" t="s">
        <v>1342</v>
      </c>
      <c r="D322" s="102"/>
      <c r="E322" s="207">
        <v>1200000000</v>
      </c>
      <c r="F322" s="207">
        <v>600000000</v>
      </c>
      <c r="H322" s="207">
        <v>50000000</v>
      </c>
    </row>
    <row r="323" spans="1:8" ht="14.4" x14ac:dyDescent="0.3">
      <c r="A323">
        <v>331</v>
      </c>
      <c r="B323" s="172" t="s">
        <v>465</v>
      </c>
      <c r="C323" s="172" t="s">
        <v>1343</v>
      </c>
      <c r="D323" s="102"/>
      <c r="E323" s="207">
        <v>1200000000</v>
      </c>
      <c r="F323" s="207">
        <v>600000000</v>
      </c>
      <c r="H323" s="207">
        <v>75000000</v>
      </c>
    </row>
    <row r="324" spans="1:8" ht="14.4" x14ac:dyDescent="0.3">
      <c r="A324">
        <v>332</v>
      </c>
      <c r="B324" s="172" t="s">
        <v>515</v>
      </c>
      <c r="C324" s="172" t="s">
        <v>774</v>
      </c>
      <c r="D324" s="102"/>
      <c r="F324" s="207">
        <v>30000000000</v>
      </c>
      <c r="G324" s="207">
        <v>60000000000</v>
      </c>
      <c r="H324" s="207">
        <v>90000000</v>
      </c>
    </row>
    <row r="325" spans="1:8" ht="14.4" x14ac:dyDescent="0.3">
      <c r="A325">
        <v>333</v>
      </c>
      <c r="B325" s="172" t="s">
        <v>459</v>
      </c>
      <c r="C325" s="172" t="s">
        <v>775</v>
      </c>
      <c r="D325" s="102">
        <v>0</v>
      </c>
      <c r="E325" s="207">
        <v>9000000000</v>
      </c>
      <c r="F325" s="207">
        <v>2000000000</v>
      </c>
      <c r="H325" s="207">
        <v>475000000</v>
      </c>
    </row>
    <row r="326" spans="1:8" ht="14.4" x14ac:dyDescent="0.3">
      <c r="A326" t="s">
        <v>1344</v>
      </c>
      <c r="B326" s="172" t="s">
        <v>738</v>
      </c>
      <c r="C326" s="172" t="s">
        <v>219</v>
      </c>
      <c r="D326" s="102"/>
      <c r="F326" s="207">
        <v>100000000</v>
      </c>
      <c r="H326" s="207">
        <v>100000000</v>
      </c>
    </row>
    <row r="327" spans="1:8" ht="14.4" x14ac:dyDescent="0.3">
      <c r="A327" t="s">
        <v>1344</v>
      </c>
      <c r="B327" s="172" t="s">
        <v>739</v>
      </c>
      <c r="C327" s="172" t="s">
        <v>219</v>
      </c>
      <c r="D327" s="102"/>
      <c r="F327" s="207">
        <v>100000000</v>
      </c>
      <c r="H327" s="207">
        <v>100000000</v>
      </c>
    </row>
    <row r="328" spans="1:8" ht="14.4" x14ac:dyDescent="0.3">
      <c r="A328" t="s">
        <v>1344</v>
      </c>
      <c r="B328" s="172" t="s">
        <v>540</v>
      </c>
      <c r="C328" s="172" t="s">
        <v>223</v>
      </c>
      <c r="D328" s="102"/>
      <c r="E328" s="207">
        <v>1191000000</v>
      </c>
      <c r="F328" s="207">
        <v>301000000</v>
      </c>
      <c r="H328" s="207">
        <v>200000000</v>
      </c>
    </row>
    <row r="329" spans="1:8" ht="14.4" x14ac:dyDescent="0.3">
      <c r="A329" t="s">
        <v>1344</v>
      </c>
      <c r="B329" s="172" t="s">
        <v>541</v>
      </c>
      <c r="C329" s="172" t="s">
        <v>223</v>
      </c>
      <c r="D329" s="102"/>
      <c r="E329" s="207">
        <v>1191000000</v>
      </c>
      <c r="F329" s="207">
        <v>301000000</v>
      </c>
      <c r="H329" s="207">
        <v>200000000</v>
      </c>
    </row>
    <row r="330" spans="1:8" ht="14.4" x14ac:dyDescent="0.3">
      <c r="A330" t="s">
        <v>1344</v>
      </c>
      <c r="B330" s="172" t="s">
        <v>740</v>
      </c>
      <c r="C330" s="172" t="s">
        <v>224</v>
      </c>
      <c r="D330" s="102">
        <v>0</v>
      </c>
      <c r="E330" s="207">
        <v>925000000</v>
      </c>
      <c r="F330" s="207">
        <v>200000000</v>
      </c>
      <c r="H330" s="207">
        <v>175000000</v>
      </c>
    </row>
    <row r="331" spans="1:8" ht="14.4" x14ac:dyDescent="0.3">
      <c r="A331" t="s">
        <v>1344</v>
      </c>
      <c r="B331" s="172" t="s">
        <v>741</v>
      </c>
      <c r="C331" s="172" t="s">
        <v>224</v>
      </c>
      <c r="D331" s="102">
        <v>0</v>
      </c>
      <c r="E331" s="207">
        <v>925000000</v>
      </c>
      <c r="F331" s="207">
        <v>200000000</v>
      </c>
      <c r="H331" s="207">
        <v>175000000</v>
      </c>
    </row>
    <row r="332" spans="1:8" ht="14.4" x14ac:dyDescent="0.3">
      <c r="A332" t="s">
        <v>1344</v>
      </c>
      <c r="B332" s="172" t="s">
        <v>772</v>
      </c>
      <c r="C332" s="172" t="s">
        <v>1168</v>
      </c>
      <c r="D332" s="102"/>
      <c r="F332" s="207">
        <v>1454000000</v>
      </c>
      <c r="G332" s="207">
        <v>9847000000</v>
      </c>
      <c r="H332" s="207">
        <v>450000000</v>
      </c>
    </row>
    <row r="333" spans="1:8" ht="14.4" x14ac:dyDescent="0.3">
      <c r="A333" t="s">
        <v>1344</v>
      </c>
      <c r="B333" s="172" t="s">
        <v>773</v>
      </c>
      <c r="C333" s="172" t="s">
        <v>1168</v>
      </c>
      <c r="D333" s="102"/>
      <c r="F333" s="207">
        <v>1454000000</v>
      </c>
      <c r="G333" s="207">
        <v>9847000000</v>
      </c>
      <c r="H333" s="207">
        <v>450000000</v>
      </c>
    </row>
    <row r="334" spans="1:8" ht="14.4" x14ac:dyDescent="0.3">
      <c r="A334" t="s">
        <v>1344</v>
      </c>
      <c r="B334" s="172" t="s">
        <v>770</v>
      </c>
      <c r="C334" s="172" t="s">
        <v>1027</v>
      </c>
      <c r="D334" s="102"/>
      <c r="E334" s="207">
        <v>50000000</v>
      </c>
      <c r="F334" s="207">
        <v>200000000</v>
      </c>
      <c r="H334" s="207">
        <v>200000000</v>
      </c>
    </row>
    <row r="335" spans="1:8" ht="14.4" x14ac:dyDescent="0.3">
      <c r="A335" t="s">
        <v>1344</v>
      </c>
      <c r="B335" s="172" t="s">
        <v>771</v>
      </c>
      <c r="C335" s="172" t="s">
        <v>1027</v>
      </c>
      <c r="D335" s="102"/>
      <c r="E335" s="207">
        <v>50000000</v>
      </c>
      <c r="F335" s="207">
        <v>200000000</v>
      </c>
      <c r="H335" s="207">
        <v>200000000</v>
      </c>
    </row>
    <row r="336" spans="1:8" x14ac:dyDescent="0.25">
      <c r="A336" s="172">
        <v>334</v>
      </c>
      <c r="B336" s="172" t="s">
        <v>749</v>
      </c>
      <c r="C336" s="172" t="s">
        <v>1345</v>
      </c>
      <c r="D336" s="207">
        <v>0</v>
      </c>
      <c r="E336" s="207">
        <v>40000000000</v>
      </c>
      <c r="F336" s="207">
        <v>10000000000</v>
      </c>
      <c r="G336" s="207">
        <v>0</v>
      </c>
      <c r="H336" s="207">
        <v>55000000</v>
      </c>
    </row>
    <row r="337" spans="1:8" x14ac:dyDescent="0.25">
      <c r="A337" s="172">
        <v>335</v>
      </c>
      <c r="B337" s="172" t="s">
        <v>753</v>
      </c>
      <c r="C337" s="172" t="s">
        <v>1346</v>
      </c>
      <c r="D337" s="207">
        <v>30000000000</v>
      </c>
      <c r="E337" s="207">
        <v>0</v>
      </c>
      <c r="F337" s="207">
        <v>10000000000</v>
      </c>
      <c r="G337" s="207">
        <v>30000000000</v>
      </c>
      <c r="H337" s="207">
        <v>30000000</v>
      </c>
    </row>
  </sheetData>
  <autoFilter ref="A1:H335" xr:uid="{00000000-0001-0000-0200-000000000000}"/>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E130"/>
  <sheetViews>
    <sheetView topLeftCell="B4" workbookViewId="0">
      <selection activeCell="C13" sqref="C13"/>
    </sheetView>
  </sheetViews>
  <sheetFormatPr defaultRowHeight="18.75" customHeight="1" x14ac:dyDescent="0.3"/>
  <cols>
    <col min="1" max="1" width="29.44140625" bestFit="1" customWidth="1"/>
    <col min="2" max="2" width="5.109375" bestFit="1" customWidth="1"/>
    <col min="3" max="3" width="83.44140625" style="173" customWidth="1"/>
    <col min="4" max="4" width="10.77734375" style="173" bestFit="1" customWidth="1"/>
    <col min="5" max="5" width="92.109375" style="197" customWidth="1"/>
  </cols>
  <sheetData>
    <row r="1" spans="1:5" ht="18.75" customHeight="1" thickBot="1" x14ac:dyDescent="0.35">
      <c r="A1" s="1" t="s">
        <v>542</v>
      </c>
      <c r="B1" s="1" t="s">
        <v>543</v>
      </c>
      <c r="C1" s="174" t="s">
        <v>544</v>
      </c>
      <c r="D1" s="211">
        <v>45968</v>
      </c>
      <c r="E1" s="193"/>
    </row>
    <row r="2" spans="1:5" ht="18.75" customHeight="1" x14ac:dyDescent="0.3">
      <c r="A2" s="175" t="s">
        <v>545</v>
      </c>
      <c r="B2" s="176"/>
      <c r="C2" s="177"/>
      <c r="D2" s="177" t="s">
        <v>690</v>
      </c>
      <c r="E2" s="194"/>
    </row>
    <row r="3" spans="1:5" ht="18.75" customHeight="1" x14ac:dyDescent="0.3">
      <c r="A3" s="5"/>
      <c r="B3">
        <v>1</v>
      </c>
      <c r="C3" s="178" t="s">
        <v>546</v>
      </c>
      <c r="D3" s="178" t="s">
        <v>667</v>
      </c>
      <c r="E3" s="195"/>
    </row>
    <row r="4" spans="1:5" ht="34.200000000000003" customHeight="1" x14ac:dyDescent="0.3">
      <c r="A4" s="5"/>
      <c r="B4">
        <v>2</v>
      </c>
      <c r="C4" s="178" t="s">
        <v>547</v>
      </c>
      <c r="D4" s="178" t="s">
        <v>666</v>
      </c>
      <c r="E4" s="195"/>
    </row>
    <row r="5" spans="1:5" ht="14.4" x14ac:dyDescent="0.3">
      <c r="A5" s="5"/>
      <c r="B5">
        <v>3</v>
      </c>
      <c r="C5" s="178" t="s">
        <v>548</v>
      </c>
      <c r="D5" s="178" t="s">
        <v>666</v>
      </c>
      <c r="E5" s="195"/>
    </row>
    <row r="6" spans="1:5" ht="14.4" x14ac:dyDescent="0.3">
      <c r="A6" s="5"/>
      <c r="B6" t="s">
        <v>549</v>
      </c>
      <c r="C6" s="178" t="s">
        <v>550</v>
      </c>
      <c r="D6" s="178" t="s">
        <v>666</v>
      </c>
      <c r="E6" s="195"/>
    </row>
    <row r="7" spans="1:5" ht="18.75" customHeight="1" x14ac:dyDescent="0.3">
      <c r="A7" s="5"/>
      <c r="B7" t="s">
        <v>551</v>
      </c>
      <c r="C7" s="178" t="s">
        <v>552</v>
      </c>
      <c r="D7" s="178" t="s">
        <v>666</v>
      </c>
      <c r="E7" s="195"/>
    </row>
    <row r="8" spans="1:5" ht="18.75" customHeight="1" x14ac:dyDescent="0.3">
      <c r="A8" s="5"/>
      <c r="B8" t="s">
        <v>553</v>
      </c>
      <c r="C8" s="178" t="s">
        <v>554</v>
      </c>
      <c r="D8" s="178" t="s">
        <v>691</v>
      </c>
      <c r="E8" s="195"/>
    </row>
    <row r="9" spans="1:5" ht="18.75" customHeight="1" x14ac:dyDescent="0.3">
      <c r="A9" s="5"/>
      <c r="B9" t="s">
        <v>555</v>
      </c>
      <c r="C9" s="178" t="s">
        <v>556</v>
      </c>
      <c r="D9" s="178" t="s">
        <v>692</v>
      </c>
      <c r="E9" s="202"/>
    </row>
    <row r="10" spans="1:5" ht="18.75" customHeight="1" x14ac:dyDescent="0.3">
      <c r="A10" s="5"/>
      <c r="B10" t="s">
        <v>557</v>
      </c>
      <c r="C10" s="178" t="s">
        <v>558</v>
      </c>
      <c r="D10" s="178" t="s">
        <v>692</v>
      </c>
      <c r="E10" s="202"/>
    </row>
    <row r="11" spans="1:5" ht="18.75" customHeight="1" x14ac:dyDescent="0.3">
      <c r="A11" s="5"/>
      <c r="B11" t="s">
        <v>559</v>
      </c>
      <c r="C11" s="178" t="s">
        <v>560</v>
      </c>
      <c r="D11" s="178" t="s">
        <v>692</v>
      </c>
      <c r="E11" s="195"/>
    </row>
    <row r="12" spans="1:5" ht="18.75" customHeight="1" x14ac:dyDescent="0.3">
      <c r="A12" s="5"/>
      <c r="B12" t="s">
        <v>561</v>
      </c>
      <c r="C12" s="178" t="s">
        <v>562</v>
      </c>
      <c r="D12" s="178" t="s">
        <v>692</v>
      </c>
      <c r="E12" s="195"/>
    </row>
    <row r="13" spans="1:5" ht="18.75" customHeight="1" x14ac:dyDescent="0.3">
      <c r="A13" s="5"/>
      <c r="B13" t="s">
        <v>563</v>
      </c>
      <c r="C13" s="178" t="s">
        <v>564</v>
      </c>
      <c r="D13" s="178" t="s">
        <v>692</v>
      </c>
      <c r="E13" s="195"/>
    </row>
    <row r="14" spans="1:5" ht="31.5" customHeight="1" x14ac:dyDescent="0.3">
      <c r="A14" s="5"/>
      <c r="B14" t="s">
        <v>565</v>
      </c>
      <c r="C14" s="178" t="s">
        <v>566</v>
      </c>
      <c r="D14" s="178" t="s">
        <v>666</v>
      </c>
      <c r="E14" s="195"/>
    </row>
    <row r="15" spans="1:5" ht="18.75" customHeight="1" x14ac:dyDescent="0.3">
      <c r="A15" s="5"/>
      <c r="B15" t="s">
        <v>567</v>
      </c>
      <c r="C15" s="178" t="s">
        <v>693</v>
      </c>
      <c r="D15" s="178" t="s">
        <v>694</v>
      </c>
      <c r="E15" s="195"/>
    </row>
    <row r="16" spans="1:5" ht="18.75" customHeight="1" x14ac:dyDescent="0.3">
      <c r="A16" s="5"/>
      <c r="B16" t="s">
        <v>568</v>
      </c>
      <c r="C16" s="178" t="s">
        <v>569</v>
      </c>
      <c r="D16" s="178" t="s">
        <v>694</v>
      </c>
      <c r="E16" s="195"/>
    </row>
    <row r="17" spans="1:5" ht="30" customHeight="1" x14ac:dyDescent="0.3">
      <c r="A17" s="5"/>
      <c r="B17" t="s">
        <v>570</v>
      </c>
      <c r="C17" s="178" t="s">
        <v>571</v>
      </c>
      <c r="D17" s="178" t="s">
        <v>694</v>
      </c>
      <c r="E17" s="195"/>
    </row>
    <row r="18" spans="1:5" ht="18.75" customHeight="1" x14ac:dyDescent="0.3">
      <c r="A18" s="5"/>
      <c r="B18" t="s">
        <v>572</v>
      </c>
      <c r="C18" s="178" t="s">
        <v>573</v>
      </c>
      <c r="D18" s="178" t="s">
        <v>666</v>
      </c>
      <c r="E18" s="195"/>
    </row>
    <row r="19" spans="1:5" ht="18.75" customHeight="1" x14ac:dyDescent="0.3">
      <c r="A19" s="5"/>
      <c r="B19" t="s">
        <v>574</v>
      </c>
      <c r="C19" s="178" t="s">
        <v>575</v>
      </c>
      <c r="D19" s="178" t="s">
        <v>666</v>
      </c>
      <c r="E19" s="195"/>
    </row>
    <row r="20" spans="1:5" ht="18.75" customHeight="1" x14ac:dyDescent="0.3">
      <c r="A20" s="5"/>
      <c r="B20" t="s">
        <v>576</v>
      </c>
      <c r="C20" s="178" t="s">
        <v>577</v>
      </c>
      <c r="D20" s="178" t="s">
        <v>666</v>
      </c>
      <c r="E20" s="195"/>
    </row>
    <row r="21" spans="1:5" ht="27.75" customHeight="1" x14ac:dyDescent="0.3">
      <c r="A21" s="5"/>
      <c r="B21" t="s">
        <v>578</v>
      </c>
      <c r="C21" s="178" t="s">
        <v>579</v>
      </c>
      <c r="D21" s="178" t="s">
        <v>666</v>
      </c>
      <c r="E21" s="203"/>
    </row>
    <row r="22" spans="1:5" ht="18.75" customHeight="1" thickBot="1" x14ac:dyDescent="0.35">
      <c r="A22" s="6"/>
      <c r="B22" s="12" t="s">
        <v>580</v>
      </c>
      <c r="C22" s="179" t="s">
        <v>581</v>
      </c>
      <c r="D22" s="179" t="s">
        <v>666</v>
      </c>
      <c r="E22" s="196"/>
    </row>
    <row r="23" spans="1:5" ht="18.75" customHeight="1" thickBot="1" x14ac:dyDescent="0.35"/>
    <row r="24" spans="1:5" ht="18.75" customHeight="1" thickBot="1" x14ac:dyDescent="0.35">
      <c r="A24" s="175" t="s">
        <v>582</v>
      </c>
      <c r="B24" s="176"/>
      <c r="C24" s="177"/>
      <c r="D24" s="177"/>
      <c r="E24" s="194"/>
    </row>
    <row r="25" spans="1:5" ht="18.75" customHeight="1" x14ac:dyDescent="0.3">
      <c r="A25" s="295" t="s">
        <v>583</v>
      </c>
      <c r="B25" s="19"/>
      <c r="C25" s="180"/>
      <c r="D25" s="180"/>
      <c r="E25" s="198"/>
    </row>
    <row r="26" spans="1:5" ht="18.75" customHeight="1" x14ac:dyDescent="0.3">
      <c r="A26" s="296"/>
      <c r="B26" t="s">
        <v>549</v>
      </c>
      <c r="C26" s="178" t="s">
        <v>584</v>
      </c>
      <c r="D26" s="178"/>
      <c r="E26" s="195"/>
    </row>
    <row r="27" spans="1:5" ht="18.75" customHeight="1" x14ac:dyDescent="0.3">
      <c r="A27" s="296"/>
      <c r="B27" t="s">
        <v>551</v>
      </c>
      <c r="C27" s="178" t="s">
        <v>585</v>
      </c>
      <c r="D27" s="178"/>
      <c r="E27" s="195"/>
    </row>
    <row r="28" spans="1:5" ht="18.75" customHeight="1" x14ac:dyDescent="0.3">
      <c r="A28" s="296"/>
      <c r="B28" t="s">
        <v>553</v>
      </c>
      <c r="C28" s="178" t="s">
        <v>586</v>
      </c>
      <c r="D28" s="178"/>
      <c r="E28" s="195"/>
    </row>
    <row r="29" spans="1:5" ht="18.75" customHeight="1" x14ac:dyDescent="0.3">
      <c r="A29" s="296"/>
      <c r="B29" t="s">
        <v>555</v>
      </c>
      <c r="C29" s="178" t="s">
        <v>587</v>
      </c>
      <c r="D29" s="178"/>
      <c r="E29" s="195"/>
    </row>
    <row r="30" spans="1:5" ht="18.75" customHeight="1" x14ac:dyDescent="0.3">
      <c r="A30" s="296"/>
      <c r="B30" t="s">
        <v>557</v>
      </c>
      <c r="C30" s="178" t="s">
        <v>588</v>
      </c>
      <c r="D30" s="178"/>
      <c r="E30" s="195"/>
    </row>
    <row r="31" spans="1:5" ht="18.75" customHeight="1" x14ac:dyDescent="0.3">
      <c r="A31" s="296"/>
      <c r="B31" t="s">
        <v>559</v>
      </c>
      <c r="C31" s="178" t="s">
        <v>589</v>
      </c>
      <c r="D31" s="178"/>
      <c r="E31" s="195"/>
    </row>
    <row r="32" spans="1:5" ht="18.75" customHeight="1" thickBot="1" x14ac:dyDescent="0.35">
      <c r="A32" s="297"/>
      <c r="B32" s="12" t="s">
        <v>561</v>
      </c>
      <c r="C32" s="179" t="s">
        <v>590</v>
      </c>
      <c r="D32" s="179"/>
      <c r="E32" s="196"/>
    </row>
    <row r="33" spans="1:5" ht="18.75" customHeight="1" thickBot="1" x14ac:dyDescent="0.35"/>
    <row r="34" spans="1:5" ht="18.75" customHeight="1" x14ac:dyDescent="0.3">
      <c r="A34" s="295" t="s">
        <v>591</v>
      </c>
      <c r="B34" s="19" t="s">
        <v>549</v>
      </c>
      <c r="C34" s="180" t="s">
        <v>592</v>
      </c>
      <c r="D34" s="180"/>
      <c r="E34" s="198"/>
    </row>
    <row r="35" spans="1:5" ht="18.75" customHeight="1" x14ac:dyDescent="0.3">
      <c r="A35" s="296"/>
      <c r="B35" t="s">
        <v>551</v>
      </c>
      <c r="C35" s="178" t="s">
        <v>22</v>
      </c>
      <c r="D35" s="178"/>
      <c r="E35" s="195"/>
    </row>
    <row r="36" spans="1:5" ht="18.75" customHeight="1" x14ac:dyDescent="0.3">
      <c r="A36" s="296"/>
      <c r="B36" t="s">
        <v>553</v>
      </c>
      <c r="C36" s="178" t="s">
        <v>119</v>
      </c>
      <c r="D36" s="178"/>
      <c r="E36" s="195"/>
    </row>
    <row r="37" spans="1:5" ht="18.75" customHeight="1" x14ac:dyDescent="0.3">
      <c r="A37" s="296"/>
      <c r="B37" t="s">
        <v>557</v>
      </c>
      <c r="C37" s="178" t="s">
        <v>593</v>
      </c>
      <c r="D37" s="178"/>
      <c r="E37" s="195"/>
    </row>
    <row r="38" spans="1:5" ht="18.75" customHeight="1" x14ac:dyDescent="0.3">
      <c r="A38" s="296"/>
      <c r="B38" t="s">
        <v>559</v>
      </c>
      <c r="C38" s="178" t="s">
        <v>594</v>
      </c>
      <c r="D38" s="178"/>
      <c r="E38" s="195"/>
    </row>
    <row r="39" spans="1:5" ht="18.75" customHeight="1" x14ac:dyDescent="0.3">
      <c r="A39" s="296"/>
      <c r="B39" t="s">
        <v>561</v>
      </c>
      <c r="C39" s="178" t="s">
        <v>25</v>
      </c>
      <c r="D39" s="178"/>
      <c r="E39" s="195"/>
    </row>
    <row r="40" spans="1:5" ht="18.75" customHeight="1" x14ac:dyDescent="0.3">
      <c r="A40" s="296"/>
      <c r="B40" t="s">
        <v>563</v>
      </c>
      <c r="C40" s="178" t="s">
        <v>26</v>
      </c>
      <c r="D40" s="178"/>
      <c r="E40" s="195"/>
    </row>
    <row r="41" spans="1:5" ht="18.75" customHeight="1" x14ac:dyDescent="0.3">
      <c r="A41" s="296"/>
      <c r="B41" t="s">
        <v>565</v>
      </c>
      <c r="C41" s="178" t="s">
        <v>595</v>
      </c>
      <c r="D41" s="178"/>
      <c r="E41" s="195"/>
    </row>
    <row r="42" spans="1:5" ht="18.75" customHeight="1" x14ac:dyDescent="0.3">
      <c r="A42" s="296"/>
      <c r="B42" t="s">
        <v>567</v>
      </c>
      <c r="C42" s="178" t="s">
        <v>596</v>
      </c>
      <c r="D42" s="178"/>
      <c r="E42" s="195"/>
    </row>
    <row r="43" spans="1:5" ht="18.75" customHeight="1" x14ac:dyDescent="0.3">
      <c r="A43" s="296"/>
      <c r="B43" t="s">
        <v>568</v>
      </c>
      <c r="C43" s="178" t="s">
        <v>597</v>
      </c>
      <c r="D43" s="178"/>
      <c r="E43" s="195"/>
    </row>
    <row r="44" spans="1:5" ht="18.75" customHeight="1" x14ac:dyDescent="0.3">
      <c r="A44" s="296"/>
      <c r="B44" t="s">
        <v>598</v>
      </c>
      <c r="C44" s="178" t="s">
        <v>212</v>
      </c>
      <c r="D44" s="178"/>
      <c r="E44" s="195"/>
    </row>
    <row r="45" spans="1:5" ht="18.75" customHeight="1" x14ac:dyDescent="0.3">
      <c r="A45" s="296"/>
      <c r="B45" t="s">
        <v>570</v>
      </c>
      <c r="C45" s="178" t="s">
        <v>599</v>
      </c>
      <c r="D45" s="178"/>
      <c r="E45" s="195"/>
    </row>
    <row r="46" spans="1:5" ht="18.75" customHeight="1" thickBot="1" x14ac:dyDescent="0.35">
      <c r="A46" s="297"/>
      <c r="B46" s="12" t="s">
        <v>572</v>
      </c>
      <c r="C46" s="179" t="s">
        <v>600</v>
      </c>
      <c r="D46" s="179"/>
      <c r="E46" s="196"/>
    </row>
    <row r="48" spans="1:5" ht="18.75" customHeight="1" thickBot="1" x14ac:dyDescent="0.35"/>
    <row r="49" spans="1:5" ht="18.75" customHeight="1" thickBot="1" x14ac:dyDescent="0.35">
      <c r="A49" s="181" t="s">
        <v>601</v>
      </c>
      <c r="B49" s="182">
        <v>1</v>
      </c>
      <c r="C49" s="183" t="s">
        <v>602</v>
      </c>
      <c r="D49" s="183"/>
      <c r="E49" s="199"/>
    </row>
    <row r="50" spans="1:5" ht="18.75" customHeight="1" thickBot="1" x14ac:dyDescent="0.35"/>
    <row r="51" spans="1:5" ht="18.75" customHeight="1" x14ac:dyDescent="0.3">
      <c r="A51" s="298" t="s">
        <v>603</v>
      </c>
      <c r="B51" s="19"/>
      <c r="C51" s="180"/>
      <c r="D51" s="180"/>
      <c r="E51" s="198"/>
    </row>
    <row r="52" spans="1:5" ht="18.75" customHeight="1" thickBot="1" x14ac:dyDescent="0.35">
      <c r="A52" s="299"/>
      <c r="B52" s="12">
        <v>1</v>
      </c>
      <c r="C52" s="179" t="s">
        <v>604</v>
      </c>
      <c r="D52" s="179"/>
      <c r="E52" s="196"/>
    </row>
    <row r="54" spans="1:5" ht="18.75" customHeight="1" thickBot="1" x14ac:dyDescent="0.35"/>
    <row r="55" spans="1:5" ht="18.75" customHeight="1" x14ac:dyDescent="0.3">
      <c r="A55" s="295" t="s">
        <v>605</v>
      </c>
      <c r="B55" s="19">
        <v>1</v>
      </c>
      <c r="C55" s="180" t="s">
        <v>606</v>
      </c>
      <c r="D55" s="180"/>
      <c r="E55" s="198"/>
    </row>
    <row r="56" spans="1:5" ht="18.75" customHeight="1" x14ac:dyDescent="0.3">
      <c r="A56" s="296"/>
      <c r="B56">
        <v>2</v>
      </c>
      <c r="C56" s="178" t="s">
        <v>607</v>
      </c>
      <c r="D56" s="178"/>
      <c r="E56" s="195"/>
    </row>
    <row r="57" spans="1:5" ht="18.75" customHeight="1" x14ac:dyDescent="0.3">
      <c r="A57" s="296"/>
      <c r="B57">
        <v>3</v>
      </c>
      <c r="C57" s="178" t="s">
        <v>608</v>
      </c>
      <c r="D57" s="178"/>
      <c r="E57" s="195"/>
    </row>
    <row r="58" spans="1:5" ht="18.75" customHeight="1" x14ac:dyDescent="0.3">
      <c r="A58" s="296"/>
      <c r="B58">
        <v>4</v>
      </c>
      <c r="C58" s="178" t="s">
        <v>609</v>
      </c>
      <c r="D58" s="178"/>
      <c r="E58" s="195"/>
    </row>
    <row r="59" spans="1:5" ht="18.75" customHeight="1" x14ac:dyDescent="0.3">
      <c r="A59" s="296"/>
      <c r="B59" t="s">
        <v>549</v>
      </c>
      <c r="C59" s="178" t="s">
        <v>123</v>
      </c>
      <c r="D59" s="178"/>
      <c r="E59" s="195"/>
    </row>
    <row r="60" spans="1:5" ht="18.75" customHeight="1" x14ac:dyDescent="0.3">
      <c r="A60" s="296"/>
      <c r="B60" t="s">
        <v>551</v>
      </c>
      <c r="C60" s="178" t="s">
        <v>124</v>
      </c>
      <c r="D60" s="178"/>
      <c r="E60" s="195"/>
    </row>
    <row r="61" spans="1:5" ht="18.75" customHeight="1" x14ac:dyDescent="0.3">
      <c r="A61" s="296"/>
      <c r="B61" t="s">
        <v>553</v>
      </c>
      <c r="C61" s="178" t="s">
        <v>125</v>
      </c>
      <c r="D61" s="178"/>
      <c r="E61" s="195"/>
    </row>
    <row r="62" spans="1:5" ht="18.75" customHeight="1" x14ac:dyDescent="0.3">
      <c r="A62" s="296"/>
      <c r="B62" t="s">
        <v>555</v>
      </c>
      <c r="C62" s="178" t="s">
        <v>2</v>
      </c>
      <c r="D62" s="178"/>
      <c r="E62" s="195"/>
    </row>
    <row r="63" spans="1:5" ht="18.75" customHeight="1" x14ac:dyDescent="0.3">
      <c r="A63" s="296"/>
      <c r="B63" t="s">
        <v>557</v>
      </c>
      <c r="C63" s="178" t="s">
        <v>610</v>
      </c>
      <c r="D63" s="178"/>
      <c r="E63" s="195"/>
    </row>
    <row r="64" spans="1:5" ht="18.75" customHeight="1" x14ac:dyDescent="0.3">
      <c r="A64" s="296"/>
      <c r="B64" t="s">
        <v>559</v>
      </c>
      <c r="C64" s="178" t="s">
        <v>611</v>
      </c>
      <c r="D64" s="178"/>
      <c r="E64" s="195"/>
    </row>
    <row r="65" spans="1:5" ht="18.75" customHeight="1" x14ac:dyDescent="0.3">
      <c r="A65" s="296"/>
      <c r="B65" t="s">
        <v>561</v>
      </c>
      <c r="C65" s="178" t="s">
        <v>612</v>
      </c>
      <c r="D65" s="178"/>
      <c r="E65" s="195"/>
    </row>
    <row r="66" spans="1:5" ht="18.75" customHeight="1" x14ac:dyDescent="0.3">
      <c r="A66" s="296"/>
      <c r="B66" t="s">
        <v>563</v>
      </c>
      <c r="C66" s="178" t="s">
        <v>613</v>
      </c>
      <c r="D66" s="178"/>
      <c r="E66" s="195"/>
    </row>
    <row r="67" spans="1:5" ht="18.75" customHeight="1" x14ac:dyDescent="0.3">
      <c r="A67" s="296"/>
      <c r="B67" t="s">
        <v>565</v>
      </c>
      <c r="C67" s="178" t="s">
        <v>175</v>
      </c>
      <c r="D67" s="178"/>
      <c r="E67" s="195"/>
    </row>
    <row r="68" spans="1:5" ht="18.75" customHeight="1" x14ac:dyDescent="0.3">
      <c r="A68" s="296"/>
      <c r="B68" t="s">
        <v>567</v>
      </c>
      <c r="C68" s="178" t="s">
        <v>614</v>
      </c>
      <c r="D68" s="178"/>
      <c r="E68" s="195"/>
    </row>
    <row r="69" spans="1:5" ht="18.75" customHeight="1" x14ac:dyDescent="0.3">
      <c r="A69" s="296"/>
      <c r="B69" t="s">
        <v>568</v>
      </c>
      <c r="C69" s="178" t="s">
        <v>169</v>
      </c>
      <c r="D69" s="178"/>
      <c r="E69" s="195"/>
    </row>
    <row r="70" spans="1:5" ht="18.75" customHeight="1" x14ac:dyDescent="0.3">
      <c r="A70" s="296"/>
      <c r="B70" t="s">
        <v>598</v>
      </c>
      <c r="C70" s="178" t="s">
        <v>171</v>
      </c>
      <c r="D70" s="178"/>
      <c r="E70" s="195"/>
    </row>
    <row r="71" spans="1:5" ht="18.75" customHeight="1" x14ac:dyDescent="0.3">
      <c r="A71" s="296"/>
      <c r="B71" t="s">
        <v>570</v>
      </c>
      <c r="C71" s="178" t="s">
        <v>615</v>
      </c>
      <c r="D71" s="178"/>
      <c r="E71" s="195"/>
    </row>
    <row r="72" spans="1:5" ht="18.75" customHeight="1" x14ac:dyDescent="0.3">
      <c r="A72" s="296"/>
      <c r="B72" t="s">
        <v>572</v>
      </c>
      <c r="C72" s="178" t="s">
        <v>616</v>
      </c>
      <c r="D72" s="178"/>
      <c r="E72" s="195"/>
    </row>
    <row r="73" spans="1:5" ht="18.75" customHeight="1" x14ac:dyDescent="0.3">
      <c r="A73" s="296"/>
      <c r="B73" t="s">
        <v>574</v>
      </c>
      <c r="C73" s="178" t="s">
        <v>5</v>
      </c>
      <c r="D73" s="178"/>
      <c r="E73" s="195"/>
    </row>
    <row r="74" spans="1:5" ht="18.75" customHeight="1" x14ac:dyDescent="0.3">
      <c r="A74" s="296"/>
      <c r="B74" t="s">
        <v>576</v>
      </c>
      <c r="C74" s="178" t="s">
        <v>617</v>
      </c>
      <c r="D74" s="178"/>
      <c r="E74" s="195"/>
    </row>
    <row r="75" spans="1:5" ht="18.75" customHeight="1" x14ac:dyDescent="0.3">
      <c r="A75" s="296"/>
      <c r="B75" t="s">
        <v>578</v>
      </c>
      <c r="C75" s="178" t="s">
        <v>136</v>
      </c>
      <c r="D75" s="178"/>
      <c r="E75" s="195"/>
    </row>
    <row r="76" spans="1:5" ht="18.75" customHeight="1" x14ac:dyDescent="0.3">
      <c r="A76" s="296"/>
      <c r="B76" t="s">
        <v>580</v>
      </c>
      <c r="C76" s="178" t="s">
        <v>137</v>
      </c>
      <c r="D76" s="178"/>
      <c r="E76" s="195"/>
    </row>
    <row r="77" spans="1:5" ht="18.75" customHeight="1" x14ac:dyDescent="0.3">
      <c r="A77" s="296"/>
      <c r="B77" t="s">
        <v>618</v>
      </c>
      <c r="C77" s="178" t="s">
        <v>619</v>
      </c>
      <c r="D77" s="178"/>
      <c r="E77" s="195"/>
    </row>
    <row r="78" spans="1:5" ht="18.75" customHeight="1" x14ac:dyDescent="0.3">
      <c r="A78" s="296"/>
      <c r="B78" t="s">
        <v>620</v>
      </c>
      <c r="C78" s="178" t="s">
        <v>139</v>
      </c>
      <c r="D78" s="178"/>
      <c r="E78" s="195"/>
    </row>
    <row r="79" spans="1:5" ht="18.75" customHeight="1" x14ac:dyDescent="0.3">
      <c r="A79" s="296"/>
      <c r="B79" t="s">
        <v>621</v>
      </c>
      <c r="C79" s="178" t="s">
        <v>140</v>
      </c>
      <c r="D79" s="178"/>
      <c r="E79" s="195"/>
    </row>
    <row r="80" spans="1:5" ht="18.75" customHeight="1" thickBot="1" x14ac:dyDescent="0.35">
      <c r="A80" s="297"/>
      <c r="B80" s="12" t="s">
        <v>622</v>
      </c>
      <c r="C80" s="179" t="s">
        <v>168</v>
      </c>
      <c r="D80" s="179"/>
      <c r="E80" s="196"/>
    </row>
    <row r="82" spans="1:3" ht="18.75" customHeight="1" x14ac:dyDescent="0.3">
      <c r="A82" t="s">
        <v>623</v>
      </c>
    </row>
    <row r="83" spans="1:3" ht="18.75" customHeight="1" x14ac:dyDescent="0.3">
      <c r="B83">
        <v>1</v>
      </c>
      <c r="C83" s="173" t="s">
        <v>624</v>
      </c>
    </row>
    <row r="85" spans="1:3" ht="18.75" customHeight="1" x14ac:dyDescent="0.3">
      <c r="A85" t="s">
        <v>625</v>
      </c>
      <c r="B85">
        <v>1</v>
      </c>
      <c r="C85" s="173" t="s">
        <v>626</v>
      </c>
    </row>
    <row r="86" spans="1:3" ht="18.75" customHeight="1" x14ac:dyDescent="0.3">
      <c r="B86">
        <v>2</v>
      </c>
      <c r="C86" s="173" t="s">
        <v>627</v>
      </c>
    </row>
    <row r="87" spans="1:3" ht="18.75" customHeight="1" x14ac:dyDescent="0.3">
      <c r="B87" t="s">
        <v>549</v>
      </c>
      <c r="C87" s="173" t="s">
        <v>628</v>
      </c>
    </row>
    <row r="88" spans="1:3" ht="18.75" customHeight="1" x14ac:dyDescent="0.3">
      <c r="B88" t="s">
        <v>551</v>
      </c>
      <c r="C88" s="173" t="s">
        <v>629</v>
      </c>
    </row>
    <row r="89" spans="1:3" ht="18.75" customHeight="1" x14ac:dyDescent="0.3">
      <c r="B89" t="s">
        <v>553</v>
      </c>
      <c r="C89" s="173" t="s">
        <v>630</v>
      </c>
    </row>
    <row r="90" spans="1:3" ht="18.75" customHeight="1" x14ac:dyDescent="0.3">
      <c r="B90" t="s">
        <v>555</v>
      </c>
      <c r="C90" s="173" t="s">
        <v>631</v>
      </c>
    </row>
    <row r="92" spans="1:3" ht="18.75" customHeight="1" x14ac:dyDescent="0.3">
      <c r="A92" t="s">
        <v>632</v>
      </c>
    </row>
    <row r="93" spans="1:3" ht="18.75" customHeight="1" x14ac:dyDescent="0.3">
      <c r="A93" t="s">
        <v>54</v>
      </c>
      <c r="B93">
        <v>1</v>
      </c>
      <c r="C93" s="173" t="s">
        <v>633</v>
      </c>
    </row>
    <row r="94" spans="1:3" ht="18.75" customHeight="1" x14ac:dyDescent="0.3">
      <c r="B94" t="s">
        <v>549</v>
      </c>
      <c r="C94" s="173" t="s">
        <v>20</v>
      </c>
    </row>
    <row r="95" spans="1:3" ht="18.75" customHeight="1" x14ac:dyDescent="0.3">
      <c r="B95" t="s">
        <v>551</v>
      </c>
      <c r="C95" s="173" t="s">
        <v>78</v>
      </c>
    </row>
    <row r="96" spans="1:3" ht="18.75" customHeight="1" x14ac:dyDescent="0.3">
      <c r="B96" t="s">
        <v>553</v>
      </c>
      <c r="C96" s="173" t="s">
        <v>634</v>
      </c>
    </row>
    <row r="97" spans="1:3" ht="18.75" customHeight="1" x14ac:dyDescent="0.3">
      <c r="B97">
        <v>2</v>
      </c>
      <c r="C97" s="173" t="s">
        <v>635</v>
      </c>
    </row>
    <row r="99" spans="1:3" ht="18.75" customHeight="1" x14ac:dyDescent="0.3">
      <c r="A99" t="s">
        <v>636</v>
      </c>
      <c r="B99">
        <v>1</v>
      </c>
      <c r="C99" s="173" t="s">
        <v>637</v>
      </c>
    </row>
    <row r="100" spans="1:3" ht="18.75" customHeight="1" x14ac:dyDescent="0.3">
      <c r="B100">
        <v>2</v>
      </c>
      <c r="C100" s="173" t="s">
        <v>638</v>
      </c>
    </row>
    <row r="101" spans="1:3" ht="18.75" customHeight="1" x14ac:dyDescent="0.3">
      <c r="B101">
        <v>3</v>
      </c>
      <c r="C101" s="173" t="s">
        <v>639</v>
      </c>
    </row>
    <row r="102" spans="1:3" ht="18.75" customHeight="1" x14ac:dyDescent="0.3">
      <c r="B102">
        <v>4</v>
      </c>
      <c r="C102" s="173" t="s">
        <v>640</v>
      </c>
    </row>
    <row r="104" spans="1:3" ht="18.75" customHeight="1" x14ac:dyDescent="0.3">
      <c r="A104" t="s">
        <v>641</v>
      </c>
      <c r="B104">
        <v>1</v>
      </c>
      <c r="C104" s="173" t="s">
        <v>642</v>
      </c>
    </row>
    <row r="105" spans="1:3" ht="18.75" customHeight="1" x14ac:dyDescent="0.3">
      <c r="B105">
        <v>2</v>
      </c>
      <c r="C105" s="173" t="s">
        <v>643</v>
      </c>
    </row>
    <row r="106" spans="1:3" ht="18.75" customHeight="1" x14ac:dyDescent="0.3">
      <c r="B106">
        <v>3</v>
      </c>
      <c r="C106" s="173" t="s">
        <v>644</v>
      </c>
    </row>
    <row r="108" spans="1:3" ht="18.75" customHeight="1" x14ac:dyDescent="0.3">
      <c r="A108" t="s">
        <v>645</v>
      </c>
      <c r="B108">
        <v>1</v>
      </c>
      <c r="C108" s="173" t="s">
        <v>646</v>
      </c>
    </row>
    <row r="111" spans="1:3" ht="18.75" customHeight="1" x14ac:dyDescent="0.3">
      <c r="A111" t="s">
        <v>647</v>
      </c>
      <c r="B111">
        <v>1</v>
      </c>
      <c r="C111" s="173" t="s">
        <v>648</v>
      </c>
    </row>
    <row r="112" spans="1:3" ht="18.75" customHeight="1" x14ac:dyDescent="0.3">
      <c r="B112">
        <v>2</v>
      </c>
      <c r="C112" s="173" t="s">
        <v>649</v>
      </c>
    </row>
    <row r="113" spans="1:3" ht="18.75" customHeight="1" x14ac:dyDescent="0.3">
      <c r="B113">
        <v>3</v>
      </c>
      <c r="C113" s="173" t="s">
        <v>650</v>
      </c>
    </row>
    <row r="115" spans="1:3" ht="18.75" customHeight="1" x14ac:dyDescent="0.3">
      <c r="A115" t="s">
        <v>651</v>
      </c>
      <c r="B115">
        <v>1</v>
      </c>
      <c r="C115" s="173" t="s">
        <v>652</v>
      </c>
    </row>
    <row r="117" spans="1:3" ht="18.75" customHeight="1" x14ac:dyDescent="0.3">
      <c r="A117" t="s">
        <v>653</v>
      </c>
      <c r="B117">
        <v>1</v>
      </c>
      <c r="C117" s="173" t="s">
        <v>654</v>
      </c>
    </row>
    <row r="118" spans="1:3" ht="18.75" customHeight="1" x14ac:dyDescent="0.3">
      <c r="B118">
        <v>2</v>
      </c>
      <c r="C118" s="173" t="s">
        <v>654</v>
      </c>
    </row>
    <row r="120" spans="1:3" ht="18.75" customHeight="1" x14ac:dyDescent="0.3">
      <c r="A120" t="s">
        <v>655</v>
      </c>
      <c r="B120">
        <v>1</v>
      </c>
      <c r="C120" s="173" t="s">
        <v>656</v>
      </c>
    </row>
    <row r="121" spans="1:3" ht="18.75" customHeight="1" x14ac:dyDescent="0.3">
      <c r="B121">
        <v>2</v>
      </c>
      <c r="C121" s="173" t="s">
        <v>657</v>
      </c>
    </row>
    <row r="122" spans="1:3" ht="18.75" customHeight="1" x14ac:dyDescent="0.3">
      <c r="B122">
        <v>3</v>
      </c>
      <c r="C122" s="173" t="s">
        <v>658</v>
      </c>
    </row>
    <row r="123" spans="1:3" ht="18.75" customHeight="1" x14ac:dyDescent="0.3">
      <c r="B123">
        <v>4</v>
      </c>
      <c r="C123" s="173" t="s">
        <v>659</v>
      </c>
    </row>
    <row r="125" spans="1:3" ht="18.75" customHeight="1" x14ac:dyDescent="0.3">
      <c r="A125" t="s">
        <v>201</v>
      </c>
      <c r="B125">
        <v>1</v>
      </c>
      <c r="C125" s="173" t="s">
        <v>660</v>
      </c>
    </row>
    <row r="127" spans="1:3" ht="18.75" customHeight="1" x14ac:dyDescent="0.3">
      <c r="A127" t="s">
        <v>661</v>
      </c>
      <c r="B127">
        <v>1</v>
      </c>
      <c r="C127" s="173" t="s">
        <v>662</v>
      </c>
    </row>
    <row r="128" spans="1:3" ht="18.75" customHeight="1" x14ac:dyDescent="0.3">
      <c r="B128">
        <v>2</v>
      </c>
      <c r="C128" s="173" t="s">
        <v>663</v>
      </c>
    </row>
    <row r="130" spans="1:3" ht="18.75" customHeight="1" x14ac:dyDescent="0.3">
      <c r="A130" t="s">
        <v>664</v>
      </c>
      <c r="B130">
        <v>1</v>
      </c>
      <c r="C130" s="173" t="s">
        <v>665</v>
      </c>
    </row>
  </sheetData>
  <mergeCells count="4">
    <mergeCell ref="A25:A32"/>
    <mergeCell ref="A34:A46"/>
    <mergeCell ref="A51:A52"/>
    <mergeCell ref="A55:A80"/>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AV22"/>
  <sheetViews>
    <sheetView topLeftCell="AF1" zoomScale="110" zoomScaleNormal="110" workbookViewId="0">
      <selection activeCell="AI17" sqref="AI17:AI21"/>
    </sheetView>
  </sheetViews>
  <sheetFormatPr defaultColWidth="9.109375" defaultRowHeight="14.4" x14ac:dyDescent="0.3"/>
  <cols>
    <col min="1" max="1" width="18.44140625" bestFit="1" customWidth="1"/>
    <col min="2" max="2" width="8.33203125" bestFit="1" customWidth="1"/>
    <col min="3" max="3" width="56.44140625" bestFit="1" customWidth="1"/>
    <col min="4" max="4" width="8.109375" customWidth="1"/>
    <col min="5" max="5" width="8.44140625" customWidth="1"/>
    <col min="6" max="6" width="6" style="81" customWidth="1"/>
    <col min="7" max="7" width="8.6640625" customWidth="1"/>
    <col min="8" max="8" width="9.5546875" style="81" customWidth="1"/>
    <col min="9" max="9" width="19.88671875" customWidth="1"/>
    <col min="10" max="10" width="7.5546875" customWidth="1"/>
    <col min="11" max="11" width="12.44140625" bestFit="1" customWidth="1"/>
    <col min="12" max="13" width="20.6640625" style="235" customWidth="1"/>
    <col min="14" max="14" width="8.44140625" customWidth="1"/>
    <col min="15" max="15" width="18.6640625" customWidth="1"/>
    <col min="16" max="16" width="15.5546875" style="82" customWidth="1"/>
    <col min="17" max="17" width="21.6640625" style="82" customWidth="1"/>
    <col min="18" max="18" width="10.109375" customWidth="1"/>
    <col min="19" max="19" width="8" customWidth="1"/>
    <col min="20" max="20" width="19.6640625" customWidth="1"/>
    <col min="21" max="21" width="14.44140625" style="84" customWidth="1"/>
    <col min="22" max="22" width="16.88671875" customWidth="1"/>
    <col min="23" max="23" width="20.6640625" style="17" customWidth="1"/>
    <col min="24" max="24" width="15.6640625" customWidth="1"/>
    <col min="25" max="25" width="15.44140625" style="17" customWidth="1"/>
    <col min="26" max="26" width="19.5546875" style="86" customWidth="1"/>
    <col min="27" max="27" width="18" customWidth="1"/>
    <col min="28" max="28" width="17.33203125" customWidth="1"/>
    <col min="29" max="29" width="8.88671875" style="89" customWidth="1"/>
    <col min="30" max="30" width="10.6640625" style="81" customWidth="1"/>
    <col min="31" max="31" width="18.44140625" style="81" customWidth="1"/>
    <col min="32" max="32" width="25.88671875" style="81" customWidth="1"/>
    <col min="33" max="33" width="10.5546875" style="81" customWidth="1"/>
    <col min="34" max="34" width="19.6640625" style="81" customWidth="1"/>
    <col min="35" max="35" width="29" customWidth="1"/>
    <col min="36" max="36" width="36.5546875" style="81" customWidth="1"/>
    <col min="37" max="37" width="17.5546875" style="81" customWidth="1"/>
    <col min="38" max="38" width="23.5546875" style="81" customWidth="1"/>
    <col min="39" max="39" width="21" style="81" customWidth="1"/>
    <col min="40" max="40" width="10.88671875" customWidth="1"/>
    <col min="41" max="41" width="13.6640625" customWidth="1"/>
    <col min="42" max="42" width="16.5546875" style="81" customWidth="1"/>
    <col min="43" max="43" width="13.33203125" style="81" customWidth="1"/>
    <col min="44" max="44" width="9.109375" style="81" customWidth="1"/>
    <col min="45" max="45" width="19.33203125" style="81" customWidth="1"/>
    <col min="46" max="46" width="25.77734375" bestFit="1" customWidth="1"/>
  </cols>
  <sheetData>
    <row r="1" spans="1:48" s="30" customFormat="1" ht="15" thickBot="1" x14ac:dyDescent="0.35">
      <c r="A1" s="92" t="s">
        <v>58</v>
      </c>
      <c r="B1" s="90" t="s">
        <v>0</v>
      </c>
      <c r="C1" s="93" t="s">
        <v>60</v>
      </c>
      <c r="D1" s="93" t="s">
        <v>123</v>
      </c>
      <c r="E1" s="93" t="s">
        <v>124</v>
      </c>
      <c r="F1" s="93" t="s">
        <v>125</v>
      </c>
      <c r="G1" s="90" t="s">
        <v>126</v>
      </c>
      <c r="H1" s="90" t="s">
        <v>127</v>
      </c>
      <c r="I1" s="93" t="s">
        <v>2</v>
      </c>
      <c r="J1" s="90" t="s">
        <v>3</v>
      </c>
      <c r="K1" s="93" t="s">
        <v>62</v>
      </c>
      <c r="L1" s="126" t="s">
        <v>63</v>
      </c>
      <c r="M1" s="126" t="s">
        <v>65</v>
      </c>
      <c r="N1" s="90" t="s">
        <v>4</v>
      </c>
      <c r="O1" s="90" t="s">
        <v>66</v>
      </c>
      <c r="P1" s="95" t="s">
        <v>68</v>
      </c>
      <c r="Q1" s="95" t="s">
        <v>71</v>
      </c>
      <c r="R1" s="96" t="s">
        <v>175</v>
      </c>
      <c r="S1" s="90" t="s">
        <v>128</v>
      </c>
      <c r="T1" s="93" t="s">
        <v>72</v>
      </c>
      <c r="U1" s="97" t="s">
        <v>169</v>
      </c>
      <c r="V1" s="91" t="s">
        <v>170</v>
      </c>
      <c r="W1" s="94" t="s">
        <v>171</v>
      </c>
      <c r="X1" s="91" t="s">
        <v>172</v>
      </c>
      <c r="Y1" s="91" t="s">
        <v>173</v>
      </c>
      <c r="Z1" s="98" t="s">
        <v>235</v>
      </c>
      <c r="AA1" s="93" t="s">
        <v>132</v>
      </c>
      <c r="AB1" s="91" t="s">
        <v>133</v>
      </c>
      <c r="AC1" s="99" t="s">
        <v>5</v>
      </c>
      <c r="AD1" s="91" t="s">
        <v>73</v>
      </c>
      <c r="AE1" s="91" t="s">
        <v>74</v>
      </c>
      <c r="AF1" s="91" t="s">
        <v>75</v>
      </c>
      <c r="AG1" s="91" t="s">
        <v>76</v>
      </c>
      <c r="AH1" s="91" t="s">
        <v>134</v>
      </c>
      <c r="AI1" s="100" t="s">
        <v>135</v>
      </c>
      <c r="AJ1" s="100" t="s">
        <v>136</v>
      </c>
      <c r="AK1" s="100" t="s">
        <v>137</v>
      </c>
      <c r="AL1" s="100" t="s">
        <v>138</v>
      </c>
      <c r="AM1" s="100" t="s">
        <v>139</v>
      </c>
      <c r="AN1" s="100" t="s">
        <v>140</v>
      </c>
      <c r="AO1" s="101" t="s">
        <v>168</v>
      </c>
      <c r="AP1" s="91" t="s">
        <v>174</v>
      </c>
      <c r="AQ1" s="91" t="s">
        <v>182</v>
      </c>
      <c r="AR1" s="91" t="s">
        <v>205</v>
      </c>
      <c r="AS1" s="91" t="s">
        <v>206</v>
      </c>
    </row>
    <row r="2" spans="1:48" s="204" customFormat="1" x14ac:dyDescent="0.3">
      <c r="A2" t="s">
        <v>239</v>
      </c>
      <c r="B2" t="s">
        <v>232</v>
      </c>
      <c r="C2" t="s">
        <v>237</v>
      </c>
      <c r="D2" s="81" t="s">
        <v>1348</v>
      </c>
      <c r="E2" s="81" t="s">
        <v>1349</v>
      </c>
      <c r="F2" s="81" t="s">
        <v>1350</v>
      </c>
      <c r="H2" s="81" t="s">
        <v>229</v>
      </c>
      <c r="I2" s="77" t="s">
        <v>303</v>
      </c>
      <c r="K2" s="77" t="s">
        <v>230</v>
      </c>
      <c r="L2" s="77">
        <v>45405</v>
      </c>
      <c r="M2" s="77">
        <v>47212</v>
      </c>
      <c r="O2" s="81" t="s">
        <v>747</v>
      </c>
      <c r="P2" s="82">
        <v>0</v>
      </c>
      <c r="Q2" s="82">
        <v>150000000</v>
      </c>
      <c r="R2" s="88">
        <v>250000</v>
      </c>
      <c r="T2" s="269">
        <v>101</v>
      </c>
      <c r="U2" s="83">
        <v>6.2164801120758055E-2</v>
      </c>
      <c r="V2" s="81" t="s">
        <v>234</v>
      </c>
      <c r="W2" s="77">
        <v>45749</v>
      </c>
      <c r="X2" s="205"/>
      <c r="Y2" s="205"/>
      <c r="Z2" s="87">
        <v>1.6666666666666668E-3</v>
      </c>
      <c r="AA2" s="206">
        <v>2.3430279977205756E-2</v>
      </c>
      <c r="AB2" s="81">
        <v>0</v>
      </c>
      <c r="AC2" s="206">
        <v>5.6722120000000001E-2</v>
      </c>
      <c r="AD2" s="81">
        <v>0</v>
      </c>
      <c r="AE2" s="81">
        <v>0</v>
      </c>
      <c r="AF2" s="81">
        <v>0</v>
      </c>
      <c r="AG2" s="81">
        <v>0</v>
      </c>
      <c r="AH2" s="81">
        <v>0</v>
      </c>
      <c r="AI2" s="77">
        <v>45749</v>
      </c>
      <c r="AJ2" s="77">
        <v>45749</v>
      </c>
      <c r="AK2" s="77">
        <v>45749</v>
      </c>
      <c r="AL2" s="77">
        <v>45749</v>
      </c>
      <c r="AM2" s="77">
        <v>45749</v>
      </c>
      <c r="AN2" s="77" t="s">
        <v>305</v>
      </c>
      <c r="AO2" s="77" t="s">
        <v>304</v>
      </c>
      <c r="AP2" s="81">
        <v>0</v>
      </c>
      <c r="AQ2" s="81">
        <v>0</v>
      </c>
      <c r="AR2" s="81">
        <v>0</v>
      </c>
      <c r="AS2" s="81">
        <v>1</v>
      </c>
      <c r="AV2" s="270"/>
    </row>
    <row r="3" spans="1:48" s="204" customFormat="1" x14ac:dyDescent="0.3">
      <c r="A3" t="s">
        <v>240</v>
      </c>
      <c r="B3" t="s">
        <v>233</v>
      </c>
      <c r="C3" t="s">
        <v>238</v>
      </c>
      <c r="D3" s="81" t="s">
        <v>1351</v>
      </c>
      <c r="E3" s="81" t="s">
        <v>1352</v>
      </c>
      <c r="F3" s="81" t="s">
        <v>1350</v>
      </c>
      <c r="H3" s="81" t="s">
        <v>229</v>
      </c>
      <c r="I3" s="77" t="s">
        <v>311</v>
      </c>
      <c r="K3" s="77" t="s">
        <v>231</v>
      </c>
      <c r="L3" s="77">
        <v>45686</v>
      </c>
      <c r="M3" s="77">
        <v>46850</v>
      </c>
      <c r="O3" s="81" t="s">
        <v>747</v>
      </c>
      <c r="P3" s="82">
        <v>5000000</v>
      </c>
      <c r="Q3" s="82">
        <v>5000000</v>
      </c>
      <c r="R3" s="88">
        <v>250000</v>
      </c>
      <c r="T3" s="269">
        <v>100.2</v>
      </c>
      <c r="U3" s="83">
        <v>0.10476479396820068</v>
      </c>
      <c r="V3" s="81" t="s">
        <v>234</v>
      </c>
      <c r="W3" s="77">
        <v>45751</v>
      </c>
      <c r="X3" s="205"/>
      <c r="Y3" s="205"/>
      <c r="Z3" s="87">
        <v>8.3333333333333332E-3</v>
      </c>
      <c r="AA3" s="206">
        <v>6.6102750044470304E-2</v>
      </c>
      <c r="AB3" s="81">
        <v>0</v>
      </c>
      <c r="AC3" s="206">
        <v>0.10367698</v>
      </c>
      <c r="AD3" s="81">
        <v>0</v>
      </c>
      <c r="AE3" s="81">
        <v>0</v>
      </c>
      <c r="AF3" s="81">
        <v>0</v>
      </c>
      <c r="AG3" s="81">
        <v>0</v>
      </c>
      <c r="AH3" s="81">
        <v>0</v>
      </c>
      <c r="AI3" s="77">
        <v>45751</v>
      </c>
      <c r="AJ3" s="77">
        <v>45751</v>
      </c>
      <c r="AK3" s="77">
        <v>45751</v>
      </c>
      <c r="AL3" s="77">
        <v>45751</v>
      </c>
      <c r="AM3" s="77">
        <v>45751</v>
      </c>
      <c r="AN3" s="77" t="s">
        <v>313</v>
      </c>
      <c r="AO3" s="77" t="s">
        <v>312</v>
      </c>
      <c r="AP3" s="81">
        <v>0</v>
      </c>
      <c r="AQ3" s="81">
        <v>0</v>
      </c>
      <c r="AR3" s="81">
        <v>0</v>
      </c>
      <c r="AS3" s="81">
        <v>1</v>
      </c>
      <c r="AV3" s="270"/>
    </row>
    <row r="4" spans="1:48" s="204" customFormat="1" x14ac:dyDescent="0.3">
      <c r="A4" t="s">
        <v>524</v>
      </c>
      <c r="B4" t="s">
        <v>525</v>
      </c>
      <c r="C4" t="s">
        <v>236</v>
      </c>
      <c r="D4" s="81" t="s">
        <v>1353</v>
      </c>
      <c r="E4" s="81" t="s">
        <v>1354</v>
      </c>
      <c r="F4" s="81" t="s">
        <v>1350</v>
      </c>
      <c r="H4" s="81" t="s">
        <v>229</v>
      </c>
      <c r="I4" s="77" t="s">
        <v>319</v>
      </c>
      <c r="K4" s="77" t="s">
        <v>317</v>
      </c>
      <c r="L4" s="77">
        <v>45252</v>
      </c>
      <c r="M4" s="77">
        <v>46395</v>
      </c>
      <c r="O4" s="81" t="s">
        <v>747</v>
      </c>
      <c r="P4" s="82">
        <v>0</v>
      </c>
      <c r="Q4" s="82">
        <v>600000000</v>
      </c>
      <c r="R4" s="88">
        <v>250000</v>
      </c>
      <c r="T4" s="269">
        <v>102.85</v>
      </c>
      <c r="U4" s="83">
        <v>9.06E-2</v>
      </c>
      <c r="V4" s="81" t="s">
        <v>234</v>
      </c>
      <c r="W4" s="77">
        <v>45751</v>
      </c>
      <c r="X4" s="205"/>
      <c r="Y4" s="205"/>
      <c r="Z4" s="87">
        <v>1.25E-3</v>
      </c>
      <c r="AA4" s="206">
        <v>5.2493054522594618E-2</v>
      </c>
      <c r="AB4" s="81">
        <v>0</v>
      </c>
      <c r="AC4" s="206">
        <v>7.6703099999999996E-2</v>
      </c>
      <c r="AD4" s="81">
        <v>0</v>
      </c>
      <c r="AE4" s="81">
        <v>0</v>
      </c>
      <c r="AF4" s="81">
        <v>0</v>
      </c>
      <c r="AG4" s="81">
        <v>0</v>
      </c>
      <c r="AH4" s="81">
        <v>0</v>
      </c>
      <c r="AI4" s="77">
        <v>45751</v>
      </c>
      <c r="AJ4" s="77">
        <v>45751</v>
      </c>
      <c r="AK4" s="77">
        <v>45751</v>
      </c>
      <c r="AL4" s="77">
        <v>45751</v>
      </c>
      <c r="AM4" s="77">
        <v>45751</v>
      </c>
      <c r="AN4" s="77" t="s">
        <v>305</v>
      </c>
      <c r="AO4" s="77" t="s">
        <v>312</v>
      </c>
      <c r="AP4" s="81">
        <v>0</v>
      </c>
      <c r="AQ4" s="81">
        <v>0</v>
      </c>
      <c r="AR4" s="81">
        <v>0</v>
      </c>
      <c r="AS4" s="81">
        <v>1</v>
      </c>
      <c r="AV4" s="270"/>
    </row>
    <row r="5" spans="1:48" s="204" customFormat="1" x14ac:dyDescent="0.3">
      <c r="A5" t="s">
        <v>526</v>
      </c>
      <c r="B5" t="s">
        <v>527</v>
      </c>
      <c r="C5" t="s">
        <v>215</v>
      </c>
      <c r="D5" s="81" t="s">
        <v>1355</v>
      </c>
      <c r="E5" s="81" t="s">
        <v>1356</v>
      </c>
      <c r="F5" s="81" t="s">
        <v>1350</v>
      </c>
      <c r="H5" s="81" t="s">
        <v>229</v>
      </c>
      <c r="I5" s="77" t="s">
        <v>325</v>
      </c>
      <c r="K5" s="77" t="s">
        <v>323</v>
      </c>
      <c r="L5" s="77">
        <v>44650</v>
      </c>
      <c r="M5" s="77">
        <v>46119</v>
      </c>
      <c r="O5" s="81" t="s">
        <v>747</v>
      </c>
      <c r="P5" s="82">
        <v>0</v>
      </c>
      <c r="Q5" s="82">
        <v>100000000</v>
      </c>
      <c r="R5" s="88">
        <v>250000</v>
      </c>
      <c r="T5" s="269">
        <v>101</v>
      </c>
      <c r="U5" s="83">
        <v>6.6600000000000006E-2</v>
      </c>
      <c r="V5" s="81" t="s">
        <v>234</v>
      </c>
      <c r="W5" s="77">
        <v>45751</v>
      </c>
      <c r="X5" s="205"/>
      <c r="Y5" s="205"/>
      <c r="Z5" s="87">
        <v>2.0833333333333333E-3</v>
      </c>
      <c r="AA5" s="206">
        <v>2.8000797571017751E-2</v>
      </c>
      <c r="AB5" s="81">
        <v>0</v>
      </c>
      <c r="AC5" s="206">
        <v>5.962858E-2</v>
      </c>
      <c r="AD5" s="81">
        <v>0</v>
      </c>
      <c r="AE5" s="81">
        <v>0</v>
      </c>
      <c r="AF5" s="81">
        <v>0</v>
      </c>
      <c r="AG5" s="81">
        <v>0</v>
      </c>
      <c r="AH5" s="81">
        <v>0</v>
      </c>
      <c r="AI5" s="77">
        <v>45751</v>
      </c>
      <c r="AJ5" s="77">
        <v>45751</v>
      </c>
      <c r="AK5" s="77">
        <v>45751</v>
      </c>
      <c r="AL5" s="77">
        <v>45751</v>
      </c>
      <c r="AM5" s="77">
        <v>45751</v>
      </c>
      <c r="AN5" s="77" t="s">
        <v>305</v>
      </c>
      <c r="AO5" s="77" t="s">
        <v>312</v>
      </c>
      <c r="AP5" s="81">
        <v>0</v>
      </c>
      <c r="AQ5" s="81">
        <v>0</v>
      </c>
      <c r="AR5" s="81">
        <v>0</v>
      </c>
      <c r="AS5" s="81">
        <v>1</v>
      </c>
      <c r="AV5" s="270"/>
    </row>
    <row r="6" spans="1:48" s="204" customFormat="1" x14ac:dyDescent="0.3">
      <c r="A6" t="s">
        <v>528</v>
      </c>
      <c r="B6" t="s">
        <v>529</v>
      </c>
      <c r="C6" t="s">
        <v>216</v>
      </c>
      <c r="D6" s="81" t="s">
        <v>1357</v>
      </c>
      <c r="E6" s="81" t="s">
        <v>1358</v>
      </c>
      <c r="F6" s="81" t="s">
        <v>1359</v>
      </c>
      <c r="H6" s="81" t="s">
        <v>229</v>
      </c>
      <c r="I6" s="77" t="s">
        <v>331</v>
      </c>
      <c r="K6" s="77" t="s">
        <v>329</v>
      </c>
      <c r="L6" s="77">
        <v>45267</v>
      </c>
      <c r="M6" s="77">
        <v>46363</v>
      </c>
      <c r="O6" s="81" t="s">
        <v>747</v>
      </c>
      <c r="P6" s="82">
        <v>0</v>
      </c>
      <c r="Q6" s="82">
        <v>1000000000</v>
      </c>
      <c r="R6" s="88">
        <v>250000</v>
      </c>
      <c r="T6" s="269">
        <v>103.95</v>
      </c>
      <c r="U6" s="83">
        <v>9.3200000000000005E-2</v>
      </c>
      <c r="V6" s="81" t="s">
        <v>234</v>
      </c>
      <c r="W6" s="77">
        <v>45751</v>
      </c>
      <c r="X6" s="205"/>
      <c r="Y6" s="205"/>
      <c r="Z6" s="87">
        <v>8.3333333333333339E-4</v>
      </c>
      <c r="AA6" s="206">
        <v>5.5000616024999997E-2</v>
      </c>
      <c r="AB6" s="81">
        <v>0</v>
      </c>
      <c r="AC6" s="206">
        <v>7.1253140000000006E-2</v>
      </c>
      <c r="AD6" s="81">
        <v>0</v>
      </c>
      <c r="AE6" s="81">
        <v>0</v>
      </c>
      <c r="AF6" s="81">
        <v>0</v>
      </c>
      <c r="AG6" s="81">
        <v>0</v>
      </c>
      <c r="AH6" s="81">
        <v>0</v>
      </c>
      <c r="AI6" s="77">
        <v>45751</v>
      </c>
      <c r="AJ6" s="77">
        <v>45751</v>
      </c>
      <c r="AK6" s="77">
        <v>45751</v>
      </c>
      <c r="AL6" s="77">
        <v>45751</v>
      </c>
      <c r="AM6" s="77">
        <v>45751</v>
      </c>
      <c r="AN6" s="77" t="s">
        <v>305</v>
      </c>
      <c r="AO6" s="77" t="s">
        <v>304</v>
      </c>
      <c r="AP6" s="81">
        <v>0</v>
      </c>
      <c r="AQ6" s="81">
        <v>0</v>
      </c>
      <c r="AR6" s="81">
        <v>0</v>
      </c>
      <c r="AS6" s="81">
        <v>1</v>
      </c>
      <c r="AV6" s="270"/>
    </row>
    <row r="7" spans="1:48" s="204" customFormat="1" x14ac:dyDescent="0.3">
      <c r="A7" t="s">
        <v>530</v>
      </c>
      <c r="B7" t="s">
        <v>531</v>
      </c>
      <c r="C7" t="s">
        <v>217</v>
      </c>
      <c r="D7" s="81" t="s">
        <v>1351</v>
      </c>
      <c r="E7" s="81" t="s">
        <v>1354</v>
      </c>
      <c r="F7" s="81" t="s">
        <v>1360</v>
      </c>
      <c r="H7" s="81" t="s">
        <v>229</v>
      </c>
      <c r="I7" s="77" t="s">
        <v>337</v>
      </c>
      <c r="K7" s="77" t="s">
        <v>335</v>
      </c>
      <c r="L7" s="77">
        <v>45693</v>
      </c>
      <c r="M7" s="77">
        <v>46820</v>
      </c>
      <c r="O7" s="81" t="s">
        <v>747</v>
      </c>
      <c r="P7" s="82">
        <v>0</v>
      </c>
      <c r="Q7" s="82">
        <v>300000000</v>
      </c>
      <c r="R7" s="88">
        <v>250000</v>
      </c>
      <c r="T7" s="269">
        <v>100.25</v>
      </c>
      <c r="U7" s="83">
        <v>7.3507139999999999E-2</v>
      </c>
      <c r="V7" s="81" t="s">
        <v>234</v>
      </c>
      <c r="W7" s="77">
        <v>45755</v>
      </c>
      <c r="X7" s="205"/>
      <c r="Y7" s="205"/>
      <c r="Z7" s="87">
        <v>8.3333333333333339E-4</v>
      </c>
      <c r="AA7" s="206">
        <v>3.496664027454658E-2</v>
      </c>
      <c r="AB7" s="81">
        <v>0</v>
      </c>
      <c r="AC7" s="206">
        <v>7.558753E-2</v>
      </c>
      <c r="AD7" s="81">
        <v>0</v>
      </c>
      <c r="AE7" s="81">
        <v>0</v>
      </c>
      <c r="AF7" s="81">
        <v>0</v>
      </c>
      <c r="AG7" s="81">
        <v>0</v>
      </c>
      <c r="AH7" s="81">
        <v>0</v>
      </c>
      <c r="AI7" s="77">
        <v>45755</v>
      </c>
      <c r="AJ7" s="77">
        <v>45755</v>
      </c>
      <c r="AK7" s="77">
        <v>45755</v>
      </c>
      <c r="AL7" s="77">
        <v>45755</v>
      </c>
      <c r="AM7" s="77">
        <v>45755</v>
      </c>
      <c r="AN7" s="77" t="s">
        <v>305</v>
      </c>
      <c r="AO7" s="77" t="s">
        <v>312</v>
      </c>
      <c r="AP7" s="81">
        <v>0</v>
      </c>
      <c r="AQ7" s="81">
        <v>0</v>
      </c>
      <c r="AR7" s="81">
        <v>0</v>
      </c>
      <c r="AS7" s="81">
        <v>1</v>
      </c>
      <c r="AV7" s="270"/>
    </row>
    <row r="8" spans="1:48" s="204" customFormat="1" x14ac:dyDescent="0.3">
      <c r="A8" t="s">
        <v>532</v>
      </c>
      <c r="B8" t="s">
        <v>533</v>
      </c>
      <c r="C8" t="s">
        <v>1244</v>
      </c>
      <c r="D8" s="81" t="s">
        <v>1348</v>
      </c>
      <c r="E8" s="81" t="s">
        <v>1354</v>
      </c>
      <c r="F8" s="81" t="s">
        <v>1350</v>
      </c>
      <c r="H8" s="81" t="s">
        <v>229</v>
      </c>
      <c r="I8" s="77" t="s">
        <v>343</v>
      </c>
      <c r="K8" s="77" t="s">
        <v>341</v>
      </c>
      <c r="L8" s="77">
        <v>45649</v>
      </c>
      <c r="M8" s="77">
        <v>46849</v>
      </c>
      <c r="O8" s="81" t="s">
        <v>747</v>
      </c>
      <c r="P8" s="82">
        <v>0</v>
      </c>
      <c r="Q8" s="82">
        <v>300000000</v>
      </c>
      <c r="R8" s="88">
        <v>250000</v>
      </c>
      <c r="T8" s="269">
        <v>100.65</v>
      </c>
      <c r="U8" s="83">
        <v>8.9599999999999985E-2</v>
      </c>
      <c r="V8" s="81" t="s">
        <v>234</v>
      </c>
      <c r="W8" s="77">
        <v>45755</v>
      </c>
      <c r="X8" s="205"/>
      <c r="Y8" s="205"/>
      <c r="Z8" s="87">
        <v>1.25E-3</v>
      </c>
      <c r="AA8" s="206">
        <v>5.1341884104035361E-2</v>
      </c>
      <c r="AB8" s="81">
        <v>0</v>
      </c>
      <c r="AC8" s="206">
        <v>9.0424110000000002E-2</v>
      </c>
      <c r="AD8" s="81">
        <v>0</v>
      </c>
      <c r="AE8" s="81">
        <v>0</v>
      </c>
      <c r="AF8" s="81">
        <v>0</v>
      </c>
      <c r="AG8" s="81">
        <v>0</v>
      </c>
      <c r="AH8" s="81">
        <v>0</v>
      </c>
      <c r="AI8" s="77">
        <v>45755</v>
      </c>
      <c r="AJ8" s="77">
        <v>45755</v>
      </c>
      <c r="AK8" s="77">
        <v>45755</v>
      </c>
      <c r="AL8" s="77">
        <v>45755</v>
      </c>
      <c r="AM8" s="77">
        <v>45755</v>
      </c>
      <c r="AN8" s="77" t="s">
        <v>305</v>
      </c>
      <c r="AO8" s="77" t="s">
        <v>312</v>
      </c>
      <c r="AP8" s="81">
        <v>0</v>
      </c>
      <c r="AQ8" s="81">
        <v>0</v>
      </c>
      <c r="AR8" s="81">
        <v>0</v>
      </c>
      <c r="AS8" s="81">
        <v>1</v>
      </c>
      <c r="AV8" s="270"/>
    </row>
    <row r="9" spans="1:48" s="204" customFormat="1" x14ac:dyDescent="0.3">
      <c r="A9" t="s">
        <v>534</v>
      </c>
      <c r="B9" t="s">
        <v>535</v>
      </c>
      <c r="C9" t="s">
        <v>218</v>
      </c>
      <c r="D9" s="81" t="s">
        <v>1348</v>
      </c>
      <c r="E9" s="81" t="s">
        <v>1354</v>
      </c>
      <c r="F9" s="81" t="s">
        <v>1350</v>
      </c>
      <c r="H9" s="81" t="s">
        <v>229</v>
      </c>
      <c r="I9" s="77" t="s">
        <v>349</v>
      </c>
      <c r="K9" s="77" t="s">
        <v>347</v>
      </c>
      <c r="L9" s="77">
        <v>45300</v>
      </c>
      <c r="M9" s="77">
        <v>46395</v>
      </c>
      <c r="O9" s="81" t="s">
        <v>747</v>
      </c>
      <c r="P9" s="82">
        <v>0</v>
      </c>
      <c r="Q9" s="82">
        <v>400000000</v>
      </c>
      <c r="R9" s="88">
        <v>250000</v>
      </c>
      <c r="T9" s="269">
        <v>102.3</v>
      </c>
      <c r="U9" s="83">
        <v>7.85E-2</v>
      </c>
      <c r="V9" s="81" t="s">
        <v>234</v>
      </c>
      <c r="W9" s="77">
        <v>45756</v>
      </c>
      <c r="X9" s="205"/>
      <c r="Y9" s="205"/>
      <c r="Z9" s="87">
        <v>9.8039215686274508E-4</v>
      </c>
      <c r="AA9" s="206">
        <v>4.0195003191350213E-2</v>
      </c>
      <c r="AB9" s="81">
        <v>0</v>
      </c>
      <c r="AC9" s="206">
        <v>6.7969870000000002E-2</v>
      </c>
      <c r="AD9" s="81">
        <v>0</v>
      </c>
      <c r="AE9" s="81">
        <v>0</v>
      </c>
      <c r="AF9" s="81">
        <v>0</v>
      </c>
      <c r="AG9" s="81">
        <v>0</v>
      </c>
      <c r="AH9" s="81">
        <v>0</v>
      </c>
      <c r="AI9" s="77">
        <v>45756</v>
      </c>
      <c r="AJ9" s="77">
        <v>45756</v>
      </c>
      <c r="AK9" s="77">
        <v>45756</v>
      </c>
      <c r="AL9" s="77">
        <v>45756</v>
      </c>
      <c r="AM9" s="77">
        <v>45756</v>
      </c>
      <c r="AN9" s="77" t="s">
        <v>305</v>
      </c>
      <c r="AO9" s="77" t="s">
        <v>312</v>
      </c>
      <c r="AP9" s="81">
        <v>0</v>
      </c>
      <c r="AQ9" s="81">
        <v>0</v>
      </c>
      <c r="AR9" s="81">
        <v>0</v>
      </c>
      <c r="AS9" s="81">
        <v>1</v>
      </c>
      <c r="AV9" s="270"/>
    </row>
    <row r="10" spans="1:48" s="204" customFormat="1" x14ac:dyDescent="0.3">
      <c r="A10" t="s">
        <v>536</v>
      </c>
      <c r="B10" t="s">
        <v>537</v>
      </c>
      <c r="C10" t="s">
        <v>897</v>
      </c>
      <c r="D10" s="81" t="s">
        <v>1353</v>
      </c>
      <c r="E10" s="81" t="s">
        <v>1354</v>
      </c>
      <c r="F10" s="81" t="s">
        <v>1350</v>
      </c>
      <c r="H10" s="81" t="s">
        <v>229</v>
      </c>
      <c r="I10" s="77" t="s">
        <v>360</v>
      </c>
      <c r="K10" s="77" t="s">
        <v>358</v>
      </c>
      <c r="L10" s="77">
        <v>45016</v>
      </c>
      <c r="M10" s="77">
        <v>46484</v>
      </c>
      <c r="O10" s="81" t="s">
        <v>747</v>
      </c>
      <c r="P10" s="82">
        <v>0</v>
      </c>
      <c r="Q10" s="82">
        <v>750000000</v>
      </c>
      <c r="R10" s="88">
        <v>250000</v>
      </c>
      <c r="T10" s="269">
        <v>102.6</v>
      </c>
      <c r="U10" s="83">
        <v>9.3000000000000013E-2</v>
      </c>
      <c r="V10" s="81" t="s">
        <v>234</v>
      </c>
      <c r="W10" s="77">
        <v>45756</v>
      </c>
      <c r="X10" s="205"/>
      <c r="Y10" s="205"/>
      <c r="Z10" s="87">
        <v>2.5000000000000001E-3</v>
      </c>
      <c r="AA10" s="206">
        <v>5.4591848848021235E-2</v>
      </c>
      <c r="AB10" s="81">
        <v>0</v>
      </c>
      <c r="AC10" s="206">
        <v>8.2214540000000003E-2</v>
      </c>
      <c r="AD10" s="81">
        <v>0</v>
      </c>
      <c r="AE10" s="81">
        <v>0</v>
      </c>
      <c r="AF10" s="81">
        <v>0</v>
      </c>
      <c r="AG10" s="81">
        <v>0</v>
      </c>
      <c r="AH10" s="81">
        <v>0</v>
      </c>
      <c r="AI10" s="77">
        <v>45756</v>
      </c>
      <c r="AJ10" s="77">
        <v>45756</v>
      </c>
      <c r="AK10" s="77">
        <v>45756</v>
      </c>
      <c r="AL10" s="77">
        <v>45756</v>
      </c>
      <c r="AM10" s="77">
        <v>45756</v>
      </c>
      <c r="AN10" s="77" t="s">
        <v>305</v>
      </c>
      <c r="AO10" s="77" t="s">
        <v>312</v>
      </c>
      <c r="AP10" s="81">
        <v>0</v>
      </c>
      <c r="AQ10" s="81">
        <v>0</v>
      </c>
      <c r="AR10" s="81">
        <v>0</v>
      </c>
      <c r="AS10" s="81">
        <v>1</v>
      </c>
      <c r="AV10" s="270"/>
    </row>
    <row r="11" spans="1:48" s="204" customFormat="1" x14ac:dyDescent="0.3">
      <c r="A11" t="s">
        <v>538</v>
      </c>
      <c r="B11" t="s">
        <v>539</v>
      </c>
      <c r="C11" t="s">
        <v>219</v>
      </c>
      <c r="D11" s="81" t="s">
        <v>1348</v>
      </c>
      <c r="E11" s="81" t="s">
        <v>1354</v>
      </c>
      <c r="F11" s="81" t="s">
        <v>1360</v>
      </c>
      <c r="H11" s="81" t="s">
        <v>229</v>
      </c>
      <c r="I11" s="77" t="s">
        <v>366</v>
      </c>
      <c r="K11" s="77" t="s">
        <v>364</v>
      </c>
      <c r="L11" s="77">
        <v>45630</v>
      </c>
      <c r="M11" s="77">
        <v>46762</v>
      </c>
      <c r="O11" s="81" t="s">
        <v>747</v>
      </c>
      <c r="P11" s="82">
        <v>0</v>
      </c>
      <c r="Q11" s="82">
        <v>100000000</v>
      </c>
      <c r="R11" s="88">
        <v>250000</v>
      </c>
      <c r="T11" s="269">
        <v>101.6</v>
      </c>
      <c r="U11" s="83">
        <v>7.3099999999999998E-2</v>
      </c>
      <c r="V11" s="81" t="s">
        <v>234</v>
      </c>
      <c r="W11" s="77">
        <v>45756</v>
      </c>
      <c r="X11" s="205"/>
      <c r="Y11" s="205"/>
      <c r="Z11" s="87">
        <v>2.5000000000000001E-3</v>
      </c>
      <c r="AA11" s="206">
        <v>3.4997438079953813E-2</v>
      </c>
      <c r="AB11" s="81">
        <v>0</v>
      </c>
      <c r="AC11" s="206">
        <v>6.9968120000000009E-2</v>
      </c>
      <c r="AD11" s="81">
        <v>0</v>
      </c>
      <c r="AE11" s="81">
        <v>0</v>
      </c>
      <c r="AF11" s="81">
        <v>0</v>
      </c>
      <c r="AG11" s="81">
        <v>0</v>
      </c>
      <c r="AH11" s="81">
        <v>0</v>
      </c>
      <c r="AI11" s="77">
        <v>45756</v>
      </c>
      <c r="AJ11" s="77">
        <v>45756</v>
      </c>
      <c r="AK11" s="77">
        <v>45756</v>
      </c>
      <c r="AL11" s="77">
        <v>45756</v>
      </c>
      <c r="AM11" s="77">
        <v>45756</v>
      </c>
      <c r="AN11" s="77" t="s">
        <v>367</v>
      </c>
      <c r="AO11" s="77" t="s">
        <v>312</v>
      </c>
      <c r="AP11" s="81">
        <v>0</v>
      </c>
      <c r="AQ11" s="81">
        <v>0</v>
      </c>
      <c r="AR11" s="81">
        <v>0</v>
      </c>
      <c r="AS11" s="81">
        <v>1</v>
      </c>
      <c r="AV11" s="270"/>
    </row>
    <row r="12" spans="1:48" s="272" customFormat="1" x14ac:dyDescent="0.3">
      <c r="A12" s="272" t="s">
        <v>1362</v>
      </c>
      <c r="B12" s="272" t="s">
        <v>1363</v>
      </c>
      <c r="C12" s="272" t="s">
        <v>220</v>
      </c>
      <c r="D12" s="272" t="s">
        <v>1351</v>
      </c>
      <c r="E12" s="272" t="s">
        <v>1372</v>
      </c>
      <c r="F12" s="273" t="s">
        <v>1360</v>
      </c>
      <c r="H12" s="273" t="s">
        <v>229</v>
      </c>
      <c r="I12" s="274" t="s">
        <v>373</v>
      </c>
      <c r="K12" s="274" t="s">
        <v>371</v>
      </c>
      <c r="L12" s="274">
        <v>45715</v>
      </c>
      <c r="M12" s="275">
        <v>46575</v>
      </c>
      <c r="O12" s="273" t="s">
        <v>747</v>
      </c>
      <c r="P12" s="276">
        <v>200000000</v>
      </c>
      <c r="Q12" s="276">
        <v>200000000</v>
      </c>
      <c r="R12" s="277">
        <v>250000</v>
      </c>
      <c r="T12" s="278">
        <v>100.1</v>
      </c>
      <c r="U12" s="279">
        <v>0.13366479396820069</v>
      </c>
      <c r="V12" s="273" t="s">
        <v>234</v>
      </c>
      <c r="W12" s="274">
        <v>45758</v>
      </c>
      <c r="Y12" s="280"/>
      <c r="Z12" s="281">
        <v>1.6666666666666668E-3</v>
      </c>
      <c r="AA12" s="282">
        <v>9.4942248479457494E-2</v>
      </c>
      <c r="AB12" s="273">
        <v>0</v>
      </c>
      <c r="AC12" s="282">
        <v>0.13305328999999999</v>
      </c>
      <c r="AD12" s="273">
        <v>0</v>
      </c>
      <c r="AE12" s="273">
        <v>0</v>
      </c>
      <c r="AF12" s="273">
        <v>0</v>
      </c>
      <c r="AG12" s="273">
        <v>0</v>
      </c>
      <c r="AH12" s="273">
        <v>0</v>
      </c>
      <c r="AI12" s="274">
        <v>45758</v>
      </c>
      <c r="AJ12" s="274">
        <v>45758</v>
      </c>
      <c r="AK12" s="274">
        <v>45758</v>
      </c>
      <c r="AL12" s="274">
        <v>45758</v>
      </c>
      <c r="AM12" s="274">
        <v>45758</v>
      </c>
      <c r="AN12" s="274" t="s">
        <v>305</v>
      </c>
      <c r="AO12" s="274" t="s">
        <v>374</v>
      </c>
      <c r="AP12" s="273">
        <v>0</v>
      </c>
      <c r="AQ12" s="273">
        <v>0</v>
      </c>
      <c r="AR12" s="273">
        <v>0</v>
      </c>
      <c r="AS12" s="273">
        <v>1</v>
      </c>
    </row>
    <row r="13" spans="1:48" s="272" customFormat="1" x14ac:dyDescent="0.3">
      <c r="A13" s="272" t="s">
        <v>1364</v>
      </c>
      <c r="B13" s="272" t="s">
        <v>1365</v>
      </c>
      <c r="C13" s="272" t="s">
        <v>1036</v>
      </c>
      <c r="D13" s="272" t="s">
        <v>1348</v>
      </c>
      <c r="E13" s="272" t="s">
        <v>1354</v>
      </c>
      <c r="F13" s="273" t="s">
        <v>1350</v>
      </c>
      <c r="H13" s="273" t="s">
        <v>229</v>
      </c>
      <c r="I13" s="274" t="s">
        <v>379</v>
      </c>
      <c r="K13" s="274" t="s">
        <v>377</v>
      </c>
      <c r="L13" s="274">
        <v>45391</v>
      </c>
      <c r="M13" s="274">
        <v>46545</v>
      </c>
      <c r="O13" s="273" t="s">
        <v>747</v>
      </c>
      <c r="P13" s="276">
        <v>0</v>
      </c>
      <c r="Q13" s="276">
        <v>300000000</v>
      </c>
      <c r="R13" s="277">
        <v>250000</v>
      </c>
      <c r="T13" s="278">
        <v>102.6</v>
      </c>
      <c r="U13" s="279">
        <v>0.12965999755859375</v>
      </c>
      <c r="V13" s="273" t="s">
        <v>234</v>
      </c>
      <c r="W13" s="274">
        <v>45761</v>
      </c>
      <c r="Y13" s="280"/>
      <c r="Z13" s="281">
        <v>1.1904761904761906E-3</v>
      </c>
      <c r="AA13" s="282">
        <v>9.1247227937579611E-2</v>
      </c>
      <c r="AB13" s="273">
        <v>0</v>
      </c>
      <c r="AC13" s="282">
        <v>0.11921872999999999</v>
      </c>
      <c r="AD13" s="273">
        <v>0</v>
      </c>
      <c r="AE13" s="273">
        <v>0</v>
      </c>
      <c r="AF13" s="273">
        <v>0</v>
      </c>
      <c r="AG13" s="273">
        <v>0</v>
      </c>
      <c r="AH13" s="273">
        <v>0</v>
      </c>
      <c r="AI13" s="274">
        <v>45761</v>
      </c>
      <c r="AJ13" s="274">
        <v>45761</v>
      </c>
      <c r="AK13" s="274">
        <v>45761</v>
      </c>
      <c r="AL13" s="274">
        <v>45761</v>
      </c>
      <c r="AM13" s="274">
        <v>45761</v>
      </c>
      <c r="AN13" s="274" t="s">
        <v>305</v>
      </c>
      <c r="AO13" s="274" t="s">
        <v>312</v>
      </c>
      <c r="AP13" s="273">
        <v>0</v>
      </c>
      <c r="AQ13" s="273">
        <v>0</v>
      </c>
      <c r="AR13" s="273">
        <v>0</v>
      </c>
      <c r="AS13" s="273">
        <v>1</v>
      </c>
    </row>
    <row r="14" spans="1:48" s="272" customFormat="1" x14ac:dyDescent="0.3">
      <c r="A14" s="272" t="s">
        <v>1366</v>
      </c>
      <c r="B14" s="272" t="s">
        <v>1367</v>
      </c>
      <c r="C14" s="272" t="s">
        <v>221</v>
      </c>
      <c r="D14" s="272" t="s">
        <v>1348</v>
      </c>
      <c r="E14" s="272" t="s">
        <v>1354</v>
      </c>
      <c r="F14" s="273" t="s">
        <v>1350</v>
      </c>
      <c r="H14" s="273" t="s">
        <v>229</v>
      </c>
      <c r="I14" s="274" t="s">
        <v>385</v>
      </c>
      <c r="K14" s="274" t="s">
        <v>383</v>
      </c>
      <c r="L14" s="274">
        <v>45379</v>
      </c>
      <c r="M14" s="274">
        <v>46484</v>
      </c>
      <c r="O14" s="273" t="s">
        <v>747</v>
      </c>
      <c r="P14" s="276">
        <v>0</v>
      </c>
      <c r="Q14" s="276">
        <v>250000000</v>
      </c>
      <c r="R14" s="277">
        <v>250000</v>
      </c>
      <c r="T14" s="278">
        <v>103.85</v>
      </c>
      <c r="U14" s="279">
        <v>9.3007139999999988E-2</v>
      </c>
      <c r="V14" s="273" t="s">
        <v>234</v>
      </c>
      <c r="W14" s="274">
        <v>45763</v>
      </c>
      <c r="Y14" s="280"/>
      <c r="Z14" s="281">
        <v>2.5000000000000001E-3</v>
      </c>
      <c r="AA14" s="282">
        <v>5.4388598366769E-2</v>
      </c>
      <c r="AB14" s="273">
        <v>0</v>
      </c>
      <c r="AC14" s="282">
        <v>7.5250440000000002E-2</v>
      </c>
      <c r="AD14" s="273">
        <v>0</v>
      </c>
      <c r="AE14" s="273">
        <v>0</v>
      </c>
      <c r="AF14" s="273">
        <v>0</v>
      </c>
      <c r="AG14" s="273">
        <v>0</v>
      </c>
      <c r="AH14" s="273">
        <v>0</v>
      </c>
      <c r="AI14" s="274">
        <v>45763</v>
      </c>
      <c r="AJ14" s="274">
        <v>45763</v>
      </c>
      <c r="AK14" s="274">
        <v>45763</v>
      </c>
      <c r="AL14" s="274">
        <v>45763</v>
      </c>
      <c r="AM14" s="274">
        <v>45763</v>
      </c>
      <c r="AN14" s="274" t="s">
        <v>305</v>
      </c>
      <c r="AO14" s="274" t="s">
        <v>312</v>
      </c>
      <c r="AP14" s="273">
        <v>0</v>
      </c>
      <c r="AQ14" s="273">
        <v>0</v>
      </c>
      <c r="AR14" s="273">
        <v>0</v>
      </c>
      <c r="AS14" s="273">
        <v>1</v>
      </c>
    </row>
    <row r="15" spans="1:48" s="272" customFormat="1" x14ac:dyDescent="0.3">
      <c r="A15" s="272" t="s">
        <v>1368</v>
      </c>
      <c r="B15" s="272" t="s">
        <v>1369</v>
      </c>
      <c r="C15" s="272" t="s">
        <v>222</v>
      </c>
      <c r="D15" s="272" t="s">
        <v>1353</v>
      </c>
      <c r="E15" s="272" t="s">
        <v>1354</v>
      </c>
      <c r="F15" s="273" t="s">
        <v>1360</v>
      </c>
      <c r="H15" s="273" t="s">
        <v>229</v>
      </c>
      <c r="I15" s="274" t="s">
        <v>390</v>
      </c>
      <c r="K15" s="274" t="s">
        <v>388</v>
      </c>
      <c r="L15" s="274">
        <v>45104</v>
      </c>
      <c r="M15" s="274">
        <v>46332</v>
      </c>
      <c r="O15" s="273" t="s">
        <v>747</v>
      </c>
      <c r="P15" s="276">
        <v>0</v>
      </c>
      <c r="Q15" s="276">
        <v>150000000</v>
      </c>
      <c r="R15" s="277">
        <v>250000</v>
      </c>
      <c r="T15" s="278">
        <v>102.4</v>
      </c>
      <c r="U15" s="279">
        <v>8.1708199999999995E-2</v>
      </c>
      <c r="V15" s="273" t="s">
        <v>234</v>
      </c>
      <c r="W15" s="274">
        <v>45763</v>
      </c>
      <c r="Y15" s="280"/>
      <c r="Z15" s="281">
        <v>1.6666666666666668E-3</v>
      </c>
      <c r="AA15" s="282">
        <v>4.342876561368355E-2</v>
      </c>
      <c r="AB15" s="273">
        <v>0</v>
      </c>
      <c r="AC15" s="282">
        <v>6.8990380000000004E-2</v>
      </c>
      <c r="AD15" s="273">
        <v>0</v>
      </c>
      <c r="AE15" s="273">
        <v>0</v>
      </c>
      <c r="AF15" s="273">
        <v>0</v>
      </c>
      <c r="AG15" s="273">
        <v>0</v>
      </c>
      <c r="AH15" s="273">
        <v>0</v>
      </c>
      <c r="AI15" s="274">
        <v>45763</v>
      </c>
      <c r="AJ15" s="274">
        <v>45763</v>
      </c>
      <c r="AK15" s="274">
        <v>45763</v>
      </c>
      <c r="AL15" s="274">
        <v>45763</v>
      </c>
      <c r="AM15" s="274">
        <v>45763</v>
      </c>
      <c r="AN15" s="274" t="s">
        <v>367</v>
      </c>
      <c r="AO15" s="274" t="s">
        <v>312</v>
      </c>
      <c r="AP15" s="273">
        <v>0</v>
      </c>
      <c r="AQ15" s="273">
        <v>0</v>
      </c>
      <c r="AR15" s="273">
        <v>0</v>
      </c>
      <c r="AS15" s="273">
        <v>1</v>
      </c>
    </row>
    <row r="16" spans="1:48" s="272" customFormat="1" x14ac:dyDescent="0.3">
      <c r="A16" s="272" t="s">
        <v>1370</v>
      </c>
      <c r="B16" s="272" t="s">
        <v>1371</v>
      </c>
      <c r="C16" s="272" t="s">
        <v>223</v>
      </c>
      <c r="D16" s="272" t="s">
        <v>1353</v>
      </c>
      <c r="E16" s="272" t="s">
        <v>1354</v>
      </c>
      <c r="F16" s="273" t="s">
        <v>1350</v>
      </c>
      <c r="H16" s="273" t="s">
        <v>229</v>
      </c>
      <c r="I16" s="272" t="s">
        <v>395</v>
      </c>
      <c r="K16" s="272" t="s">
        <v>707</v>
      </c>
      <c r="L16" s="274">
        <v>45287</v>
      </c>
      <c r="M16" s="274">
        <v>46395</v>
      </c>
      <c r="O16" s="272" t="s">
        <v>747</v>
      </c>
      <c r="P16" s="276">
        <v>0</v>
      </c>
      <c r="Q16" s="276">
        <v>301000000</v>
      </c>
      <c r="R16" s="283">
        <v>250000</v>
      </c>
      <c r="T16" s="272">
        <v>103.1</v>
      </c>
      <c r="U16" s="284">
        <v>0.1009</v>
      </c>
      <c r="V16" s="272" t="s">
        <v>234</v>
      </c>
      <c r="W16" s="280">
        <v>45770</v>
      </c>
      <c r="Y16" s="280"/>
      <c r="Z16" s="285">
        <v>1.25E-3</v>
      </c>
      <c r="AA16" s="272">
        <v>6.2344141903376588E-2</v>
      </c>
      <c r="AB16" s="272">
        <v>0</v>
      </c>
      <c r="AC16" s="286">
        <v>8.4681469999999995E-2</v>
      </c>
      <c r="AD16" s="273">
        <v>0</v>
      </c>
      <c r="AE16" s="273">
        <v>0</v>
      </c>
      <c r="AF16" s="273">
        <v>0</v>
      </c>
      <c r="AG16" s="273">
        <v>0</v>
      </c>
      <c r="AH16" s="273">
        <v>0</v>
      </c>
      <c r="AI16" s="274">
        <v>45770</v>
      </c>
      <c r="AJ16" s="274">
        <v>45770</v>
      </c>
      <c r="AK16" s="274">
        <v>45770</v>
      </c>
      <c r="AL16" s="274">
        <v>45770</v>
      </c>
      <c r="AM16" s="274">
        <v>45770</v>
      </c>
      <c r="AN16" s="272" t="s">
        <v>305</v>
      </c>
      <c r="AO16" s="272" t="s">
        <v>312</v>
      </c>
      <c r="AP16" s="273">
        <v>0</v>
      </c>
      <c r="AQ16" s="273">
        <v>0</v>
      </c>
      <c r="AR16" s="273">
        <v>0</v>
      </c>
      <c r="AS16" s="273">
        <v>1</v>
      </c>
    </row>
    <row r="17" spans="1:45" x14ac:dyDescent="0.3">
      <c r="A17" t="s">
        <v>1374</v>
      </c>
      <c r="B17" t="s">
        <v>1375</v>
      </c>
      <c r="C17" t="s">
        <v>223</v>
      </c>
      <c r="D17" t="s">
        <v>1353</v>
      </c>
      <c r="E17" t="s">
        <v>1354</v>
      </c>
      <c r="F17" s="81" t="s">
        <v>1350</v>
      </c>
      <c r="H17" s="81" t="s">
        <v>229</v>
      </c>
      <c r="I17" t="s">
        <v>395</v>
      </c>
      <c r="K17" t="s">
        <v>707</v>
      </c>
      <c r="L17" s="77">
        <v>45287</v>
      </c>
      <c r="M17" s="77">
        <v>46395</v>
      </c>
      <c r="O17" t="s">
        <v>747</v>
      </c>
      <c r="P17" s="82">
        <v>0</v>
      </c>
      <c r="Q17" s="82">
        <v>301000000</v>
      </c>
      <c r="R17">
        <v>250000</v>
      </c>
      <c r="T17">
        <v>103.6</v>
      </c>
      <c r="U17" s="84">
        <v>0.1009</v>
      </c>
      <c r="V17" t="s">
        <v>234</v>
      </c>
      <c r="W17" s="17">
        <v>45889</v>
      </c>
      <c r="Z17" s="86">
        <v>1.25E-3</v>
      </c>
      <c r="AA17">
        <v>6.2344141903376588E-2</v>
      </c>
      <c r="AB17">
        <v>0</v>
      </c>
      <c r="AC17" s="89">
        <v>7.6477260000000005E-2</v>
      </c>
      <c r="AD17" s="81">
        <v>0</v>
      </c>
      <c r="AE17" s="81">
        <v>0</v>
      </c>
      <c r="AF17" s="81">
        <v>0</v>
      </c>
      <c r="AG17" s="81">
        <v>0</v>
      </c>
      <c r="AH17" s="81">
        <v>0</v>
      </c>
      <c r="AI17" s="77">
        <v>45889</v>
      </c>
      <c r="AJ17" s="77">
        <v>45889</v>
      </c>
      <c r="AK17" s="77">
        <v>45889</v>
      </c>
      <c r="AL17" s="77">
        <v>45889</v>
      </c>
      <c r="AM17" s="77">
        <v>45889</v>
      </c>
      <c r="AN17" t="s">
        <v>305</v>
      </c>
      <c r="AO17" t="s">
        <v>312</v>
      </c>
      <c r="AP17" s="81">
        <v>0</v>
      </c>
      <c r="AQ17" s="81">
        <v>0</v>
      </c>
      <c r="AR17" s="81">
        <v>0</v>
      </c>
      <c r="AS17" s="81">
        <v>1</v>
      </c>
    </row>
    <row r="18" spans="1:45" x14ac:dyDescent="0.3">
      <c r="A18" t="s">
        <v>1376</v>
      </c>
      <c r="B18" t="s">
        <v>1377</v>
      </c>
      <c r="C18" t="s">
        <v>1167</v>
      </c>
      <c r="D18" t="s">
        <v>1353</v>
      </c>
      <c r="E18" t="s">
        <v>1354</v>
      </c>
      <c r="F18" s="81" t="s">
        <v>1350</v>
      </c>
      <c r="H18" s="81" t="s">
        <v>229</v>
      </c>
      <c r="I18" t="s">
        <v>400</v>
      </c>
      <c r="K18" t="s">
        <v>398</v>
      </c>
      <c r="L18" s="77">
        <v>45098</v>
      </c>
      <c r="M18" s="77">
        <v>46211</v>
      </c>
      <c r="O18" t="s">
        <v>747</v>
      </c>
      <c r="P18" s="82">
        <v>0</v>
      </c>
      <c r="Q18" s="82">
        <v>150000000</v>
      </c>
      <c r="R18">
        <v>250000</v>
      </c>
      <c r="T18">
        <v>101.15</v>
      </c>
      <c r="U18" s="84">
        <v>7.7850000000000003E-2</v>
      </c>
      <c r="V18" t="s">
        <v>234</v>
      </c>
      <c r="W18" s="17">
        <v>45775</v>
      </c>
      <c r="Z18" s="86">
        <v>1.6666666666666668E-3</v>
      </c>
      <c r="AA18">
        <v>3.8097325757443325E-2</v>
      </c>
      <c r="AB18">
        <v>0</v>
      </c>
      <c r="AC18" s="89">
        <v>6.9939169999999995E-2</v>
      </c>
      <c r="AD18" s="81">
        <v>0</v>
      </c>
      <c r="AE18" s="81">
        <v>0</v>
      </c>
      <c r="AF18" s="81">
        <v>0</v>
      </c>
      <c r="AG18" s="81">
        <v>0</v>
      </c>
      <c r="AH18" s="81">
        <v>0</v>
      </c>
      <c r="AI18" s="77">
        <v>45775</v>
      </c>
      <c r="AJ18" s="77">
        <v>45775</v>
      </c>
      <c r="AK18" s="77">
        <v>45775</v>
      </c>
      <c r="AL18" s="77">
        <v>45775</v>
      </c>
      <c r="AM18" s="77">
        <v>45775</v>
      </c>
      <c r="AN18" t="s">
        <v>305</v>
      </c>
      <c r="AO18" t="s">
        <v>312</v>
      </c>
      <c r="AP18" s="81">
        <v>0</v>
      </c>
      <c r="AQ18" s="81">
        <v>0</v>
      </c>
      <c r="AR18" s="81">
        <v>0</v>
      </c>
      <c r="AS18" s="81">
        <v>1</v>
      </c>
    </row>
    <row r="19" spans="1:45" x14ac:dyDescent="0.3">
      <c r="A19" t="s">
        <v>1378</v>
      </c>
      <c r="B19" t="s">
        <v>1379</v>
      </c>
      <c r="C19" t="s">
        <v>1237</v>
      </c>
      <c r="D19" t="s">
        <v>1353</v>
      </c>
      <c r="E19" t="s">
        <v>1354</v>
      </c>
      <c r="F19" s="81" t="s">
        <v>1350</v>
      </c>
      <c r="H19" s="81" t="s">
        <v>229</v>
      </c>
      <c r="I19" t="s">
        <v>406</v>
      </c>
      <c r="K19" t="s">
        <v>404</v>
      </c>
      <c r="L19" s="77">
        <v>45126</v>
      </c>
      <c r="M19" s="77">
        <v>46241</v>
      </c>
      <c r="O19" t="s">
        <v>747</v>
      </c>
      <c r="P19" s="82">
        <v>0</v>
      </c>
      <c r="Q19" s="82">
        <v>300000000</v>
      </c>
      <c r="R19">
        <v>250000</v>
      </c>
      <c r="T19">
        <v>101.95</v>
      </c>
      <c r="U19" s="84">
        <v>0.1004</v>
      </c>
      <c r="V19" t="s">
        <v>234</v>
      </c>
      <c r="W19" s="17">
        <v>45777</v>
      </c>
      <c r="Z19" s="86">
        <v>2.5000000000000001E-3</v>
      </c>
      <c r="AA19">
        <v>6.1561047014999995E-2</v>
      </c>
      <c r="AB19">
        <v>0</v>
      </c>
      <c r="AC19" s="89">
        <v>8.6950429999999995E-2</v>
      </c>
      <c r="AD19" s="81">
        <v>0</v>
      </c>
      <c r="AE19" s="81">
        <v>0</v>
      </c>
      <c r="AF19" s="81">
        <v>0</v>
      </c>
      <c r="AG19" s="81">
        <v>0</v>
      </c>
      <c r="AH19" s="81">
        <v>0</v>
      </c>
      <c r="AI19" s="77">
        <v>45777</v>
      </c>
      <c r="AJ19" s="77">
        <v>45777</v>
      </c>
      <c r="AK19" s="77">
        <v>45777</v>
      </c>
      <c r="AL19" s="77">
        <v>45777</v>
      </c>
      <c r="AM19" s="77">
        <v>45777</v>
      </c>
      <c r="AN19" t="s">
        <v>305</v>
      </c>
      <c r="AO19" t="s">
        <v>312</v>
      </c>
      <c r="AP19" s="81">
        <v>0</v>
      </c>
      <c r="AQ19" s="81">
        <v>0</v>
      </c>
      <c r="AR19" s="81">
        <v>0</v>
      </c>
      <c r="AS19" s="81">
        <v>1</v>
      </c>
    </row>
    <row r="20" spans="1:45" x14ac:dyDescent="0.3">
      <c r="A20" t="s">
        <v>1380</v>
      </c>
      <c r="B20" t="s">
        <v>1381</v>
      </c>
      <c r="C20" t="s">
        <v>1140</v>
      </c>
      <c r="D20" t="s">
        <v>1348</v>
      </c>
      <c r="E20" t="s">
        <v>1354</v>
      </c>
      <c r="F20" s="81" t="s">
        <v>1350</v>
      </c>
      <c r="H20" s="81" t="s">
        <v>229</v>
      </c>
      <c r="I20" t="s">
        <v>411</v>
      </c>
      <c r="K20" t="s">
        <v>409</v>
      </c>
      <c r="L20" s="77">
        <v>45393</v>
      </c>
      <c r="M20" s="235">
        <v>46517</v>
      </c>
      <c r="O20" t="s">
        <v>747</v>
      </c>
      <c r="P20" s="82">
        <v>0</v>
      </c>
      <c r="Q20" s="82">
        <v>125000000</v>
      </c>
      <c r="R20" s="288">
        <v>250000</v>
      </c>
      <c r="T20">
        <v>102</v>
      </c>
      <c r="U20" s="84">
        <v>0.11452000122070313</v>
      </c>
      <c r="V20" t="s">
        <v>234</v>
      </c>
      <c r="W20" s="17">
        <v>45777</v>
      </c>
      <c r="Z20" s="86">
        <v>2E-3</v>
      </c>
      <c r="AA20">
        <v>7.6309884370243677E-2</v>
      </c>
      <c r="AB20">
        <v>0</v>
      </c>
      <c r="AC20" s="89">
        <v>0.106922</v>
      </c>
      <c r="AD20" s="81">
        <v>0</v>
      </c>
      <c r="AE20" s="81">
        <v>0</v>
      </c>
      <c r="AF20" s="81">
        <v>0</v>
      </c>
      <c r="AG20" s="81">
        <v>0</v>
      </c>
      <c r="AH20" s="81">
        <v>0</v>
      </c>
      <c r="AI20" s="77">
        <v>45777</v>
      </c>
      <c r="AJ20" s="77">
        <v>45777</v>
      </c>
      <c r="AK20" s="77">
        <v>45777</v>
      </c>
      <c r="AL20" s="77">
        <v>45777</v>
      </c>
      <c r="AM20" s="77">
        <v>45777</v>
      </c>
      <c r="AN20" t="s">
        <v>305</v>
      </c>
      <c r="AO20" t="s">
        <v>312</v>
      </c>
      <c r="AP20" s="81">
        <v>0</v>
      </c>
      <c r="AQ20" s="81">
        <v>0</v>
      </c>
      <c r="AR20" s="81">
        <v>0</v>
      </c>
      <c r="AS20" s="81">
        <v>1</v>
      </c>
    </row>
    <row r="21" spans="1:45" x14ac:dyDescent="0.3">
      <c r="A21" t="s">
        <v>1382</v>
      </c>
      <c r="B21" t="s">
        <v>1383</v>
      </c>
      <c r="C21" t="s">
        <v>224</v>
      </c>
      <c r="D21" t="s">
        <v>1351</v>
      </c>
      <c r="E21" t="s">
        <v>1354</v>
      </c>
      <c r="F21" s="81" t="s">
        <v>1360</v>
      </c>
      <c r="H21" s="81" t="s">
        <v>229</v>
      </c>
      <c r="I21" t="s">
        <v>417</v>
      </c>
      <c r="K21" t="s">
        <v>415</v>
      </c>
      <c r="L21" s="235">
        <v>45701</v>
      </c>
      <c r="M21" s="235">
        <v>46804</v>
      </c>
      <c r="O21" t="s">
        <v>747</v>
      </c>
      <c r="P21" s="82">
        <v>0</v>
      </c>
      <c r="Q21" s="82">
        <v>200000000</v>
      </c>
      <c r="R21">
        <v>250000</v>
      </c>
      <c r="T21">
        <v>99.85</v>
      </c>
      <c r="U21" s="84">
        <v>0.1032</v>
      </c>
      <c r="V21" t="s">
        <v>234</v>
      </c>
      <c r="W21" s="17">
        <v>45784</v>
      </c>
      <c r="Z21" s="86">
        <v>1.4285714285714286E-3</v>
      </c>
      <c r="AA21">
        <v>6.4970000542552628E-2</v>
      </c>
      <c r="AB21">
        <v>0</v>
      </c>
      <c r="AC21" s="89">
        <v>0.10708301000000001</v>
      </c>
      <c r="AD21" s="81">
        <v>0</v>
      </c>
      <c r="AE21" s="81">
        <v>0</v>
      </c>
      <c r="AF21" s="81">
        <v>0</v>
      </c>
      <c r="AG21" s="81">
        <v>0</v>
      </c>
      <c r="AH21" s="81">
        <v>0</v>
      </c>
      <c r="AI21" s="77">
        <v>45784</v>
      </c>
      <c r="AJ21" s="77">
        <v>45784</v>
      </c>
      <c r="AK21" s="77">
        <v>45784</v>
      </c>
      <c r="AL21" s="77">
        <v>45784</v>
      </c>
      <c r="AM21" s="77">
        <v>45784</v>
      </c>
      <c r="AN21" t="s">
        <v>305</v>
      </c>
      <c r="AO21" t="s">
        <v>312</v>
      </c>
      <c r="AP21" s="81">
        <v>0</v>
      </c>
      <c r="AQ21" s="81">
        <v>0</v>
      </c>
      <c r="AR21" s="81">
        <v>0</v>
      </c>
      <c r="AS21" s="81">
        <v>1</v>
      </c>
    </row>
    <row r="22" spans="1:45" x14ac:dyDescent="0.3">
      <c r="AJ22" s="77"/>
      <c r="AK22" s="77"/>
      <c r="AL22" s="77"/>
      <c r="AM22" s="77"/>
    </row>
  </sheetData>
  <phoneticPr fontId="18" type="noConversion"/>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AB20"/>
  <sheetViews>
    <sheetView showRowColHeaders="0" tabSelected="1" zoomScale="85" zoomScaleNormal="85" workbookViewId="0">
      <selection activeCell="I23" sqref="I23"/>
    </sheetView>
  </sheetViews>
  <sheetFormatPr defaultRowHeight="14.4" x14ac:dyDescent="0.3"/>
  <cols>
    <col min="1" max="1" width="10.6640625" bestFit="1" customWidth="1"/>
    <col min="2" max="2" width="19.44140625" customWidth="1"/>
    <col min="3" max="3" width="16.44140625" bestFit="1" customWidth="1"/>
    <col min="4" max="4" width="13.88671875" bestFit="1" customWidth="1"/>
    <col min="5" max="5" width="13.5546875" bestFit="1" customWidth="1"/>
    <col min="6" max="6" width="11.5546875" bestFit="1" customWidth="1"/>
    <col min="7" max="7" width="28" bestFit="1" customWidth="1"/>
    <col min="11" max="11" width="15.6640625" bestFit="1" customWidth="1"/>
  </cols>
  <sheetData>
    <row r="1" spans="1:28" ht="15" thickBot="1" x14ac:dyDescent="0.35">
      <c r="A1" s="7" t="s">
        <v>20</v>
      </c>
      <c r="B1" s="8" t="s">
        <v>184</v>
      </c>
      <c r="C1" s="8" t="s">
        <v>1</v>
      </c>
      <c r="D1" s="8" t="s">
        <v>97</v>
      </c>
      <c r="E1" s="8" t="s">
        <v>202</v>
      </c>
      <c r="F1" s="8" t="s">
        <v>46</v>
      </c>
      <c r="G1" s="8" t="s">
        <v>78</v>
      </c>
      <c r="H1" s="9" t="s">
        <v>70</v>
      </c>
      <c r="AB1" t="s">
        <v>203</v>
      </c>
    </row>
    <row r="2" spans="1:28" ht="15" thickBot="1" x14ac:dyDescent="0.35">
      <c r="A2" s="6">
        <v>1</v>
      </c>
      <c r="B2" s="12" t="s">
        <v>185</v>
      </c>
      <c r="C2" s="12" t="s">
        <v>1373</v>
      </c>
      <c r="D2" s="71">
        <v>6000000</v>
      </c>
      <c r="E2" s="71">
        <v>5109504</v>
      </c>
      <c r="F2" s="12" t="s">
        <v>28</v>
      </c>
      <c r="G2" s="16">
        <v>46203</v>
      </c>
      <c r="H2" s="13" t="s">
        <v>1384</v>
      </c>
      <c r="AB2" t="s">
        <v>185</v>
      </c>
    </row>
    <row r="3" spans="1:28" x14ac:dyDescent="0.3">
      <c r="D3" s="85"/>
    </row>
    <row r="4" spans="1:28" x14ac:dyDescent="0.3">
      <c r="A4" s="4"/>
      <c r="B4" s="4"/>
      <c r="D4" s="1"/>
      <c r="E4" s="4"/>
    </row>
    <row r="5" spans="1:28" x14ac:dyDescent="0.3">
      <c r="A5" t="s">
        <v>1385</v>
      </c>
      <c r="D5" s="1"/>
    </row>
    <row r="6" spans="1:28" x14ac:dyDescent="0.3">
      <c r="D6" s="1"/>
    </row>
    <row r="7" spans="1:28" x14ac:dyDescent="0.3">
      <c r="D7" s="1"/>
    </row>
    <row r="8" spans="1:28" x14ac:dyDescent="0.3">
      <c r="D8" s="1"/>
    </row>
    <row r="9" spans="1:28" x14ac:dyDescent="0.3">
      <c r="D9" s="1"/>
    </row>
    <row r="13" spans="1:28" x14ac:dyDescent="0.3">
      <c r="A13" s="1"/>
      <c r="B13" s="1"/>
    </row>
    <row r="14" spans="1:28" x14ac:dyDescent="0.3">
      <c r="A14" s="1"/>
      <c r="B14" s="1"/>
    </row>
    <row r="15" spans="1:28" x14ac:dyDescent="0.3">
      <c r="A15" s="1"/>
      <c r="B15" s="1"/>
    </row>
    <row r="16" spans="1:28" x14ac:dyDescent="0.3">
      <c r="A16" s="1"/>
      <c r="B16" s="1"/>
    </row>
    <row r="17" spans="1:2" x14ac:dyDescent="0.3">
      <c r="A17" s="1"/>
      <c r="B17" s="1"/>
    </row>
    <row r="18" spans="1:2" x14ac:dyDescent="0.3">
      <c r="A18" s="1"/>
      <c r="B18" s="1"/>
    </row>
    <row r="19" spans="1:2" x14ac:dyDescent="0.3">
      <c r="A19" s="1"/>
      <c r="B19" s="1"/>
    </row>
    <row r="20" spans="1:2" x14ac:dyDescent="0.3">
      <c r="A20" s="1"/>
      <c r="B20" s="1"/>
    </row>
  </sheetData>
  <dataValidations count="1">
    <dataValidation type="list" allowBlank="1" showInputMessage="1" showErrorMessage="1" sqref="B2" xr:uid="{00000000-0002-0000-0600-000000000000}">
      <formula1>$AB$1:$AB$2</formula1>
    </dataValidation>
  </dataValidation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InputBoundPortfolio.BoundPortfolio">
                <anchor moveWithCells="1" sizeWithCells="1">
                  <from>
                    <xdr:col>8</xdr:col>
                    <xdr:colOff>388620</xdr:colOff>
                    <xdr:row>1</xdr:row>
                    <xdr:rowOff>83820</xdr:rowOff>
                  </from>
                  <to>
                    <xdr:col>10</xdr:col>
                    <xdr:colOff>883920</xdr:colOff>
                    <xdr:row>4</xdr:row>
                    <xdr:rowOff>114300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M2"/>
  <sheetViews>
    <sheetView workbookViewId="0">
      <selection activeCell="C2" sqref="C2"/>
    </sheetView>
  </sheetViews>
  <sheetFormatPr defaultRowHeight="14.4" x14ac:dyDescent="0.3"/>
  <cols>
    <col min="1" max="1" width="16.6640625" bestFit="1" customWidth="1"/>
    <col min="2" max="2" width="5.5546875" bestFit="1" customWidth="1"/>
    <col min="3" max="3" width="13.109375" bestFit="1" customWidth="1"/>
    <col min="4" max="4" width="12.109375" bestFit="1" customWidth="1"/>
    <col min="5" max="5" width="19.109375" bestFit="1" customWidth="1"/>
    <col min="6" max="6" width="6.109375" bestFit="1" customWidth="1"/>
    <col min="7" max="7" width="14.33203125" bestFit="1" customWidth="1"/>
    <col min="8" max="8" width="16.44140625" bestFit="1" customWidth="1"/>
    <col min="9" max="9" width="11.33203125" bestFit="1" customWidth="1"/>
    <col min="10" max="10" width="13.5546875" bestFit="1" customWidth="1"/>
    <col min="11" max="11" width="24" bestFit="1" customWidth="1"/>
    <col min="12" max="12" width="26.44140625" bestFit="1" customWidth="1"/>
    <col min="13" max="13" width="21.88671875" bestFit="1" customWidth="1"/>
  </cols>
  <sheetData>
    <row r="1" spans="1:13" ht="15" thickBot="1" x14ac:dyDescent="0.35">
      <c r="A1" s="27" t="s">
        <v>21</v>
      </c>
      <c r="B1" s="28" t="s">
        <v>22</v>
      </c>
      <c r="C1" s="28" t="s">
        <v>23</v>
      </c>
      <c r="D1" s="28" t="s">
        <v>6</v>
      </c>
      <c r="E1" s="28" t="s">
        <v>24</v>
      </c>
      <c r="F1" s="28" t="s">
        <v>25</v>
      </c>
      <c r="G1" s="28" t="s">
        <v>26</v>
      </c>
      <c r="H1" s="28" t="s">
        <v>27</v>
      </c>
      <c r="I1" s="29" t="s">
        <v>118</v>
      </c>
      <c r="J1" s="28" t="s">
        <v>208</v>
      </c>
      <c r="K1" s="28" t="s">
        <v>212</v>
      </c>
      <c r="L1" s="28" t="s">
        <v>210</v>
      </c>
      <c r="M1" s="29" t="s">
        <v>211</v>
      </c>
    </row>
    <row r="2" spans="1:13" ht="15" thickBot="1" x14ac:dyDescent="0.35">
      <c r="A2" s="79">
        <v>1.2E-2</v>
      </c>
      <c r="B2" s="23">
        <v>0</v>
      </c>
      <c r="C2" s="23">
        <v>0</v>
      </c>
      <c r="D2" s="24">
        <v>0</v>
      </c>
      <c r="E2" s="25">
        <v>0</v>
      </c>
      <c r="F2" s="76">
        <v>0</v>
      </c>
      <c r="G2" s="26">
        <v>0</v>
      </c>
      <c r="H2" s="78">
        <v>3.8E-3</v>
      </c>
      <c r="I2" s="13" t="s">
        <v>166</v>
      </c>
      <c r="J2" s="76">
        <v>3.8699999999999998E-2</v>
      </c>
      <c r="K2" s="26">
        <v>0</v>
      </c>
      <c r="L2" s="26">
        <v>0</v>
      </c>
      <c r="M2" s="80">
        <v>0</v>
      </c>
    </row>
  </sheetData>
  <pageMargins left="0.7" right="0.7" top="0.75" bottom="0.75" header="0.3" footer="0.3"/>
  <pageSetup orientation="portrait" horizontalDpi="90" verticalDpi="9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F16"/>
  <sheetViews>
    <sheetView zoomScaleNormal="100" workbookViewId="0">
      <selection activeCell="C20" sqref="C20"/>
    </sheetView>
  </sheetViews>
  <sheetFormatPr defaultColWidth="24.6640625" defaultRowHeight="14.4" x14ac:dyDescent="0.3"/>
  <cols>
    <col min="1" max="1" width="10" bestFit="1" customWidth="1"/>
    <col min="2" max="2" width="29.109375" bestFit="1" customWidth="1"/>
    <col min="3" max="3" width="57.5546875" bestFit="1" customWidth="1"/>
    <col min="4" max="4" width="21.44140625" customWidth="1"/>
    <col min="5" max="5" width="35.109375" customWidth="1"/>
  </cols>
  <sheetData>
    <row r="1" spans="1:6" x14ac:dyDescent="0.3">
      <c r="A1" s="1" t="s">
        <v>30</v>
      </c>
      <c r="B1" s="1" t="s">
        <v>111</v>
      </c>
      <c r="C1" s="1" t="s">
        <v>109</v>
      </c>
      <c r="D1" s="1" t="s">
        <v>110</v>
      </c>
      <c r="E1" s="1" t="s">
        <v>76</v>
      </c>
      <c r="F1" s="1"/>
    </row>
    <row r="2" spans="1:6" x14ac:dyDescent="0.3">
      <c r="A2" s="21">
        <v>270132852</v>
      </c>
      <c r="B2" t="s">
        <v>167</v>
      </c>
      <c r="C2" t="s">
        <v>237</v>
      </c>
      <c r="D2" s="44">
        <v>1</v>
      </c>
    </row>
    <row r="3" spans="1:6" x14ac:dyDescent="0.3">
      <c r="A3" s="21">
        <v>270132852</v>
      </c>
      <c r="B3" t="s">
        <v>167</v>
      </c>
      <c r="C3" t="s">
        <v>238</v>
      </c>
      <c r="D3" s="44">
        <v>1</v>
      </c>
    </row>
    <row r="4" spans="1:6" x14ac:dyDescent="0.3">
      <c r="A4" s="21">
        <v>270132852</v>
      </c>
      <c r="B4" t="s">
        <v>167</v>
      </c>
      <c r="C4" t="s">
        <v>236</v>
      </c>
      <c r="D4" s="44">
        <v>1</v>
      </c>
    </row>
    <row r="5" spans="1:6" x14ac:dyDescent="0.3">
      <c r="A5" s="21">
        <v>270132852</v>
      </c>
      <c r="B5" t="s">
        <v>167</v>
      </c>
      <c r="C5" t="s">
        <v>215</v>
      </c>
      <c r="D5" s="44">
        <v>1</v>
      </c>
    </row>
    <row r="6" spans="1:6" x14ac:dyDescent="0.3">
      <c r="A6" s="21">
        <v>270132852</v>
      </c>
      <c r="B6" t="s">
        <v>167</v>
      </c>
      <c r="C6" t="s">
        <v>216</v>
      </c>
      <c r="D6" s="44">
        <v>1</v>
      </c>
    </row>
    <row r="7" spans="1:6" x14ac:dyDescent="0.3">
      <c r="A7" s="21">
        <v>270132852</v>
      </c>
      <c r="B7" t="s">
        <v>167</v>
      </c>
      <c r="C7" t="s">
        <v>217</v>
      </c>
      <c r="D7" s="44">
        <v>1</v>
      </c>
    </row>
    <row r="8" spans="1:6" x14ac:dyDescent="0.3">
      <c r="A8" s="21">
        <v>270132852</v>
      </c>
      <c r="B8" t="s">
        <v>167</v>
      </c>
      <c r="C8" t="s">
        <v>1244</v>
      </c>
      <c r="D8" s="44">
        <v>1</v>
      </c>
    </row>
    <row r="9" spans="1:6" x14ac:dyDescent="0.3">
      <c r="A9" s="21">
        <v>270132852</v>
      </c>
      <c r="B9" t="s">
        <v>167</v>
      </c>
      <c r="C9" t="s">
        <v>218</v>
      </c>
      <c r="D9" s="44">
        <v>1</v>
      </c>
    </row>
    <row r="10" spans="1:6" x14ac:dyDescent="0.3">
      <c r="A10" s="21">
        <v>270132852</v>
      </c>
      <c r="B10" t="s">
        <v>167</v>
      </c>
      <c r="C10" t="s">
        <v>897</v>
      </c>
      <c r="D10" s="44">
        <v>1</v>
      </c>
    </row>
    <row r="11" spans="1:6" x14ac:dyDescent="0.3">
      <c r="A11" s="21">
        <v>270132852</v>
      </c>
      <c r="B11" t="s">
        <v>167</v>
      </c>
      <c r="C11" t="s">
        <v>219</v>
      </c>
      <c r="D11" s="44">
        <v>1</v>
      </c>
    </row>
    <row r="12" spans="1:6" x14ac:dyDescent="0.3">
      <c r="A12" s="21">
        <v>270132852</v>
      </c>
      <c r="B12" t="s">
        <v>167</v>
      </c>
      <c r="C12" s="272" t="s">
        <v>220</v>
      </c>
      <c r="D12" s="44">
        <v>1</v>
      </c>
    </row>
    <row r="13" spans="1:6" x14ac:dyDescent="0.3">
      <c r="A13" s="21">
        <v>270132852</v>
      </c>
      <c r="B13" t="s">
        <v>167</v>
      </c>
      <c r="C13" s="272" t="s">
        <v>1036</v>
      </c>
      <c r="D13" s="44">
        <v>1</v>
      </c>
    </row>
    <row r="14" spans="1:6" x14ac:dyDescent="0.3">
      <c r="A14" s="21">
        <v>270132852</v>
      </c>
      <c r="B14" t="s">
        <v>167</v>
      </c>
      <c r="C14" s="272" t="s">
        <v>221</v>
      </c>
      <c r="D14" s="44">
        <v>1</v>
      </c>
    </row>
    <row r="15" spans="1:6" x14ac:dyDescent="0.3">
      <c r="A15" s="21">
        <v>270132852</v>
      </c>
      <c r="B15" t="s">
        <v>167</v>
      </c>
      <c r="C15" s="272" t="s">
        <v>222</v>
      </c>
      <c r="D15" s="44">
        <v>1</v>
      </c>
    </row>
    <row r="16" spans="1:6" x14ac:dyDescent="0.3">
      <c r="A16" s="21">
        <v>270132852</v>
      </c>
      <c r="B16" t="s">
        <v>167</v>
      </c>
      <c r="C16" s="272" t="s">
        <v>223</v>
      </c>
      <c r="D16" s="44">
        <v>1</v>
      </c>
    </row>
  </sheetData>
  <dataValidations count="1">
    <dataValidation type="list" allowBlank="1" showInputMessage="1" showErrorMessage="1" sqref="A2:A1048576" xr:uid="{00000000-0002-0000-0800-000000000000}">
      <formula1>#REF!</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T91"/>
  <sheetViews>
    <sheetView topLeftCell="A9" workbookViewId="0">
      <selection activeCell="B22" sqref="B22"/>
    </sheetView>
  </sheetViews>
  <sheetFormatPr defaultColWidth="9.109375" defaultRowHeight="14.4" x14ac:dyDescent="0.3"/>
  <cols>
    <col min="1" max="1" width="14.5546875" bestFit="1" customWidth="1"/>
    <col min="2" max="2" width="61.44140625" bestFit="1" customWidth="1"/>
    <col min="3" max="3" width="10.88671875" bestFit="1" customWidth="1"/>
    <col min="5" max="5" width="9" bestFit="1" customWidth="1"/>
    <col min="6" max="6" width="12.88671875" bestFit="1" customWidth="1"/>
    <col min="11" max="11" width="29.44140625" customWidth="1"/>
  </cols>
  <sheetData>
    <row r="1" spans="1:20" ht="15" thickBot="1" x14ac:dyDescent="0.35">
      <c r="A1" s="271" t="s">
        <v>85</v>
      </c>
      <c r="B1" s="271" t="s">
        <v>91</v>
      </c>
      <c r="C1" s="271" t="s">
        <v>92</v>
      </c>
      <c r="D1" s="271" t="s">
        <v>90</v>
      </c>
      <c r="E1" s="271" t="s">
        <v>86</v>
      </c>
      <c r="F1" s="271" t="s">
        <v>89</v>
      </c>
      <c r="J1" s="38" t="s">
        <v>187</v>
      </c>
      <c r="K1" s="39"/>
      <c r="L1" s="33" t="s">
        <v>188</v>
      </c>
      <c r="M1" s="40" t="s">
        <v>189</v>
      </c>
      <c r="N1" s="41" t="s">
        <v>190</v>
      </c>
      <c r="P1" s="38" t="s">
        <v>191</v>
      </c>
      <c r="Q1" s="39" t="s">
        <v>192</v>
      </c>
      <c r="R1" s="42" t="s">
        <v>188</v>
      </c>
      <c r="S1" s="42" t="s">
        <v>189</v>
      </c>
      <c r="T1" s="43" t="s">
        <v>190</v>
      </c>
    </row>
    <row r="2" spans="1:20" x14ac:dyDescent="0.3">
      <c r="A2" s="73" t="s">
        <v>83</v>
      </c>
      <c r="B2" s="73" t="s">
        <v>33</v>
      </c>
      <c r="C2" s="73"/>
      <c r="D2" s="73">
        <f>IF(BoundPortfolio!$A$2=1,Guidelines!L12,Guidelines!R12)</f>
        <v>0.15</v>
      </c>
      <c r="E2" s="73"/>
      <c r="F2" s="73"/>
      <c r="K2" s="5" t="s">
        <v>8</v>
      </c>
      <c r="L2" s="44">
        <v>0.05</v>
      </c>
      <c r="M2" s="45">
        <v>0</v>
      </c>
      <c r="N2" s="46">
        <v>0.5</v>
      </c>
      <c r="Q2" s="5" t="s">
        <v>8</v>
      </c>
      <c r="R2" s="47">
        <v>7.4999999999999997E-2</v>
      </c>
      <c r="S2" s="47">
        <v>0</v>
      </c>
      <c r="T2" s="48">
        <v>0.5</v>
      </c>
    </row>
    <row r="3" spans="1:20" x14ac:dyDescent="0.3">
      <c r="A3" s="73" t="s">
        <v>83</v>
      </c>
      <c r="B3" s="73" t="s">
        <v>34</v>
      </c>
      <c r="C3" s="73"/>
      <c r="D3" s="73">
        <f>IF(BoundPortfolio!$A$2=1,Guidelines!L13,Guidelines!R13)</f>
        <v>0.3</v>
      </c>
      <c r="E3" s="73"/>
      <c r="F3" s="73"/>
      <c r="K3" s="5" t="s">
        <v>41</v>
      </c>
      <c r="L3" s="49">
        <v>2.5000000000000001E-2</v>
      </c>
      <c r="M3" s="45">
        <v>0</v>
      </c>
      <c r="N3" s="46">
        <v>0.3</v>
      </c>
      <c r="Q3" s="5" t="s">
        <v>41</v>
      </c>
      <c r="R3" s="47">
        <v>0.05</v>
      </c>
      <c r="S3" s="47">
        <v>0</v>
      </c>
      <c r="T3" s="48">
        <v>0.3</v>
      </c>
    </row>
    <row r="4" spans="1:20" x14ac:dyDescent="0.3">
      <c r="A4" s="73" t="s">
        <v>2</v>
      </c>
      <c r="B4" s="287" t="s">
        <v>360</v>
      </c>
      <c r="C4" s="73"/>
      <c r="D4" s="73">
        <v>0.3</v>
      </c>
      <c r="E4" s="73"/>
      <c r="F4" s="73"/>
      <c r="K4" s="5" t="s">
        <v>7</v>
      </c>
      <c r="L4" s="44">
        <v>0.4</v>
      </c>
      <c r="M4" s="45">
        <v>0</v>
      </c>
      <c r="N4" s="46">
        <v>0.7</v>
      </c>
      <c r="Q4" s="5" t="s">
        <v>7</v>
      </c>
      <c r="R4" s="47">
        <v>0.4</v>
      </c>
      <c r="S4" s="47">
        <v>0</v>
      </c>
      <c r="T4" s="48">
        <v>0.7</v>
      </c>
    </row>
    <row r="5" spans="1:20" x14ac:dyDescent="0.3">
      <c r="A5" s="73" t="s">
        <v>2</v>
      </c>
      <c r="B5" s="287" t="s">
        <v>343</v>
      </c>
      <c r="C5" s="73"/>
      <c r="D5" s="73">
        <v>0.3</v>
      </c>
      <c r="E5" s="73"/>
      <c r="F5" s="73"/>
      <c r="K5" s="5" t="s">
        <v>43</v>
      </c>
      <c r="L5" s="44">
        <v>0.4</v>
      </c>
      <c r="M5" s="45">
        <v>0</v>
      </c>
      <c r="N5" s="46">
        <v>0.7</v>
      </c>
      <c r="Q5" s="5" t="s">
        <v>43</v>
      </c>
      <c r="R5" s="47">
        <v>0.4</v>
      </c>
      <c r="S5" s="47">
        <v>0</v>
      </c>
      <c r="T5" s="48">
        <v>0.7</v>
      </c>
    </row>
    <row r="6" spans="1:20" x14ac:dyDescent="0.3">
      <c r="A6" s="73" t="s">
        <v>2</v>
      </c>
      <c r="B6" s="287" t="s">
        <v>331</v>
      </c>
      <c r="C6" s="73"/>
      <c r="D6" s="73">
        <v>0.3</v>
      </c>
      <c r="E6" s="73"/>
      <c r="F6" s="73"/>
      <c r="K6" s="5" t="s">
        <v>42</v>
      </c>
      <c r="L6" s="44">
        <v>0.05</v>
      </c>
      <c r="M6" s="45">
        <v>0</v>
      </c>
      <c r="N6" s="46">
        <v>0.3</v>
      </c>
      <c r="Q6" s="5" t="s">
        <v>42</v>
      </c>
      <c r="R6" s="47">
        <v>0.1</v>
      </c>
      <c r="S6" s="47">
        <v>0</v>
      </c>
      <c r="T6" s="48">
        <v>0.5</v>
      </c>
    </row>
    <row r="7" spans="1:20" x14ac:dyDescent="0.3">
      <c r="A7" s="73" t="s">
        <v>2</v>
      </c>
      <c r="B7" s="287" t="s">
        <v>337</v>
      </c>
      <c r="C7" s="73"/>
      <c r="D7" s="73">
        <v>0.3</v>
      </c>
      <c r="E7" s="73"/>
      <c r="F7" s="73"/>
      <c r="K7" s="5" t="s">
        <v>29</v>
      </c>
      <c r="L7" s="44">
        <v>0.1</v>
      </c>
      <c r="M7" s="45">
        <v>0.1</v>
      </c>
      <c r="N7" s="50">
        <v>0.75</v>
      </c>
      <c r="Q7" s="5" t="s">
        <v>29</v>
      </c>
      <c r="R7" s="47">
        <v>0.1</v>
      </c>
      <c r="S7" s="47">
        <v>0.1</v>
      </c>
      <c r="T7" s="48">
        <v>0.75</v>
      </c>
    </row>
    <row r="8" spans="1:20" x14ac:dyDescent="0.3">
      <c r="A8" s="73" t="s">
        <v>2</v>
      </c>
      <c r="B8" s="287" t="s">
        <v>311</v>
      </c>
      <c r="C8" s="73"/>
      <c r="D8" s="73">
        <v>0.3</v>
      </c>
      <c r="E8" s="73"/>
      <c r="F8" s="73"/>
      <c r="K8" s="5" t="s">
        <v>40</v>
      </c>
      <c r="L8" s="44">
        <v>0.1</v>
      </c>
      <c r="M8" s="45">
        <v>-0.3</v>
      </c>
      <c r="N8" s="51">
        <v>0.15</v>
      </c>
      <c r="Q8" s="5" t="s">
        <v>40</v>
      </c>
      <c r="R8" s="47">
        <v>0.1</v>
      </c>
      <c r="S8" s="47">
        <v>-0.3</v>
      </c>
      <c r="T8" s="48">
        <v>0.15</v>
      </c>
    </row>
    <row r="9" spans="1:20" ht="15" thickBot="1" x14ac:dyDescent="0.35">
      <c r="A9" s="73" t="s">
        <v>2</v>
      </c>
      <c r="B9" s="287" t="s">
        <v>325</v>
      </c>
      <c r="C9" s="73"/>
      <c r="D9" s="73">
        <v>0.3</v>
      </c>
      <c r="E9" s="73"/>
      <c r="F9" s="73"/>
      <c r="K9" s="6" t="s">
        <v>32</v>
      </c>
      <c r="L9" s="12"/>
      <c r="M9" s="52">
        <v>2.5000000000000001E-2</v>
      </c>
      <c r="N9" s="13"/>
      <c r="Q9" s="6" t="s">
        <v>32</v>
      </c>
      <c r="R9" s="52"/>
      <c r="S9" s="52">
        <v>2.5000000000000001E-2</v>
      </c>
      <c r="T9" s="53"/>
    </row>
    <row r="10" spans="1:20" x14ac:dyDescent="0.3">
      <c r="A10" s="73" t="s">
        <v>2</v>
      </c>
      <c r="B10" s="287" t="s">
        <v>319</v>
      </c>
      <c r="C10" s="73"/>
      <c r="D10" s="73">
        <v>0.3</v>
      </c>
      <c r="E10" s="73"/>
      <c r="F10" s="73"/>
      <c r="L10" s="45"/>
      <c r="M10" s="45"/>
      <c r="N10" s="45"/>
      <c r="R10" s="45"/>
      <c r="S10" s="45"/>
      <c r="T10" s="45"/>
    </row>
    <row r="11" spans="1:20" ht="15" thickBot="1" x14ac:dyDescent="0.35">
      <c r="A11" s="73" t="s">
        <v>2</v>
      </c>
      <c r="B11" s="287" t="s">
        <v>366</v>
      </c>
      <c r="C11" s="73"/>
      <c r="D11" s="73">
        <v>0.3</v>
      </c>
      <c r="E11" s="73"/>
      <c r="F11" s="73"/>
      <c r="K11" t="s">
        <v>193</v>
      </c>
      <c r="L11" t="s">
        <v>194</v>
      </c>
      <c r="Q11" t="s">
        <v>195</v>
      </c>
      <c r="R11" s="45" t="s">
        <v>194</v>
      </c>
      <c r="S11" s="45"/>
      <c r="T11" s="45"/>
    </row>
    <row r="12" spans="1:20" x14ac:dyDescent="0.3">
      <c r="A12" s="73" t="s">
        <v>2</v>
      </c>
      <c r="B12" s="287" t="s">
        <v>349</v>
      </c>
      <c r="C12" s="73"/>
      <c r="D12" s="73">
        <v>0.3</v>
      </c>
      <c r="E12" s="73"/>
      <c r="F12" s="73"/>
      <c r="K12" s="18" t="s">
        <v>33</v>
      </c>
      <c r="L12" s="54">
        <v>0.15</v>
      </c>
      <c r="Q12" s="18" t="s">
        <v>33</v>
      </c>
      <c r="R12" s="55">
        <v>0.15</v>
      </c>
      <c r="S12" s="45"/>
      <c r="T12" s="45"/>
    </row>
    <row r="13" spans="1:20" ht="15" thickBot="1" x14ac:dyDescent="0.35">
      <c r="A13" s="73" t="s">
        <v>2</v>
      </c>
      <c r="B13" s="287" t="s">
        <v>303</v>
      </c>
      <c r="C13" s="73"/>
      <c r="D13" s="73">
        <v>0.3</v>
      </c>
      <c r="E13" s="73"/>
      <c r="F13" s="73"/>
      <c r="K13" s="6" t="s">
        <v>34</v>
      </c>
      <c r="L13" s="56">
        <v>0.3</v>
      </c>
      <c r="Q13" s="6" t="s">
        <v>34</v>
      </c>
      <c r="R13" s="53">
        <v>0.3</v>
      </c>
      <c r="S13" s="45"/>
      <c r="T13" s="45"/>
    </row>
    <row r="14" spans="1:20" ht="15" thickBot="1" x14ac:dyDescent="0.35">
      <c r="A14" s="73" t="s">
        <v>2</v>
      </c>
      <c r="B14" s="73" t="s">
        <v>373</v>
      </c>
      <c r="C14" s="73"/>
      <c r="D14" s="73">
        <v>0.3</v>
      </c>
      <c r="E14" s="73"/>
      <c r="F14" s="73"/>
      <c r="L14" s="44"/>
      <c r="R14" s="45"/>
      <c r="S14" s="45"/>
      <c r="T14" s="45"/>
    </row>
    <row r="15" spans="1:20" x14ac:dyDescent="0.3">
      <c r="A15" s="73" t="s">
        <v>2</v>
      </c>
      <c r="B15" s="73" t="s">
        <v>379</v>
      </c>
      <c r="C15" s="73"/>
      <c r="D15" s="73">
        <v>0.3</v>
      </c>
      <c r="E15" s="73"/>
      <c r="F15" s="73"/>
      <c r="K15" s="39" t="s">
        <v>196</v>
      </c>
      <c r="L15" s="54" t="s">
        <v>194</v>
      </c>
      <c r="Q15" s="39" t="s">
        <v>196</v>
      </c>
      <c r="R15" s="43" t="s">
        <v>194</v>
      </c>
      <c r="S15" s="45"/>
      <c r="T15" s="45"/>
    </row>
    <row r="16" spans="1:20" x14ac:dyDescent="0.3">
      <c r="A16" s="73" t="s">
        <v>2</v>
      </c>
      <c r="B16" s="73" t="s">
        <v>385</v>
      </c>
      <c r="C16" s="73"/>
      <c r="D16" s="73">
        <v>0.3</v>
      </c>
      <c r="E16" s="73"/>
      <c r="F16" s="73"/>
      <c r="K16" s="5" t="s">
        <v>8</v>
      </c>
      <c r="L16" s="50">
        <v>0.1</v>
      </c>
      <c r="Q16" s="5" t="s">
        <v>8</v>
      </c>
      <c r="R16" s="48">
        <v>0.15</v>
      </c>
      <c r="S16" s="45"/>
      <c r="T16" s="45"/>
    </row>
    <row r="17" spans="1:20" x14ac:dyDescent="0.3">
      <c r="A17" s="73" t="s">
        <v>2</v>
      </c>
      <c r="B17" s="73" t="s">
        <v>390</v>
      </c>
      <c r="C17" s="73"/>
      <c r="D17" s="73">
        <v>0.3</v>
      </c>
      <c r="E17" s="73"/>
      <c r="F17" s="73"/>
      <c r="K17" s="5" t="s">
        <v>40</v>
      </c>
      <c r="L17" s="50">
        <v>0.3</v>
      </c>
      <c r="Q17" s="5" t="s">
        <v>40</v>
      </c>
      <c r="R17" s="48">
        <v>0.15</v>
      </c>
      <c r="S17" s="45"/>
      <c r="T17" s="45"/>
    </row>
    <row r="18" spans="1:20" x14ac:dyDescent="0.3">
      <c r="A18" s="73" t="s">
        <v>2</v>
      </c>
      <c r="B18" s="73" t="s">
        <v>395</v>
      </c>
      <c r="C18" s="73"/>
      <c r="D18" s="73">
        <v>0.3</v>
      </c>
      <c r="E18" s="73"/>
      <c r="F18" s="73"/>
      <c r="K18" s="5" t="s">
        <v>41</v>
      </c>
      <c r="L18" s="50">
        <v>0.3</v>
      </c>
      <c r="Q18" s="5" t="s">
        <v>41</v>
      </c>
      <c r="R18" s="48">
        <v>0.15</v>
      </c>
      <c r="S18" s="45"/>
      <c r="T18" s="45"/>
    </row>
    <row r="19" spans="1:20" x14ac:dyDescent="0.3">
      <c r="A19" s="73" t="s">
        <v>2</v>
      </c>
      <c r="B19" s="73" t="s">
        <v>400</v>
      </c>
      <c r="C19" s="73"/>
      <c r="D19" s="73">
        <v>0.3</v>
      </c>
      <c r="E19" s="73"/>
      <c r="F19" s="73"/>
      <c r="K19" s="5" t="s">
        <v>7</v>
      </c>
      <c r="L19" s="50">
        <v>0.3</v>
      </c>
      <c r="Q19" s="5" t="s">
        <v>7</v>
      </c>
      <c r="R19" s="48">
        <v>0.3</v>
      </c>
      <c r="S19" s="45"/>
      <c r="T19" s="45"/>
    </row>
    <row r="20" spans="1:20" x14ac:dyDescent="0.3">
      <c r="A20" s="73" t="s">
        <v>2</v>
      </c>
      <c r="B20" s="73" t="s">
        <v>406</v>
      </c>
      <c r="C20" s="73"/>
      <c r="D20" s="73">
        <v>0.3</v>
      </c>
      <c r="E20" s="73"/>
      <c r="F20" s="73"/>
      <c r="K20" s="5" t="s">
        <v>42</v>
      </c>
      <c r="L20" s="50">
        <v>0.3</v>
      </c>
      <c r="Q20" s="5" t="s">
        <v>29</v>
      </c>
      <c r="R20" s="48">
        <v>0.3</v>
      </c>
      <c r="S20" s="45"/>
      <c r="T20" s="45"/>
    </row>
    <row r="21" spans="1:20" x14ac:dyDescent="0.3">
      <c r="A21" s="73" t="s">
        <v>2</v>
      </c>
      <c r="B21" s="73" t="s">
        <v>411</v>
      </c>
      <c r="C21" s="73"/>
      <c r="D21" s="73">
        <v>0.3</v>
      </c>
      <c r="E21" s="73"/>
      <c r="F21" s="73"/>
      <c r="K21" s="5" t="s">
        <v>43</v>
      </c>
      <c r="L21" s="50">
        <v>0.3</v>
      </c>
      <c r="Q21" s="5" t="s">
        <v>42</v>
      </c>
      <c r="R21" s="48">
        <v>0.15</v>
      </c>
      <c r="S21" s="45"/>
      <c r="T21" s="45"/>
    </row>
    <row r="22" spans="1:20" x14ac:dyDescent="0.3">
      <c r="A22" s="73" t="s">
        <v>2</v>
      </c>
      <c r="B22" s="73" t="s">
        <v>417</v>
      </c>
      <c r="C22" s="73"/>
      <c r="D22" s="73">
        <v>0.3</v>
      </c>
      <c r="E22" s="73"/>
      <c r="F22" s="73"/>
      <c r="K22" s="5" t="s">
        <v>35</v>
      </c>
      <c r="L22" s="50">
        <v>0.3</v>
      </c>
      <c r="Q22" s="5" t="s">
        <v>35</v>
      </c>
      <c r="R22" s="48">
        <v>0.3</v>
      </c>
      <c r="S22" s="45"/>
      <c r="T22" s="45"/>
    </row>
    <row r="23" spans="1:20" ht="15" thickBot="1" x14ac:dyDescent="0.35">
      <c r="A23" s="73" t="s">
        <v>93</v>
      </c>
      <c r="B23" s="73" t="s">
        <v>8</v>
      </c>
      <c r="C23" s="73"/>
      <c r="D23" s="73">
        <f>IF(BoundPortfolio!$A$2=1,Guidelines!L2,Guidelines!R2)</f>
        <v>0.05</v>
      </c>
      <c r="E23" s="73"/>
      <c r="F23" s="73"/>
      <c r="K23" s="6" t="s">
        <v>29</v>
      </c>
      <c r="L23" s="57">
        <v>0.3</v>
      </c>
      <c r="M23" s="45"/>
      <c r="N23" s="45"/>
      <c r="Q23" s="6" t="s">
        <v>43</v>
      </c>
      <c r="R23" s="53">
        <v>0.3</v>
      </c>
      <c r="S23" s="45"/>
      <c r="T23" s="58"/>
    </row>
    <row r="24" spans="1:20" ht="15" thickBot="1" x14ac:dyDescent="0.35">
      <c r="A24" s="73" t="s">
        <v>93</v>
      </c>
      <c r="B24" s="73" t="s">
        <v>41</v>
      </c>
      <c r="C24" s="73"/>
      <c r="D24" s="73">
        <f>IF(BoundPortfolio!$A$2=1,Guidelines!L3,Guidelines!R3)</f>
        <v>2.5000000000000001E-2</v>
      </c>
      <c r="E24" s="73"/>
      <c r="F24" s="73"/>
      <c r="L24" s="45"/>
      <c r="M24" s="45"/>
      <c r="N24" s="45"/>
      <c r="R24" s="45"/>
      <c r="S24" s="45"/>
      <c r="T24" s="45"/>
    </row>
    <row r="25" spans="1:20" x14ac:dyDescent="0.3">
      <c r="A25" s="73" t="s">
        <v>93</v>
      </c>
      <c r="B25" s="73" t="s">
        <v>7</v>
      </c>
      <c r="C25" s="73"/>
      <c r="D25" s="73">
        <f>IF(BoundPortfolio!$A$2=1,Guidelines!L4,Guidelines!R4)</f>
        <v>0.4</v>
      </c>
      <c r="E25" s="73"/>
      <c r="F25" s="73"/>
      <c r="K25" s="18"/>
      <c r="L25" s="42" t="s">
        <v>197</v>
      </c>
      <c r="M25" s="43" t="s">
        <v>198</v>
      </c>
      <c r="N25" s="58"/>
      <c r="Q25" s="18"/>
      <c r="R25" s="42" t="s">
        <v>197</v>
      </c>
      <c r="S25" s="43" t="s">
        <v>198</v>
      </c>
      <c r="T25" s="45"/>
    </row>
    <row r="26" spans="1:20" ht="15" thickBot="1" x14ac:dyDescent="0.35">
      <c r="A26" s="73" t="s">
        <v>93</v>
      </c>
      <c r="B26" s="73" t="s">
        <v>43</v>
      </c>
      <c r="C26" s="73"/>
      <c r="D26" s="73">
        <f>IF(BoundPortfolio!$A$2=1,Guidelines!L5,Guidelines!R5)</f>
        <v>0.4</v>
      </c>
      <c r="E26" s="73"/>
      <c r="F26" s="73"/>
      <c r="K26" s="5"/>
      <c r="L26" s="58" t="s">
        <v>199</v>
      </c>
      <c r="M26" s="59" t="s">
        <v>200</v>
      </c>
      <c r="N26" s="58"/>
      <c r="Q26" s="60" t="s">
        <v>201</v>
      </c>
      <c r="R26" s="58" t="s">
        <v>199</v>
      </c>
      <c r="S26" s="59" t="s">
        <v>200</v>
      </c>
      <c r="T26" s="58"/>
    </row>
    <row r="27" spans="1:20" x14ac:dyDescent="0.3">
      <c r="A27" s="73" t="s">
        <v>93</v>
      </c>
      <c r="B27" s="73" t="s">
        <v>42</v>
      </c>
      <c r="C27" s="73"/>
      <c r="D27" s="73">
        <f>IF(BoundPortfolio!$A$2=1,Guidelines!L6,Guidelines!R6)</f>
        <v>0.05</v>
      </c>
      <c r="E27" s="73"/>
      <c r="F27" s="73"/>
      <c r="K27" s="61" t="s">
        <v>13</v>
      </c>
      <c r="L27" s="62">
        <v>0.35</v>
      </c>
      <c r="M27" s="63">
        <v>0.5</v>
      </c>
      <c r="N27" s="64"/>
      <c r="Q27" s="61" t="s">
        <v>13</v>
      </c>
      <c r="R27" s="62">
        <v>0.45</v>
      </c>
      <c r="S27" s="63">
        <v>0.75</v>
      </c>
      <c r="T27" s="64"/>
    </row>
    <row r="28" spans="1:20" x14ac:dyDescent="0.3">
      <c r="A28" s="73" t="s">
        <v>93</v>
      </c>
      <c r="B28" s="73" t="s">
        <v>29</v>
      </c>
      <c r="C28" s="73"/>
      <c r="D28" s="73">
        <f>IF(BoundPortfolio!$A$2=1,Guidelines!L7,Guidelines!R7)</f>
        <v>0.1</v>
      </c>
      <c r="E28" s="73"/>
      <c r="F28" s="73"/>
      <c r="K28" s="65" t="s">
        <v>16</v>
      </c>
      <c r="L28" s="66">
        <v>0.3</v>
      </c>
      <c r="M28" s="67">
        <v>0.5</v>
      </c>
      <c r="N28" s="64"/>
      <c r="Q28" s="65" t="s">
        <v>16</v>
      </c>
      <c r="R28" s="66">
        <v>0.4</v>
      </c>
      <c r="S28" s="67">
        <v>0.65</v>
      </c>
      <c r="T28" s="64"/>
    </row>
    <row r="29" spans="1:20" x14ac:dyDescent="0.3">
      <c r="A29" s="73" t="s">
        <v>93</v>
      </c>
      <c r="B29" s="73" t="s">
        <v>40</v>
      </c>
      <c r="C29" s="73"/>
      <c r="D29" s="73">
        <f>IF(BoundPortfolio!$A$2=1,Guidelines!L8,Guidelines!R8)</f>
        <v>0.1</v>
      </c>
      <c r="E29" s="73"/>
      <c r="F29" s="73"/>
      <c r="K29" s="65" t="s">
        <v>12</v>
      </c>
      <c r="L29" s="66">
        <v>0.3</v>
      </c>
      <c r="M29" s="67">
        <v>0.5</v>
      </c>
      <c r="N29" s="64"/>
      <c r="Q29" s="65" t="s">
        <v>12</v>
      </c>
      <c r="R29" s="66">
        <v>0.4</v>
      </c>
      <c r="S29" s="67">
        <v>0.65</v>
      </c>
      <c r="T29" s="64"/>
    </row>
    <row r="30" spans="1:20" x14ac:dyDescent="0.3">
      <c r="A30" s="73" t="s">
        <v>93</v>
      </c>
      <c r="B30" s="73" t="s">
        <v>32</v>
      </c>
      <c r="C30" s="73"/>
      <c r="D30" s="73">
        <f>IF(BoundPortfolio!$A$2=1,Guidelines!L9,Guidelines!R9)</f>
        <v>0</v>
      </c>
      <c r="E30" s="73"/>
      <c r="F30" s="73"/>
      <c r="K30" s="65" t="s">
        <v>18</v>
      </c>
      <c r="L30" s="66">
        <v>0.3</v>
      </c>
      <c r="M30" s="67">
        <v>0.5</v>
      </c>
      <c r="N30" s="64"/>
      <c r="Q30" s="65" t="s">
        <v>18</v>
      </c>
      <c r="R30" s="66">
        <v>0.3</v>
      </c>
      <c r="S30" s="67">
        <v>0.5</v>
      </c>
      <c r="T30" s="64"/>
    </row>
    <row r="31" spans="1:20" x14ac:dyDescent="0.3">
      <c r="A31" s="73" t="s">
        <v>84</v>
      </c>
      <c r="B31" s="73" t="s">
        <v>13</v>
      </c>
      <c r="C31" s="73"/>
      <c r="D31" s="73">
        <f>IF(BoundPortfolio!$A$2=1,Guidelines!L27,Guidelines!R27)</f>
        <v>0.35</v>
      </c>
      <c r="E31" s="73" t="s">
        <v>87</v>
      </c>
      <c r="F31" s="73">
        <v>100</v>
      </c>
      <c r="K31" s="65" t="s">
        <v>19</v>
      </c>
      <c r="L31" s="66">
        <v>0.3</v>
      </c>
      <c r="M31" s="67">
        <v>0.5</v>
      </c>
      <c r="N31" s="64"/>
      <c r="Q31" s="65" t="s">
        <v>19</v>
      </c>
      <c r="R31" s="66">
        <v>0.45</v>
      </c>
      <c r="S31" s="67">
        <v>0.65</v>
      </c>
      <c r="T31" s="64"/>
    </row>
    <row r="32" spans="1:20" ht="15" thickBot="1" x14ac:dyDescent="0.35">
      <c r="A32" s="5" t="s">
        <v>84</v>
      </c>
      <c r="B32" t="s">
        <v>16</v>
      </c>
      <c r="D32">
        <f>IF(BoundPortfolio!$A$2=1,Guidelines!L28,Guidelines!R28)</f>
        <v>0.3</v>
      </c>
      <c r="E32" t="s">
        <v>87</v>
      </c>
      <c r="F32" s="11">
        <v>100</v>
      </c>
      <c r="K32" s="65" t="s">
        <v>17</v>
      </c>
      <c r="L32" s="66">
        <v>0.3</v>
      </c>
      <c r="M32" s="67">
        <v>0.5</v>
      </c>
      <c r="N32" s="64"/>
      <c r="Q32" s="65" t="s">
        <v>17</v>
      </c>
      <c r="R32" s="66">
        <v>0.4</v>
      </c>
      <c r="S32" s="67">
        <v>0.65</v>
      </c>
      <c r="T32" s="64"/>
    </row>
    <row r="33" spans="1:20" x14ac:dyDescent="0.3">
      <c r="A33" s="5" t="s">
        <v>84</v>
      </c>
      <c r="B33" t="s">
        <v>12</v>
      </c>
      <c r="D33">
        <f>IF(BoundPortfolio!$A$2=1,Guidelines!L29,Guidelines!R29)</f>
        <v>0.3</v>
      </c>
      <c r="E33" t="s">
        <v>87</v>
      </c>
      <c r="F33" s="11">
        <v>100</v>
      </c>
      <c r="K33" s="61" t="s">
        <v>15</v>
      </c>
      <c r="L33" s="66">
        <v>0.2</v>
      </c>
      <c r="M33" s="67">
        <v>0.35</v>
      </c>
      <c r="N33" s="64"/>
      <c r="Q33" s="61" t="s">
        <v>15</v>
      </c>
      <c r="R33" s="66">
        <v>0.3</v>
      </c>
      <c r="S33" s="67">
        <v>0.5</v>
      </c>
      <c r="T33" s="64"/>
    </row>
    <row r="34" spans="1:20" x14ac:dyDescent="0.3">
      <c r="A34" s="5" t="s">
        <v>84</v>
      </c>
      <c r="B34" t="s">
        <v>18</v>
      </c>
      <c r="D34">
        <f>IF(BoundPortfolio!$A$2=1,Guidelines!L30,Guidelines!R30)</f>
        <v>0.3</v>
      </c>
      <c r="E34" t="s">
        <v>87</v>
      </c>
      <c r="F34" s="11">
        <v>100</v>
      </c>
      <c r="K34" s="65" t="s">
        <v>14</v>
      </c>
      <c r="L34" s="66">
        <v>0.2</v>
      </c>
      <c r="M34" s="67">
        <v>0.3</v>
      </c>
      <c r="N34" s="64"/>
      <c r="Q34" s="65" t="s">
        <v>14</v>
      </c>
      <c r="R34" s="66">
        <v>0.3</v>
      </c>
      <c r="S34" s="67">
        <v>0.45</v>
      </c>
      <c r="T34" s="64"/>
    </row>
    <row r="35" spans="1:20" x14ac:dyDescent="0.3">
      <c r="A35" s="5" t="s">
        <v>84</v>
      </c>
      <c r="B35" t="s">
        <v>19</v>
      </c>
      <c r="D35">
        <f>IF(BoundPortfolio!$A$2=1,Guidelines!L31,Guidelines!R31)</f>
        <v>0.3</v>
      </c>
      <c r="E35" t="s">
        <v>87</v>
      </c>
      <c r="F35" s="11">
        <v>100</v>
      </c>
      <c r="K35" s="5" t="s">
        <v>36</v>
      </c>
      <c r="L35" s="66">
        <v>0.3</v>
      </c>
      <c r="M35" s="67">
        <v>0.5</v>
      </c>
      <c r="N35" s="64"/>
      <c r="Q35" s="5" t="s">
        <v>36</v>
      </c>
      <c r="R35" s="66">
        <v>0.45</v>
      </c>
      <c r="S35" s="67">
        <v>0.65</v>
      </c>
      <c r="T35" s="64"/>
    </row>
    <row r="36" spans="1:20" x14ac:dyDescent="0.3">
      <c r="A36" s="5" t="s">
        <v>84</v>
      </c>
      <c r="B36" t="s">
        <v>17</v>
      </c>
      <c r="D36">
        <f>IF(BoundPortfolio!$A$2=1,Guidelines!L32,Guidelines!R32)</f>
        <v>0.3</v>
      </c>
      <c r="E36" t="s">
        <v>87</v>
      </c>
      <c r="F36" s="11">
        <v>100</v>
      </c>
      <c r="K36" s="5" t="s">
        <v>37</v>
      </c>
      <c r="L36" s="66">
        <v>0.2</v>
      </c>
      <c r="M36" s="67">
        <v>0.3</v>
      </c>
      <c r="N36" s="64"/>
      <c r="Q36" s="5" t="s">
        <v>37</v>
      </c>
      <c r="R36" s="66">
        <v>0.3</v>
      </c>
      <c r="S36" s="67">
        <v>0.45</v>
      </c>
      <c r="T36" s="64"/>
    </row>
    <row r="37" spans="1:20" x14ac:dyDescent="0.3">
      <c r="A37" s="5" t="s">
        <v>84</v>
      </c>
      <c r="B37" t="s">
        <v>15</v>
      </c>
      <c r="D37">
        <f>IF(BoundPortfolio!$A$2=1,Guidelines!L33,Guidelines!R33)</f>
        <v>0.2</v>
      </c>
      <c r="E37" t="s">
        <v>87</v>
      </c>
      <c r="F37" s="11">
        <v>100</v>
      </c>
      <c r="K37" s="65" t="s">
        <v>9</v>
      </c>
      <c r="L37" s="66">
        <v>0.15</v>
      </c>
      <c r="M37" s="67">
        <v>0.25</v>
      </c>
      <c r="N37" s="64"/>
      <c r="Q37" s="65" t="s">
        <v>9</v>
      </c>
      <c r="R37" s="66">
        <v>0.2</v>
      </c>
      <c r="S37" s="67">
        <v>0.35</v>
      </c>
      <c r="T37" s="64"/>
    </row>
    <row r="38" spans="1:20" x14ac:dyDescent="0.3">
      <c r="A38" s="5" t="s">
        <v>84</v>
      </c>
      <c r="B38" t="s">
        <v>14</v>
      </c>
      <c r="D38">
        <f>IF(BoundPortfolio!$A$2=1,Guidelines!L34,Guidelines!R34)</f>
        <v>0.2</v>
      </c>
      <c r="E38" t="s">
        <v>87</v>
      </c>
      <c r="F38" s="11">
        <v>100</v>
      </c>
      <c r="K38" s="65" t="s">
        <v>10</v>
      </c>
      <c r="L38" s="66">
        <v>0.15</v>
      </c>
      <c r="M38" s="67">
        <v>0.25</v>
      </c>
      <c r="N38" s="64"/>
      <c r="Q38" s="65" t="s">
        <v>10</v>
      </c>
      <c r="R38" s="66">
        <v>0.2</v>
      </c>
      <c r="S38" s="67">
        <v>0.35</v>
      </c>
      <c r="T38" s="64"/>
    </row>
    <row r="39" spans="1:20" x14ac:dyDescent="0.3">
      <c r="A39" s="5" t="s">
        <v>84</v>
      </c>
      <c r="B39" t="s">
        <v>36</v>
      </c>
      <c r="D39">
        <f>IF(BoundPortfolio!$A$2=1,Guidelines!L35,Guidelines!R35)</f>
        <v>0.3</v>
      </c>
      <c r="E39" t="s">
        <v>87</v>
      </c>
      <c r="F39" s="11">
        <v>100</v>
      </c>
      <c r="K39" s="65" t="s">
        <v>11</v>
      </c>
      <c r="L39" s="66">
        <v>0.15</v>
      </c>
      <c r="M39" s="67">
        <v>0.25</v>
      </c>
      <c r="N39" s="64"/>
      <c r="Q39" s="65" t="s">
        <v>11</v>
      </c>
      <c r="R39" s="66">
        <v>0.2</v>
      </c>
      <c r="S39" s="67">
        <v>0.35</v>
      </c>
      <c r="T39" s="64"/>
    </row>
    <row r="40" spans="1:20" ht="15" thickBot="1" x14ac:dyDescent="0.35">
      <c r="A40" s="5" t="s">
        <v>84</v>
      </c>
      <c r="B40" t="s">
        <v>37</v>
      </c>
      <c r="D40">
        <f>IF(BoundPortfolio!$A$2=1,Guidelines!L36,Guidelines!R36)</f>
        <v>0.2</v>
      </c>
      <c r="E40" t="s">
        <v>87</v>
      </c>
      <c r="F40" s="11">
        <v>100</v>
      </c>
      <c r="K40" s="6" t="s">
        <v>38</v>
      </c>
      <c r="L40" s="68">
        <v>0.15</v>
      </c>
      <c r="M40" s="69">
        <v>0.25</v>
      </c>
      <c r="N40" s="64"/>
      <c r="Q40" s="6" t="s">
        <v>38</v>
      </c>
      <c r="R40" s="68">
        <v>0.2</v>
      </c>
      <c r="S40" s="69">
        <v>0.35</v>
      </c>
      <c r="T40" s="64"/>
    </row>
    <row r="41" spans="1:20" x14ac:dyDescent="0.3">
      <c r="A41" s="5" t="s">
        <v>84</v>
      </c>
      <c r="B41" t="s">
        <v>9</v>
      </c>
      <c r="D41">
        <f>IF(BoundPortfolio!$A$2=1,Guidelines!L37,Guidelines!R37)</f>
        <v>0.15</v>
      </c>
      <c r="E41" t="s">
        <v>87</v>
      </c>
      <c r="F41" s="11">
        <v>100</v>
      </c>
    </row>
    <row r="42" spans="1:20" x14ac:dyDescent="0.3">
      <c r="A42" s="5" t="s">
        <v>84</v>
      </c>
      <c r="B42" t="s">
        <v>10</v>
      </c>
      <c r="D42">
        <f>IF(BoundPortfolio!$A$2=1,Guidelines!L38,Guidelines!R38)</f>
        <v>0.15</v>
      </c>
      <c r="E42" t="s">
        <v>87</v>
      </c>
      <c r="F42" s="11">
        <v>100</v>
      </c>
    </row>
    <row r="43" spans="1:20" x14ac:dyDescent="0.3">
      <c r="A43" s="5" t="s">
        <v>84</v>
      </c>
      <c r="B43" t="s">
        <v>11</v>
      </c>
      <c r="D43">
        <f>IF(BoundPortfolio!$A$2=1,Guidelines!L39,Guidelines!R39)</f>
        <v>0.15</v>
      </c>
      <c r="E43" t="s">
        <v>87</v>
      </c>
      <c r="F43" s="11">
        <v>100</v>
      </c>
    </row>
    <row r="44" spans="1:20" x14ac:dyDescent="0.3">
      <c r="A44" s="5" t="s">
        <v>84</v>
      </c>
      <c r="B44" t="s">
        <v>38</v>
      </c>
      <c r="D44">
        <f>IF(BoundPortfolio!$A$2=1,Guidelines!L40,Guidelines!R40)</f>
        <v>0.15</v>
      </c>
      <c r="E44" t="s">
        <v>87</v>
      </c>
      <c r="F44" s="11">
        <v>100</v>
      </c>
    </row>
    <row r="45" spans="1:20" x14ac:dyDescent="0.3">
      <c r="A45" s="5" t="s">
        <v>84</v>
      </c>
      <c r="B45" t="s">
        <v>13</v>
      </c>
      <c r="D45">
        <f>IF(BoundPortfolio!$A$2=1,Guidelines!M27,Guidelines!S27)</f>
        <v>0.5</v>
      </c>
      <c r="E45" t="s">
        <v>88</v>
      </c>
      <c r="F45" s="11">
        <v>500</v>
      </c>
    </row>
    <row r="46" spans="1:20" x14ac:dyDescent="0.3">
      <c r="A46" s="5" t="s">
        <v>84</v>
      </c>
      <c r="B46" t="s">
        <v>16</v>
      </c>
      <c r="D46">
        <f>IF(BoundPortfolio!$A$2=1,Guidelines!M28,Guidelines!S28)</f>
        <v>0.5</v>
      </c>
      <c r="E46" t="s">
        <v>88</v>
      </c>
      <c r="F46" s="11">
        <v>500</v>
      </c>
    </row>
    <row r="47" spans="1:20" x14ac:dyDescent="0.3">
      <c r="A47" s="5" t="s">
        <v>84</v>
      </c>
      <c r="B47" t="s">
        <v>12</v>
      </c>
      <c r="D47">
        <f>IF(BoundPortfolio!$A$2=1,Guidelines!M29,Guidelines!S29)</f>
        <v>0.5</v>
      </c>
      <c r="E47" t="s">
        <v>88</v>
      </c>
      <c r="F47" s="11">
        <v>500</v>
      </c>
    </row>
    <row r="48" spans="1:20" x14ac:dyDescent="0.3">
      <c r="A48" s="5" t="s">
        <v>84</v>
      </c>
      <c r="B48" t="s">
        <v>18</v>
      </c>
      <c r="D48">
        <f>IF(BoundPortfolio!$A$2=1,Guidelines!M30,Guidelines!S30)</f>
        <v>0.5</v>
      </c>
      <c r="E48" t="s">
        <v>88</v>
      </c>
      <c r="F48" s="11">
        <v>500</v>
      </c>
    </row>
    <row r="49" spans="1:6" x14ac:dyDescent="0.3">
      <c r="A49" s="5" t="s">
        <v>84</v>
      </c>
      <c r="B49" t="s">
        <v>19</v>
      </c>
      <c r="D49">
        <f>IF(BoundPortfolio!$A$2=1,Guidelines!M31,Guidelines!S31)</f>
        <v>0.5</v>
      </c>
      <c r="E49" t="s">
        <v>88</v>
      </c>
      <c r="F49" s="11">
        <v>500</v>
      </c>
    </row>
    <row r="50" spans="1:6" x14ac:dyDescent="0.3">
      <c r="A50" s="5" t="s">
        <v>84</v>
      </c>
      <c r="B50" t="s">
        <v>17</v>
      </c>
      <c r="D50">
        <f>IF(BoundPortfolio!$A$2=1,Guidelines!M32,Guidelines!S32)</f>
        <v>0.5</v>
      </c>
      <c r="E50" t="s">
        <v>88</v>
      </c>
      <c r="F50" s="11">
        <v>500</v>
      </c>
    </row>
    <row r="51" spans="1:6" x14ac:dyDescent="0.3">
      <c r="A51" s="5" t="s">
        <v>84</v>
      </c>
      <c r="B51" t="s">
        <v>15</v>
      </c>
      <c r="D51">
        <f>IF(BoundPortfolio!$A$2=1,Guidelines!M33,Guidelines!S33)</f>
        <v>0.35</v>
      </c>
      <c r="E51" t="s">
        <v>88</v>
      </c>
      <c r="F51" s="11">
        <v>500</v>
      </c>
    </row>
    <row r="52" spans="1:6" x14ac:dyDescent="0.3">
      <c r="A52" s="5" t="s">
        <v>84</v>
      </c>
      <c r="B52" t="s">
        <v>14</v>
      </c>
      <c r="D52">
        <f>IF(BoundPortfolio!$A$2=1,Guidelines!M34,Guidelines!S34)</f>
        <v>0.3</v>
      </c>
      <c r="E52" t="s">
        <v>88</v>
      </c>
      <c r="F52" s="11">
        <v>500</v>
      </c>
    </row>
    <row r="53" spans="1:6" x14ac:dyDescent="0.3">
      <c r="A53" s="5" t="s">
        <v>84</v>
      </c>
      <c r="B53" t="s">
        <v>36</v>
      </c>
      <c r="D53">
        <f>IF(BoundPortfolio!$A$2=1,Guidelines!M35,Guidelines!S35)</f>
        <v>0.5</v>
      </c>
      <c r="E53" t="s">
        <v>88</v>
      </c>
      <c r="F53" s="11">
        <v>500</v>
      </c>
    </row>
    <row r="54" spans="1:6" x14ac:dyDescent="0.3">
      <c r="A54" s="5" t="s">
        <v>84</v>
      </c>
      <c r="B54" t="s">
        <v>37</v>
      </c>
      <c r="D54">
        <f>IF(BoundPortfolio!$A$2=1,Guidelines!M36,Guidelines!S36)</f>
        <v>0.3</v>
      </c>
      <c r="E54" t="s">
        <v>88</v>
      </c>
      <c r="F54" s="11">
        <v>500</v>
      </c>
    </row>
    <row r="55" spans="1:6" x14ac:dyDescent="0.3">
      <c r="A55" s="5" t="s">
        <v>84</v>
      </c>
      <c r="B55" t="s">
        <v>9</v>
      </c>
      <c r="D55">
        <f>IF(BoundPortfolio!$A$2=1,Guidelines!M37,Guidelines!S37)</f>
        <v>0.25</v>
      </c>
      <c r="E55" t="s">
        <v>88</v>
      </c>
      <c r="F55" s="11">
        <v>500</v>
      </c>
    </row>
    <row r="56" spans="1:6" x14ac:dyDescent="0.3">
      <c r="A56" s="5" t="s">
        <v>84</v>
      </c>
      <c r="B56" t="s">
        <v>10</v>
      </c>
      <c r="D56">
        <f>IF(BoundPortfolio!$A$2=1,Guidelines!M38,Guidelines!S38)</f>
        <v>0.25</v>
      </c>
      <c r="E56" t="s">
        <v>88</v>
      </c>
      <c r="F56" s="11">
        <v>500</v>
      </c>
    </row>
    <row r="57" spans="1:6" x14ac:dyDescent="0.3">
      <c r="A57" s="5" t="s">
        <v>84</v>
      </c>
      <c r="B57" t="s">
        <v>11</v>
      </c>
      <c r="D57">
        <f>IF(BoundPortfolio!$A$2=1,Guidelines!M39,Guidelines!S39)</f>
        <v>0.25</v>
      </c>
      <c r="E57" t="s">
        <v>88</v>
      </c>
      <c r="F57" s="11">
        <v>500</v>
      </c>
    </row>
    <row r="58" spans="1:6" x14ac:dyDescent="0.3">
      <c r="A58" s="5" t="s">
        <v>84</v>
      </c>
      <c r="B58" t="s">
        <v>38</v>
      </c>
      <c r="D58">
        <f>IF(BoundPortfolio!$A$2=1,Guidelines!M40,Guidelines!S40)</f>
        <v>0.25</v>
      </c>
      <c r="E58" t="s">
        <v>88</v>
      </c>
      <c r="F58" s="11">
        <v>500</v>
      </c>
    </row>
    <row r="59" spans="1:6" x14ac:dyDescent="0.3">
      <c r="A59" s="5" t="s">
        <v>84</v>
      </c>
      <c r="B59" t="s">
        <v>241</v>
      </c>
      <c r="D59">
        <v>0.4</v>
      </c>
      <c r="E59" t="s">
        <v>87</v>
      </c>
      <c r="F59" s="11">
        <v>100</v>
      </c>
    </row>
    <row r="60" spans="1:6" x14ac:dyDescent="0.3">
      <c r="A60" s="5" t="s">
        <v>84</v>
      </c>
      <c r="B60" t="s">
        <v>241</v>
      </c>
      <c r="D60">
        <v>0.65</v>
      </c>
      <c r="E60" t="s">
        <v>88</v>
      </c>
      <c r="F60" s="11">
        <v>500</v>
      </c>
    </row>
    <row r="61" spans="1:6" x14ac:dyDescent="0.3">
      <c r="A61" s="5" t="s">
        <v>84</v>
      </c>
      <c r="B61" t="s">
        <v>242</v>
      </c>
      <c r="D61">
        <v>0.65</v>
      </c>
      <c r="E61" t="s">
        <v>88</v>
      </c>
      <c r="F61" s="11">
        <v>500</v>
      </c>
    </row>
    <row r="62" spans="1:6" x14ac:dyDescent="0.3">
      <c r="A62" s="5" t="s">
        <v>84</v>
      </c>
      <c r="B62" t="s">
        <v>242</v>
      </c>
      <c r="D62">
        <v>0.4</v>
      </c>
      <c r="E62" t="s">
        <v>87</v>
      </c>
      <c r="F62" s="11">
        <v>100</v>
      </c>
    </row>
    <row r="63" spans="1:6" x14ac:dyDescent="0.3">
      <c r="A63" s="5" t="s">
        <v>84</v>
      </c>
      <c r="B63" t="s">
        <v>243</v>
      </c>
      <c r="D63">
        <v>0.4</v>
      </c>
      <c r="E63" t="s">
        <v>87</v>
      </c>
      <c r="F63" s="11">
        <v>100</v>
      </c>
    </row>
    <row r="64" spans="1:6" x14ac:dyDescent="0.3">
      <c r="A64" s="5" t="s">
        <v>84</v>
      </c>
      <c r="B64" t="s">
        <v>243</v>
      </c>
      <c r="D64">
        <v>0.65</v>
      </c>
      <c r="E64" t="s">
        <v>88</v>
      </c>
      <c r="F64" s="11">
        <v>500</v>
      </c>
    </row>
    <row r="65" spans="1:6" x14ac:dyDescent="0.3">
      <c r="A65" s="5" t="s">
        <v>84</v>
      </c>
      <c r="B65" t="s">
        <v>244</v>
      </c>
      <c r="D65">
        <v>0.65</v>
      </c>
      <c r="E65" t="s">
        <v>88</v>
      </c>
      <c r="F65" s="11">
        <v>500</v>
      </c>
    </row>
    <row r="66" spans="1:6" x14ac:dyDescent="0.3">
      <c r="A66" s="5" t="s">
        <v>84</v>
      </c>
      <c r="B66" t="s">
        <v>244</v>
      </c>
      <c r="D66">
        <v>0.4</v>
      </c>
      <c r="E66" t="s">
        <v>87</v>
      </c>
      <c r="F66" s="11">
        <v>100</v>
      </c>
    </row>
    <row r="67" spans="1:6" x14ac:dyDescent="0.3">
      <c r="A67" s="5" t="s">
        <v>84</v>
      </c>
      <c r="B67" t="s">
        <v>245</v>
      </c>
      <c r="D67">
        <v>0.3</v>
      </c>
      <c r="E67" t="s">
        <v>87</v>
      </c>
      <c r="F67" s="11">
        <v>100</v>
      </c>
    </row>
    <row r="68" spans="1:6" x14ac:dyDescent="0.3">
      <c r="A68" s="5" t="s">
        <v>84</v>
      </c>
      <c r="B68" t="s">
        <v>245</v>
      </c>
      <c r="D68">
        <v>0.45</v>
      </c>
      <c r="E68" t="s">
        <v>88</v>
      </c>
      <c r="F68" s="11">
        <v>500</v>
      </c>
    </row>
    <row r="69" spans="1:6" x14ac:dyDescent="0.3">
      <c r="A69" s="5" t="s">
        <v>84</v>
      </c>
      <c r="B69" t="s">
        <v>246</v>
      </c>
      <c r="D69">
        <v>0.45</v>
      </c>
      <c r="E69" t="s">
        <v>88</v>
      </c>
      <c r="F69" s="11">
        <v>500</v>
      </c>
    </row>
    <row r="70" spans="1:6" x14ac:dyDescent="0.3">
      <c r="A70" s="5" t="s">
        <v>84</v>
      </c>
      <c r="B70" t="s">
        <v>246</v>
      </c>
      <c r="D70">
        <v>0.3</v>
      </c>
      <c r="E70" t="s">
        <v>87</v>
      </c>
      <c r="F70" s="11">
        <v>100</v>
      </c>
    </row>
    <row r="71" spans="1:6" x14ac:dyDescent="0.3">
      <c r="A71" s="5" t="s">
        <v>84</v>
      </c>
      <c r="B71" t="s">
        <v>247</v>
      </c>
      <c r="D71">
        <v>0.3</v>
      </c>
      <c r="E71" t="s">
        <v>87</v>
      </c>
      <c r="F71" s="11">
        <v>100</v>
      </c>
    </row>
    <row r="72" spans="1:6" x14ac:dyDescent="0.3">
      <c r="A72" s="5" t="s">
        <v>84</v>
      </c>
      <c r="B72" t="s">
        <v>247</v>
      </c>
      <c r="D72">
        <v>0.45</v>
      </c>
      <c r="E72" t="s">
        <v>88</v>
      </c>
      <c r="F72" s="11">
        <v>500</v>
      </c>
    </row>
    <row r="73" spans="1:6" x14ac:dyDescent="0.3">
      <c r="A73" s="5" t="s">
        <v>84</v>
      </c>
      <c r="B73" t="s">
        <v>248</v>
      </c>
      <c r="D73">
        <v>0.3</v>
      </c>
      <c r="E73" t="s">
        <v>87</v>
      </c>
      <c r="F73" s="11">
        <v>100</v>
      </c>
    </row>
    <row r="74" spans="1:6" x14ac:dyDescent="0.3">
      <c r="A74" s="5" t="s">
        <v>84</v>
      </c>
      <c r="B74" t="s">
        <v>249</v>
      </c>
      <c r="D74">
        <v>0.2</v>
      </c>
      <c r="E74" t="s">
        <v>87</v>
      </c>
      <c r="F74" s="11">
        <v>100</v>
      </c>
    </row>
    <row r="75" spans="1:6" x14ac:dyDescent="0.3">
      <c r="A75" s="5" t="s">
        <v>84</v>
      </c>
      <c r="B75" t="s">
        <v>250</v>
      </c>
      <c r="D75">
        <v>0.2</v>
      </c>
      <c r="E75" t="s">
        <v>87</v>
      </c>
      <c r="F75" s="11">
        <v>100</v>
      </c>
    </row>
    <row r="76" spans="1:6" x14ac:dyDescent="0.3">
      <c r="A76" s="5" t="s">
        <v>84</v>
      </c>
      <c r="B76" t="s">
        <v>251</v>
      </c>
      <c r="D76">
        <v>0.2</v>
      </c>
      <c r="E76" t="s">
        <v>87</v>
      </c>
      <c r="F76" s="11">
        <v>100</v>
      </c>
    </row>
    <row r="77" spans="1:6" x14ac:dyDescent="0.3">
      <c r="A77" s="5" t="s">
        <v>84</v>
      </c>
      <c r="B77" t="s">
        <v>252</v>
      </c>
      <c r="D77">
        <v>0.2</v>
      </c>
      <c r="E77" t="s">
        <v>87</v>
      </c>
      <c r="F77" s="11">
        <v>100</v>
      </c>
    </row>
    <row r="78" spans="1:6" x14ac:dyDescent="0.3">
      <c r="A78" s="5" t="s">
        <v>84</v>
      </c>
      <c r="B78" t="s">
        <v>248</v>
      </c>
      <c r="D78">
        <v>0.45</v>
      </c>
      <c r="E78" t="s">
        <v>88</v>
      </c>
      <c r="F78" s="11">
        <v>500</v>
      </c>
    </row>
    <row r="79" spans="1:6" x14ac:dyDescent="0.3">
      <c r="A79" s="5" t="s">
        <v>84</v>
      </c>
      <c r="B79" t="s">
        <v>249</v>
      </c>
      <c r="D79">
        <v>0.35</v>
      </c>
      <c r="E79" t="s">
        <v>88</v>
      </c>
      <c r="F79" s="11">
        <v>500</v>
      </c>
    </row>
    <row r="80" spans="1:6" x14ac:dyDescent="0.3">
      <c r="A80" s="5" t="s">
        <v>84</v>
      </c>
      <c r="B80" t="s">
        <v>250</v>
      </c>
      <c r="D80">
        <v>0.35</v>
      </c>
      <c r="E80" t="s">
        <v>88</v>
      </c>
      <c r="F80" s="11">
        <v>500</v>
      </c>
    </row>
    <row r="81" spans="1:6" x14ac:dyDescent="0.3">
      <c r="A81" s="5" t="s">
        <v>84</v>
      </c>
      <c r="B81" t="s">
        <v>251</v>
      </c>
      <c r="D81">
        <v>0.35</v>
      </c>
      <c r="E81" t="s">
        <v>88</v>
      </c>
      <c r="F81" s="11">
        <v>500</v>
      </c>
    </row>
    <row r="82" spans="1:6" x14ac:dyDescent="0.3">
      <c r="A82" s="5" t="s">
        <v>84</v>
      </c>
      <c r="B82" t="s">
        <v>252</v>
      </c>
      <c r="D82">
        <v>0.35</v>
      </c>
      <c r="E82" t="s">
        <v>88</v>
      </c>
      <c r="F82" s="11">
        <v>500</v>
      </c>
    </row>
    <row r="83" spans="1:6" x14ac:dyDescent="0.3">
      <c r="A83" s="5" t="s">
        <v>84</v>
      </c>
      <c r="B83" t="s">
        <v>253</v>
      </c>
      <c r="D83">
        <v>0.45</v>
      </c>
      <c r="E83" t="s">
        <v>87</v>
      </c>
      <c r="F83" s="11">
        <v>100</v>
      </c>
    </row>
    <row r="84" spans="1:6" x14ac:dyDescent="0.3">
      <c r="A84" s="5" t="s">
        <v>84</v>
      </c>
      <c r="B84" t="s">
        <v>253</v>
      </c>
      <c r="D84">
        <v>0.45</v>
      </c>
      <c r="E84" t="s">
        <v>88</v>
      </c>
      <c r="F84" s="11">
        <v>500</v>
      </c>
    </row>
    <row r="85" spans="1:6" x14ac:dyDescent="0.3">
      <c r="A85" s="5" t="s">
        <v>204</v>
      </c>
      <c r="B85" t="s">
        <v>8</v>
      </c>
      <c r="D85">
        <v>0.5</v>
      </c>
      <c r="F85" s="11"/>
    </row>
    <row r="86" spans="1:6" x14ac:dyDescent="0.3">
      <c r="A86" s="5" t="s">
        <v>204</v>
      </c>
      <c r="B86" t="s">
        <v>41</v>
      </c>
      <c r="D86">
        <v>0.3</v>
      </c>
      <c r="F86" s="11"/>
    </row>
    <row r="87" spans="1:6" x14ac:dyDescent="0.3">
      <c r="A87" s="5" t="s">
        <v>204</v>
      </c>
      <c r="B87" t="s">
        <v>7</v>
      </c>
      <c r="D87">
        <v>0.7</v>
      </c>
      <c r="F87" s="11"/>
    </row>
    <row r="88" spans="1:6" x14ac:dyDescent="0.3">
      <c r="A88" s="5" t="s">
        <v>204</v>
      </c>
      <c r="B88" t="s">
        <v>43</v>
      </c>
      <c r="D88">
        <v>0.7</v>
      </c>
      <c r="F88" s="11"/>
    </row>
    <row r="89" spans="1:6" x14ac:dyDescent="0.3">
      <c r="A89" s="5" t="s">
        <v>204</v>
      </c>
      <c r="B89" t="s">
        <v>42</v>
      </c>
      <c r="D89">
        <v>0.3</v>
      </c>
      <c r="F89" s="11"/>
    </row>
    <row r="90" spans="1:6" x14ac:dyDescent="0.3">
      <c r="A90" s="5" t="s">
        <v>204</v>
      </c>
      <c r="B90" t="s">
        <v>29</v>
      </c>
      <c r="D90">
        <v>0.75</v>
      </c>
      <c r="F90" s="11"/>
    </row>
    <row r="91" spans="1:6" ht="15" thickBot="1" x14ac:dyDescent="0.35">
      <c r="A91" s="6" t="s">
        <v>204</v>
      </c>
      <c r="B91" s="12" t="s">
        <v>40</v>
      </c>
      <c r="C91" s="12"/>
      <c r="D91" s="12">
        <v>0.15</v>
      </c>
      <c r="E91" s="12"/>
      <c r="F91" s="13"/>
    </row>
  </sheetData>
  <conditionalFormatting sqref="K27">
    <cfRule type="duplicateValues" dxfId="22" priority="22"/>
  </conditionalFormatting>
  <conditionalFormatting sqref="K28">
    <cfRule type="duplicateValues" dxfId="21" priority="21"/>
  </conditionalFormatting>
  <conditionalFormatting sqref="K29">
    <cfRule type="duplicateValues" dxfId="20" priority="20"/>
  </conditionalFormatting>
  <conditionalFormatting sqref="K30">
    <cfRule type="duplicateValues" dxfId="19" priority="19"/>
  </conditionalFormatting>
  <conditionalFormatting sqref="K31">
    <cfRule type="duplicateValues" dxfId="18" priority="18"/>
  </conditionalFormatting>
  <conditionalFormatting sqref="K32">
    <cfRule type="duplicateValues" dxfId="17" priority="17"/>
  </conditionalFormatting>
  <conditionalFormatting sqref="K33">
    <cfRule type="duplicateValues" dxfId="16" priority="16"/>
  </conditionalFormatting>
  <conditionalFormatting sqref="K34">
    <cfRule type="duplicateValues" dxfId="15" priority="15"/>
  </conditionalFormatting>
  <conditionalFormatting sqref="K38">
    <cfRule type="duplicateValues" dxfId="14" priority="14"/>
  </conditionalFormatting>
  <conditionalFormatting sqref="K37">
    <cfRule type="duplicateValues" dxfId="13" priority="13"/>
  </conditionalFormatting>
  <conditionalFormatting sqref="K39">
    <cfRule type="duplicateValues" dxfId="12" priority="12"/>
  </conditionalFormatting>
  <conditionalFormatting sqref="Q27">
    <cfRule type="duplicateValues" dxfId="11" priority="11"/>
  </conditionalFormatting>
  <conditionalFormatting sqref="Q28">
    <cfRule type="duplicateValues" dxfId="10" priority="10"/>
  </conditionalFormatting>
  <conditionalFormatting sqref="Q29">
    <cfRule type="duplicateValues" dxfId="9" priority="9"/>
  </conditionalFormatting>
  <conditionalFormatting sqref="Q30">
    <cfRule type="duplicateValues" dxfId="8" priority="8"/>
  </conditionalFormatting>
  <conditionalFormatting sqref="Q31">
    <cfRule type="duplicateValues" dxfId="7" priority="7"/>
  </conditionalFormatting>
  <conditionalFormatting sqref="Q32">
    <cfRule type="duplicateValues" dxfId="6" priority="6"/>
  </conditionalFormatting>
  <conditionalFormatting sqref="Q33">
    <cfRule type="duplicateValues" dxfId="5" priority="5"/>
  </conditionalFormatting>
  <conditionalFormatting sqref="Q34">
    <cfRule type="duplicateValues" dxfId="4" priority="4"/>
  </conditionalFormatting>
  <conditionalFormatting sqref="Q38">
    <cfRule type="duplicateValues" dxfId="3" priority="3"/>
  </conditionalFormatting>
  <conditionalFormatting sqref="Q37">
    <cfRule type="duplicateValues" dxfId="2" priority="2"/>
  </conditionalFormatting>
  <conditionalFormatting sqref="Q39">
    <cfRule type="duplicateValues" dxfId="1"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G92"/>
  <sheetViews>
    <sheetView topLeftCell="B48" workbookViewId="0">
      <selection activeCell="E85" sqref="E85"/>
    </sheetView>
  </sheetViews>
  <sheetFormatPr defaultColWidth="9.109375" defaultRowHeight="14.4" x14ac:dyDescent="0.3"/>
  <cols>
    <col min="1" max="1" width="22" bestFit="1" customWidth="1"/>
    <col min="2" max="2" width="35.88671875" bestFit="1" customWidth="1"/>
    <col min="3" max="3" width="14" bestFit="1" customWidth="1"/>
    <col min="5" max="5" width="25.88671875" bestFit="1" customWidth="1"/>
    <col min="6" max="6" width="25.88671875" customWidth="1"/>
    <col min="7" max="7" width="121.88671875" bestFit="1" customWidth="1"/>
  </cols>
  <sheetData>
    <row r="1" spans="1:7" ht="15" thickBot="1" x14ac:dyDescent="0.35">
      <c r="A1" s="3" t="s">
        <v>39</v>
      </c>
      <c r="B1" s="7" t="s">
        <v>81</v>
      </c>
      <c r="C1" s="8" t="s">
        <v>55</v>
      </c>
      <c r="D1" s="8" t="s">
        <v>56</v>
      </c>
      <c r="E1" s="8" t="s">
        <v>82</v>
      </c>
      <c r="F1" s="9" t="s">
        <v>57</v>
      </c>
    </row>
    <row r="2" spans="1:7" x14ac:dyDescent="0.3">
      <c r="B2" s="5" t="s">
        <v>58</v>
      </c>
      <c r="C2" t="s">
        <v>59</v>
      </c>
      <c r="D2">
        <v>255</v>
      </c>
      <c r="E2" t="s">
        <v>58</v>
      </c>
      <c r="F2" s="14">
        <v>1</v>
      </c>
    </row>
    <row r="3" spans="1:7" x14ac:dyDescent="0.3">
      <c r="B3" s="5" t="s">
        <v>0</v>
      </c>
      <c r="C3" t="s">
        <v>59</v>
      </c>
      <c r="D3">
        <v>255</v>
      </c>
      <c r="E3" t="s">
        <v>0</v>
      </c>
      <c r="F3" s="14">
        <v>2</v>
      </c>
    </row>
    <row r="4" spans="1:7" x14ac:dyDescent="0.3">
      <c r="B4" s="5" t="s">
        <v>60</v>
      </c>
      <c r="C4" t="s">
        <v>59</v>
      </c>
      <c r="D4">
        <v>255</v>
      </c>
      <c r="E4" t="s">
        <v>60</v>
      </c>
      <c r="F4" s="14">
        <v>3</v>
      </c>
      <c r="G4" s="75" t="s">
        <v>164</v>
      </c>
    </row>
    <row r="5" spans="1:7" x14ac:dyDescent="0.3">
      <c r="B5" s="5" t="s">
        <v>123</v>
      </c>
      <c r="C5" t="s">
        <v>131</v>
      </c>
      <c r="D5">
        <v>255</v>
      </c>
      <c r="E5" s="22" t="s">
        <v>123</v>
      </c>
      <c r="F5" s="14">
        <v>4</v>
      </c>
    </row>
    <row r="6" spans="1:7" x14ac:dyDescent="0.3">
      <c r="B6" s="5" t="s">
        <v>124</v>
      </c>
      <c r="C6" t="s">
        <v>131</v>
      </c>
      <c r="D6">
        <v>255</v>
      </c>
      <c r="E6" s="22" t="s">
        <v>124</v>
      </c>
      <c r="F6" s="14">
        <v>5</v>
      </c>
    </row>
    <row r="7" spans="1:7" x14ac:dyDescent="0.3">
      <c r="B7" s="5" t="s">
        <v>125</v>
      </c>
      <c r="C7" t="s">
        <v>131</v>
      </c>
      <c r="D7">
        <v>255</v>
      </c>
      <c r="E7" s="22" t="s">
        <v>125</v>
      </c>
      <c r="F7" s="14">
        <v>6</v>
      </c>
    </row>
    <row r="8" spans="1:7" x14ac:dyDescent="0.3">
      <c r="B8" s="5" t="s">
        <v>126</v>
      </c>
      <c r="C8" t="s">
        <v>131</v>
      </c>
      <c r="D8">
        <v>255</v>
      </c>
      <c r="E8" s="22" t="s">
        <v>126</v>
      </c>
      <c r="F8" s="14">
        <v>7</v>
      </c>
    </row>
    <row r="9" spans="1:7" x14ac:dyDescent="0.3">
      <c r="B9" s="5" t="s">
        <v>129</v>
      </c>
      <c r="C9" t="s">
        <v>59</v>
      </c>
      <c r="D9">
        <v>255</v>
      </c>
      <c r="E9" s="22" t="s">
        <v>127</v>
      </c>
      <c r="F9" s="14">
        <v>8</v>
      </c>
      <c r="G9" t="s">
        <v>143</v>
      </c>
    </row>
    <row r="10" spans="1:7" x14ac:dyDescent="0.3">
      <c r="B10" s="5" t="s">
        <v>2</v>
      </c>
      <c r="C10" t="s">
        <v>59</v>
      </c>
      <c r="D10">
        <v>255</v>
      </c>
      <c r="E10" t="s">
        <v>2</v>
      </c>
      <c r="F10" s="14">
        <v>9</v>
      </c>
      <c r="G10" t="s">
        <v>144</v>
      </c>
    </row>
    <row r="11" spans="1:7" x14ac:dyDescent="0.3">
      <c r="B11" s="5" t="s">
        <v>3</v>
      </c>
      <c r="C11" t="s">
        <v>59</v>
      </c>
      <c r="D11">
        <v>255</v>
      </c>
      <c r="E11" t="s">
        <v>3</v>
      </c>
      <c r="F11" s="14">
        <v>10</v>
      </c>
      <c r="G11" t="s">
        <v>145</v>
      </c>
    </row>
    <row r="12" spans="1:7" x14ac:dyDescent="0.3">
      <c r="B12" s="5" t="s">
        <v>62</v>
      </c>
      <c r="C12" t="s">
        <v>131</v>
      </c>
      <c r="D12">
        <v>255</v>
      </c>
      <c r="E12" t="s">
        <v>62</v>
      </c>
      <c r="F12" s="14">
        <v>11</v>
      </c>
      <c r="G12" t="s">
        <v>146</v>
      </c>
    </row>
    <row r="13" spans="1:7" x14ac:dyDescent="0.3">
      <c r="B13" s="5" t="s">
        <v>63</v>
      </c>
      <c r="C13" t="s">
        <v>59</v>
      </c>
      <c r="E13" s="17" t="s">
        <v>63</v>
      </c>
      <c r="F13" s="14">
        <v>12</v>
      </c>
      <c r="G13" t="s">
        <v>147</v>
      </c>
    </row>
    <row r="14" spans="1:7" x14ac:dyDescent="0.3">
      <c r="B14" s="5" t="s">
        <v>65</v>
      </c>
      <c r="C14" t="s">
        <v>59</v>
      </c>
      <c r="E14" s="17" t="s">
        <v>65</v>
      </c>
      <c r="F14" s="14">
        <v>13</v>
      </c>
      <c r="G14" t="s">
        <v>148</v>
      </c>
    </row>
    <row r="15" spans="1:7" x14ac:dyDescent="0.3">
      <c r="B15" s="5" t="s">
        <v>4</v>
      </c>
      <c r="C15" t="s">
        <v>59</v>
      </c>
      <c r="D15">
        <v>255</v>
      </c>
      <c r="E15" t="s">
        <v>4</v>
      </c>
      <c r="F15" s="14">
        <v>14</v>
      </c>
    </row>
    <row r="16" spans="1:7" x14ac:dyDescent="0.3">
      <c r="B16" s="5" t="s">
        <v>66</v>
      </c>
      <c r="C16" t="s">
        <v>59</v>
      </c>
      <c r="D16">
        <v>255</v>
      </c>
      <c r="E16" t="s">
        <v>66</v>
      </c>
      <c r="F16" s="14">
        <v>15</v>
      </c>
      <c r="G16" t="s">
        <v>149</v>
      </c>
    </row>
    <row r="17" spans="2:7" x14ac:dyDescent="0.3">
      <c r="B17" s="5" t="s">
        <v>68</v>
      </c>
      <c r="C17" t="s">
        <v>69</v>
      </c>
      <c r="E17" t="s">
        <v>68</v>
      </c>
      <c r="F17" s="14">
        <v>16</v>
      </c>
      <c r="G17" t="s">
        <v>150</v>
      </c>
    </row>
    <row r="18" spans="2:7" x14ac:dyDescent="0.3">
      <c r="B18" s="5" t="s">
        <v>71</v>
      </c>
      <c r="C18" t="s">
        <v>69</v>
      </c>
      <c r="E18" t="s">
        <v>71</v>
      </c>
      <c r="F18" s="14">
        <v>17</v>
      </c>
      <c r="G18" t="s">
        <v>151</v>
      </c>
    </row>
    <row r="19" spans="2:7" x14ac:dyDescent="0.3">
      <c r="B19" s="5" t="s">
        <v>175</v>
      </c>
      <c r="C19" t="s">
        <v>69</v>
      </c>
      <c r="E19" s="35" t="s">
        <v>175</v>
      </c>
      <c r="F19" s="14">
        <v>18</v>
      </c>
      <c r="G19" t="s">
        <v>152</v>
      </c>
    </row>
    <row r="20" spans="2:7" x14ac:dyDescent="0.3">
      <c r="B20" s="5" t="s">
        <v>128</v>
      </c>
      <c r="C20" t="s">
        <v>59</v>
      </c>
      <c r="D20">
        <v>10</v>
      </c>
      <c r="E20" t="s">
        <v>128</v>
      </c>
      <c r="F20" s="14">
        <v>19</v>
      </c>
      <c r="G20" t="s">
        <v>153</v>
      </c>
    </row>
    <row r="21" spans="2:7" x14ac:dyDescent="0.3">
      <c r="B21" s="5" t="s">
        <v>72</v>
      </c>
      <c r="C21" t="s">
        <v>69</v>
      </c>
      <c r="E21" s="34" t="s">
        <v>72</v>
      </c>
      <c r="F21" s="14">
        <v>20</v>
      </c>
      <c r="G21" t="s">
        <v>154</v>
      </c>
    </row>
    <row r="22" spans="2:7" x14ac:dyDescent="0.3">
      <c r="B22" s="5" t="s">
        <v>176</v>
      </c>
      <c r="C22" t="s">
        <v>69</v>
      </c>
      <c r="E22" s="36" t="s">
        <v>169</v>
      </c>
      <c r="F22" s="14">
        <v>21</v>
      </c>
      <c r="G22" s="31"/>
    </row>
    <row r="23" spans="2:7" x14ac:dyDescent="0.3">
      <c r="B23" s="5" t="s">
        <v>177</v>
      </c>
      <c r="C23" t="s">
        <v>59</v>
      </c>
      <c r="D23">
        <v>255</v>
      </c>
      <c r="E23" s="36" t="s">
        <v>170</v>
      </c>
      <c r="F23" s="14">
        <v>22</v>
      </c>
    </row>
    <row r="24" spans="2:7" x14ac:dyDescent="0.3">
      <c r="B24" s="5" t="s">
        <v>178</v>
      </c>
      <c r="C24" t="s">
        <v>59</v>
      </c>
      <c r="E24" s="36" t="s">
        <v>171</v>
      </c>
      <c r="F24" s="14">
        <v>23</v>
      </c>
    </row>
    <row r="25" spans="2:7" x14ac:dyDescent="0.3">
      <c r="B25" s="5" t="s">
        <v>179</v>
      </c>
      <c r="C25" t="s">
        <v>69</v>
      </c>
      <c r="E25" s="36" t="s">
        <v>172</v>
      </c>
      <c r="F25" s="14">
        <v>24</v>
      </c>
    </row>
    <row r="26" spans="2:7" ht="15" thickBot="1" x14ac:dyDescent="0.35">
      <c r="B26" s="5" t="s">
        <v>180</v>
      </c>
      <c r="C26" t="s">
        <v>59</v>
      </c>
      <c r="E26" s="35" t="s">
        <v>173</v>
      </c>
      <c r="F26" s="14">
        <v>25</v>
      </c>
    </row>
    <row r="27" spans="2:7" ht="15" thickBot="1" x14ac:dyDescent="0.35">
      <c r="B27" s="32" t="s">
        <v>235</v>
      </c>
      <c r="C27" t="s">
        <v>69</v>
      </c>
      <c r="E27" s="32" t="s">
        <v>235</v>
      </c>
      <c r="F27" s="14">
        <v>26</v>
      </c>
      <c r="G27" t="s">
        <v>155</v>
      </c>
    </row>
    <row r="28" spans="2:7" x14ac:dyDescent="0.3">
      <c r="B28" s="5" t="s">
        <v>132</v>
      </c>
      <c r="C28" t="s">
        <v>69</v>
      </c>
      <c r="E28" t="s">
        <v>132</v>
      </c>
      <c r="F28" s="14">
        <v>27</v>
      </c>
    </row>
    <row r="29" spans="2:7" x14ac:dyDescent="0.3">
      <c r="B29" s="5" t="s">
        <v>165</v>
      </c>
      <c r="C29" t="s">
        <v>69</v>
      </c>
      <c r="E29" t="s">
        <v>133</v>
      </c>
      <c r="F29" s="14">
        <v>28</v>
      </c>
    </row>
    <row r="30" spans="2:7" x14ac:dyDescent="0.3">
      <c r="B30" s="5" t="s">
        <v>5</v>
      </c>
      <c r="C30" t="s">
        <v>69</v>
      </c>
      <c r="E30" t="s">
        <v>5</v>
      </c>
      <c r="F30" s="14">
        <v>29</v>
      </c>
    </row>
    <row r="31" spans="2:7" x14ac:dyDescent="0.3">
      <c r="B31" s="5" t="s">
        <v>73</v>
      </c>
      <c r="C31" t="s">
        <v>69</v>
      </c>
      <c r="E31" s="22" t="s">
        <v>73</v>
      </c>
      <c r="F31" s="14">
        <v>30</v>
      </c>
    </row>
    <row r="32" spans="2:7" x14ac:dyDescent="0.3">
      <c r="B32" s="5" t="s">
        <v>74</v>
      </c>
      <c r="C32" t="s">
        <v>59</v>
      </c>
      <c r="D32">
        <v>255</v>
      </c>
      <c r="E32" s="22" t="s">
        <v>74</v>
      </c>
      <c r="F32" s="14">
        <v>31</v>
      </c>
    </row>
    <row r="33" spans="2:7" x14ac:dyDescent="0.3">
      <c r="B33" s="5" t="s">
        <v>75</v>
      </c>
      <c r="C33" t="s">
        <v>69</v>
      </c>
      <c r="E33" s="22" t="s">
        <v>75</v>
      </c>
      <c r="F33" s="14">
        <v>32</v>
      </c>
    </row>
    <row r="34" spans="2:7" x14ac:dyDescent="0.3">
      <c r="B34" s="5" t="s">
        <v>76</v>
      </c>
      <c r="C34" t="s">
        <v>59</v>
      </c>
      <c r="D34">
        <v>2048</v>
      </c>
      <c r="E34" s="22" t="s">
        <v>76</v>
      </c>
      <c r="F34" s="14">
        <v>33</v>
      </c>
    </row>
    <row r="35" spans="2:7" x14ac:dyDescent="0.3">
      <c r="B35" s="5" t="s">
        <v>130</v>
      </c>
      <c r="C35" t="s">
        <v>77</v>
      </c>
      <c r="E35" s="22" t="s">
        <v>134</v>
      </c>
      <c r="F35" s="14">
        <v>34</v>
      </c>
    </row>
    <row r="36" spans="2:7" x14ac:dyDescent="0.3">
      <c r="B36" s="5" t="s">
        <v>135</v>
      </c>
      <c r="C36" t="s">
        <v>59</v>
      </c>
      <c r="E36" s="22" t="s">
        <v>135</v>
      </c>
      <c r="F36" s="14">
        <v>35</v>
      </c>
    </row>
    <row r="37" spans="2:7" x14ac:dyDescent="0.3">
      <c r="B37" s="5" t="s">
        <v>141</v>
      </c>
      <c r="C37" t="s">
        <v>59</v>
      </c>
      <c r="E37" s="22" t="s">
        <v>136</v>
      </c>
      <c r="F37" s="14">
        <v>36</v>
      </c>
    </row>
    <row r="38" spans="2:7" x14ac:dyDescent="0.3">
      <c r="B38" s="5" t="s">
        <v>137</v>
      </c>
      <c r="C38" t="s">
        <v>59</v>
      </c>
      <c r="E38" s="22" t="s">
        <v>137</v>
      </c>
      <c r="F38" s="14">
        <v>37</v>
      </c>
    </row>
    <row r="39" spans="2:7" x14ac:dyDescent="0.3">
      <c r="B39" s="5" t="s">
        <v>142</v>
      </c>
      <c r="C39" t="s">
        <v>59</v>
      </c>
      <c r="E39" s="22" t="s">
        <v>138</v>
      </c>
      <c r="F39" s="14">
        <v>38</v>
      </c>
    </row>
    <row r="40" spans="2:7" x14ac:dyDescent="0.3">
      <c r="B40" s="5" t="s">
        <v>139</v>
      </c>
      <c r="C40" t="s">
        <v>59</v>
      </c>
      <c r="E40" s="22" t="s">
        <v>139</v>
      </c>
      <c r="F40" s="14">
        <v>39</v>
      </c>
    </row>
    <row r="41" spans="2:7" x14ac:dyDescent="0.3">
      <c r="B41" s="5" t="s">
        <v>140</v>
      </c>
      <c r="C41" t="s">
        <v>131</v>
      </c>
      <c r="D41">
        <v>255</v>
      </c>
      <c r="E41" s="22" t="s">
        <v>140</v>
      </c>
      <c r="F41" s="14">
        <v>40</v>
      </c>
    </row>
    <row r="42" spans="2:7" x14ac:dyDescent="0.3">
      <c r="B42" s="5" t="s">
        <v>168</v>
      </c>
      <c r="C42" t="s">
        <v>131</v>
      </c>
      <c r="D42">
        <v>255</v>
      </c>
      <c r="E42" s="22" t="s">
        <v>168</v>
      </c>
      <c r="F42" s="14">
        <v>41</v>
      </c>
    </row>
    <row r="43" spans="2:7" x14ac:dyDescent="0.3">
      <c r="B43" s="5" t="s">
        <v>181</v>
      </c>
      <c r="C43" t="s">
        <v>69</v>
      </c>
      <c r="E43" s="37" t="s">
        <v>174</v>
      </c>
      <c r="F43" s="14">
        <v>42</v>
      </c>
    </row>
    <row r="44" spans="2:7" x14ac:dyDescent="0.3">
      <c r="B44" s="5" t="s">
        <v>183</v>
      </c>
      <c r="C44" t="s">
        <v>69</v>
      </c>
      <c r="E44" s="37" t="s">
        <v>182</v>
      </c>
      <c r="F44" s="14">
        <v>43</v>
      </c>
    </row>
    <row r="45" spans="2:7" x14ac:dyDescent="0.3">
      <c r="B45" s="5" t="s">
        <v>205</v>
      </c>
      <c r="C45" t="s">
        <v>59</v>
      </c>
      <c r="E45" s="37"/>
      <c r="F45" s="14">
        <v>44</v>
      </c>
    </row>
    <row r="46" spans="2:7" x14ac:dyDescent="0.3">
      <c r="B46" s="5" t="s">
        <v>206</v>
      </c>
      <c r="C46" t="s">
        <v>69</v>
      </c>
      <c r="E46" t="s">
        <v>206</v>
      </c>
      <c r="F46" s="14">
        <v>45</v>
      </c>
    </row>
    <row r="47" spans="2:7" x14ac:dyDescent="0.3">
      <c r="B47" s="5" t="s">
        <v>20</v>
      </c>
      <c r="C47" t="s">
        <v>77</v>
      </c>
      <c r="F47" s="11"/>
      <c r="G47" t="s">
        <v>157</v>
      </c>
    </row>
    <row r="48" spans="2:7" ht="15" thickBot="1" x14ac:dyDescent="0.35">
      <c r="B48" s="6" t="s">
        <v>115</v>
      </c>
      <c r="C48" s="12" t="s">
        <v>77</v>
      </c>
      <c r="D48" s="12"/>
      <c r="E48" s="12"/>
      <c r="F48" s="13"/>
      <c r="G48" t="s">
        <v>156</v>
      </c>
    </row>
    <row r="49" spans="1:7" ht="15" thickBot="1" x14ac:dyDescent="0.35"/>
    <row r="50" spans="1:7" ht="15" thickBot="1" x14ac:dyDescent="0.35">
      <c r="A50" s="3" t="s">
        <v>44</v>
      </c>
      <c r="B50" s="7" t="s">
        <v>81</v>
      </c>
      <c r="C50" s="8" t="s">
        <v>55</v>
      </c>
      <c r="D50" s="8" t="s">
        <v>56</v>
      </c>
      <c r="E50" s="8" t="s">
        <v>82</v>
      </c>
      <c r="F50" s="9" t="s">
        <v>57</v>
      </c>
    </row>
    <row r="51" spans="1:7" x14ac:dyDescent="0.3">
      <c r="B51" s="10" t="s">
        <v>117</v>
      </c>
      <c r="C51" t="s">
        <v>69</v>
      </c>
      <c r="E51" s="2" t="str">
        <f>'Profit and Loss'!A$1</f>
        <v>Management Fee</v>
      </c>
      <c r="F51" s="11">
        <v>1</v>
      </c>
      <c r="G51" t="s">
        <v>158</v>
      </c>
    </row>
    <row r="52" spans="1:7" x14ac:dyDescent="0.3">
      <c r="B52" s="10" t="s">
        <v>22</v>
      </c>
      <c r="C52" t="s">
        <v>69</v>
      </c>
      <c r="E52" s="2" t="str">
        <f>'Profit and Loss'!B$1</f>
        <v>Carry</v>
      </c>
      <c r="F52" s="11">
        <v>2</v>
      </c>
    </row>
    <row r="53" spans="1:7" x14ac:dyDescent="0.3">
      <c r="B53" s="10" t="s">
        <v>118</v>
      </c>
      <c r="C53" t="s">
        <v>59</v>
      </c>
      <c r="D53">
        <v>10</v>
      </c>
      <c r="E53" s="2"/>
      <c r="F53" s="11">
        <v>9</v>
      </c>
      <c r="G53" t="s">
        <v>160</v>
      </c>
    </row>
    <row r="54" spans="1:7" x14ac:dyDescent="0.3">
      <c r="B54" s="10" t="s">
        <v>119</v>
      </c>
      <c r="C54" t="s">
        <v>69</v>
      </c>
      <c r="E54" s="2" t="str">
        <f>'Profit and Loss'!C$1</f>
        <v>Hurdle (Hard)</v>
      </c>
      <c r="F54" s="11">
        <v>3</v>
      </c>
      <c r="G54" t="s">
        <v>159</v>
      </c>
    </row>
    <row r="55" spans="1:7" x14ac:dyDescent="0.3">
      <c r="B55" s="10" t="s">
        <v>79</v>
      </c>
      <c r="C55" t="s">
        <v>69</v>
      </c>
      <c r="E55" s="2" t="str">
        <f>'Profit and Loss'!D$1</f>
        <v>Fronting Fee</v>
      </c>
      <c r="F55" s="11">
        <v>4</v>
      </c>
      <c r="G55" t="s">
        <v>6</v>
      </c>
    </row>
    <row r="56" spans="1:7" x14ac:dyDescent="0.3">
      <c r="B56" s="10" t="s">
        <v>80</v>
      </c>
      <c r="C56" t="s">
        <v>69</v>
      </c>
      <c r="E56" s="2" t="str">
        <f>'Profit and Loss'!E$1</f>
        <v>Acquisition Expense</v>
      </c>
      <c r="F56" s="11">
        <v>5</v>
      </c>
    </row>
    <row r="57" spans="1:7" x14ac:dyDescent="0.3">
      <c r="B57" s="10" t="s">
        <v>25</v>
      </c>
      <c r="C57" t="s">
        <v>69</v>
      </c>
      <c r="E57" s="2" t="str">
        <f>'Profit and Loss'!F$1</f>
        <v>FET</v>
      </c>
      <c r="F57" s="11">
        <v>6</v>
      </c>
    </row>
    <row r="58" spans="1:7" x14ac:dyDescent="0.3">
      <c r="B58" s="10" t="s">
        <v>121</v>
      </c>
      <c r="C58" t="s">
        <v>69</v>
      </c>
      <c r="E58" s="2" t="str">
        <f>'Profit and Loss'!H$1</f>
        <v>Op/Org Expenses</v>
      </c>
      <c r="F58" s="11">
        <v>8</v>
      </c>
      <c r="G58" t="s">
        <v>161</v>
      </c>
    </row>
    <row r="59" spans="1:7" x14ac:dyDescent="0.3">
      <c r="B59" s="10" t="s">
        <v>120</v>
      </c>
      <c r="C59" t="s">
        <v>69</v>
      </c>
      <c r="E59" s="2" t="str">
        <f>'Profit and Loss'!G$1</f>
        <v>Investment Inc</v>
      </c>
      <c r="F59" s="11">
        <v>7</v>
      </c>
      <c r="G59" t="s">
        <v>162</v>
      </c>
    </row>
    <row r="60" spans="1:7" x14ac:dyDescent="0.3">
      <c r="B60" s="10" t="s">
        <v>207</v>
      </c>
      <c r="C60" t="s">
        <v>69</v>
      </c>
      <c r="E60" s="2" t="s">
        <v>208</v>
      </c>
      <c r="F60" s="11">
        <v>10</v>
      </c>
    </row>
    <row r="61" spans="1:7" x14ac:dyDescent="0.3">
      <c r="B61" s="10" t="s">
        <v>213</v>
      </c>
      <c r="C61" t="s">
        <v>69</v>
      </c>
      <c r="E61" s="2" t="s">
        <v>212</v>
      </c>
      <c r="F61" s="11">
        <v>11</v>
      </c>
    </row>
    <row r="62" spans="1:7" x14ac:dyDescent="0.3">
      <c r="B62" s="10" t="s">
        <v>214</v>
      </c>
      <c r="C62" t="s">
        <v>69</v>
      </c>
      <c r="E62" s="2" t="s">
        <v>210</v>
      </c>
      <c r="F62" s="11">
        <v>12</v>
      </c>
    </row>
    <row r="63" spans="1:7" x14ac:dyDescent="0.3">
      <c r="B63" s="10" t="s">
        <v>209</v>
      </c>
      <c r="C63" t="s">
        <v>69</v>
      </c>
      <c r="E63" s="2" t="s">
        <v>211</v>
      </c>
      <c r="F63" s="11">
        <v>13</v>
      </c>
    </row>
    <row r="64" spans="1:7" x14ac:dyDescent="0.3">
      <c r="B64" s="5" t="s">
        <v>122</v>
      </c>
      <c r="C64" t="s">
        <v>77</v>
      </c>
      <c r="F64" s="11"/>
      <c r="G64" t="s">
        <v>157</v>
      </c>
    </row>
    <row r="65" spans="1:7" ht="15" thickBot="1" x14ac:dyDescent="0.35">
      <c r="B65" s="6" t="s">
        <v>115</v>
      </c>
      <c r="C65" s="12" t="s">
        <v>77</v>
      </c>
      <c r="D65" s="12"/>
      <c r="E65" s="12"/>
      <c r="F65" s="13"/>
      <c r="G65" t="s">
        <v>156</v>
      </c>
    </row>
    <row r="66" spans="1:7" ht="15" thickBot="1" x14ac:dyDescent="0.35"/>
    <row r="67" spans="1:7" ht="15" thickBot="1" x14ac:dyDescent="0.35">
      <c r="A67" s="3" t="s">
        <v>113</v>
      </c>
      <c r="B67" s="7" t="s">
        <v>81</v>
      </c>
      <c r="C67" s="8" t="s">
        <v>55</v>
      </c>
      <c r="D67" s="8" t="s">
        <v>56</v>
      </c>
      <c r="E67" s="8" t="s">
        <v>82</v>
      </c>
      <c r="F67" s="9" t="s">
        <v>57</v>
      </c>
    </row>
    <row r="68" spans="1:7" x14ac:dyDescent="0.3">
      <c r="B68" s="5" t="s">
        <v>30</v>
      </c>
      <c r="C68" t="s">
        <v>77</v>
      </c>
      <c r="E68" t="str">
        <f>'Historical Events Adjustment'!A1</f>
        <v>EventID</v>
      </c>
      <c r="F68" s="11">
        <v>1</v>
      </c>
    </row>
    <row r="69" spans="1:7" x14ac:dyDescent="0.3">
      <c r="B69" s="5" t="s">
        <v>31</v>
      </c>
      <c r="C69" t="s">
        <v>59</v>
      </c>
      <c r="D69">
        <v>100</v>
      </c>
      <c r="E69" t="str">
        <f>'Historical Events Adjustment'!B1</f>
        <v>Event Name</v>
      </c>
      <c r="F69" s="11">
        <v>2</v>
      </c>
      <c r="G69" t="s">
        <v>163</v>
      </c>
    </row>
    <row r="70" spans="1:7" x14ac:dyDescent="0.3">
      <c r="B70" s="5" t="s">
        <v>60</v>
      </c>
      <c r="C70" t="s">
        <v>59</v>
      </c>
      <c r="D70">
        <v>500</v>
      </c>
      <c r="E70" t="str">
        <f>'Historical Events Adjustment'!C1</f>
        <v>ILSName (has to be exactly same as ILS Name in Bound details)</v>
      </c>
      <c r="F70" s="11">
        <v>3</v>
      </c>
      <c r="G70" t="s">
        <v>164</v>
      </c>
    </row>
    <row r="71" spans="1:7" x14ac:dyDescent="0.3">
      <c r="B71" s="5" t="s">
        <v>116</v>
      </c>
      <c r="C71" t="s">
        <v>69</v>
      </c>
      <c r="E71" t="str">
        <f>'Historical Events Adjustment'!D1</f>
        <v>Additional Adjustment</v>
      </c>
      <c r="F71" s="11">
        <v>4</v>
      </c>
    </row>
    <row r="72" spans="1:7" x14ac:dyDescent="0.3">
      <c r="B72" s="5" t="s">
        <v>122</v>
      </c>
      <c r="C72" t="s">
        <v>77</v>
      </c>
      <c r="F72" s="11"/>
      <c r="G72" t="s">
        <v>157</v>
      </c>
    </row>
    <row r="73" spans="1:7" ht="15" thickBot="1" x14ac:dyDescent="0.35">
      <c r="B73" s="6" t="s">
        <v>115</v>
      </c>
      <c r="C73" s="12" t="s">
        <v>77</v>
      </c>
      <c r="D73" s="12"/>
      <c r="E73" s="12"/>
      <c r="F73" s="13"/>
      <c r="G73" t="s">
        <v>156</v>
      </c>
    </row>
    <row r="74" spans="1:7" ht="15" thickBot="1" x14ac:dyDescent="0.35"/>
    <row r="75" spans="1:7" ht="15" thickBot="1" x14ac:dyDescent="0.35">
      <c r="A75" s="3" t="s">
        <v>45</v>
      </c>
      <c r="B75" s="7" t="s">
        <v>81</v>
      </c>
      <c r="C75" s="8" t="s">
        <v>55</v>
      </c>
      <c r="D75" s="8" t="s">
        <v>56</v>
      </c>
      <c r="E75" s="8" t="s">
        <v>82</v>
      </c>
      <c r="F75" s="9" t="s">
        <v>57</v>
      </c>
    </row>
    <row r="76" spans="1:7" x14ac:dyDescent="0.3">
      <c r="B76" s="5" t="s">
        <v>85</v>
      </c>
      <c r="C76" t="s">
        <v>59</v>
      </c>
      <c r="D76">
        <v>255</v>
      </c>
      <c r="E76" t="str">
        <f>Guidelines!A$1</f>
        <v>ConstraintType</v>
      </c>
      <c r="F76" s="11">
        <v>1</v>
      </c>
    </row>
    <row r="77" spans="1:7" x14ac:dyDescent="0.3">
      <c r="B77" s="5" t="s">
        <v>91</v>
      </c>
      <c r="C77" t="s">
        <v>59</v>
      </c>
      <c r="D77">
        <v>255</v>
      </c>
      <c r="E77" t="str">
        <f>Guidelines!B$1</f>
        <v>ConstraintName</v>
      </c>
      <c r="F77" s="11">
        <v>2</v>
      </c>
    </row>
    <row r="78" spans="1:7" x14ac:dyDescent="0.3">
      <c r="B78" s="5" t="s">
        <v>92</v>
      </c>
      <c r="C78" t="s">
        <v>69</v>
      </c>
      <c r="E78" t="str">
        <f>Guidelines!C$1</f>
        <v>SingleLimit</v>
      </c>
      <c r="F78" s="11">
        <v>3</v>
      </c>
    </row>
    <row r="79" spans="1:7" x14ac:dyDescent="0.3">
      <c r="B79" s="15" t="s">
        <v>90</v>
      </c>
      <c r="C79" t="s">
        <v>69</v>
      </c>
      <c r="E79" t="str">
        <f>Guidelines!D$1</f>
        <v>MaxLimit</v>
      </c>
      <c r="F79" s="11">
        <v>4</v>
      </c>
    </row>
    <row r="80" spans="1:7" x14ac:dyDescent="0.3">
      <c r="B80" s="5" t="s">
        <v>86</v>
      </c>
      <c r="C80" t="s">
        <v>59</v>
      </c>
      <c r="D80">
        <v>100</v>
      </c>
      <c r="E80" t="str">
        <f>Guidelines!E$1</f>
        <v>LossType</v>
      </c>
      <c r="F80" s="11">
        <v>5</v>
      </c>
    </row>
    <row r="81" spans="1:7" x14ac:dyDescent="0.3">
      <c r="B81" s="5" t="s">
        <v>89</v>
      </c>
      <c r="C81" t="s">
        <v>77</v>
      </c>
      <c r="E81" t="str">
        <f>Guidelines!F$1</f>
        <v>ReturnPeriod</v>
      </c>
      <c r="F81" s="11">
        <v>6</v>
      </c>
    </row>
    <row r="82" spans="1:7" x14ac:dyDescent="0.3">
      <c r="B82" s="5" t="s">
        <v>20</v>
      </c>
      <c r="C82" t="s">
        <v>77</v>
      </c>
      <c r="F82" s="11"/>
      <c r="G82" t="s">
        <v>157</v>
      </c>
    </row>
    <row r="83" spans="1:7" ht="15" thickBot="1" x14ac:dyDescent="0.35">
      <c r="B83" s="6" t="s">
        <v>115</v>
      </c>
      <c r="C83" s="12" t="s">
        <v>77</v>
      </c>
      <c r="D83" s="12"/>
      <c r="E83" s="12"/>
      <c r="F83" s="13"/>
      <c r="G83" t="s">
        <v>156</v>
      </c>
    </row>
    <row r="84" spans="1:7" ht="15" thickBot="1" x14ac:dyDescent="0.35"/>
    <row r="85" spans="1:7" ht="15" thickBot="1" x14ac:dyDescent="0.35">
      <c r="A85" s="3" t="s">
        <v>112</v>
      </c>
      <c r="B85" s="7" t="s">
        <v>81</v>
      </c>
      <c r="C85" s="8" t="s">
        <v>55</v>
      </c>
      <c r="D85" s="8" t="s">
        <v>56</v>
      </c>
      <c r="E85" s="8" t="s">
        <v>82</v>
      </c>
      <c r="F85" s="9" t="s">
        <v>57</v>
      </c>
    </row>
    <row r="86" spans="1:7" x14ac:dyDescent="0.3">
      <c r="B86" s="5" t="s">
        <v>20</v>
      </c>
      <c r="C86" t="s">
        <v>69</v>
      </c>
      <c r="F86" s="11"/>
    </row>
    <row r="87" spans="1:7" x14ac:dyDescent="0.3">
      <c r="B87" s="5" t="s">
        <v>1</v>
      </c>
      <c r="C87" t="s">
        <v>59</v>
      </c>
      <c r="D87">
        <v>50</v>
      </c>
      <c r="F87" s="11"/>
    </row>
    <row r="88" spans="1:7" x14ac:dyDescent="0.3">
      <c r="B88" s="5" t="s">
        <v>61</v>
      </c>
      <c r="C88" t="s">
        <v>69</v>
      </c>
      <c r="F88" s="11"/>
    </row>
    <row r="89" spans="1:7" x14ac:dyDescent="0.3">
      <c r="B89" s="5" t="s">
        <v>46</v>
      </c>
      <c r="C89" t="s">
        <v>59</v>
      </c>
      <c r="D89">
        <v>510</v>
      </c>
      <c r="F89" s="11"/>
    </row>
    <row r="90" spans="1:7" x14ac:dyDescent="0.3">
      <c r="B90" s="5" t="s">
        <v>67</v>
      </c>
      <c r="C90" t="s">
        <v>64</v>
      </c>
      <c r="F90" s="11"/>
    </row>
    <row r="91" spans="1:7" x14ac:dyDescent="0.3">
      <c r="B91" s="5" t="s">
        <v>70</v>
      </c>
      <c r="C91" t="s">
        <v>59</v>
      </c>
      <c r="D91">
        <v>2048</v>
      </c>
      <c r="F91" s="11"/>
    </row>
    <row r="92" spans="1:7" ht="15" thickBot="1" x14ac:dyDescent="0.35">
      <c r="B92" s="6" t="s">
        <v>186</v>
      </c>
      <c r="C92" s="12" t="s">
        <v>59</v>
      </c>
      <c r="D92" s="12">
        <v>255</v>
      </c>
      <c r="E92" s="12"/>
      <c r="F92" s="13"/>
    </row>
  </sheetData>
  <conditionalFormatting sqref="F3 F6 F9 F12 F15 F18 F21 F24 F27 F30 F33 F36 F39 F42">
    <cfRule type="duplicateValues" dxfId="0" priority="1"/>
  </conditionalFormatting>
  <pageMargins left="0.7" right="0.7" top="0.75" bottom="0.75" header="0.3" footer="0.3"/>
  <pageSetup orientation="portrait" horizontalDpi="90" verticalDpi="9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G76"/>
  <sheetViews>
    <sheetView workbookViewId="0">
      <selection activeCell="D9" sqref="D9"/>
    </sheetView>
  </sheetViews>
  <sheetFormatPr defaultColWidth="9.109375" defaultRowHeight="14.4" x14ac:dyDescent="0.3"/>
  <cols>
    <col min="1" max="1" width="33" customWidth="1"/>
    <col min="2" max="2" width="39.109375" bestFit="1" customWidth="1"/>
    <col min="3" max="3" width="29.6640625" bestFit="1" customWidth="1"/>
    <col min="4" max="4" width="25.88671875" bestFit="1" customWidth="1"/>
    <col min="5" max="5" width="29.33203125" bestFit="1" customWidth="1"/>
    <col min="6" max="6" width="8.88671875"/>
    <col min="8" max="9" width="8.88671875" customWidth="1"/>
  </cols>
  <sheetData>
    <row r="1" spans="1:7" ht="15" thickBot="1" x14ac:dyDescent="0.35">
      <c r="A1" s="3" t="s">
        <v>101</v>
      </c>
      <c r="B1" s="7" t="s">
        <v>108</v>
      </c>
      <c r="C1" s="8" t="s">
        <v>47</v>
      </c>
      <c r="D1" s="9" t="s">
        <v>48</v>
      </c>
      <c r="G1" s="8" t="s">
        <v>55</v>
      </c>
    </row>
    <row r="2" spans="1:7" x14ac:dyDescent="0.3">
      <c r="B2" s="5" t="s">
        <v>103</v>
      </c>
      <c r="C2" t="s">
        <v>53</v>
      </c>
      <c r="D2" s="11">
        <v>2</v>
      </c>
      <c r="G2" t="s">
        <v>59</v>
      </c>
    </row>
    <row r="3" spans="1:7" x14ac:dyDescent="0.3">
      <c r="B3" s="5" t="s">
        <v>104</v>
      </c>
      <c r="C3" t="s">
        <v>53</v>
      </c>
      <c r="D3" s="11">
        <v>3</v>
      </c>
      <c r="G3" t="s">
        <v>59</v>
      </c>
    </row>
    <row r="4" spans="1:7" x14ac:dyDescent="0.3">
      <c r="B4" s="5" t="s">
        <v>105</v>
      </c>
      <c r="C4" t="s">
        <v>53</v>
      </c>
      <c r="D4" s="11">
        <v>4</v>
      </c>
      <c r="G4" t="s">
        <v>59</v>
      </c>
    </row>
    <row r="5" spans="1:7" x14ac:dyDescent="0.3">
      <c r="B5" s="5" t="s">
        <v>106</v>
      </c>
      <c r="C5" t="s">
        <v>54</v>
      </c>
      <c r="D5" s="11" t="s">
        <v>54</v>
      </c>
      <c r="G5" t="s">
        <v>131</v>
      </c>
    </row>
    <row r="6" spans="1:7" x14ac:dyDescent="0.3">
      <c r="B6" s="5" t="s">
        <v>107</v>
      </c>
      <c r="C6" t="s">
        <v>53</v>
      </c>
      <c r="D6" s="11" t="s">
        <v>53</v>
      </c>
      <c r="G6" t="s">
        <v>131</v>
      </c>
    </row>
    <row r="7" spans="1:7" x14ac:dyDescent="0.3">
      <c r="B7" s="5" t="s">
        <v>49</v>
      </c>
      <c r="D7" s="74" t="s">
        <v>1347</v>
      </c>
      <c r="G7" t="s">
        <v>131</v>
      </c>
    </row>
    <row r="8" spans="1:7" x14ac:dyDescent="0.3">
      <c r="B8" s="5" t="s">
        <v>50</v>
      </c>
      <c r="D8" s="74" t="s">
        <v>1361</v>
      </c>
      <c r="G8" t="s">
        <v>131</v>
      </c>
    </row>
    <row r="9" spans="1:7" x14ac:dyDescent="0.3">
      <c r="B9" s="5" t="s">
        <v>51</v>
      </c>
      <c r="D9" s="74"/>
      <c r="G9" t="s">
        <v>59</v>
      </c>
    </row>
    <row r="10" spans="1:7" x14ac:dyDescent="0.3">
      <c r="B10" s="5" t="s">
        <v>52</v>
      </c>
      <c r="D10" s="74"/>
      <c r="G10" t="s">
        <v>59</v>
      </c>
    </row>
    <row r="11" spans="1:7" x14ac:dyDescent="0.3">
      <c r="B11" s="5" t="s">
        <v>102</v>
      </c>
      <c r="C11" t="s">
        <v>100</v>
      </c>
      <c r="D11" s="11">
        <v>15</v>
      </c>
      <c r="G11" t="s">
        <v>59</v>
      </c>
    </row>
    <row r="12" spans="1:7" ht="15" thickBot="1" x14ac:dyDescent="0.35">
      <c r="B12" s="6" t="s">
        <v>99</v>
      </c>
      <c r="C12" s="12" t="s">
        <v>100</v>
      </c>
      <c r="D12" s="13">
        <v>5</v>
      </c>
      <c r="G12" t="s">
        <v>59</v>
      </c>
    </row>
    <row r="13" spans="1:7" ht="15" thickBot="1" x14ac:dyDescent="0.35">
      <c r="G13" t="s">
        <v>59</v>
      </c>
    </row>
    <row r="14" spans="1:7" ht="15" thickBot="1" x14ac:dyDescent="0.35">
      <c r="A14" s="3" t="s">
        <v>98</v>
      </c>
      <c r="B14" s="18" t="s">
        <v>114</v>
      </c>
      <c r="C14" s="19" t="s">
        <v>96</v>
      </c>
      <c r="D14" s="19" t="s">
        <v>94</v>
      </c>
      <c r="E14" s="20" t="s">
        <v>95</v>
      </c>
      <c r="G14" t="s">
        <v>59</v>
      </c>
    </row>
    <row r="15" spans="1:7" x14ac:dyDescent="0.3">
      <c r="A15" s="1"/>
      <c r="B15" s="18" t="s">
        <v>39</v>
      </c>
      <c r="C15" s="19">
        <f>ROW('Bound Portfolio Report'!A1)</f>
        <v>1</v>
      </c>
      <c r="D15" s="19">
        <f>$C15+1</f>
        <v>2</v>
      </c>
      <c r="E15" s="20">
        <f>MATCH(B15,BoundPortfolioDetails!A:A,0)+1</f>
        <v>2</v>
      </c>
      <c r="G15" t="s">
        <v>59</v>
      </c>
    </row>
    <row r="16" spans="1:7" x14ac:dyDescent="0.3">
      <c r="B16" s="5" t="s">
        <v>44</v>
      </c>
      <c r="C16">
        <f>ROW('Profit and Loss'!A1)</f>
        <v>1</v>
      </c>
      <c r="D16">
        <f>$C16+1</f>
        <v>2</v>
      </c>
      <c r="E16" s="11">
        <f>MATCH(B16,BoundPortfolioDetails!A:A,0)+1</f>
        <v>51</v>
      </c>
      <c r="G16" t="s">
        <v>59</v>
      </c>
    </row>
    <row r="17" spans="2:7" x14ac:dyDescent="0.3">
      <c r="B17" s="5" t="s">
        <v>113</v>
      </c>
      <c r="C17">
        <f>ROW('Historical Events Adjustment'!A1)</f>
        <v>1</v>
      </c>
      <c r="D17">
        <f>$C17+1</f>
        <v>2</v>
      </c>
      <c r="E17" s="11">
        <f>MATCH(B17,BoundPortfolioDetails!A:A,0)+1</f>
        <v>68</v>
      </c>
      <c r="G17" t="s">
        <v>69</v>
      </c>
    </row>
    <row r="18" spans="2:7" x14ac:dyDescent="0.3">
      <c r="B18" s="5" t="s">
        <v>45</v>
      </c>
      <c r="C18">
        <f>ROW(Guidelines!A1)</f>
        <v>1</v>
      </c>
      <c r="D18">
        <f>$C18+1</f>
        <v>2</v>
      </c>
      <c r="E18" s="11">
        <f>MATCH(B18,BoundPortfolioDetails!A:A,0)+1</f>
        <v>76</v>
      </c>
      <c r="G18" t="s">
        <v>69</v>
      </c>
    </row>
    <row r="19" spans="2:7" ht="15" thickBot="1" x14ac:dyDescent="0.35">
      <c r="B19" s="6" t="s">
        <v>112</v>
      </c>
      <c r="C19" s="12">
        <f>ROW(BoundPortfolio!A1)</f>
        <v>1</v>
      </c>
      <c r="D19" s="12">
        <f>$C19+1</f>
        <v>2</v>
      </c>
      <c r="E19" s="13">
        <f>MATCH(B19,BoundPortfolioDetails!A:A,0)+1</f>
        <v>86</v>
      </c>
      <c r="G19" t="s">
        <v>59</v>
      </c>
    </row>
    <row r="20" spans="2:7" x14ac:dyDescent="0.3">
      <c r="G20" t="s">
        <v>69</v>
      </c>
    </row>
    <row r="21" spans="2:7" x14ac:dyDescent="0.3">
      <c r="G21" t="s">
        <v>69</v>
      </c>
    </row>
    <row r="22" spans="2:7" x14ac:dyDescent="0.3">
      <c r="G22" t="s">
        <v>69</v>
      </c>
    </row>
    <row r="23" spans="2:7" x14ac:dyDescent="0.3">
      <c r="G23" t="s">
        <v>69</v>
      </c>
    </row>
    <row r="24" spans="2:7" x14ac:dyDescent="0.3">
      <c r="G24" t="s">
        <v>59</v>
      </c>
    </row>
    <row r="25" spans="2:7" x14ac:dyDescent="0.3">
      <c r="G25" t="s">
        <v>69</v>
      </c>
    </row>
    <row r="26" spans="2:7" x14ac:dyDescent="0.3">
      <c r="G26" t="s">
        <v>59</v>
      </c>
    </row>
    <row r="27" spans="2:7" x14ac:dyDescent="0.3">
      <c r="G27" t="s">
        <v>77</v>
      </c>
    </row>
    <row r="28" spans="2:7" x14ac:dyDescent="0.3">
      <c r="G28" t="s">
        <v>131</v>
      </c>
    </row>
    <row r="29" spans="2:7" x14ac:dyDescent="0.3">
      <c r="G29" t="s">
        <v>131</v>
      </c>
    </row>
    <row r="30" spans="2:7" x14ac:dyDescent="0.3">
      <c r="G30" t="s">
        <v>59</v>
      </c>
    </row>
    <row r="31" spans="2:7" x14ac:dyDescent="0.3">
      <c r="G31" t="s">
        <v>59</v>
      </c>
    </row>
    <row r="32" spans="2:7" x14ac:dyDescent="0.3">
      <c r="G32" t="s">
        <v>59</v>
      </c>
    </row>
    <row r="33" spans="7:7" x14ac:dyDescent="0.3">
      <c r="G33" t="s">
        <v>131</v>
      </c>
    </row>
    <row r="34" spans="7:7" x14ac:dyDescent="0.3">
      <c r="G34" t="s">
        <v>69</v>
      </c>
    </row>
    <row r="35" spans="7:7" x14ac:dyDescent="0.3">
      <c r="G35" t="s">
        <v>69</v>
      </c>
    </row>
    <row r="36" spans="7:7" x14ac:dyDescent="0.3">
      <c r="G36" t="s">
        <v>77</v>
      </c>
    </row>
    <row r="37" spans="7:7" ht="15" thickBot="1" x14ac:dyDescent="0.35">
      <c r="G37" s="12" t="s">
        <v>77</v>
      </c>
    </row>
    <row r="38" spans="7:7" ht="15" thickBot="1" x14ac:dyDescent="0.35"/>
    <row r="39" spans="7:7" ht="15" thickBot="1" x14ac:dyDescent="0.35">
      <c r="G39" s="8" t="s">
        <v>55</v>
      </c>
    </row>
    <row r="40" spans="7:7" x14ac:dyDescent="0.3">
      <c r="G40" t="s">
        <v>69</v>
      </c>
    </row>
    <row r="41" spans="7:7" x14ac:dyDescent="0.3">
      <c r="G41" t="s">
        <v>69</v>
      </c>
    </row>
    <row r="42" spans="7:7" x14ac:dyDescent="0.3">
      <c r="G42" t="s">
        <v>59</v>
      </c>
    </row>
    <row r="43" spans="7:7" x14ac:dyDescent="0.3">
      <c r="G43" t="s">
        <v>69</v>
      </c>
    </row>
    <row r="44" spans="7:7" x14ac:dyDescent="0.3">
      <c r="G44" t="s">
        <v>69</v>
      </c>
    </row>
    <row r="45" spans="7:7" x14ac:dyDescent="0.3">
      <c r="G45" t="s">
        <v>69</v>
      </c>
    </row>
    <row r="46" spans="7:7" x14ac:dyDescent="0.3">
      <c r="G46" t="s">
        <v>69</v>
      </c>
    </row>
    <row r="47" spans="7:7" x14ac:dyDescent="0.3">
      <c r="G47" t="s">
        <v>69</v>
      </c>
    </row>
    <row r="48" spans="7:7" x14ac:dyDescent="0.3">
      <c r="G48" t="s">
        <v>69</v>
      </c>
    </row>
    <row r="49" spans="7:7" x14ac:dyDescent="0.3">
      <c r="G49" t="s">
        <v>77</v>
      </c>
    </row>
    <row r="50" spans="7:7" ht="15" thickBot="1" x14ac:dyDescent="0.35">
      <c r="G50" s="12" t="s">
        <v>77</v>
      </c>
    </row>
    <row r="51" spans="7:7" ht="15" thickBot="1" x14ac:dyDescent="0.35"/>
    <row r="52" spans="7:7" ht="15" thickBot="1" x14ac:dyDescent="0.35">
      <c r="G52" s="8" t="s">
        <v>55</v>
      </c>
    </row>
    <row r="53" spans="7:7" x14ac:dyDescent="0.3">
      <c r="G53" t="s">
        <v>77</v>
      </c>
    </row>
    <row r="54" spans="7:7" x14ac:dyDescent="0.3">
      <c r="G54" t="s">
        <v>59</v>
      </c>
    </row>
    <row r="55" spans="7:7" x14ac:dyDescent="0.3">
      <c r="G55" t="s">
        <v>59</v>
      </c>
    </row>
    <row r="56" spans="7:7" x14ac:dyDescent="0.3">
      <c r="G56" t="s">
        <v>69</v>
      </c>
    </row>
    <row r="57" spans="7:7" x14ac:dyDescent="0.3">
      <c r="G57" t="s">
        <v>77</v>
      </c>
    </row>
    <row r="58" spans="7:7" ht="15" thickBot="1" x14ac:dyDescent="0.35">
      <c r="G58" s="12" t="s">
        <v>77</v>
      </c>
    </row>
    <row r="59" spans="7:7" ht="15" thickBot="1" x14ac:dyDescent="0.35"/>
    <row r="60" spans="7:7" ht="15" thickBot="1" x14ac:dyDescent="0.35">
      <c r="G60" s="8" t="s">
        <v>55</v>
      </c>
    </row>
    <row r="61" spans="7:7" x14ac:dyDescent="0.3">
      <c r="G61" t="s">
        <v>59</v>
      </c>
    </row>
    <row r="62" spans="7:7" x14ac:dyDescent="0.3">
      <c r="G62" t="s">
        <v>59</v>
      </c>
    </row>
    <row r="63" spans="7:7" x14ac:dyDescent="0.3">
      <c r="G63" t="s">
        <v>69</v>
      </c>
    </row>
    <row r="64" spans="7:7" x14ac:dyDescent="0.3">
      <c r="G64" t="s">
        <v>69</v>
      </c>
    </row>
    <row r="65" spans="7:7" x14ac:dyDescent="0.3">
      <c r="G65" t="s">
        <v>59</v>
      </c>
    </row>
    <row r="66" spans="7:7" x14ac:dyDescent="0.3">
      <c r="G66" t="s">
        <v>77</v>
      </c>
    </row>
    <row r="67" spans="7:7" x14ac:dyDescent="0.3">
      <c r="G67" t="s">
        <v>77</v>
      </c>
    </row>
    <row r="68" spans="7:7" ht="15" thickBot="1" x14ac:dyDescent="0.35">
      <c r="G68" s="12" t="s">
        <v>77</v>
      </c>
    </row>
    <row r="69" spans="7:7" ht="15" thickBot="1" x14ac:dyDescent="0.35"/>
    <row r="70" spans="7:7" ht="15" thickBot="1" x14ac:dyDescent="0.35">
      <c r="G70" s="8" t="s">
        <v>55</v>
      </c>
    </row>
    <row r="71" spans="7:7" x14ac:dyDescent="0.3">
      <c r="G71" t="s">
        <v>69</v>
      </c>
    </row>
    <row r="72" spans="7:7" x14ac:dyDescent="0.3">
      <c r="G72" t="s">
        <v>59</v>
      </c>
    </row>
    <row r="73" spans="7:7" x14ac:dyDescent="0.3">
      <c r="G73" t="s">
        <v>69</v>
      </c>
    </row>
    <row r="74" spans="7:7" x14ac:dyDescent="0.3">
      <c r="G74" t="s">
        <v>59</v>
      </c>
    </row>
    <row r="75" spans="7:7" x14ac:dyDescent="0.3">
      <c r="G75" t="s">
        <v>64</v>
      </c>
    </row>
    <row r="76" spans="7:7" ht="15" thickBot="1" x14ac:dyDescent="0.35">
      <c r="G76" s="12" t="s">
        <v>59</v>
      </c>
    </row>
  </sheetData>
  <pageMargins left="0.7" right="0.7" top="0.75" bottom="0.75" header="0.3" footer="0.3"/>
  <pageSetup orientation="portrait" horizontalDpi="90" verticalDpi="9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ETF Portfolio</vt:lpstr>
      <vt:lpstr>Control Checks</vt:lpstr>
      <vt:lpstr>ETF Portfolio OLD</vt:lpstr>
      <vt:lpstr>ILS Data pull</vt:lpstr>
      <vt:lpstr>Tasks</vt:lpstr>
      <vt:lpstr>Bound Portfolio Report</vt:lpstr>
      <vt:lpstr>BoundPortfolio</vt:lpstr>
      <vt:lpstr>Profit and Loss</vt:lpstr>
      <vt:lpstr>Historical Events Adjustment</vt:lpstr>
      <vt:lpstr>Guidelines</vt:lpstr>
      <vt:lpstr>BoundPortfolioDetails</vt:lpstr>
      <vt:lpstr>Setup</vt:lpstr>
    </vt:vector>
  </TitlesOfParts>
  <Company>Pimco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Mali, Akshaya</dc:creator>
  <cp:lastModifiedBy>sindhu raghavan</cp:lastModifiedBy>
  <cp:lastPrinted>2020-06-02T14:20:35Z</cp:lastPrinted>
  <dcterms:created xsi:type="dcterms:W3CDTF">2020-04-22T07:09:09Z</dcterms:created>
  <dcterms:modified xsi:type="dcterms:W3CDTF">2026-06-30T10:25:36Z</dcterms:modified>
</cp:coreProperties>
</file>