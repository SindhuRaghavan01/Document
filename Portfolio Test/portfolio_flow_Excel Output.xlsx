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C3164EDB-FB99-4735-B118-706EB5E3288E}" xr6:coauthVersionLast="47" xr6:coauthVersionMax="47" xr10:uidLastSave="{00000000-0000-0000-0000-000000000000}"/>
  <bookViews>
    <workbookView xWindow="-108" yWindow="-108" windowWidth="23256" windowHeight="12456" firstSheet="1" activeTab="10" xr2:uid="{5A149B75-9515-48B8-A370-3E52C9F77A6D}"/>
  </bookViews>
  <sheets>
    <sheet name="ILS Data" sheetId="1" r:id="rId1"/>
    <sheet name="ETF" sheetId="2" r:id="rId2"/>
    <sheet name="Bound Portfolio Report" sheetId="3" r:id="rId3"/>
    <sheet name="id 103" sheetId="4" r:id="rId4"/>
    <sheet name="id 106" sheetId="5" r:id="rId5"/>
    <sheet name="id 107" sheetId="6" r:id="rId6"/>
    <sheet name="id 108" sheetId="7" r:id="rId7"/>
    <sheet name="ID 109" sheetId="8" r:id="rId8"/>
    <sheet name="ID 110" sheetId="9" r:id="rId9"/>
    <sheet name="ID 111" sheetId="10" r:id="rId10"/>
    <sheet name="ID 115" sheetId="12" r:id="rId11"/>
  </sheets>
  <externalReferences>
    <externalReference r:id="rId12"/>
    <externalReference r:id="rId13"/>
  </externalReferences>
  <definedNames>
    <definedName name="_100__Premium">#REF!</definedName>
    <definedName name="_100_AEP">#REF!</definedName>
    <definedName name="_500_AEP">#REF!</definedName>
    <definedName name="_xlnm._FilterDatabase" localSheetId="2" hidden="1">'Bound Portfolio Report'!$A$1:$AS$59</definedName>
    <definedName name="_xlnm._FilterDatabase" localSheetId="1" hidden="1">ETF!$A$1:$CC$59</definedName>
    <definedName name="Actual___of_AUM">#REF!</definedName>
    <definedName name="Aggregate_Limit__100">#REF!</definedName>
    <definedName name="AIR_ARe_LayerID">[1]BoundLayerDB!$D$3:$D$1048576</definedName>
    <definedName name="Avg_Rate_Change_Projection">#REF!</definedName>
    <definedName name="Bond_Price__Binding">#REF!</definedName>
    <definedName name="Bound_Date">#REF!</definedName>
    <definedName name="CipherID">#REF!</definedName>
    <definedName name="CIQWBGuid" hidden="1">"f0b1c0f7-41d0-47c3-b294-5242a657cad6"</definedName>
    <definedName name="Co_TVAR_100">#REF!</definedName>
    <definedName name="Co_TVAR_1000">#REF!</definedName>
    <definedName name="Collateral__Fronted">#REF!</definedName>
    <definedName name="Collateral_Fee">#REF!</definedName>
    <definedName name="Collateral_Premium">#REF!</definedName>
    <definedName name="Comment">#REF!</definedName>
    <definedName name="dMillion">1000000</definedName>
    <definedName name="dNoSH">#REF!</definedName>
    <definedName name="dSharePrice">#REF!</definedName>
    <definedName name="Exception_Approval">#REF!</definedName>
    <definedName name="Exp._Loss">#REF!</definedName>
    <definedName name="Expiration_Date">#REF!</definedName>
    <definedName name="Fronted">#REF!</definedName>
    <definedName name="Fronting">#REF!</definedName>
    <definedName name="Fronting_Fee">#REF!</definedName>
    <definedName name="Guideline_Check">#REF!</definedName>
    <definedName name="Hedges">#REF!</definedName>
    <definedName name="Initial_Fees">#REF!</definedName>
    <definedName name="Invested_AUM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"019802400"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42319.6118981481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">#REF!</definedName>
    <definedName name="Layer_with_Analysis_Profile">#REF!</definedName>
    <definedName name="Layer_with_participation">#REF!</definedName>
    <definedName name="Layer_with_updated_expiry">#REF!</definedName>
    <definedName name="Loss_Ratio">#REF!</definedName>
    <definedName name="Name">#REF!</definedName>
    <definedName name="Non_Modeled___PIMCO_View">#REF!</definedName>
    <definedName name="Occ_Limit__100">#REF!</definedName>
    <definedName name="Original_Layer_ID">#REF!</definedName>
    <definedName name="Original_Layer_with_Participation">#REF!</definedName>
    <definedName name="PIMCO_Agg_Limit">#REF!</definedName>
    <definedName name="PIMCO_ARe_LayerID">[1]BoundLayerDB!$B$3:$B$1048576</definedName>
    <definedName name="PIMCO_Occ_Limit">#REF!</definedName>
    <definedName name="PIMCO_Share">#REF!</definedName>
    <definedName name="Premium">#REF!</definedName>
    <definedName name="Profit">#REF!</definedName>
    <definedName name="Return">#REF!</definedName>
    <definedName name="Return_on_Co_TVAR_100">#REF!</definedName>
    <definedName name="ROL">#REF!</definedName>
    <definedName name="SD">#REF!</definedName>
    <definedName name="Security_Instrument">#REF!</definedName>
    <definedName name="Single_Risk_Guideline">#REF!</definedName>
    <definedName name="SpreadsheetBuilder_1" hidden="1">#REF!</definedName>
    <definedName name="SpreadsheetBuilder_15" hidden="1">#REF!</definedName>
    <definedName name="SpreadsheetBuilder_16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TTM">#REF!</definedName>
    <definedName name="UW_Expenses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2" i="4" l="1"/>
  <c r="AO59" i="3" l="1"/>
  <c r="AN59" i="3"/>
  <c r="AC59" i="3"/>
  <c r="AA59" i="3"/>
  <c r="W59" i="3"/>
  <c r="AI59" i="3" s="1"/>
  <c r="AJ59" i="3" s="1"/>
  <c r="AK59" i="3" s="1"/>
  <c r="AL59" i="3" s="1"/>
  <c r="AM59" i="3" s="1"/>
  <c r="V59" i="3"/>
  <c r="U59" i="3"/>
  <c r="T59" i="3"/>
  <c r="R59" i="3"/>
  <c r="Z59" i="3" s="1"/>
  <c r="O59" i="3"/>
  <c r="L59" i="3" a="1"/>
  <c r="L59" i="3" s="1"/>
  <c r="I59" i="3"/>
  <c r="C59" i="3"/>
  <c r="AO58" i="3"/>
  <c r="AN58" i="3"/>
  <c r="AC58" i="3"/>
  <c r="AA58" i="3"/>
  <c r="W58" i="3"/>
  <c r="AI58" i="3" s="1"/>
  <c r="AJ58" i="3" s="1"/>
  <c r="AK58" i="3" s="1"/>
  <c r="AL58" i="3" s="1"/>
  <c r="AM58" i="3" s="1"/>
  <c r="V58" i="3"/>
  <c r="U58" i="3"/>
  <c r="T58" i="3"/>
  <c r="R58" i="3"/>
  <c r="Z58" i="3" s="1"/>
  <c r="O58" i="3"/>
  <c r="L58" i="3" a="1"/>
  <c r="L58" i="3" s="1"/>
  <c r="I58" i="3"/>
  <c r="C58" i="3"/>
  <c r="D58" i="3" s="1"/>
  <c r="AO57" i="3"/>
  <c r="AN57" i="3"/>
  <c r="AC57" i="3"/>
  <c r="AA57" i="3"/>
  <c r="W57" i="3"/>
  <c r="AI57" i="3" s="1"/>
  <c r="AJ57" i="3" s="1"/>
  <c r="AK57" i="3" s="1"/>
  <c r="AL57" i="3" s="1"/>
  <c r="AM57" i="3" s="1"/>
  <c r="V57" i="3"/>
  <c r="U57" i="3"/>
  <c r="T57" i="3"/>
  <c r="R57" i="3"/>
  <c r="Z57" i="3" s="1"/>
  <c r="O57" i="3"/>
  <c r="L57" i="3" a="1"/>
  <c r="L57" i="3" s="1"/>
  <c r="I57" i="3"/>
  <c r="C57" i="3"/>
  <c r="Q57" i="3" s="1"/>
  <c r="AO56" i="3"/>
  <c r="AN56" i="3"/>
  <c r="AC56" i="3"/>
  <c r="AA56" i="3"/>
  <c r="W56" i="3"/>
  <c r="AI56" i="3" s="1"/>
  <c r="AJ56" i="3" s="1"/>
  <c r="AK56" i="3" s="1"/>
  <c r="AL56" i="3" s="1"/>
  <c r="AM56" i="3" s="1"/>
  <c r="V56" i="3"/>
  <c r="U56" i="3"/>
  <c r="T56" i="3"/>
  <c r="R56" i="3"/>
  <c r="Z56" i="3" s="1"/>
  <c r="O56" i="3"/>
  <c r="L56" i="3" a="1"/>
  <c r="L56" i="3" s="1"/>
  <c r="I56" i="3"/>
  <c r="C56" i="3"/>
  <c r="P56" i="3" s="1"/>
  <c r="AO55" i="3"/>
  <c r="AN55" i="3"/>
  <c r="AC55" i="3"/>
  <c r="AA55" i="3"/>
  <c r="W55" i="3"/>
  <c r="AI55" i="3" s="1"/>
  <c r="AJ55" i="3" s="1"/>
  <c r="AK55" i="3" s="1"/>
  <c r="AL55" i="3" s="1"/>
  <c r="AM55" i="3" s="1"/>
  <c r="V55" i="3"/>
  <c r="U55" i="3"/>
  <c r="T55" i="3"/>
  <c r="R55" i="3"/>
  <c r="Z55" i="3" s="1"/>
  <c r="O55" i="3"/>
  <c r="L55" i="3" a="1"/>
  <c r="L55" i="3" s="1"/>
  <c r="I55" i="3"/>
  <c r="C55" i="3"/>
  <c r="E55" i="3" s="1"/>
  <c r="AO54" i="3"/>
  <c r="AN54" i="3"/>
  <c r="AC54" i="3"/>
  <c r="AA54" i="3"/>
  <c r="W54" i="3"/>
  <c r="AI54" i="3" s="1"/>
  <c r="AJ54" i="3" s="1"/>
  <c r="AK54" i="3" s="1"/>
  <c r="AL54" i="3" s="1"/>
  <c r="AM54" i="3" s="1"/>
  <c r="V54" i="3"/>
  <c r="U54" i="3"/>
  <c r="T54" i="3"/>
  <c r="R54" i="3"/>
  <c r="Z54" i="3" s="1"/>
  <c r="O54" i="3"/>
  <c r="L54" i="3" a="1"/>
  <c r="L54" i="3" s="1"/>
  <c r="I54" i="3"/>
  <c r="C54" i="3"/>
  <c r="P54" i="3" s="1"/>
  <c r="AO53" i="3"/>
  <c r="AN53" i="3"/>
  <c r="AC53" i="3"/>
  <c r="AA53" i="3"/>
  <c r="W53" i="3"/>
  <c r="AI53" i="3" s="1"/>
  <c r="AJ53" i="3" s="1"/>
  <c r="AK53" i="3" s="1"/>
  <c r="AL53" i="3" s="1"/>
  <c r="AM53" i="3" s="1"/>
  <c r="V53" i="3"/>
  <c r="U53" i="3"/>
  <c r="T53" i="3"/>
  <c r="R53" i="3"/>
  <c r="Z53" i="3" s="1"/>
  <c r="O53" i="3"/>
  <c r="L53" i="3" a="1"/>
  <c r="L53" i="3" s="1"/>
  <c r="I53" i="3"/>
  <c r="C53" i="3"/>
  <c r="AO52" i="3"/>
  <c r="AN52" i="3"/>
  <c r="AC52" i="3"/>
  <c r="AA52" i="3"/>
  <c r="W52" i="3"/>
  <c r="AI52" i="3" s="1"/>
  <c r="AJ52" i="3" s="1"/>
  <c r="AK52" i="3" s="1"/>
  <c r="AL52" i="3" s="1"/>
  <c r="AM52" i="3" s="1"/>
  <c r="V52" i="3"/>
  <c r="U52" i="3"/>
  <c r="T52" i="3"/>
  <c r="R52" i="3"/>
  <c r="Z52" i="3" s="1"/>
  <c r="O52" i="3"/>
  <c r="L52" i="3" a="1"/>
  <c r="L52" i="3" s="1"/>
  <c r="I52" i="3"/>
  <c r="C52" i="3"/>
  <c r="AO51" i="3"/>
  <c r="AN51" i="3"/>
  <c r="AC51" i="3"/>
  <c r="AA51" i="3"/>
  <c r="W51" i="3"/>
  <c r="AI51" i="3" s="1"/>
  <c r="AJ51" i="3" s="1"/>
  <c r="AK51" i="3" s="1"/>
  <c r="AL51" i="3" s="1"/>
  <c r="AM51" i="3" s="1"/>
  <c r="V51" i="3"/>
  <c r="U51" i="3"/>
  <c r="T51" i="3"/>
  <c r="R51" i="3"/>
  <c r="Z51" i="3" s="1"/>
  <c r="O51" i="3"/>
  <c r="L51" i="3" a="1"/>
  <c r="L51" i="3" s="1"/>
  <c r="I51" i="3"/>
  <c r="C51" i="3"/>
  <c r="AO50" i="3"/>
  <c r="AN50" i="3"/>
  <c r="AC50" i="3"/>
  <c r="AA50" i="3"/>
  <c r="W50" i="3"/>
  <c r="AI50" i="3" s="1"/>
  <c r="AJ50" i="3" s="1"/>
  <c r="AK50" i="3" s="1"/>
  <c r="AL50" i="3" s="1"/>
  <c r="AM50" i="3" s="1"/>
  <c r="V50" i="3"/>
  <c r="U50" i="3"/>
  <c r="T50" i="3"/>
  <c r="R50" i="3"/>
  <c r="Z50" i="3" s="1"/>
  <c r="O50" i="3"/>
  <c r="L50" i="3" a="1"/>
  <c r="L50" i="3" s="1"/>
  <c r="I50" i="3"/>
  <c r="C50" i="3"/>
  <c r="Q50" i="3" s="1"/>
  <c r="AO49" i="3"/>
  <c r="AN49" i="3"/>
  <c r="AC49" i="3"/>
  <c r="AA49" i="3"/>
  <c r="W49" i="3"/>
  <c r="AI49" i="3" s="1"/>
  <c r="AJ49" i="3" s="1"/>
  <c r="AK49" i="3" s="1"/>
  <c r="AL49" i="3" s="1"/>
  <c r="AM49" i="3" s="1"/>
  <c r="V49" i="3"/>
  <c r="U49" i="3"/>
  <c r="T49" i="3"/>
  <c r="R49" i="3"/>
  <c r="Z49" i="3" s="1"/>
  <c r="O49" i="3"/>
  <c r="L49" i="3" a="1"/>
  <c r="L49" i="3" s="1"/>
  <c r="I49" i="3"/>
  <c r="C49" i="3"/>
  <c r="E49" i="3" s="1"/>
  <c r="AO48" i="3"/>
  <c r="AN48" i="3"/>
  <c r="AC48" i="3"/>
  <c r="AA48" i="3"/>
  <c r="W48" i="3"/>
  <c r="AI48" i="3" s="1"/>
  <c r="AJ48" i="3" s="1"/>
  <c r="AK48" i="3" s="1"/>
  <c r="AL48" i="3" s="1"/>
  <c r="AM48" i="3" s="1"/>
  <c r="V48" i="3"/>
  <c r="U48" i="3"/>
  <c r="T48" i="3"/>
  <c r="R48" i="3"/>
  <c r="Z48" i="3" s="1"/>
  <c r="O48" i="3"/>
  <c r="L48" i="3" a="1"/>
  <c r="L48" i="3" s="1"/>
  <c r="I48" i="3"/>
  <c r="C48" i="3"/>
  <c r="F48" i="3" s="1"/>
  <c r="AO47" i="3"/>
  <c r="AN47" i="3"/>
  <c r="AC47" i="3"/>
  <c r="AA47" i="3"/>
  <c r="W47" i="3"/>
  <c r="AI47" i="3" s="1"/>
  <c r="AJ47" i="3" s="1"/>
  <c r="AK47" i="3" s="1"/>
  <c r="AL47" i="3" s="1"/>
  <c r="AM47" i="3" s="1"/>
  <c r="V47" i="3"/>
  <c r="U47" i="3"/>
  <c r="T47" i="3"/>
  <c r="R47" i="3"/>
  <c r="Z47" i="3" s="1"/>
  <c r="O47" i="3"/>
  <c r="L47" i="3" a="1"/>
  <c r="L47" i="3" s="1"/>
  <c r="I47" i="3"/>
  <c r="C47" i="3"/>
  <c r="F47" i="3" s="1"/>
  <c r="AO46" i="3"/>
  <c r="AN46" i="3"/>
  <c r="AC46" i="3"/>
  <c r="AA46" i="3"/>
  <c r="W46" i="3"/>
  <c r="AI46" i="3" s="1"/>
  <c r="AJ46" i="3" s="1"/>
  <c r="AK46" i="3" s="1"/>
  <c r="AL46" i="3" s="1"/>
  <c r="AM46" i="3" s="1"/>
  <c r="V46" i="3"/>
  <c r="U46" i="3"/>
  <c r="T46" i="3"/>
  <c r="R46" i="3"/>
  <c r="Z46" i="3" s="1"/>
  <c r="O46" i="3"/>
  <c r="L46" i="3" a="1"/>
  <c r="L46" i="3" s="1"/>
  <c r="I46" i="3"/>
  <c r="C46" i="3"/>
  <c r="E46" i="3" s="1"/>
  <c r="AO45" i="3"/>
  <c r="AN45" i="3"/>
  <c r="AC45" i="3"/>
  <c r="AA45" i="3"/>
  <c r="W45" i="3"/>
  <c r="AI45" i="3" s="1"/>
  <c r="AJ45" i="3" s="1"/>
  <c r="AK45" i="3" s="1"/>
  <c r="AL45" i="3" s="1"/>
  <c r="AM45" i="3" s="1"/>
  <c r="V45" i="3"/>
  <c r="U45" i="3"/>
  <c r="T45" i="3"/>
  <c r="R45" i="3"/>
  <c r="Z45" i="3" s="1"/>
  <c r="O45" i="3"/>
  <c r="L45" i="3" a="1"/>
  <c r="L45" i="3" s="1"/>
  <c r="I45" i="3"/>
  <c r="C45" i="3"/>
  <c r="P45" i="3" s="1"/>
  <c r="AO44" i="3"/>
  <c r="AN44" i="3"/>
  <c r="AC44" i="3"/>
  <c r="AA44" i="3"/>
  <c r="W44" i="3"/>
  <c r="AI44" i="3" s="1"/>
  <c r="AJ44" i="3" s="1"/>
  <c r="AK44" i="3" s="1"/>
  <c r="AL44" i="3" s="1"/>
  <c r="AM44" i="3" s="1"/>
  <c r="V44" i="3"/>
  <c r="U44" i="3"/>
  <c r="T44" i="3"/>
  <c r="R44" i="3"/>
  <c r="Z44" i="3" s="1"/>
  <c r="O44" i="3"/>
  <c r="L44" i="3" a="1"/>
  <c r="L44" i="3" s="1"/>
  <c r="I44" i="3"/>
  <c r="C44" i="3"/>
  <c r="P44" i="3" s="1"/>
  <c r="AO43" i="3"/>
  <c r="AN43" i="3"/>
  <c r="AC43" i="3"/>
  <c r="AA43" i="3"/>
  <c r="W43" i="3"/>
  <c r="AI43" i="3" s="1"/>
  <c r="AJ43" i="3" s="1"/>
  <c r="AK43" i="3" s="1"/>
  <c r="AL43" i="3" s="1"/>
  <c r="AM43" i="3" s="1"/>
  <c r="V43" i="3"/>
  <c r="U43" i="3"/>
  <c r="T43" i="3"/>
  <c r="R43" i="3"/>
  <c r="Z43" i="3" s="1"/>
  <c r="O43" i="3"/>
  <c r="L43" i="3" a="1"/>
  <c r="L43" i="3" s="1"/>
  <c r="I43" i="3"/>
  <c r="C43" i="3"/>
  <c r="Q43" i="3" s="1"/>
  <c r="AO42" i="3"/>
  <c r="AN42" i="3"/>
  <c r="AC42" i="3"/>
  <c r="AA42" i="3"/>
  <c r="W42" i="3"/>
  <c r="AI42" i="3" s="1"/>
  <c r="AJ42" i="3" s="1"/>
  <c r="AK42" i="3" s="1"/>
  <c r="AL42" i="3" s="1"/>
  <c r="AM42" i="3" s="1"/>
  <c r="V42" i="3"/>
  <c r="U42" i="3"/>
  <c r="T42" i="3"/>
  <c r="R42" i="3"/>
  <c r="Z42" i="3" s="1"/>
  <c r="O42" i="3"/>
  <c r="L42" i="3" a="1"/>
  <c r="L42" i="3" s="1"/>
  <c r="I42" i="3"/>
  <c r="C42" i="3"/>
  <c r="E42" i="3" s="1"/>
  <c r="AO41" i="3"/>
  <c r="AN41" i="3"/>
  <c r="AC41" i="3"/>
  <c r="AA41" i="3"/>
  <c r="W41" i="3"/>
  <c r="AI41" i="3" s="1"/>
  <c r="AJ41" i="3" s="1"/>
  <c r="AK41" i="3" s="1"/>
  <c r="AL41" i="3" s="1"/>
  <c r="AM41" i="3" s="1"/>
  <c r="V41" i="3"/>
  <c r="U41" i="3"/>
  <c r="T41" i="3"/>
  <c r="R41" i="3"/>
  <c r="Z41" i="3" s="1"/>
  <c r="O41" i="3"/>
  <c r="L41" i="3" a="1"/>
  <c r="L41" i="3" s="1"/>
  <c r="I41" i="3"/>
  <c r="C41" i="3"/>
  <c r="P41" i="3" s="1"/>
  <c r="AO40" i="3"/>
  <c r="AN40" i="3"/>
  <c r="AC40" i="3"/>
  <c r="AA40" i="3"/>
  <c r="W40" i="3"/>
  <c r="AI40" i="3" s="1"/>
  <c r="AJ40" i="3" s="1"/>
  <c r="AK40" i="3" s="1"/>
  <c r="AL40" i="3" s="1"/>
  <c r="AM40" i="3" s="1"/>
  <c r="V40" i="3"/>
  <c r="U40" i="3"/>
  <c r="T40" i="3"/>
  <c r="R40" i="3"/>
  <c r="Z40" i="3" s="1"/>
  <c r="O40" i="3"/>
  <c r="L40" i="3" a="1"/>
  <c r="L40" i="3" s="1"/>
  <c r="I40" i="3"/>
  <c r="C40" i="3"/>
  <c r="F40" i="3" s="1"/>
  <c r="AO39" i="3"/>
  <c r="AN39" i="3"/>
  <c r="AC39" i="3"/>
  <c r="AA39" i="3"/>
  <c r="W39" i="3"/>
  <c r="AI39" i="3" s="1"/>
  <c r="AJ39" i="3" s="1"/>
  <c r="AK39" i="3" s="1"/>
  <c r="AL39" i="3" s="1"/>
  <c r="AM39" i="3" s="1"/>
  <c r="V39" i="3"/>
  <c r="U39" i="3"/>
  <c r="T39" i="3"/>
  <c r="R39" i="3"/>
  <c r="Z39" i="3" s="1"/>
  <c r="O39" i="3"/>
  <c r="L39" i="3" a="1"/>
  <c r="L39" i="3" s="1"/>
  <c r="I39" i="3"/>
  <c r="C39" i="3"/>
  <c r="P39" i="3" s="1"/>
  <c r="AO38" i="3"/>
  <c r="AN38" i="3"/>
  <c r="AC38" i="3"/>
  <c r="AA38" i="3"/>
  <c r="W38" i="3"/>
  <c r="AI38" i="3" s="1"/>
  <c r="AJ38" i="3" s="1"/>
  <c r="AK38" i="3" s="1"/>
  <c r="AL38" i="3" s="1"/>
  <c r="AM38" i="3" s="1"/>
  <c r="V38" i="3"/>
  <c r="U38" i="3"/>
  <c r="T38" i="3"/>
  <c r="R38" i="3"/>
  <c r="Z38" i="3" s="1"/>
  <c r="O38" i="3"/>
  <c r="L38" i="3" a="1"/>
  <c r="L38" i="3" s="1"/>
  <c r="I38" i="3"/>
  <c r="C38" i="3"/>
  <c r="AO37" i="3"/>
  <c r="AN37" i="3"/>
  <c r="AC37" i="3"/>
  <c r="AA37" i="3"/>
  <c r="W37" i="3"/>
  <c r="AI37" i="3" s="1"/>
  <c r="AJ37" i="3" s="1"/>
  <c r="AK37" i="3" s="1"/>
  <c r="AL37" i="3" s="1"/>
  <c r="AM37" i="3" s="1"/>
  <c r="V37" i="3"/>
  <c r="U37" i="3"/>
  <c r="T37" i="3"/>
  <c r="R37" i="3"/>
  <c r="Z37" i="3" s="1"/>
  <c r="O37" i="3"/>
  <c r="L37" i="3" a="1"/>
  <c r="L37" i="3" s="1"/>
  <c r="I37" i="3"/>
  <c r="C37" i="3"/>
  <c r="E37" i="3" s="1"/>
  <c r="AO36" i="3"/>
  <c r="AN36" i="3"/>
  <c r="AC36" i="3"/>
  <c r="AA36" i="3"/>
  <c r="W36" i="3"/>
  <c r="AI36" i="3" s="1"/>
  <c r="AJ36" i="3" s="1"/>
  <c r="AK36" i="3" s="1"/>
  <c r="AL36" i="3" s="1"/>
  <c r="AM36" i="3" s="1"/>
  <c r="V36" i="3"/>
  <c r="U36" i="3"/>
  <c r="T36" i="3"/>
  <c r="R36" i="3"/>
  <c r="Z36" i="3" s="1"/>
  <c r="O36" i="3"/>
  <c r="L36" i="3" a="1"/>
  <c r="L36" i="3" s="1"/>
  <c r="I36" i="3"/>
  <c r="C36" i="3"/>
  <c r="AO35" i="3"/>
  <c r="AN35" i="3"/>
  <c r="AC35" i="3"/>
  <c r="AA35" i="3"/>
  <c r="W35" i="3"/>
  <c r="AI35" i="3" s="1"/>
  <c r="AJ35" i="3" s="1"/>
  <c r="AK35" i="3" s="1"/>
  <c r="AL35" i="3" s="1"/>
  <c r="AM35" i="3" s="1"/>
  <c r="V35" i="3"/>
  <c r="U35" i="3"/>
  <c r="T35" i="3"/>
  <c r="R35" i="3"/>
  <c r="Z35" i="3" s="1"/>
  <c r="O35" i="3"/>
  <c r="L35" i="3" a="1"/>
  <c r="L35" i="3" s="1"/>
  <c r="I35" i="3"/>
  <c r="C35" i="3"/>
  <c r="P35" i="3" s="1"/>
  <c r="AO34" i="3"/>
  <c r="AN34" i="3"/>
  <c r="AC34" i="3"/>
  <c r="AA34" i="3"/>
  <c r="W34" i="3"/>
  <c r="AI34" i="3" s="1"/>
  <c r="AJ34" i="3" s="1"/>
  <c r="AK34" i="3" s="1"/>
  <c r="AL34" i="3" s="1"/>
  <c r="AM34" i="3" s="1"/>
  <c r="V34" i="3"/>
  <c r="U34" i="3"/>
  <c r="T34" i="3"/>
  <c r="R34" i="3"/>
  <c r="Z34" i="3" s="1"/>
  <c r="O34" i="3"/>
  <c r="L34" i="3" a="1"/>
  <c r="L34" i="3" s="1"/>
  <c r="I34" i="3"/>
  <c r="C34" i="3"/>
  <c r="D34" i="3" s="1"/>
  <c r="AO33" i="3"/>
  <c r="AN33" i="3"/>
  <c r="AC33" i="3"/>
  <c r="AA33" i="3"/>
  <c r="W33" i="3"/>
  <c r="AI33" i="3" s="1"/>
  <c r="AJ33" i="3" s="1"/>
  <c r="AK33" i="3" s="1"/>
  <c r="AL33" i="3" s="1"/>
  <c r="AM33" i="3" s="1"/>
  <c r="V33" i="3"/>
  <c r="U33" i="3"/>
  <c r="T33" i="3"/>
  <c r="R33" i="3"/>
  <c r="Z33" i="3" s="1"/>
  <c r="O33" i="3"/>
  <c r="L33" i="3" a="1"/>
  <c r="L33" i="3" s="1"/>
  <c r="I33" i="3"/>
  <c r="C33" i="3"/>
  <c r="E33" i="3" s="1"/>
  <c r="AO32" i="3"/>
  <c r="AN32" i="3"/>
  <c r="AC32" i="3"/>
  <c r="AA32" i="3"/>
  <c r="W32" i="3"/>
  <c r="AI32" i="3" s="1"/>
  <c r="AJ32" i="3" s="1"/>
  <c r="AK32" i="3" s="1"/>
  <c r="AL32" i="3" s="1"/>
  <c r="AM32" i="3" s="1"/>
  <c r="V32" i="3"/>
  <c r="U32" i="3"/>
  <c r="T32" i="3"/>
  <c r="R32" i="3"/>
  <c r="Z32" i="3" s="1"/>
  <c r="O32" i="3"/>
  <c r="L32" i="3" a="1"/>
  <c r="L32" i="3" s="1"/>
  <c r="I32" i="3"/>
  <c r="C32" i="3"/>
  <c r="E32" i="3" s="1"/>
  <c r="AO31" i="3"/>
  <c r="AN31" i="3"/>
  <c r="AC31" i="3"/>
  <c r="AA31" i="3"/>
  <c r="W31" i="3"/>
  <c r="AI31" i="3" s="1"/>
  <c r="AJ31" i="3" s="1"/>
  <c r="AK31" i="3" s="1"/>
  <c r="AL31" i="3" s="1"/>
  <c r="AM31" i="3" s="1"/>
  <c r="V31" i="3"/>
  <c r="U31" i="3"/>
  <c r="T31" i="3"/>
  <c r="R31" i="3"/>
  <c r="Z31" i="3" s="1"/>
  <c r="O31" i="3"/>
  <c r="L31" i="3" a="1"/>
  <c r="L31" i="3" s="1"/>
  <c r="I31" i="3"/>
  <c r="C31" i="3"/>
  <c r="D31" i="3" s="1"/>
  <c r="AO30" i="3"/>
  <c r="AN30" i="3"/>
  <c r="AC30" i="3"/>
  <c r="AA30" i="3"/>
  <c r="W30" i="3"/>
  <c r="AI30" i="3" s="1"/>
  <c r="AJ30" i="3" s="1"/>
  <c r="AK30" i="3" s="1"/>
  <c r="AL30" i="3" s="1"/>
  <c r="AM30" i="3" s="1"/>
  <c r="V30" i="3"/>
  <c r="U30" i="3"/>
  <c r="T30" i="3"/>
  <c r="R30" i="3"/>
  <c r="Z30" i="3" s="1"/>
  <c r="O30" i="3"/>
  <c r="L30" i="3" a="1"/>
  <c r="L30" i="3" s="1"/>
  <c r="I30" i="3"/>
  <c r="C30" i="3"/>
  <c r="F30" i="3" s="1"/>
  <c r="AO29" i="3"/>
  <c r="AN29" i="3"/>
  <c r="AC29" i="3"/>
  <c r="AA29" i="3"/>
  <c r="W29" i="3"/>
  <c r="AI29" i="3" s="1"/>
  <c r="AJ29" i="3" s="1"/>
  <c r="AK29" i="3" s="1"/>
  <c r="AL29" i="3" s="1"/>
  <c r="AM29" i="3" s="1"/>
  <c r="V29" i="3"/>
  <c r="U29" i="3"/>
  <c r="T29" i="3"/>
  <c r="R29" i="3"/>
  <c r="Z29" i="3" s="1"/>
  <c r="O29" i="3"/>
  <c r="L29" i="3" a="1"/>
  <c r="L29" i="3" s="1"/>
  <c r="I29" i="3"/>
  <c r="C29" i="3"/>
  <c r="AO28" i="3"/>
  <c r="AN28" i="3"/>
  <c r="AC28" i="3"/>
  <c r="AA28" i="3"/>
  <c r="W28" i="3"/>
  <c r="AI28" i="3" s="1"/>
  <c r="AJ28" i="3" s="1"/>
  <c r="AK28" i="3" s="1"/>
  <c r="AL28" i="3" s="1"/>
  <c r="AM28" i="3" s="1"/>
  <c r="V28" i="3"/>
  <c r="U28" i="3"/>
  <c r="T28" i="3"/>
  <c r="R28" i="3"/>
  <c r="Z28" i="3" s="1"/>
  <c r="O28" i="3"/>
  <c r="L28" i="3" a="1"/>
  <c r="L28" i="3" s="1"/>
  <c r="I28" i="3"/>
  <c r="C28" i="3"/>
  <c r="AO27" i="3"/>
  <c r="AN27" i="3"/>
  <c r="AC27" i="3"/>
  <c r="AA27" i="3"/>
  <c r="W27" i="3"/>
  <c r="AI27" i="3" s="1"/>
  <c r="AJ27" i="3" s="1"/>
  <c r="AK27" i="3" s="1"/>
  <c r="AL27" i="3" s="1"/>
  <c r="AM27" i="3" s="1"/>
  <c r="V27" i="3"/>
  <c r="U27" i="3"/>
  <c r="T27" i="3"/>
  <c r="R27" i="3"/>
  <c r="Z27" i="3" s="1"/>
  <c r="O27" i="3"/>
  <c r="L27" i="3" a="1"/>
  <c r="L27" i="3" s="1"/>
  <c r="I27" i="3"/>
  <c r="C27" i="3"/>
  <c r="F27" i="3" s="1"/>
  <c r="AO26" i="3"/>
  <c r="AN26" i="3"/>
  <c r="AC26" i="3"/>
  <c r="AA26" i="3"/>
  <c r="W26" i="3"/>
  <c r="AI26" i="3" s="1"/>
  <c r="AJ26" i="3" s="1"/>
  <c r="AK26" i="3" s="1"/>
  <c r="AL26" i="3" s="1"/>
  <c r="AM26" i="3" s="1"/>
  <c r="V26" i="3"/>
  <c r="U26" i="3"/>
  <c r="T26" i="3"/>
  <c r="R26" i="3"/>
  <c r="Z26" i="3" s="1"/>
  <c r="O26" i="3"/>
  <c r="L26" i="3" a="1"/>
  <c r="L26" i="3" s="1"/>
  <c r="I26" i="3"/>
  <c r="C26" i="3"/>
  <c r="D26" i="3" s="1"/>
  <c r="AO25" i="3"/>
  <c r="AN25" i="3"/>
  <c r="AC25" i="3"/>
  <c r="AA25" i="3"/>
  <c r="W25" i="3"/>
  <c r="AI25" i="3" s="1"/>
  <c r="AJ25" i="3" s="1"/>
  <c r="AK25" i="3" s="1"/>
  <c r="AL25" i="3" s="1"/>
  <c r="AM25" i="3" s="1"/>
  <c r="V25" i="3"/>
  <c r="U25" i="3"/>
  <c r="T25" i="3"/>
  <c r="R25" i="3"/>
  <c r="Z25" i="3" s="1"/>
  <c r="O25" i="3"/>
  <c r="L25" i="3" a="1"/>
  <c r="L25" i="3" s="1"/>
  <c r="I25" i="3"/>
  <c r="C25" i="3"/>
  <c r="Q25" i="3" s="1"/>
  <c r="AO24" i="3"/>
  <c r="AN24" i="3"/>
  <c r="AC24" i="3"/>
  <c r="AA24" i="3"/>
  <c r="W24" i="3"/>
  <c r="AI24" i="3" s="1"/>
  <c r="AJ24" i="3" s="1"/>
  <c r="AK24" i="3" s="1"/>
  <c r="AL24" i="3" s="1"/>
  <c r="AM24" i="3" s="1"/>
  <c r="V24" i="3"/>
  <c r="U24" i="3"/>
  <c r="T24" i="3"/>
  <c r="R24" i="3"/>
  <c r="Z24" i="3" s="1"/>
  <c r="O24" i="3"/>
  <c r="L24" i="3" a="1"/>
  <c r="L24" i="3" s="1"/>
  <c r="I24" i="3"/>
  <c r="C24" i="3"/>
  <c r="Q24" i="3" s="1"/>
  <c r="AO23" i="3"/>
  <c r="AN23" i="3"/>
  <c r="AC23" i="3"/>
  <c r="AA23" i="3"/>
  <c r="W23" i="3"/>
  <c r="AI23" i="3" s="1"/>
  <c r="AJ23" i="3" s="1"/>
  <c r="AK23" i="3" s="1"/>
  <c r="AL23" i="3" s="1"/>
  <c r="AM23" i="3" s="1"/>
  <c r="V23" i="3"/>
  <c r="U23" i="3"/>
  <c r="T23" i="3"/>
  <c r="R23" i="3"/>
  <c r="Z23" i="3" s="1"/>
  <c r="O23" i="3"/>
  <c r="L23" i="3" a="1"/>
  <c r="L23" i="3" s="1"/>
  <c r="I23" i="3"/>
  <c r="C23" i="3"/>
  <c r="AO22" i="3"/>
  <c r="AN22" i="3"/>
  <c r="AC22" i="3"/>
  <c r="AA22" i="3"/>
  <c r="W22" i="3"/>
  <c r="AI22" i="3" s="1"/>
  <c r="AJ22" i="3" s="1"/>
  <c r="AK22" i="3" s="1"/>
  <c r="AL22" i="3" s="1"/>
  <c r="AM22" i="3" s="1"/>
  <c r="V22" i="3"/>
  <c r="U22" i="3"/>
  <c r="T22" i="3"/>
  <c r="R22" i="3"/>
  <c r="Z22" i="3" s="1"/>
  <c r="O22" i="3"/>
  <c r="L22" i="3" a="1"/>
  <c r="L22" i="3" s="1"/>
  <c r="I22" i="3"/>
  <c r="C22" i="3"/>
  <c r="E22" i="3" s="1"/>
  <c r="AO21" i="3"/>
  <c r="AN21" i="3"/>
  <c r="AC21" i="3"/>
  <c r="AA21" i="3"/>
  <c r="W21" i="3"/>
  <c r="AI21" i="3" s="1"/>
  <c r="AJ21" i="3" s="1"/>
  <c r="AK21" i="3" s="1"/>
  <c r="AL21" i="3" s="1"/>
  <c r="AM21" i="3" s="1"/>
  <c r="V21" i="3"/>
  <c r="U21" i="3"/>
  <c r="T21" i="3"/>
  <c r="R21" i="3"/>
  <c r="Z21" i="3" s="1"/>
  <c r="O21" i="3"/>
  <c r="L21" i="3" a="1"/>
  <c r="L21" i="3" s="1"/>
  <c r="I21" i="3"/>
  <c r="C21" i="3"/>
  <c r="AO20" i="3"/>
  <c r="AN20" i="3"/>
  <c r="AC20" i="3"/>
  <c r="AA20" i="3"/>
  <c r="W20" i="3"/>
  <c r="AI20" i="3" s="1"/>
  <c r="AJ20" i="3" s="1"/>
  <c r="AK20" i="3" s="1"/>
  <c r="AL20" i="3" s="1"/>
  <c r="AM20" i="3" s="1"/>
  <c r="V20" i="3"/>
  <c r="U20" i="3"/>
  <c r="T20" i="3"/>
  <c r="R20" i="3"/>
  <c r="Z20" i="3" s="1"/>
  <c r="O20" i="3"/>
  <c r="L20" i="3" a="1"/>
  <c r="L20" i="3" s="1"/>
  <c r="I20" i="3"/>
  <c r="C20" i="3"/>
  <c r="Q20" i="3" s="1"/>
  <c r="AO19" i="3"/>
  <c r="AN19" i="3"/>
  <c r="AC19" i="3"/>
  <c r="AA19" i="3"/>
  <c r="W19" i="3"/>
  <c r="AI19" i="3" s="1"/>
  <c r="AJ19" i="3" s="1"/>
  <c r="AK19" i="3" s="1"/>
  <c r="AL19" i="3" s="1"/>
  <c r="AM19" i="3" s="1"/>
  <c r="V19" i="3"/>
  <c r="U19" i="3"/>
  <c r="T19" i="3"/>
  <c r="R19" i="3"/>
  <c r="Z19" i="3" s="1"/>
  <c r="O19" i="3"/>
  <c r="L19" i="3" a="1"/>
  <c r="L19" i="3" s="1"/>
  <c r="I19" i="3"/>
  <c r="C19" i="3"/>
  <c r="AO18" i="3"/>
  <c r="AN18" i="3"/>
  <c r="AC18" i="3"/>
  <c r="AA18" i="3"/>
  <c r="W18" i="3"/>
  <c r="AI18" i="3" s="1"/>
  <c r="AJ18" i="3" s="1"/>
  <c r="AK18" i="3" s="1"/>
  <c r="AL18" i="3" s="1"/>
  <c r="AM18" i="3" s="1"/>
  <c r="V18" i="3"/>
  <c r="U18" i="3"/>
  <c r="T18" i="3"/>
  <c r="R18" i="3"/>
  <c r="Z18" i="3" s="1"/>
  <c r="O18" i="3"/>
  <c r="L18" i="3" a="1"/>
  <c r="L18" i="3" s="1"/>
  <c r="I18" i="3"/>
  <c r="C18" i="3"/>
  <c r="AO17" i="3"/>
  <c r="AN17" i="3"/>
  <c r="AC17" i="3"/>
  <c r="AA17" i="3"/>
  <c r="W17" i="3"/>
  <c r="AI17" i="3" s="1"/>
  <c r="AJ17" i="3" s="1"/>
  <c r="AK17" i="3" s="1"/>
  <c r="AL17" i="3" s="1"/>
  <c r="AM17" i="3" s="1"/>
  <c r="V17" i="3"/>
  <c r="U17" i="3"/>
  <c r="T17" i="3"/>
  <c r="R17" i="3"/>
  <c r="Z17" i="3" s="1"/>
  <c r="O17" i="3"/>
  <c r="L17" i="3" a="1"/>
  <c r="L17" i="3" s="1"/>
  <c r="I17" i="3"/>
  <c r="C17" i="3"/>
  <c r="AO16" i="3"/>
  <c r="AN16" i="3"/>
  <c r="AC16" i="3"/>
  <c r="AA16" i="3"/>
  <c r="W16" i="3"/>
  <c r="AI16" i="3" s="1"/>
  <c r="AJ16" i="3" s="1"/>
  <c r="AK16" i="3" s="1"/>
  <c r="AL16" i="3" s="1"/>
  <c r="AM16" i="3" s="1"/>
  <c r="V16" i="3"/>
  <c r="U16" i="3"/>
  <c r="T16" i="3"/>
  <c r="R16" i="3"/>
  <c r="Z16" i="3" s="1"/>
  <c r="O16" i="3"/>
  <c r="L16" i="3" a="1"/>
  <c r="L16" i="3" s="1"/>
  <c r="I16" i="3"/>
  <c r="C16" i="3"/>
  <c r="AO15" i="3"/>
  <c r="AN15" i="3"/>
  <c r="AC15" i="3"/>
  <c r="AA15" i="3"/>
  <c r="W15" i="3"/>
  <c r="AI15" i="3" s="1"/>
  <c r="AJ15" i="3" s="1"/>
  <c r="AK15" i="3" s="1"/>
  <c r="AL15" i="3" s="1"/>
  <c r="AM15" i="3" s="1"/>
  <c r="V15" i="3"/>
  <c r="U15" i="3"/>
  <c r="T15" i="3"/>
  <c r="R15" i="3"/>
  <c r="Z15" i="3" s="1"/>
  <c r="O15" i="3"/>
  <c r="L15" i="3" a="1"/>
  <c r="L15" i="3" s="1"/>
  <c r="I15" i="3"/>
  <c r="C15" i="3"/>
  <c r="Q15" i="3" s="1"/>
  <c r="AO14" i="3"/>
  <c r="AN14" i="3"/>
  <c r="AC14" i="3"/>
  <c r="AA14" i="3"/>
  <c r="W14" i="3"/>
  <c r="AI14" i="3" s="1"/>
  <c r="AJ14" i="3" s="1"/>
  <c r="AK14" i="3" s="1"/>
  <c r="AL14" i="3" s="1"/>
  <c r="AM14" i="3" s="1"/>
  <c r="V14" i="3"/>
  <c r="U14" i="3"/>
  <c r="T14" i="3"/>
  <c r="R14" i="3"/>
  <c r="Z14" i="3" s="1"/>
  <c r="O14" i="3"/>
  <c r="L14" i="3" a="1"/>
  <c r="L14" i="3" s="1"/>
  <c r="I14" i="3"/>
  <c r="C14" i="3"/>
  <c r="Q14" i="3" s="1"/>
  <c r="AO13" i="3"/>
  <c r="AN13" i="3"/>
  <c r="AC13" i="3"/>
  <c r="AA13" i="3"/>
  <c r="W13" i="3"/>
  <c r="AI13" i="3" s="1"/>
  <c r="AJ13" i="3" s="1"/>
  <c r="AK13" i="3" s="1"/>
  <c r="AL13" i="3" s="1"/>
  <c r="AM13" i="3" s="1"/>
  <c r="V13" i="3"/>
  <c r="U13" i="3"/>
  <c r="T13" i="3"/>
  <c r="R13" i="3"/>
  <c r="Z13" i="3" s="1"/>
  <c r="O13" i="3"/>
  <c r="L13" i="3" a="1"/>
  <c r="L13" i="3" s="1"/>
  <c r="I13" i="3"/>
  <c r="C13" i="3"/>
  <c r="E13" i="3" s="1"/>
  <c r="AO12" i="3"/>
  <c r="AN12" i="3"/>
  <c r="AC12" i="3"/>
  <c r="AA12" i="3"/>
  <c r="W12" i="3"/>
  <c r="AI12" i="3" s="1"/>
  <c r="AJ12" i="3" s="1"/>
  <c r="AK12" i="3" s="1"/>
  <c r="AL12" i="3" s="1"/>
  <c r="AM12" i="3" s="1"/>
  <c r="V12" i="3"/>
  <c r="U12" i="3"/>
  <c r="T12" i="3"/>
  <c r="R12" i="3"/>
  <c r="Z12" i="3" s="1"/>
  <c r="O12" i="3"/>
  <c r="L12" i="3" a="1"/>
  <c r="L12" i="3" s="1"/>
  <c r="I12" i="3"/>
  <c r="C12" i="3"/>
  <c r="AO11" i="3"/>
  <c r="AN11" i="3"/>
  <c r="AC11" i="3"/>
  <c r="AA11" i="3"/>
  <c r="W11" i="3"/>
  <c r="AI11" i="3" s="1"/>
  <c r="AJ11" i="3" s="1"/>
  <c r="AK11" i="3" s="1"/>
  <c r="AL11" i="3" s="1"/>
  <c r="AM11" i="3" s="1"/>
  <c r="V11" i="3"/>
  <c r="U11" i="3"/>
  <c r="T11" i="3"/>
  <c r="R11" i="3"/>
  <c r="Z11" i="3" s="1"/>
  <c r="O11" i="3"/>
  <c r="L11" i="3" a="1"/>
  <c r="L11" i="3" s="1"/>
  <c r="I11" i="3"/>
  <c r="C11" i="3"/>
  <c r="AO10" i="3"/>
  <c r="AN10" i="3"/>
  <c r="AC10" i="3"/>
  <c r="AA10" i="3"/>
  <c r="W10" i="3"/>
  <c r="AI10" i="3" s="1"/>
  <c r="AJ10" i="3" s="1"/>
  <c r="AK10" i="3" s="1"/>
  <c r="AL10" i="3" s="1"/>
  <c r="AM10" i="3" s="1"/>
  <c r="V10" i="3"/>
  <c r="U10" i="3"/>
  <c r="T10" i="3"/>
  <c r="R10" i="3"/>
  <c r="Z10" i="3" s="1"/>
  <c r="O10" i="3"/>
  <c r="L10" i="3" a="1"/>
  <c r="L10" i="3" s="1"/>
  <c r="I10" i="3"/>
  <c r="C10" i="3"/>
  <c r="AO9" i="3"/>
  <c r="AN9" i="3"/>
  <c r="AC9" i="3"/>
  <c r="AA9" i="3"/>
  <c r="W9" i="3"/>
  <c r="AI9" i="3" s="1"/>
  <c r="AJ9" i="3" s="1"/>
  <c r="AK9" i="3" s="1"/>
  <c r="AL9" i="3" s="1"/>
  <c r="AM9" i="3" s="1"/>
  <c r="V9" i="3"/>
  <c r="U9" i="3"/>
  <c r="T9" i="3"/>
  <c r="R9" i="3"/>
  <c r="Z9" i="3" s="1"/>
  <c r="O9" i="3"/>
  <c r="L9" i="3" a="1"/>
  <c r="L9" i="3" s="1"/>
  <c r="I9" i="3"/>
  <c r="C9" i="3"/>
  <c r="E9" i="3" s="1"/>
  <c r="AO8" i="3"/>
  <c r="AN8" i="3"/>
  <c r="AC8" i="3"/>
  <c r="AA8" i="3"/>
  <c r="W8" i="3"/>
  <c r="AI8" i="3" s="1"/>
  <c r="AJ8" i="3" s="1"/>
  <c r="AK8" i="3" s="1"/>
  <c r="AL8" i="3" s="1"/>
  <c r="AM8" i="3" s="1"/>
  <c r="V8" i="3"/>
  <c r="U8" i="3"/>
  <c r="T8" i="3"/>
  <c r="R8" i="3"/>
  <c r="Z8" i="3" s="1"/>
  <c r="O8" i="3"/>
  <c r="L8" i="3" a="1"/>
  <c r="L8" i="3" s="1"/>
  <c r="I8" i="3"/>
  <c r="C8" i="3"/>
  <c r="D8" i="3" s="1"/>
  <c r="AO7" i="3"/>
  <c r="AN7" i="3"/>
  <c r="AC7" i="3"/>
  <c r="AA7" i="3"/>
  <c r="W7" i="3"/>
  <c r="AI7" i="3" s="1"/>
  <c r="AJ7" i="3" s="1"/>
  <c r="AK7" i="3" s="1"/>
  <c r="AL7" i="3" s="1"/>
  <c r="AM7" i="3" s="1"/>
  <c r="V7" i="3"/>
  <c r="U7" i="3"/>
  <c r="T7" i="3"/>
  <c r="R7" i="3"/>
  <c r="Z7" i="3" s="1"/>
  <c r="O7" i="3"/>
  <c r="L7" i="3" a="1"/>
  <c r="L7" i="3" s="1"/>
  <c r="I7" i="3"/>
  <c r="C7" i="3"/>
  <c r="AO6" i="3"/>
  <c r="AN6" i="3"/>
  <c r="AC6" i="3"/>
  <c r="AA6" i="3"/>
  <c r="W6" i="3"/>
  <c r="AI6" i="3" s="1"/>
  <c r="AJ6" i="3" s="1"/>
  <c r="AK6" i="3" s="1"/>
  <c r="AL6" i="3" s="1"/>
  <c r="AM6" i="3" s="1"/>
  <c r="V6" i="3"/>
  <c r="U6" i="3"/>
  <c r="T6" i="3"/>
  <c r="R6" i="3"/>
  <c r="Z6" i="3" s="1"/>
  <c r="O6" i="3"/>
  <c r="L6" i="3" a="1"/>
  <c r="L6" i="3" s="1"/>
  <c r="I6" i="3"/>
  <c r="C6" i="3"/>
  <c r="AO5" i="3"/>
  <c r="AN5" i="3"/>
  <c r="AC5" i="3"/>
  <c r="AA5" i="3"/>
  <c r="W5" i="3"/>
  <c r="AI5" i="3" s="1"/>
  <c r="AJ5" i="3" s="1"/>
  <c r="AK5" i="3" s="1"/>
  <c r="AL5" i="3" s="1"/>
  <c r="AM5" i="3" s="1"/>
  <c r="V5" i="3"/>
  <c r="U5" i="3"/>
  <c r="T5" i="3"/>
  <c r="R5" i="3"/>
  <c r="Z5" i="3" s="1"/>
  <c r="O5" i="3"/>
  <c r="L5" i="3" a="1"/>
  <c r="L5" i="3" s="1"/>
  <c r="I5" i="3"/>
  <c r="C5" i="3"/>
  <c r="F5" i="3" s="1"/>
  <c r="AO4" i="3"/>
  <c r="AN4" i="3"/>
  <c r="AC4" i="3"/>
  <c r="AA4" i="3"/>
  <c r="W4" i="3"/>
  <c r="AI4" i="3" s="1"/>
  <c r="AJ4" i="3" s="1"/>
  <c r="AK4" i="3" s="1"/>
  <c r="AL4" i="3" s="1"/>
  <c r="AM4" i="3" s="1"/>
  <c r="V4" i="3"/>
  <c r="U4" i="3"/>
  <c r="T4" i="3"/>
  <c r="R4" i="3"/>
  <c r="Z4" i="3" s="1"/>
  <c r="O4" i="3"/>
  <c r="L4" i="3" a="1"/>
  <c r="L4" i="3" s="1"/>
  <c r="I4" i="3"/>
  <c r="C4" i="3"/>
  <c r="F4" i="3" s="1"/>
  <c r="AO3" i="3"/>
  <c r="AN3" i="3"/>
  <c r="AC3" i="3"/>
  <c r="AA3" i="3"/>
  <c r="W3" i="3"/>
  <c r="AI3" i="3" s="1"/>
  <c r="AJ3" i="3" s="1"/>
  <c r="AK3" i="3" s="1"/>
  <c r="AL3" i="3" s="1"/>
  <c r="AM3" i="3" s="1"/>
  <c r="V3" i="3"/>
  <c r="U3" i="3"/>
  <c r="T3" i="3"/>
  <c r="R3" i="3"/>
  <c r="Z3" i="3" s="1"/>
  <c r="O3" i="3"/>
  <c r="L3" i="3" a="1"/>
  <c r="L3" i="3" s="1"/>
  <c r="I3" i="3"/>
  <c r="C3" i="3"/>
  <c r="F3" i="3" s="1"/>
  <c r="AO2" i="3"/>
  <c r="AN2" i="3"/>
  <c r="AC2" i="3"/>
  <c r="AA2" i="3"/>
  <c r="W2" i="3"/>
  <c r="AI2" i="3" s="1"/>
  <c r="AJ2" i="3" s="1"/>
  <c r="AK2" i="3" s="1"/>
  <c r="AL2" i="3" s="1"/>
  <c r="AM2" i="3" s="1"/>
  <c r="V2" i="3"/>
  <c r="U2" i="3"/>
  <c r="T2" i="3"/>
  <c r="R2" i="3"/>
  <c r="Z2" i="3" s="1"/>
  <c r="O2" i="3"/>
  <c r="L2" i="3" a="1"/>
  <c r="L2" i="3" s="1"/>
  <c r="I2" i="3"/>
  <c r="C2" i="3"/>
  <c r="E2" i="3" s="1"/>
  <c r="P8" i="3" l="1"/>
  <c r="Q41" i="3"/>
  <c r="Q8" i="3"/>
  <c r="P33" i="3"/>
  <c r="P32" i="3"/>
  <c r="Q55" i="3"/>
  <c r="Q32" i="3"/>
  <c r="P13" i="3"/>
  <c r="Q13" i="3"/>
  <c r="Q42" i="3"/>
  <c r="E31" i="3"/>
  <c r="P26" i="3"/>
  <c r="Q31" i="3"/>
  <c r="F13" i="3"/>
  <c r="Q56" i="3"/>
  <c r="P48" i="3"/>
  <c r="P31" i="3"/>
  <c r="Q26" i="3"/>
  <c r="Q47" i="3"/>
  <c r="F31" i="3"/>
  <c r="Q48" i="3"/>
  <c r="P47" i="3"/>
  <c r="Q2" i="3"/>
  <c r="D53" i="3"/>
  <c r="Q53" i="3"/>
  <c r="P53" i="3"/>
  <c r="E53" i="3"/>
  <c r="F16" i="3"/>
  <c r="Q16" i="3"/>
  <c r="P16" i="3"/>
  <c r="F53" i="3"/>
  <c r="E11" i="3"/>
  <c r="Q11" i="3"/>
  <c r="F11" i="3"/>
  <c r="F29" i="3"/>
  <c r="Q29" i="3"/>
  <c r="E59" i="3"/>
  <c r="Q59" i="3"/>
  <c r="Q10" i="3"/>
  <c r="P10" i="3"/>
  <c r="F38" i="3"/>
  <c r="Q38" i="3"/>
  <c r="P38" i="3"/>
  <c r="Q39" i="3"/>
  <c r="D10" i="3"/>
  <c r="P11" i="3"/>
  <c r="P29" i="3"/>
  <c r="D51" i="3"/>
  <c r="Q51" i="3"/>
  <c r="P51" i="3"/>
  <c r="F51" i="3"/>
  <c r="E51" i="3"/>
  <c r="P59" i="3"/>
  <c r="F19" i="3"/>
  <c r="Q19" i="3"/>
  <c r="D18" i="3"/>
  <c r="Q18" i="3"/>
  <c r="P18" i="3"/>
  <c r="E18" i="3"/>
  <c r="F18" i="3"/>
  <c r="P19" i="3"/>
  <c r="D36" i="3"/>
  <c r="Q36" i="3"/>
  <c r="P36" i="3"/>
  <c r="F36" i="3"/>
  <c r="E36" i="3"/>
  <c r="F54" i="3"/>
  <c r="Q54" i="3"/>
  <c r="P17" i="3"/>
  <c r="Q17" i="3"/>
  <c r="D56" i="3"/>
  <c r="F2" i="3"/>
  <c r="P4" i="3"/>
  <c r="E8" i="3"/>
  <c r="F42" i="3"/>
  <c r="E56" i="3"/>
  <c r="Q4" i="3"/>
  <c r="F8" i="3"/>
  <c r="E26" i="3"/>
  <c r="D48" i="3"/>
  <c r="P57" i="3"/>
  <c r="F26" i="3"/>
  <c r="Q35" i="3"/>
  <c r="E48" i="3"/>
  <c r="P50" i="3"/>
  <c r="D13" i="3"/>
  <c r="D33" i="3"/>
  <c r="P2" i="3"/>
  <c r="F32" i="3"/>
  <c r="P42" i="3"/>
  <c r="P55" i="3"/>
  <c r="D27" i="3"/>
  <c r="E58" i="3"/>
  <c r="D49" i="3"/>
  <c r="E20" i="3"/>
  <c r="E43" i="3"/>
  <c r="F28" i="3"/>
  <c r="E28" i="3"/>
  <c r="P28" i="3"/>
  <c r="D28" i="3"/>
  <c r="D5" i="3"/>
  <c r="D30" i="3"/>
  <c r="D14" i="3"/>
  <c r="E23" i="3"/>
  <c r="D23" i="3"/>
  <c r="P7" i="3"/>
  <c r="F7" i="3"/>
  <c r="E14" i="3"/>
  <c r="P43" i="3"/>
  <c r="F14" i="3"/>
  <c r="P20" i="3"/>
  <c r="F45" i="3"/>
  <c r="E45" i="3"/>
  <c r="Q45" i="3"/>
  <c r="F15" i="3"/>
  <c r="P15" i="3"/>
  <c r="E15" i="3"/>
  <c r="P30" i="3"/>
  <c r="D45" i="3"/>
  <c r="D17" i="3"/>
  <c r="P23" i="3"/>
  <c r="Q30" i="3"/>
  <c r="P14" i="3"/>
  <c r="E17" i="3"/>
  <c r="Q23" i="3"/>
  <c r="Q40" i="3"/>
  <c r="P40" i="3"/>
  <c r="D20" i="3"/>
  <c r="E3" i="3"/>
  <c r="F43" i="3"/>
  <c r="Q21" i="3"/>
  <c r="P21" i="3"/>
  <c r="D21" i="3"/>
  <c r="E7" i="3"/>
  <c r="Q9" i="3"/>
  <c r="P9" i="3"/>
  <c r="F39" i="3"/>
  <c r="Q46" i="3"/>
  <c r="P46" i="3"/>
  <c r="D15" i="3"/>
  <c r="Q7" i="3"/>
  <c r="F9" i="3"/>
  <c r="D2" i="3"/>
  <c r="D40" i="3"/>
  <c r="F46" i="3"/>
  <c r="D57" i="3"/>
  <c r="Q27" i="3"/>
  <c r="P27" i="3"/>
  <c r="Q58" i="3"/>
  <c r="P58" i="3"/>
  <c r="E27" i="3"/>
  <c r="Q34" i="3"/>
  <c r="P34" i="3"/>
  <c r="Q49" i="3"/>
  <c r="P49" i="3"/>
  <c r="F49" i="3"/>
  <c r="Q3" i="3"/>
  <c r="P3" i="3"/>
  <c r="Q12" i="3"/>
  <c r="P12" i="3"/>
  <c r="F12" i="3"/>
  <c r="D43" i="3"/>
  <c r="D3" i="3"/>
  <c r="D12" i="3"/>
  <c r="E34" i="3"/>
  <c r="Q5" i="3"/>
  <c r="P5" i="3"/>
  <c r="E12" i="3"/>
  <c r="F20" i="3"/>
  <c r="F34" i="3"/>
  <c r="Q37" i="3"/>
  <c r="P37" i="3"/>
  <c r="P52" i="3"/>
  <c r="Q52" i="3"/>
  <c r="E5" i="3"/>
  <c r="D37" i="3"/>
  <c r="F44" i="3"/>
  <c r="E44" i="3"/>
  <c r="D52" i="3"/>
  <c r="E6" i="3"/>
  <c r="D6" i="3"/>
  <c r="P6" i="3"/>
  <c r="Q6" i="3"/>
  <c r="E30" i="3"/>
  <c r="D44" i="3"/>
  <c r="E52" i="3"/>
  <c r="F6" i="3"/>
  <c r="E21" i="3"/>
  <c r="F23" i="3"/>
  <c r="D24" i="3"/>
  <c r="Q28" i="3"/>
  <c r="F37" i="3"/>
  <c r="F52" i="3"/>
  <c r="D7" i="3"/>
  <c r="F21" i="3"/>
  <c r="E24" i="3"/>
  <c r="D39" i="3"/>
  <c r="F24" i="3"/>
  <c r="E39" i="3"/>
  <c r="D9" i="3"/>
  <c r="Q44" i="3"/>
  <c r="P25" i="3"/>
  <c r="F25" i="3"/>
  <c r="E25" i="3"/>
  <c r="D46" i="3"/>
  <c r="D25" i="3"/>
  <c r="D11" i="3"/>
  <c r="F17" i="3"/>
  <c r="P24" i="3"/>
  <c r="F33" i="3"/>
  <c r="Q33" i="3"/>
  <c r="E40" i="3"/>
  <c r="E57" i="3"/>
  <c r="E4" i="3"/>
  <c r="D19" i="3"/>
  <c r="E41" i="3"/>
  <c r="D41" i="3"/>
  <c r="D55" i="3"/>
  <c r="Q22" i="3"/>
  <c r="P22" i="3"/>
  <c r="F41" i="3"/>
  <c r="D4" i="3"/>
  <c r="E19" i="3"/>
  <c r="D22" i="3"/>
  <c r="D38" i="3"/>
  <c r="F50" i="3"/>
  <c r="E50" i="3"/>
  <c r="D54" i="3"/>
  <c r="D16" i="3"/>
  <c r="D29" i="3"/>
  <c r="D35" i="3"/>
  <c r="E38" i="3"/>
  <c r="D47" i="3"/>
  <c r="D50" i="3"/>
  <c r="E54" i="3"/>
  <c r="D59" i="3"/>
  <c r="E16" i="3"/>
  <c r="F22" i="3"/>
  <c r="E29" i="3"/>
  <c r="D32" i="3"/>
  <c r="E35" i="3"/>
  <c r="D42" i="3"/>
  <c r="E47" i="3"/>
  <c r="F10" i="3"/>
  <c r="E10" i="3"/>
  <c r="F3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<sst xmlns="http://schemas.openxmlformats.org/spreadsheetml/2006/main" count="53940" uniqueCount="1825">
  <si>
    <t>ILSInstrumentID</t>
  </si>
  <si>
    <t>ILSLayerID</t>
  </si>
  <si>
    <t>CipherID</t>
  </si>
  <si>
    <t>ILSName</t>
  </si>
  <si>
    <t>Submission_Date</t>
  </si>
  <si>
    <t>Status</t>
  </si>
  <si>
    <t>Data_Available</t>
  </si>
  <si>
    <t>Modeling_status</t>
  </si>
  <si>
    <t>Modeling_Agent</t>
  </si>
  <si>
    <t>Expected_Modeling_Date</t>
  </si>
  <si>
    <t>COMPANY_ILS_Vehicle</t>
  </si>
  <si>
    <t>Security_or_Reinsurance_Type</t>
  </si>
  <si>
    <t>Issuer_Name</t>
  </si>
  <si>
    <t>Class</t>
  </si>
  <si>
    <t>Series</t>
  </si>
  <si>
    <t>Issuer_Credit_Rating</t>
  </si>
  <si>
    <t>Transaction_Description</t>
  </si>
  <si>
    <t>Risk_Period_Inception</t>
  </si>
  <si>
    <t>Risk_Period_Expiration</t>
  </si>
  <si>
    <t>Target_Maturity_Date</t>
  </si>
  <si>
    <t>Early_Redemption_Date</t>
  </si>
  <si>
    <t>Risk_Period</t>
  </si>
  <si>
    <t>Tenor</t>
  </si>
  <si>
    <t>Currency</t>
  </si>
  <si>
    <t>ExchangeRate</t>
  </si>
  <si>
    <t>Broker</t>
  </si>
  <si>
    <t>COMPANY_broker</t>
  </si>
  <si>
    <t>CUSIP_ID</t>
  </si>
  <si>
    <t>Offering_Form</t>
  </si>
  <si>
    <t>ParentInstrumentID</t>
  </si>
  <si>
    <t>ParentILSInstrumentName</t>
  </si>
  <si>
    <t>CoveredPerils</t>
  </si>
  <si>
    <t>TerritorialScope</t>
  </si>
  <si>
    <t>ResetDate</t>
  </si>
  <si>
    <t>RiskModelingFirm</t>
  </si>
  <si>
    <t>LossBasis</t>
  </si>
  <si>
    <t>TriggerType</t>
  </si>
  <si>
    <t>PrincipalReductionType</t>
  </si>
  <si>
    <t>Exposure_Vintage</t>
  </si>
  <si>
    <t>Escrow_Model</t>
  </si>
  <si>
    <t>COMPANY_Watchlist</t>
  </si>
  <si>
    <t>Extension_Information_I</t>
  </si>
  <si>
    <t>Extension_Information_II</t>
  </si>
  <si>
    <t>Extension_Information_III</t>
  </si>
  <si>
    <t>AMBest_Ratings</t>
  </si>
  <si>
    <t>SnP_Ratings</t>
  </si>
  <si>
    <t>Demotech_Ratings</t>
  </si>
  <si>
    <t>Initial_Fees</t>
  </si>
  <si>
    <t>RiskSeasons</t>
  </si>
  <si>
    <t>RemainingRiskPeriod</t>
  </si>
  <si>
    <t>CouponFrequency</t>
  </si>
  <si>
    <t>OfferingCoupon</t>
  </si>
  <si>
    <t>Collateral</t>
  </si>
  <si>
    <t>UserName</t>
  </si>
  <si>
    <t>CedingCommission</t>
  </si>
  <si>
    <t>ProfitCommission</t>
  </si>
  <si>
    <t>PrincipalAmountInitial</t>
  </si>
  <si>
    <t>PriceInitial</t>
  </si>
  <si>
    <t>ReferenceRate</t>
  </si>
  <si>
    <t>PricingLayerID</t>
  </si>
  <si>
    <t>AuditSignOff</t>
  </si>
  <si>
    <t>CompanyID</t>
  </si>
  <si>
    <t>ManagementFee</t>
  </si>
  <si>
    <t>Hurdle</t>
  </si>
  <si>
    <t>Origination</t>
  </si>
  <si>
    <t>UWOverride</t>
  </si>
  <si>
    <t>Discount</t>
  </si>
  <si>
    <t>FET</t>
  </si>
  <si>
    <t>Brokerage</t>
  </si>
  <si>
    <t>Setup</t>
  </si>
  <si>
    <t>AcquisitionCost</t>
  </si>
  <si>
    <t>FrontingFee</t>
  </si>
  <si>
    <t>LeverageFeeAllocation</t>
  </si>
  <si>
    <t>FixedExpenses</t>
  </si>
  <si>
    <t>VariableExpenses</t>
  </si>
  <si>
    <t>ReinstatmentPercentage</t>
  </si>
  <si>
    <t>CreatedDate</t>
  </si>
  <si>
    <t>SponsorID</t>
  </si>
  <si>
    <t>BenchmarkIndex</t>
  </si>
  <si>
    <t>PayoutOption</t>
  </si>
  <si>
    <t>IsILSDeleted</t>
  </si>
  <si>
    <t>IsBound</t>
  </si>
  <si>
    <t>IsQuoted</t>
  </si>
  <si>
    <t>Final_Extended_Redemption_Date</t>
  </si>
  <si>
    <t>Final_Maturity_date</t>
  </si>
  <si>
    <t>Next_Call_Date</t>
  </si>
  <si>
    <t>IRR_AT_Issuance</t>
  </si>
  <si>
    <t>IRR_Today</t>
  </si>
  <si>
    <t>Modeled_AAL_Base</t>
  </si>
  <si>
    <t>Modeled_AAL_Sensivity</t>
  </si>
  <si>
    <t>Modeled_attachProb_Base</t>
  </si>
  <si>
    <t>Modeled_attachProb_Sensivity</t>
  </si>
  <si>
    <t>YTM_At_Issuance</t>
  </si>
  <si>
    <t>YTM_Today</t>
  </si>
  <si>
    <t>Modeled_ExhaustProb_Base</t>
  </si>
  <si>
    <t>Modeled_ExhaustProb_Sensivity</t>
  </si>
  <si>
    <t>Next_Call_Price</t>
  </si>
  <si>
    <t>Reduced_Interest_Spread</t>
  </si>
  <si>
    <t>Return_On_Invested_Capital</t>
  </si>
  <si>
    <t>Risk_Adjusted_Return_On_Capital</t>
  </si>
  <si>
    <t>BB_ID</t>
  </si>
  <si>
    <t>Callable_Bond</t>
  </si>
  <si>
    <t>Permitted_Investment</t>
  </si>
  <si>
    <t>Placement_agent</t>
  </si>
  <si>
    <t>Zero_Coupon_Bond</t>
  </si>
  <si>
    <t>CallProvisions</t>
  </si>
  <si>
    <t>IndentureCollateral</t>
  </si>
  <si>
    <t>InitialCouponGuidance</t>
  </si>
  <si>
    <t>IssuedDate</t>
  </si>
  <si>
    <t>Artemis_URL</t>
  </si>
  <si>
    <t>Watchlist_desc</t>
  </si>
  <si>
    <t>IsInID</t>
  </si>
  <si>
    <t>NREID</t>
  </si>
  <si>
    <t>PIMCOID</t>
  </si>
  <si>
    <t>BrokerContactEmail</t>
  </si>
  <si>
    <t>ReportingFreqForProRata</t>
  </si>
  <si>
    <t>RateOnSubjectBase</t>
  </si>
  <si>
    <t>AdjRate</t>
  </si>
  <si>
    <t>DateSubmissionReceived</t>
  </si>
  <si>
    <t>ReinstatementFET</t>
  </si>
  <si>
    <t>HedgingFees</t>
  </si>
  <si>
    <t>LeverageFee</t>
  </si>
  <si>
    <t>PlacementFeeNSetUpCosts</t>
  </si>
  <si>
    <t>NULL</t>
  </si>
  <si>
    <t>CB-Aquila Re I Ltd. Series 2023-1 Class A-1 Reset 2025</t>
  </si>
  <si>
    <t>On Hold</t>
  </si>
  <si>
    <t>AIR County level</t>
  </si>
  <si>
    <t>Completed</t>
  </si>
  <si>
    <t>AIR Worldwide</t>
  </si>
  <si>
    <t>Nationwide Mutual Insurance Company_Aquila Re I Ltd.</t>
  </si>
  <si>
    <t>CAT Bond</t>
  </si>
  <si>
    <t>Aquila Re I Ltd.</t>
  </si>
  <si>
    <t>A-1</t>
  </si>
  <si>
    <t>2023-1</t>
  </si>
  <si>
    <t>03843AAA0</t>
  </si>
  <si>
    <t>144A</t>
  </si>
  <si>
    <t>All Natural Perils / U.S.</t>
  </si>
  <si>
    <t>U.S.</t>
  </si>
  <si>
    <t>Per Occurrence</t>
  </si>
  <si>
    <t>Indemnity</t>
  </si>
  <si>
    <t>U.S. Treasury Money Market Funds</t>
  </si>
  <si>
    <t>U.S. Treasury Money Market Yield</t>
  </si>
  <si>
    <t>Aon Securities; Howden Capital Markets &amp; Advisory</t>
  </si>
  <si>
    <t>CB-Aquila Re I Ltd. Series 2023-1 Class B-1 Reset 2025</t>
  </si>
  <si>
    <t>B-1</t>
  </si>
  <si>
    <t>03843AAB8</t>
  </si>
  <si>
    <t>CB-Aquila Re I Ltd. Series 2023-1 Class C-1 Reset 2025</t>
  </si>
  <si>
    <t>C-1</t>
  </si>
  <si>
    <t>03843AAC6</t>
  </si>
  <si>
    <t>CB-Aquila Re I Ltd. Series 2024-1 Class A-1 Reset 2025</t>
  </si>
  <si>
    <t>2024-1</t>
  </si>
  <si>
    <t>037987AA2</t>
  </si>
  <si>
    <t>Aon Securities</t>
  </si>
  <si>
    <t>CB-Aquila Re I Ltd. Series 2024-1 Class B-1 Reset 2025</t>
  </si>
  <si>
    <t>037987AB0</t>
  </si>
  <si>
    <t>CB-123 Lights Re Ltd. Series 2025-1 Class A</t>
  </si>
  <si>
    <t>Los Angeles Department of Water &amp; Power_123 Lights Re Ltd.</t>
  </si>
  <si>
    <t>123 Lights Re Ltd.</t>
  </si>
  <si>
    <t>A</t>
  </si>
  <si>
    <t>2025-1</t>
  </si>
  <si>
    <t>68302QAA2</t>
  </si>
  <si>
    <t>Wildfire / California</t>
  </si>
  <si>
    <t>California</t>
  </si>
  <si>
    <t>Industry Loss</t>
  </si>
  <si>
    <t>CB-Sakura Re Ltd. Series 2022-1 Class A Reset 2024</t>
  </si>
  <si>
    <t>Sompo International_Sakura Re Ltd.</t>
  </si>
  <si>
    <t>Sakura Re Ltd.</t>
  </si>
  <si>
    <t>2022-1</t>
  </si>
  <si>
    <t>79381MAC8</t>
  </si>
  <si>
    <t>Earthquake ; Named Storm / U.S., Canada, Puerto Rico, U.S. VI</t>
  </si>
  <si>
    <t>U.S., Canada, Puerto Rico, U.S. VI</t>
  </si>
  <si>
    <t>Per Occurrence and Annual Aggregate</t>
  </si>
  <si>
    <t>CB-Marlon Ltd. Series 2024-1 Class A Reset 2025</t>
  </si>
  <si>
    <t>GPC Partners Investments Corp (Coppola) LP_Marlon Ltd.</t>
  </si>
  <si>
    <t>Marlon Ltd.</t>
  </si>
  <si>
    <t>571253AA1</t>
  </si>
  <si>
    <t>Named Storm / Florida</t>
  </si>
  <si>
    <t>Florida</t>
  </si>
  <si>
    <t>Howden Capital Markets &amp; Advisory</t>
  </si>
  <si>
    <t>CB-Marlon Ltd. Series 2024-1 Class B Reset 2025</t>
  </si>
  <si>
    <t>B</t>
  </si>
  <si>
    <t>571253AB9</t>
  </si>
  <si>
    <t>CB-Lightning Re Ltd. Series 2023-1 Class A Reset 2025</t>
  </si>
  <si>
    <t>Citizens Property Insurance Corp._Lightning Re Ltd.</t>
  </si>
  <si>
    <t>Lightning Re Ltd.</t>
  </si>
  <si>
    <t>532242AA2</t>
  </si>
  <si>
    <t>Annual Aggregate</t>
  </si>
  <si>
    <t>Aon Securities; GC Securities</t>
  </si>
  <si>
    <t>CB-Recoletos Re DAC Series 2024-1 Class A</t>
  </si>
  <si>
    <t>Mapfre Re_Recoletos Re DAC</t>
  </si>
  <si>
    <t>Recoletos Re DAC</t>
  </si>
  <si>
    <t>755933AA6</t>
  </si>
  <si>
    <t>Named Storm / U.S.</t>
  </si>
  <si>
    <t>CB-Stabilitas Re Ltd. Series 2023-1 Class A Reset 2025</t>
  </si>
  <si>
    <t>Conduit Re_Stabilitas Re Ltd.</t>
  </si>
  <si>
    <t>Stabilitas Re Ltd.</t>
  </si>
  <si>
    <t>85237TAA0</t>
  </si>
  <si>
    <t>Earthquake ; Named Storm / U.S.</t>
  </si>
  <si>
    <t>CB-Cape Lookout Re Ltd. Series 2023-1 Class A Reset 2025</t>
  </si>
  <si>
    <t>RMS</t>
  </si>
  <si>
    <t>North Carolina Insurance Underwriting Association_Cape Lookout Re Ltd.</t>
  </si>
  <si>
    <t>Cape Lookout Re Ltd.</t>
  </si>
  <si>
    <t>13947LAE2</t>
  </si>
  <si>
    <t>Named Storm / North Carolina</t>
  </si>
  <si>
    <t>North Carolina</t>
  </si>
  <si>
    <t>GC Securities</t>
  </si>
  <si>
    <t>CB-Cape Lookout Re Ltd. Series 2024-1 Class A Reset 2025</t>
  </si>
  <si>
    <t>13947LAF9</t>
  </si>
  <si>
    <t>CB-Ashera Re Ltd. Series 2024-1 Class A Reset 2025</t>
  </si>
  <si>
    <t>Privilege Underwriters Reciprocal Exchange_Ashera Re Ltd.</t>
  </si>
  <si>
    <t>Ashera Re Ltd.</t>
  </si>
  <si>
    <t>04401RAA5</t>
  </si>
  <si>
    <t>Earthquake ; Named Storm / U.S., Canada</t>
  </si>
  <si>
    <t>U.S., Canada</t>
  </si>
  <si>
    <t>Swiss Re Capital Markets</t>
  </si>
  <si>
    <t>CB-Ramble Re Ltd. Series 2024-1 Class A Reset 2025</t>
  </si>
  <si>
    <t>Arch Reinsurance Ltd. _Ramble Re Ltd.</t>
  </si>
  <si>
    <t>Ramble Re Ltd.</t>
  </si>
  <si>
    <t>751443AA0</t>
  </si>
  <si>
    <t>Earthquake / U.S., Canada ; Named Storm / Northeast U.S.</t>
  </si>
  <si>
    <t>U.S., Canada ; Named Storm / Northeast U.S.</t>
  </si>
  <si>
    <t xml:space="preserve">U.S. Treasury Money Market Funds </t>
  </si>
  <si>
    <t>Howden Capital Markets &amp; Advisory; Lockton Re Capital Markets</t>
  </si>
  <si>
    <t>CB-Galileo Re Ltd. Series 2023-1 Class A Reset 2025</t>
  </si>
  <si>
    <t>XL Bermuda Ltd._Galileo Re Ltd.</t>
  </si>
  <si>
    <t>Galileo Re Ltd.</t>
  </si>
  <si>
    <t>36354TAN2</t>
  </si>
  <si>
    <t>Earthquake / U.S., Canada, Puerto Rico, U.S. VI ; Named Storm / U.S., Puerto Rico, U.S. VI</t>
  </si>
  <si>
    <t>U.S., Canada, Puerto Rico, U.S. VI ; Named Storm / U.S., Puerto Rico, U.S. VI</t>
  </si>
  <si>
    <t>CB-Galileo Re Ltd. Series 2023-1 Class B Reset 2025</t>
  </si>
  <si>
    <t>36354TAP7</t>
  </si>
  <si>
    <t>CB-MMIFS Re Ltd. Series 2025-1 Class A</t>
  </si>
  <si>
    <t>Security National; TD Insurance_MMIFS Re Ltd.</t>
  </si>
  <si>
    <t>MMIFS Re Ltd.</t>
  </si>
  <si>
    <t>XS2969300081</t>
  </si>
  <si>
    <t>Earthquake ; Severe Convective Storm / Canada</t>
  </si>
  <si>
    <t>Canada</t>
  </si>
  <si>
    <t>EBRD Medium Term Notes</t>
  </si>
  <si>
    <t>CORRA</t>
  </si>
  <si>
    <t>GC Securities; TD Securities</t>
  </si>
  <si>
    <t>CB-Bonanza Re Ltd. Series 2024-1 Class A</t>
  </si>
  <si>
    <t>Progressive_Bonanza Re Ltd.</t>
  </si>
  <si>
    <t>Bonanza Re Ltd.</t>
  </si>
  <si>
    <t>09785EAN1</t>
  </si>
  <si>
    <t>Gallagher Securities</t>
  </si>
  <si>
    <t>CB-Bonanza Re Ltd. Series 2024-1 Class B</t>
  </si>
  <si>
    <t>09785EAP6</t>
  </si>
  <si>
    <t>CB-Bonanza Re Ltd. Series 2024-1 Class C</t>
  </si>
  <si>
    <t>C</t>
  </si>
  <si>
    <t>09785EAQ4</t>
  </si>
  <si>
    <t>CB-Sanders Re II Ltd. Series 2024-3 Class B Reset 2025</t>
  </si>
  <si>
    <t>Allstate Insurance Company_Sanders Re II Ltd.</t>
  </si>
  <si>
    <t>Sanders Re II Ltd.</t>
  </si>
  <si>
    <t>2024-3</t>
  </si>
  <si>
    <t>80001RAB7</t>
  </si>
  <si>
    <t>All Natural Perils / U.S. (excl. FL)</t>
  </si>
  <si>
    <t>U.S. (excl. FL)</t>
  </si>
  <si>
    <t>Aon Securities; Goldman Sachs &amp; Co.</t>
  </si>
  <si>
    <t>CB-Sanders Re II Ltd. Series 2024-3 Class A Reset 2025</t>
  </si>
  <si>
    <t>80001RAA9</t>
  </si>
  <si>
    <t>CB-Queen Street 2023 Re DAC Reset 2025</t>
  </si>
  <si>
    <t>Munich Re_Queen Street 2023 Re DAC Reset 2025</t>
  </si>
  <si>
    <t>Queen Street 2023 Re DAC Reset 2025</t>
  </si>
  <si>
    <t>747977AA4</t>
  </si>
  <si>
    <t>Named Storm / U.S., Puerto Rico, U.S. VI</t>
  </si>
  <si>
    <t>U.S., Puerto Rico, U.S. VI</t>
  </si>
  <si>
    <t>Aon Securities; Munich Re</t>
  </si>
  <si>
    <t>CB-Res Re 2025 Ltd. Series 2025-I Class 13</t>
  </si>
  <si>
    <t>USAA_Res Re 2025 Ltd.</t>
  </si>
  <si>
    <t>Res Re 2025 Ltd.</t>
  </si>
  <si>
    <t>2025-I</t>
  </si>
  <si>
    <t>76091DAA9</t>
  </si>
  <si>
    <t>GC Securities; Swiss Re Capital Markets</t>
  </si>
  <si>
    <t>CB-Res Re 2025 Ltd. Series 2025-I Class 14</t>
  </si>
  <si>
    <t>76091DAB7</t>
  </si>
  <si>
    <t>CB-Res Re 2025 Ltd. Series 2025-I Class 15</t>
  </si>
  <si>
    <t>76091DAC5</t>
  </si>
  <si>
    <t>CB-Easton Re Ltd. Series 2024-1 Class A Reset 2025</t>
  </si>
  <si>
    <t>Hamilton Re_Easton Re Ltd.</t>
  </si>
  <si>
    <t>Easton Re Ltd.</t>
  </si>
  <si>
    <t>27777AAA9</t>
  </si>
  <si>
    <t>Earthquake / U.S., Canada ; Named Storm / U.S., Puerto Rico, U.S. VI</t>
  </si>
  <si>
    <t>U.S., Canada ; Named Storm / U.S., Puerto Rico, U.S. VI</t>
  </si>
  <si>
    <t>CB-Bridge Street Re Ltd. Series 2025-1 Class A</t>
  </si>
  <si>
    <t>QBE Capital Ltd. / QBE Capital (Global) Ltd._Bridge Street Re Ltd.</t>
  </si>
  <si>
    <t>Bridge Street Re Ltd.</t>
  </si>
  <si>
    <t>10807LAA5</t>
  </si>
  <si>
    <t>CB-Res Re 2021 Ltd. Series 2021-II Class 2 Reset 2025</t>
  </si>
  <si>
    <t>Res Re 2021 Ltd.</t>
  </si>
  <si>
    <t>2021-II</t>
  </si>
  <si>
    <t>76114NAE2</t>
  </si>
  <si>
    <t>CB-Res Re 2021 Ltd. Series 2021-II Class 3 Reset 2025</t>
  </si>
  <si>
    <t>76114NAF9</t>
  </si>
  <si>
    <t>CB-Res Re 2022 Ltd. Series 2022-II Class 3 Reset 2025</t>
  </si>
  <si>
    <t>USAA_Res Re 2022 Ltd.</t>
  </si>
  <si>
    <t>Res Re 2022 Ltd.</t>
  </si>
  <si>
    <t>2022-II</t>
  </si>
  <si>
    <t>76119YAF0</t>
  </si>
  <si>
    <t>Goldman Sachs &amp; Co.; Swiss Re Capital Markets</t>
  </si>
  <si>
    <t>CB-Res Re 2022 Ltd. Series 2022-II Class 5 Reset 2025</t>
  </si>
  <si>
    <t>76119YAG8</t>
  </si>
  <si>
    <t>CB-Res Re 2023 Ltd. Series 2023-II Class 3 Reset 2025</t>
  </si>
  <si>
    <t>USAA_Res Re 2023 Ltd.</t>
  </si>
  <si>
    <t>Res Re 2023 Ltd.</t>
  </si>
  <si>
    <t>2023-II</t>
  </si>
  <si>
    <t>76090WAB6</t>
  </si>
  <si>
    <t>CB-Res Re 2023 Ltd. Series 2023-II Class 5 Reset 2025</t>
  </si>
  <si>
    <t>76090WAC4</t>
  </si>
  <si>
    <t>CB-Res Re 2024 Ltd. Series 2024-II Class 2 Reset 2025</t>
  </si>
  <si>
    <t>USAA_Res Re 2024 Ltd.</t>
  </si>
  <si>
    <t>Res Re 2024 Ltd.</t>
  </si>
  <si>
    <t>2024-II</t>
  </si>
  <si>
    <t>76112AAC6</t>
  </si>
  <si>
    <t>CB-Res Re 2024 Ltd. Series 2024-II Class 3 Reset 2025</t>
  </si>
  <si>
    <t>76112AAD4</t>
  </si>
  <si>
    <t>CB-Res Re 2024 Ltd. Series 2024-II Class 4 Reset 2025</t>
  </si>
  <si>
    <t>76112AAE2</t>
  </si>
  <si>
    <t>CB-Baldwin Re Ltd. Series 2025-1 Class A</t>
  </si>
  <si>
    <t>Vermont Mutual Insurance Company_Baldwin Re Ltd.</t>
  </si>
  <si>
    <t>Baldwin Re Ltd.</t>
  </si>
  <si>
    <t>05826BAC0</t>
  </si>
  <si>
    <t>All Natural Perils / Northeast U.S.</t>
  </si>
  <si>
    <t>Northeast U.S.</t>
  </si>
  <si>
    <t>CB-Baldwin Re Ltd. Series 2023-1 Class A Reset 2025</t>
  </si>
  <si>
    <t>05826BAB2</t>
  </si>
  <si>
    <t>CB-Mayflower Re Ltd. Series 2023-1 Class A Reset 2025</t>
  </si>
  <si>
    <t>Massachusetts Property Insurance Underwriting Association_Mayflower Re Ltd.</t>
  </si>
  <si>
    <t>Mayflower Re Ltd.</t>
  </si>
  <si>
    <t>57839MAA6</t>
  </si>
  <si>
    <t>Named Storm ; Severe Thunderstorm ; Winter Storm / Massachusetts</t>
  </si>
  <si>
    <t>Massachusetts</t>
  </si>
  <si>
    <t>CB-Mayflower Re Ltd. Series 2023-1 Class B Reset 2025</t>
  </si>
  <si>
    <t>57839MAB4</t>
  </si>
  <si>
    <t>CB-Mayflower Re Ltd. Series 2024-1 Class A Reset 2025</t>
  </si>
  <si>
    <t>57839MAC2</t>
  </si>
  <si>
    <t>CB-Mayflower Re Ltd. Series 2025-1 Class A</t>
  </si>
  <si>
    <t>57839MAD0</t>
  </si>
  <si>
    <t>CB-Res Re 2022 Ltd. Series 2022-I Class 11 Reset 2025</t>
  </si>
  <si>
    <t>2022-I</t>
  </si>
  <si>
    <t>76119YAB9</t>
  </si>
  <si>
    <t>CB-Res Re 2022 Ltd. Series 2022-I Class 12 Reset 2025</t>
  </si>
  <si>
    <t>76119YAC7</t>
  </si>
  <si>
    <t>CB-Res Re 2022 Ltd. Series 2022-I Class 13 Reset 2025</t>
  </si>
  <si>
    <t>76119YAD5</t>
  </si>
  <si>
    <t>CB-Res Re 2022 Ltd. Series 2022-I Class 14 Reset 2025</t>
  </si>
  <si>
    <t>76119YAE3</t>
  </si>
  <si>
    <t>CB-Res Re 2023 Ltd. Series 2023-I Class 13 Reset 2025</t>
  </si>
  <si>
    <t>2023-I</t>
  </si>
  <si>
    <t>76133XAA5</t>
  </si>
  <si>
    <t>CB-Res Re 2023 Ltd. Series 2023-I Class 14 Reset 2025</t>
  </si>
  <si>
    <t>76133XAB3</t>
  </si>
  <si>
    <t>CB-Res Re 2024 Ltd. Series 2024-I Class 13 Reset 2025</t>
  </si>
  <si>
    <t>2024-I</t>
  </si>
  <si>
    <t>76091BAB1</t>
  </si>
  <si>
    <t>CB-Res Re 2024 Ltd. Series 2024-I Class 14 Reset 2025</t>
  </si>
  <si>
    <t>76091BAC9</t>
  </si>
  <si>
    <t>CB-Gateway Re Ltd. Series 2025-1 Class AAA</t>
  </si>
  <si>
    <t>Surechoice Underwriters Reciprocal Exchange / SafeChoice Insurance Company _Gateway Re Ltd.</t>
  </si>
  <si>
    <t>Gateway Re Ltd.</t>
  </si>
  <si>
    <t>AAA</t>
  </si>
  <si>
    <t>36779CAM8</t>
  </si>
  <si>
    <t>Named Storm / Alabama, Louisiana, Mississippi, New York, North Carolina, South Carolina, Texas</t>
  </si>
  <si>
    <t>Alabama, Louisiana, Mississippi, New York, North Carolina, South Carolina, Texas</t>
  </si>
  <si>
    <t>CB-Gateway Re Ltd. Series 2025-1 Class C1</t>
  </si>
  <si>
    <t>C1</t>
  </si>
  <si>
    <t>36779CAR7</t>
  </si>
  <si>
    <t>Named Storm / Alabama, Florida, Louisiana, Mississippi, New York, North Carolina, South Carolina, Texas</t>
  </si>
  <si>
    <t>Alabama, Florida, Louisiana, Mississippi, New York, North Carolina, South Carolina, Texas</t>
  </si>
  <si>
    <t>CB-Gateway Re Ltd. Series 2025-1 Class AA</t>
  </si>
  <si>
    <t>AA</t>
  </si>
  <si>
    <t>36779CAP1</t>
  </si>
  <si>
    <t>CB-Gateway Re Ltd. Series 2025-1 Class A</t>
  </si>
  <si>
    <t>36779CAQ9</t>
  </si>
  <si>
    <t>CB-Gateway Re Ltd. Series 2025-1 Class C2</t>
  </si>
  <si>
    <t>C2</t>
  </si>
  <si>
    <t>36779CAN6</t>
  </si>
  <si>
    <t>CB-Gateway Re Ltd. Series 2025-2 Class A</t>
  </si>
  <si>
    <t>Elevate Reciprocal Exchange / Auros Insurance Reciprocal Exchange_Gateway Re Ltd.</t>
  </si>
  <si>
    <t>2025-2</t>
  </si>
  <si>
    <t>36779CAS5</t>
  </si>
  <si>
    <t xml:space="preserve">Named Storm / Louisiana, Mississippi, South Carolina, Texas </t>
  </si>
  <si>
    <t>Louisiana, Mississippi, South Carolina, Texas</t>
  </si>
  <si>
    <t xml:space="preserve">Swiss Re Capital Markets </t>
  </si>
  <si>
    <t>CB-MetroCat Re Ltd. Series 2023-1 Class A</t>
  </si>
  <si>
    <t>EQECAT</t>
  </si>
  <si>
    <t>First Mutual Transportation Assurance Co._MetroCat Re Ltd.</t>
  </si>
  <si>
    <t>MetroCat Re Ltd.</t>
  </si>
  <si>
    <t>59165HAD1</t>
  </si>
  <si>
    <t>Named Storm / New York, New Jersey</t>
  </si>
  <si>
    <t>New York, New Jersey</t>
  </si>
  <si>
    <t>2nd Gen Parametric</t>
  </si>
  <si>
    <t>CB-IBRD CAR Jamaica 2024</t>
  </si>
  <si>
    <t>International Bank for Reconstruction and Development_IBRD CAR Jamaica 2024</t>
  </si>
  <si>
    <t>IBRD CAR Jamaica 2024</t>
  </si>
  <si>
    <t>XS2806459314</t>
  </si>
  <si>
    <t>Named Storm / Jamaica</t>
  </si>
  <si>
    <t>Jamaica</t>
  </si>
  <si>
    <t>1st Gen Parametric</t>
  </si>
  <si>
    <t>IBRD Puttable Notes</t>
  </si>
  <si>
    <t>Compounded SOFR</t>
  </si>
  <si>
    <t>Aon Securities; Aon Securities (Hong Kong); Swiss Re Capital Markets</t>
  </si>
  <si>
    <t>CB-IBRD CAR Chile 2023</t>
  </si>
  <si>
    <t>International Bank for Reconstruction and Development_IBRD CAR Chile 2023</t>
  </si>
  <si>
    <t>IBRD CAR Chile 2023</t>
  </si>
  <si>
    <t>XS2599161192</t>
  </si>
  <si>
    <t>Earthquake / Chile</t>
  </si>
  <si>
    <t>Chile</t>
  </si>
  <si>
    <t>Aon Securities; GC Securities; Swiss Re Capital Markets</t>
  </si>
  <si>
    <t>CB-Genesee Street Re Ltd. Series 2025-1 Class A</t>
  </si>
  <si>
    <t>Utica National Insurance Group_Genesee Street Re Ltd.</t>
  </si>
  <si>
    <t>Genesee Street Re Ltd.</t>
  </si>
  <si>
    <t>37173WAA0</t>
  </si>
  <si>
    <t>Named Storm ; Severe Thunderstorm / Eastern U.S.</t>
  </si>
  <si>
    <t>Eastern U.S.</t>
  </si>
  <si>
    <t>CB-Sanders Re III Ltd. Series 2024-1 Class A Reset 2025</t>
  </si>
  <si>
    <t>Allstate Insurance Company_Sanders Re III Ltd.</t>
  </si>
  <si>
    <t>Sanders Re III Ltd.</t>
  </si>
  <si>
    <t>799927AA6</t>
  </si>
  <si>
    <t>CB-Sanders Re III Ltd. Series 2023-1 Class A Reset 2025</t>
  </si>
  <si>
    <t>80001QAA1</t>
  </si>
  <si>
    <t>CB-Sanders Re III Ltd. Series 2023-1 Class B Reset 2025</t>
  </si>
  <si>
    <t>80001QAB9</t>
  </si>
  <si>
    <t>CB-Sanders Re III Ltd. Series 2022-3 Class A Reset 2025</t>
  </si>
  <si>
    <t>2022-3</t>
  </si>
  <si>
    <t>80000YAA5</t>
  </si>
  <si>
    <t>CB-Sanders Re III Ltd. Series 2022-1 Class A Reset 2025</t>
  </si>
  <si>
    <t>80000XAA7</t>
  </si>
  <si>
    <t>CB-Sanders Re III Ltd. Series 2022-1 Class B Reset 2025</t>
  </si>
  <si>
    <t>CB-Sanders Re III Ltd. Series 2022-1 Class C Reset 2025</t>
  </si>
  <si>
    <t>80000XAC3</t>
  </si>
  <si>
    <t>CB-Sanders Re II Ltd. Series 2025-1 Class A-1</t>
  </si>
  <si>
    <t>80001TAA5</t>
  </si>
  <si>
    <t>CB-Sanders Re II Ltd. Series 2025-1 Class B-1</t>
  </si>
  <si>
    <t>80001TAC1</t>
  </si>
  <si>
    <t>CB-Sanders Re II Ltd. Series 2025-1 Class A-2</t>
  </si>
  <si>
    <t>A-2</t>
  </si>
  <si>
    <t>80001TAB3</t>
  </si>
  <si>
    <t>CB-Sanders Re II Ltd. Series 2025-1 Class B-2</t>
  </si>
  <si>
    <t>B-2</t>
  </si>
  <si>
    <t>80001TAD9</t>
  </si>
  <si>
    <t>CB-Matterhorn Re Ltd. Series 2025-3 Class A</t>
  </si>
  <si>
    <t>Swiss Reinsurance Company Ltd._Matterhorn Re Ltd.</t>
  </si>
  <si>
    <t>Matterhorn Re Ltd.</t>
  </si>
  <si>
    <t>2025-3</t>
  </si>
  <si>
    <t>577092AZ2</t>
  </si>
  <si>
    <t>Earthquake / U.S. (excl. HI), Canada</t>
  </si>
  <si>
    <t>U.S. (excl. HI), Canada</t>
  </si>
  <si>
    <t>CB-Matterhorn Re Ltd. Series 2025-3 Class B</t>
  </si>
  <si>
    <t>577092BA6</t>
  </si>
  <si>
    <t>CB-Atela Re Ltd. Series 2024-1 Class A Reset 2025</t>
  </si>
  <si>
    <t>Nephila Syndicate Management Limited_Atela Re Ltd.</t>
  </si>
  <si>
    <t>Atela Re Ltd.</t>
  </si>
  <si>
    <t>04681FAA2</t>
  </si>
  <si>
    <t>Earthquake ; Named Storm / U.S., Puerto Rico, U.S. VI</t>
  </si>
  <si>
    <t>CB-Atela Re Ltd. Series 2024-1 Class B Reset 2025</t>
  </si>
  <si>
    <t>04681FAB0</t>
  </si>
  <si>
    <t>CB-Solomon Re Ltd. Series 2023-1 Class A Reset 2025</t>
  </si>
  <si>
    <t>Korean Reinsurance Company_Solomon Re Ltd.</t>
  </si>
  <si>
    <t>Solomon Re Ltd.</t>
  </si>
  <si>
    <t>83427GAA3</t>
  </si>
  <si>
    <t>CB-Four Lakes Re Ltd. Series 2022-1 Class A Reset 2025</t>
  </si>
  <si>
    <t>American Family Mutual Insurance Company_Four Lakes Re Ltd.</t>
  </si>
  <si>
    <t>Four Lakes Re Ltd.</t>
  </si>
  <si>
    <t>35087TAD0</t>
  </si>
  <si>
    <t>CB-Four Lakes Re Ltd. Series 2023-1 Class A Reset 2025</t>
  </si>
  <si>
    <t>35087TAE8</t>
  </si>
  <si>
    <t>CB-Four Lakes Re Ltd. Series 2023-1 Class B Reset 2025</t>
  </si>
  <si>
    <t>35087TAF5</t>
  </si>
  <si>
    <t>CB-Four Lakes Re Ltd. Series 2024-1 Class A</t>
  </si>
  <si>
    <t>35087TAG3</t>
  </si>
  <si>
    <t>CB-Four Lakes Re Ltd. Series 2024-1 Class B</t>
  </si>
  <si>
    <t>35087TAH1</t>
  </si>
  <si>
    <t>CB-Kilimanjaro II Re Ltd. Series 2025-1 Class A-1</t>
  </si>
  <si>
    <t>Everest Re_Kilimanjaro II Re Ltd.</t>
  </si>
  <si>
    <t>Kilimanjaro II Re Ltd.</t>
  </si>
  <si>
    <t>49407QAJ7</t>
  </si>
  <si>
    <t>CB-Kilimanjaro II Re Ltd. Series 2025-1 Class B-1</t>
  </si>
  <si>
    <t>49407QAK4</t>
  </si>
  <si>
    <t>CB-Kilimanjaro II Re Ltd. Series 2025-1 Class C-1</t>
  </si>
  <si>
    <t>49407QAL2</t>
  </si>
  <si>
    <t>CB-Kilimanjaro II Re Ltd. Series 2025-1 Class D-1</t>
  </si>
  <si>
    <t>D-1</t>
  </si>
  <si>
    <t>49407QAM0</t>
  </si>
  <si>
    <t>CB-Kilimanjaro II Re Ltd. Series 2025-2 Class A-2</t>
  </si>
  <si>
    <t>49407QAN8</t>
  </si>
  <si>
    <t>CB-Kilimanjaro II Re Ltd. Series 2025-2 Class B-2</t>
  </si>
  <si>
    <t>49407QAP3</t>
  </si>
  <si>
    <t>CB-Kilimanjaro II Re Ltd. Series 2025-2 Class C-2</t>
  </si>
  <si>
    <t>C-2</t>
  </si>
  <si>
    <t>49407QAQ1</t>
  </si>
  <si>
    <t>CB-Kilimanjaro II Re Ltd. Series 2025-2 Class D-2</t>
  </si>
  <si>
    <t>D-2</t>
  </si>
  <si>
    <t>49407QAR9</t>
  </si>
  <si>
    <t>CB-Kilimanjaro II Re Ltd. Series 2024-1 Class A Reset 2025</t>
  </si>
  <si>
    <t>49407QAG3</t>
  </si>
  <si>
    <t>CB-Kilimanjaro II Re Ltd. Series 2024-1 Class B Reset 2025</t>
  </si>
  <si>
    <t>49407QAH1</t>
  </si>
  <si>
    <t>CB-Kilimanjaro III Re Ltd. Series 2021-2 Class A-2 Reset 2025</t>
  </si>
  <si>
    <t>Kilimanjaro III Re Ltd.</t>
  </si>
  <si>
    <t>2021-2</t>
  </si>
  <si>
    <t>49407PAH3</t>
  </si>
  <si>
    <t>CB-Kilimanjaro III Re Ltd. Series 2021-2 Class B-2 Reset 2025</t>
  </si>
  <si>
    <t>49407PAJ9</t>
  </si>
  <si>
    <t>CB-Kilimanjaro III Re Ltd. Series 2021-2 Class C-2 Reset 2025</t>
  </si>
  <si>
    <t>49407PAK6</t>
  </si>
  <si>
    <t>CB-Riverfront Re Ltd. Series 2025-1 Class B</t>
  </si>
  <si>
    <t>Great American Insurance Company_Riverfront Re Ltd.</t>
  </si>
  <si>
    <t>Riverfront Re Ltd.</t>
  </si>
  <si>
    <t>76870YAG7</t>
  </si>
  <si>
    <t>All Natural Perils / U.S., Canada</t>
  </si>
  <si>
    <t xml:space="preserve">Per Occurrence </t>
  </si>
  <si>
    <t>CB-Riverfront Re Ltd. Series 2025-1 Class A</t>
  </si>
  <si>
    <t>76870YAF9</t>
  </si>
  <si>
    <t>CB-Nature Coast Re Ltd. Series 2025-1 Class A Reset 2025</t>
  </si>
  <si>
    <t xml:space="preserve">AIR Worldwide </t>
  </si>
  <si>
    <t>Safepoint / Cajun / Manatee_Nature Coast Re Ltd.</t>
  </si>
  <si>
    <t>Nature Coast Re Ltd.</t>
  </si>
  <si>
    <t>63901CAD3</t>
  </si>
  <si>
    <t>Named Storm / Alabama, Florida, Louisiana, Mississippi, Texas</t>
  </si>
  <si>
    <t>Alabama, Florida, Louisiana, Mississippi, Texas</t>
  </si>
  <si>
    <t>Aon Securities; Acrisure Re Corporate &amp; Advisory Solutions Limited</t>
  </si>
  <si>
    <t>CB-Lapis 2025-1 Series 2025-1</t>
  </si>
  <si>
    <t>Brit Re / Brit Syndicates_Lapis 2025-1</t>
  </si>
  <si>
    <t>Lapis 2025-1</t>
  </si>
  <si>
    <t>54180CAA0</t>
  </si>
  <si>
    <t>Named Storm ; Earthquake / U.S., Canada, Puerto Rico, U.S. VI</t>
  </si>
  <si>
    <t>CB-Gateway Re Ltd. Series 2023-3 Class A Reset 2025</t>
  </si>
  <si>
    <t>Anchor Re, Inc._Gateway Re Ltd.</t>
  </si>
  <si>
    <t>2023-3</t>
  </si>
  <si>
    <t>36779CAF3</t>
  </si>
  <si>
    <t>Named Storm / Alabama, Louisiana, Mississippi, New York, North Carolina, South Carolina, Texas, Virginia</t>
  </si>
  <si>
    <t>Alabama, Louisiana, Mississippi, New York, North Carolina, South Carolina, Texas, Virginia</t>
  </si>
  <si>
    <t>CB-1886 Re Ltd. Series 2025-1 Class A</t>
  </si>
  <si>
    <t>Kingstone Insurance Company _1886 Re Ltd.</t>
  </si>
  <si>
    <t>1886 Re Ltd.</t>
  </si>
  <si>
    <t>68252UAA3</t>
  </si>
  <si>
    <t>Named Storm / Connecticut, Massachusetts, New York, New Jersey, Rhode Island</t>
  </si>
  <si>
    <t>Connecticut, Massachusetts, New York, New Jersey, Rhode Island</t>
  </si>
  <si>
    <t>CB-Aragonite Re Ltd. Series 2024-1 Class A Reset 2025</t>
  </si>
  <si>
    <t>Brookfield Property Group LLC_Aragonite Re Ltd.</t>
  </si>
  <si>
    <t>Aragonite Re Ltd.</t>
  </si>
  <si>
    <t>03851YAA7</t>
  </si>
  <si>
    <t>CB-Armor Re II Ltd. Series 2024-1 Class A Reset 2025</t>
  </si>
  <si>
    <t>American Coastal Insurance Company_Armor Re II Ltd.</t>
  </si>
  <si>
    <t>Armor Re II Ltd.</t>
  </si>
  <si>
    <t>04227FAE5</t>
  </si>
  <si>
    <t>CB-Torrey Pines Re Ltd. Series 2023-1 Class A Reset 2025</t>
  </si>
  <si>
    <t>Palomar Specialty Insurance Company_Torrey Pines Re Ltd.</t>
  </si>
  <si>
    <t>Torrey Pines Re Ltd.</t>
  </si>
  <si>
    <t>89141WAF9</t>
  </si>
  <si>
    <t>Earthquake / California</t>
  </si>
  <si>
    <t>GC Securities; Howden Capital Markets &amp; Advisory</t>
  </si>
  <si>
    <t>CB-Torrey Pines Re Ltd. Series 2023-1 Class B Reset 2025</t>
  </si>
  <si>
    <t>89141WAG7</t>
  </si>
  <si>
    <t>Earthquake / U.S.</t>
  </si>
  <si>
    <t>CB-Torrey Pines Re Ltd. Series 2024-1 Class A Reset 2025</t>
  </si>
  <si>
    <t>89141WAH5</t>
  </si>
  <si>
    <t>CB-Torrey Pines Re Ltd. Series 2024-1 Class B Reset 2025</t>
  </si>
  <si>
    <t>89141WAJ1</t>
  </si>
  <si>
    <t>CB-Torrey Pines Re Ltd. Series 2024-1 Class C Reset 2025</t>
  </si>
  <si>
    <t>89141WAK8</t>
  </si>
  <si>
    <t>CB-Torrey Pines Re Ltd. Series 2025-1 Class A</t>
  </si>
  <si>
    <t>89141WAL6</t>
  </si>
  <si>
    <t>CB-Torrey Pines Re Ltd. Series 2025-1 Class B</t>
  </si>
  <si>
    <t>89141WAM4</t>
  </si>
  <si>
    <t>CB-Torrey Pines Re Ltd. Series 2025-1 Class C</t>
  </si>
  <si>
    <t>89141WAN2</t>
  </si>
  <si>
    <t>CB-Finca Re Ltd. Series 2025-1 Class A</t>
  </si>
  <si>
    <t>Canopius Group Limited_Finca Re Ltd.</t>
  </si>
  <si>
    <t>Finca Re Ltd.</t>
  </si>
  <si>
    <t>31771QAB0</t>
  </si>
  <si>
    <t>CB-IBRD CAR Mexico 2024 Class A</t>
  </si>
  <si>
    <t>International Bank for Reconstruction and Development_IBRD CAR Mexico 2024 Class A</t>
  </si>
  <si>
    <t>IBRD CAR Mexico 2024 Class A</t>
  </si>
  <si>
    <t>XS2799645515</t>
  </si>
  <si>
    <t>Earthquake / Mexico</t>
  </si>
  <si>
    <t>Mexico</t>
  </si>
  <si>
    <t>Aon Securities; GC Securities; Munich Re</t>
  </si>
  <si>
    <t>CB-IBRD CAR Mexico 2024 Class B</t>
  </si>
  <si>
    <t>International Bank for Reconstruction and Development_IBRD CAR Mexico 2024 Class B</t>
  </si>
  <si>
    <t>IBRD CAR Mexico 2024 Class B</t>
  </si>
  <si>
    <t>XS2799645606</t>
  </si>
  <si>
    <t>CB-IBRD CAR Mexico 2024 Class C</t>
  </si>
  <si>
    <t>International Bank for Reconstruction and Development_IBRD CAR Mexico 2024 Class C</t>
  </si>
  <si>
    <t>IBRD CAR Mexico 2024 Class C</t>
  </si>
  <si>
    <t>XS2799645788</t>
  </si>
  <si>
    <t>Atlantic Named Storm / Mexico</t>
  </si>
  <si>
    <t>CB-IBRD CAR Mexico 2024 Class D</t>
  </si>
  <si>
    <t>International Bank for Reconstruction and Development_IBRD CAR Mexico 2024 Class D</t>
  </si>
  <si>
    <t>IBRD CAR Mexico 2024 Class D</t>
  </si>
  <si>
    <t>D</t>
  </si>
  <si>
    <t>XS2809694198</t>
  </si>
  <si>
    <t>Pacific Named Storm / Mexico</t>
  </si>
  <si>
    <t>CB-3264 Re Ltd. Series 2024-1 Class A Reset 2025</t>
  </si>
  <si>
    <t>Hannover Re_3264 Re Ltd.</t>
  </si>
  <si>
    <t>3264 Re Ltd.</t>
  </si>
  <si>
    <t>88577CAC5</t>
  </si>
  <si>
    <t>Named Storm / Northeast U.S.</t>
  </si>
  <si>
    <t>CB-3264 Re Ltd. Series 2024-1 Class B Reset 2025</t>
  </si>
  <si>
    <t>88577CAD3</t>
  </si>
  <si>
    <t>Named Storm / Alabama, Louisiana, Mississippi, Texas</t>
  </si>
  <si>
    <t>Alabama, Louisiana, Mississippi, Texas</t>
  </si>
  <si>
    <t>CB-3264 Re Ltd. Series 2025-2 Class A</t>
  </si>
  <si>
    <t>88577CAG6</t>
  </si>
  <si>
    <t>Named Storm / Eastern U.S ; Earthquake / U.S., Canada</t>
  </si>
  <si>
    <t>Eastern U.S ; Earthquake / U.S., Canada</t>
  </si>
  <si>
    <t>Per Occurrence (Named Storm) ; Annual Aggregate (Earthquake)</t>
  </si>
  <si>
    <t>GC Securities; Howden Capital Markets</t>
  </si>
  <si>
    <t>CB-First Coast Re IV Ltd. Series 2023-1 Class A Reset 2025</t>
  </si>
  <si>
    <t>Security First Insurance Company_First Coast Re IV Ltd.</t>
  </si>
  <si>
    <t>First Coast Re IV Ltd.</t>
  </si>
  <si>
    <t>31969UAA5</t>
  </si>
  <si>
    <t>Named Storm ; Severe Thunderstorm / Florida</t>
  </si>
  <si>
    <t>CB-Longleaf Pine Re Ltd. Series 2024-1 Class A Reset 2025</t>
  </si>
  <si>
    <t>North Carolina Joint Underwriting Association_Longleaf Pine Re Ltd.</t>
  </si>
  <si>
    <t>Longleaf Pine Re Ltd.</t>
  </si>
  <si>
    <t>54307MAA6</t>
  </si>
  <si>
    <t>CB-Veraison Re Ltd. Series 2023-1 Class A Reset 2025</t>
  </si>
  <si>
    <t>Veraison Re Ltd.</t>
  </si>
  <si>
    <t>92335TAA7</t>
  </si>
  <si>
    <t>CB-Veraison Re Ltd. Series 2023-1 Class B Reset 2025</t>
  </si>
  <si>
    <t>92335TAB5</t>
  </si>
  <si>
    <t>CB-Veraison Re Ltd. Series 2024-1 Class A Reset 2025</t>
  </si>
  <si>
    <t>GeoVera Insurance / GeoVera Specialty / Coastal Select_Veraison Re Ltd.</t>
  </si>
  <si>
    <t>92335TAC3</t>
  </si>
  <si>
    <t>CB-Veraison Re Ltd. Series 2025-1 Class A</t>
  </si>
  <si>
    <t>92335TAD1</t>
  </si>
  <si>
    <t>CB-Veraison Re Ltd. Series 2025-1 Class B</t>
  </si>
  <si>
    <t>92335TAE9</t>
  </si>
  <si>
    <t>CB-Vision 2039 Series 2025-1 Class A</t>
  </si>
  <si>
    <t>Flood Re_Vision 2039</t>
  </si>
  <si>
    <t>Vision 2039</t>
  </si>
  <si>
    <t>XS3019877813</t>
  </si>
  <si>
    <t>Flood / United Kingdom</t>
  </si>
  <si>
    <t>United Kingdom</t>
  </si>
  <si>
    <t>Money Market Funds</t>
  </si>
  <si>
    <t>Money Market Yield</t>
  </si>
  <si>
    <t>CB-Puerto Rico Parametric Re Ltd. Series 2024-1 Class A</t>
  </si>
  <si>
    <t>Government of Puerto Rico_Puerto Rico Parametric Re Ltd.</t>
  </si>
  <si>
    <t>Puerto Rico Parametric Re Ltd.</t>
  </si>
  <si>
    <t>74528TAA2</t>
  </si>
  <si>
    <t>Earthquake ; Named Storm / Puerto Rico</t>
  </si>
  <si>
    <t>Puerto Rico</t>
  </si>
  <si>
    <t>CB-Black Kite Re Ltd. Series 2025-1 Class A</t>
  </si>
  <si>
    <t>Peak Reinsurance Company Limited_Black Kite Re Ltd.</t>
  </si>
  <si>
    <t>Black Kite Re Ltd.</t>
  </si>
  <si>
    <t>092168AB9</t>
  </si>
  <si>
    <t>Typhoon / Japan ; Earthquake / Japan, China, India</t>
  </si>
  <si>
    <t>Japan ; Earthquake / Japan, China, India</t>
  </si>
  <si>
    <t>GC Securities; MIHK</t>
  </si>
  <si>
    <t>CB-Citrus Re Ltd. Series 2025-1 Class A</t>
  </si>
  <si>
    <t>Heritage P&amp;C_Citrus Re Ltd.</t>
  </si>
  <si>
    <t>Citrus Re Ltd.</t>
  </si>
  <si>
    <t>177510AQ7</t>
  </si>
  <si>
    <t>Named Storm / Southeast U.S.</t>
  </si>
  <si>
    <t>Southeast U.S.</t>
  </si>
  <si>
    <t>CB-Citrus Re Ltd. Series 2025-1 Class B</t>
  </si>
  <si>
    <t>177510AR5</t>
  </si>
  <si>
    <t>Named Storm / Hawaii</t>
  </si>
  <si>
    <t>Hawaii</t>
  </si>
  <si>
    <t>CB-Citrus Re Ltd. Series 2023-1 Class A Reset 2025</t>
  </si>
  <si>
    <t>177510AL8</t>
  </si>
  <si>
    <t>CB-Citrus Re Ltd. Series 2023-1 Class B Reset 2025</t>
  </si>
  <si>
    <t>177510AM6</t>
  </si>
  <si>
    <t>CB-Citrus Re Ltd. Series 2024-1 Class A Reset 2025</t>
  </si>
  <si>
    <t>177510AN4</t>
  </si>
  <si>
    <t>CB-Citrus Re Ltd. Series 2024-1 Class B Reset 2025</t>
  </si>
  <si>
    <t>177510AP9</t>
  </si>
  <si>
    <t>CB-Blue Ridge Re Ltd. Series 2023-1 Class A Reset 2025</t>
  </si>
  <si>
    <t>North Carolina Farm Bureau Mutual Insurance Company (NCFB); Farm Bureau Insurance of NC (FBIC)_Blue Ridge Re Ltd.</t>
  </si>
  <si>
    <t>Blue Ridge Re Ltd.</t>
  </si>
  <si>
    <t>096003AA6</t>
  </si>
  <si>
    <t>CB-Blue Ridge Re Ltd. Series 2023-1 Class B Reset 2025</t>
  </si>
  <si>
    <t>096003AB4</t>
  </si>
  <si>
    <t>CB-Armor Re II Ltd. Series 2024-2 Class A</t>
  </si>
  <si>
    <t>2024-2</t>
  </si>
  <si>
    <t>04227FAF2</t>
  </si>
  <si>
    <t>CB-Cape Lookout Re Ltd. Series 2025-1 Class A</t>
  </si>
  <si>
    <t>13947LAG7</t>
  </si>
  <si>
    <t>CB-Bayou Re Ltd. Series 2023-1 Class A Reset 2025</t>
  </si>
  <si>
    <t>Louisiana Citizens Property Insurance Corp._Bayou Re Ltd.</t>
  </si>
  <si>
    <t>Bayou Re Ltd.</t>
  </si>
  <si>
    <t>07304LAA9</t>
  </si>
  <si>
    <t>Named Storm / Louisiana</t>
  </si>
  <si>
    <t>Louisiana</t>
  </si>
  <si>
    <t>CB-Bayou Re Ltd. Series 2023-1 Class B Reset 2025</t>
  </si>
  <si>
    <t>07304LAB7</t>
  </si>
  <si>
    <t>CB-Purple Re Ltd. Series 2025-1 Class A</t>
  </si>
  <si>
    <t>Slide Insurance Company / Pawtucket Insurance Company_Purple Re Ltd.</t>
  </si>
  <si>
    <t>Purple Re Ltd.</t>
  </si>
  <si>
    <t>74639NAD5</t>
  </si>
  <si>
    <t>Named Storm / Florida, South Carolina</t>
  </si>
  <si>
    <t>Florida, South Carolina</t>
  </si>
  <si>
    <t>CB-Purple Re Ltd. Series 2025-1 Class B</t>
  </si>
  <si>
    <t>74639NAE3</t>
  </si>
  <si>
    <t>CB-Purple Re Ltd. Series 2024-1 Class A Reset 2025</t>
  </si>
  <si>
    <t>Slide Insurance Company_Purple Re Ltd.</t>
  </si>
  <si>
    <t>74639NAC7</t>
  </si>
  <si>
    <t>CB-Purple Re Ltd. Series 2023-2 Class A Reset 2025</t>
  </si>
  <si>
    <t>2023-2</t>
  </si>
  <si>
    <t>74639NAB9</t>
  </si>
  <si>
    <t>CB-Purple Re Ltd. Series 2023-1 Class A Reset 2025</t>
  </si>
  <si>
    <t>74639NAA1</t>
  </si>
  <si>
    <t>CB-Nakama Re Ltd. Series 2023-1 Class 1 Reset 2025</t>
  </si>
  <si>
    <t>Zenkyoren_Nakama Re Ltd.</t>
  </si>
  <si>
    <t>Nakama Re Ltd.</t>
  </si>
  <si>
    <t>62983QAN3</t>
  </si>
  <si>
    <t>Earthquake / Japan</t>
  </si>
  <si>
    <t>Japan</t>
  </si>
  <si>
    <t>CB-Nakama Re Ltd. Series 2023-1 Class 2 Reset 2025</t>
  </si>
  <si>
    <t>62983QAP8</t>
  </si>
  <si>
    <t>CB-Nakama Re Pte. Ltd. Series 2024-1 Class 1 Reset 2025</t>
  </si>
  <si>
    <t>Zenkyoren_Nakama Re Pte. Ltd.</t>
  </si>
  <si>
    <t>Nakama Re Pte. Ltd.</t>
  </si>
  <si>
    <t>62984JAC2</t>
  </si>
  <si>
    <t>Term Aggregate (Three-Year)</t>
  </si>
  <si>
    <t>CB-Nakama Re Pte. Ltd. Series 2025-1 Class 1</t>
  </si>
  <si>
    <t>62984JAD0</t>
  </si>
  <si>
    <t>ABD Notes</t>
  </si>
  <si>
    <t>CB-Nakama Re Pte. Ltd. Series 2021-1 Class 1 Reset 2023</t>
  </si>
  <si>
    <t>2021-1</t>
  </si>
  <si>
    <t>62984JAA6</t>
  </si>
  <si>
    <t>CB-Nakama Re Pte. Ltd. Series 2021-1 Class 2 Reset 2023</t>
  </si>
  <si>
    <t>62984JAB4</t>
  </si>
  <si>
    <t>CB-Atlas Capital DAC Series 2024-1 Class A Reset 2025</t>
  </si>
  <si>
    <t>SCOR SE_Atlas Capital DAC</t>
  </si>
  <si>
    <t>Atlas Capital DAC</t>
  </si>
  <si>
    <t>049207AB9</t>
  </si>
  <si>
    <t>CB-Hexagon III Re Pte. Ltd. Series 2021-1 Class A Reset 2025</t>
  </si>
  <si>
    <t>Covea Group_Hexagon III Re Pte. Ltd.</t>
  </si>
  <si>
    <t>Hexagon III Re Pte. Ltd.</t>
  </si>
  <si>
    <t>XS2411652642</t>
  </si>
  <si>
    <t>Windstorm ; Hail / France</t>
  </si>
  <si>
    <t>France</t>
  </si>
  <si>
    <t>EURIBOR</t>
  </si>
  <si>
    <t>CB-Hexagon III Re Pte. Ltd. Series 2021-1 Class B Reset 2025</t>
  </si>
  <si>
    <t>XS2411653293</t>
  </si>
  <si>
    <t>Windstorm / France</t>
  </si>
  <si>
    <t>CB-Hexagon IV Re Ltd. Series 2023-1 Class A Reset 2025</t>
  </si>
  <si>
    <t>Covea Group_Hexagon IV Re Ltd.</t>
  </si>
  <si>
    <t>Hexagon IV Re Ltd.</t>
  </si>
  <si>
    <t>428270AA0</t>
  </si>
  <si>
    <t>CB-Hexagon IV Re Ltd. Series 2023-1 Class B Reset 2025</t>
  </si>
  <si>
    <t>428270AB8</t>
  </si>
  <si>
    <t>CB-Bluebonnet Re Ltd. Series 2025-1 Class A</t>
  </si>
  <si>
    <t>Texas Windstorm Insurance Association_Bluebonnet Re Ltd.</t>
  </si>
  <si>
    <t>Bluebonnet Re Ltd.</t>
  </si>
  <si>
    <t>09610NAA0</t>
  </si>
  <si>
    <t>Named Storm ; Severe Thunderstorm / Texas</t>
  </si>
  <si>
    <t>Texas</t>
  </si>
  <si>
    <t>CB-Bluebonnet Re Ltd. Series 2025-1 Class B</t>
  </si>
  <si>
    <t>09610NAB8</t>
  </si>
  <si>
    <t>CB-Bluebonnet Re Ltd. Series 2025-1 Class C</t>
  </si>
  <si>
    <t>09610NAC6</t>
  </si>
  <si>
    <t>CB-Bluebonnet Re Ltd. Series 2025-2 Class A</t>
  </si>
  <si>
    <t>Texas FAIR Plan Association_Bluebonnet Re Ltd.</t>
  </si>
  <si>
    <t>09610NAD4</t>
  </si>
  <si>
    <t>Named Storm ; Severe Thunderstorm ; Wildfire / Texas</t>
  </si>
  <si>
    <t>CB-Hestia Re Ltd. Series 2025-1 Class A</t>
  </si>
  <si>
    <t>Kin Interinsurance Network (the "Exchange")_Hestia Re Ltd.</t>
  </si>
  <si>
    <t>Hestia Re Ltd.</t>
  </si>
  <si>
    <t>42815KAC6</t>
  </si>
  <si>
    <t>CB-Hestia Re Ltd. Series 2025-1 Class B</t>
  </si>
  <si>
    <t>42815KAD4</t>
  </si>
  <si>
    <t>CB-Hestia Re Ltd. Series 2023-1 Class A Reset 2025</t>
  </si>
  <si>
    <t>42815KAB8</t>
  </si>
  <si>
    <t>Howden Capital Markets &amp; Advisory; Swiss Re Capital Markets</t>
  </si>
  <si>
    <t>CB-Hypatia Ltd. Series 2025-1 Class A</t>
  </si>
  <si>
    <t>Convex Re Limited_Hypatia Ltd.</t>
  </si>
  <si>
    <t>Hypatia Ltd.</t>
  </si>
  <si>
    <t>44914CAD8</t>
  </si>
  <si>
    <t>CB-Gateway Re Ltd. Series 2025-3 Class A</t>
  </si>
  <si>
    <t>36779CAT3</t>
  </si>
  <si>
    <t>CB-Integrity Re III Ltd. Series 2025-1 Class A-1 Reset 2025</t>
  </si>
  <si>
    <t>American Integrity Insurance Company of Florida_Integrity Re III Ltd.</t>
  </si>
  <si>
    <t>Integrity Re III Ltd.</t>
  </si>
  <si>
    <t>45870GAA4</t>
  </si>
  <si>
    <t>Named Storm / Florida, Georgia, South Carolina, North Carolina</t>
  </si>
  <si>
    <t>Florida, Georgia, South Carolina, North Carolina</t>
  </si>
  <si>
    <t>CB-Integrity Re III Ltd. Series 2025-1 Class B-1 Reset 2025</t>
  </si>
  <si>
    <t>45870GAC0</t>
  </si>
  <si>
    <t>CB-Integrity Re III Ltd. Series 2025-1 Class C Reset 2025</t>
  </si>
  <si>
    <t>45870GAE6</t>
  </si>
  <si>
    <t>CB-Integrity Re III Ltd. Series 2025-1 Class D Reset 2025</t>
  </si>
  <si>
    <t>45870GAF3</t>
  </si>
  <si>
    <t>Named Storm / Florida, Georgia, South Carolina</t>
  </si>
  <si>
    <t>Florida, Georgia, South Carolina</t>
  </si>
  <si>
    <t>CB-Integrity Re III Ltd. Series 2025-1 Class A-2 Reset 2025</t>
  </si>
  <si>
    <t>45870GAB2</t>
  </si>
  <si>
    <t>CB-Integrity Re III Ltd. Series 2025-1 Class B-2 Reset 2025</t>
  </si>
  <si>
    <t>45870GAD8</t>
  </si>
  <si>
    <t>CB-Integrity Re Ltd. Series 2024-1 Class A Reset 2025</t>
  </si>
  <si>
    <t>American Integrity Insurance Company of Florida_Integrity Re Ltd.</t>
  </si>
  <si>
    <t>Integrity Re Ltd.</t>
  </si>
  <si>
    <t>45833UAJ0</t>
  </si>
  <si>
    <t>CB-Integrity Re Ltd. Series 2024-1 Class B Reset 2025</t>
  </si>
  <si>
    <t>45833UAK7</t>
  </si>
  <si>
    <t>CB-Integrity Re Ltd. Series 2024-1 Class C Reset 2025</t>
  </si>
  <si>
    <t>45833UAL5</t>
  </si>
  <si>
    <t>CB-Integrity Re Ltd. Series 2024-1 Class D Reset 2025</t>
  </si>
  <si>
    <t>45833UAM3</t>
  </si>
  <si>
    <t>CB-Ocelot Re Ltd. Series 2023-1 Class A Reset 2025</t>
  </si>
  <si>
    <t>Hiscox Insurance Company_Ocelot Re Ltd.</t>
  </si>
  <si>
    <t>Ocelot Re Ltd.</t>
  </si>
  <si>
    <t>675951AA5</t>
  </si>
  <si>
    <t>CB-Ocelot Re Ltd. Series 2025-1 Class A</t>
  </si>
  <si>
    <t>675951AB3</t>
  </si>
  <si>
    <t>CB-Ocelot Re Ltd. Series 2025-1 Class B</t>
  </si>
  <si>
    <t>675951AC1</t>
  </si>
  <si>
    <t>CB-Bayou Re Ltd. Series 2024-1 Class A Reset 2025</t>
  </si>
  <si>
    <t>07304LAC5</t>
  </si>
  <si>
    <t>CB-Bayou Re Ltd. Series 2024-1 Class B Reset 2025</t>
  </si>
  <si>
    <t>07304LAD3</t>
  </si>
  <si>
    <t>CB-Bayou Re Ltd. Series 2025-1 Class A</t>
  </si>
  <si>
    <t>07304LAE1</t>
  </si>
  <si>
    <t>CB-Logistics Re Ltd. Series 2024-1 Class A</t>
  </si>
  <si>
    <t>Prologis, Inc._Logistics Re Ltd.</t>
  </si>
  <si>
    <t>Logistics Re Ltd.</t>
  </si>
  <si>
    <t>54143LAB4</t>
  </si>
  <si>
    <t>Earthquake / U.S. (excl. AK, HI)</t>
  </si>
  <si>
    <t>U.S. (excl. AK, HI)</t>
  </si>
  <si>
    <t>CB-Lower Ferry Re Ltd. Series 2023-1 Class A Reset 2025</t>
  </si>
  <si>
    <t>New Jersey Manufacturers Insurance Company_Lower Ferry Re Ltd.</t>
  </si>
  <si>
    <t>Lower Ferry Re Ltd.</t>
  </si>
  <si>
    <t>547915AA6</t>
  </si>
  <si>
    <t>Named Storm / Northeast U.S., Ohio</t>
  </si>
  <si>
    <t>Northeast U.S., Ohio</t>
  </si>
  <si>
    <t>CB-Lower Ferry Re Ltd. Series 2023-1 Class B Reset 2025</t>
  </si>
  <si>
    <t>547915AB4</t>
  </si>
  <si>
    <t>CB-Luca Re Ltd. Series 2025-1 Class A</t>
  </si>
  <si>
    <t>Mercury Casualty Company / Mercury Insurance Company / California Automobile Insurance Company / California General Underwriters Insurance Company_Luca Re Ltd.</t>
  </si>
  <si>
    <t>Luca Re Ltd.</t>
  </si>
  <si>
    <t>54930CAA3</t>
  </si>
  <si>
    <t>Wildfire ; Fire Following Earthquake / California</t>
  </si>
  <si>
    <t>CB-Matterhorn Re Ltd. Series 2021-1 Class A Reset 2025</t>
  </si>
  <si>
    <t>577092AN9</t>
  </si>
  <si>
    <t>CB-Matterhorn Re Ltd. Series 2025-1 Class A</t>
  </si>
  <si>
    <t>577092AW9</t>
  </si>
  <si>
    <t>Earthquake / U.S., Canada ; Named Storm / U.S., Canada</t>
  </si>
  <si>
    <t>U.S., Canada ; Named Storm / U.S., Canada</t>
  </si>
  <si>
    <t>CB-Matterhorn Re Ltd. Series 2025-1 Class B</t>
  </si>
  <si>
    <t>577092AX7</t>
  </si>
  <si>
    <t>CB-Matterhorn Re Ltd. Series 2025-2 Class A</t>
  </si>
  <si>
    <t>577092AY5</t>
  </si>
  <si>
    <t>CB-Kizuna Re III Pte. Ltd. Series 2024-1 Class A Reset 2025</t>
  </si>
  <si>
    <t>Tokio Marine &amp; Nichido Fire Insurance Co._Kizuna Re III Pte. Ltd.</t>
  </si>
  <si>
    <t>Kizuna Re III Pte. Ltd.</t>
  </si>
  <si>
    <t>49835JAB2</t>
  </si>
  <si>
    <t>Aon Securities; Gallagher Securities</t>
  </si>
  <si>
    <t>CB-Kizuna Re III Pte. Ltd. Series 2021-1 Class A Reset 2023</t>
  </si>
  <si>
    <t>49835JAA4</t>
  </si>
  <si>
    <t>CB-Tomoni Re Pte. Ltd. Series 2022-1 Class A-1 Reset 2025</t>
  </si>
  <si>
    <t>Mitsui Sumitomo Insurance Co. ("MSI")_Tomoni Re Pte. Ltd.</t>
  </si>
  <si>
    <t>Tomoni Re Pte. Ltd.</t>
  </si>
  <si>
    <t>89009PAA6</t>
  </si>
  <si>
    <t>Typhoon ; Flood / Japan</t>
  </si>
  <si>
    <t>CB-Tomoni Re Pte. Ltd. Series 2022-1 Class B-1 Reset 2025</t>
  </si>
  <si>
    <t>Aioi Nissay Dowa Insurance Co. ("ADI")_Tomoni Re Pte. Ltd.</t>
  </si>
  <si>
    <t>89009PAB4</t>
  </si>
  <si>
    <t>CB-Tomoni Re Pte. Ltd. Series 2024-1 Class A Reset 2025</t>
  </si>
  <si>
    <t>89009PAE8</t>
  </si>
  <si>
    <t>CB-Tomoni Re Pte. Ltd. Series 2024-1 Class B Reset 2025</t>
  </si>
  <si>
    <t>89009PAF5</t>
  </si>
  <si>
    <t>Typhoon ; Flood ; Earthquake / Japan</t>
  </si>
  <si>
    <t>Per Occurrence (TY/FL) and 3-year Aggregate (EQ)</t>
  </si>
  <si>
    <t>CB-Nature Coast Re Ltd. Series 2023-1 Class A Reset 2025</t>
  </si>
  <si>
    <t>Safepoint / Cajun_Nature Coast Re Ltd.</t>
  </si>
  <si>
    <t>63901CAA9</t>
  </si>
  <si>
    <t>Named Storm / Florida, Louisiana</t>
  </si>
  <si>
    <t>Florida, Louisiana</t>
  </si>
  <si>
    <t>CB-Nature Coast Re Ltd. Series 2023-1 Class B Reset 2025</t>
  </si>
  <si>
    <t>63901CAB7</t>
  </si>
  <si>
    <t>CB-Nature Coast Re Ltd. Series 2024-1 Class A Reset 2025</t>
  </si>
  <si>
    <t>63901CAC5</t>
  </si>
  <si>
    <t>CB-Nature Coast Re Ltd. Series 2025-2 Class A</t>
  </si>
  <si>
    <t>63901CAE1</t>
  </si>
  <si>
    <t>CB-Charles River Re Ltd. Series 2024-1 Class A Reset 2025</t>
  </si>
  <si>
    <t>American European Insurance Company (AEIC)_Charles River Re Ltd.</t>
  </si>
  <si>
    <t>Charles River Re Ltd.</t>
  </si>
  <si>
    <t>159873AA6</t>
  </si>
  <si>
    <t>Named Storm / Massachusetts, New Jersey, New York, South Carolina</t>
  </si>
  <si>
    <t>Massachusetts, New Jersey, New York, South Carolina</t>
  </si>
  <si>
    <t>CB-Gateway Re II Ltd. Series 2023-1 Class A Reset 2025</t>
  </si>
  <si>
    <t>SafePort Insurance Company; SafeChoice Insurance Company_Gateway Re II Ltd.</t>
  </si>
  <si>
    <t>Gateway Re II Ltd.</t>
  </si>
  <si>
    <t>367927AA8</t>
  </si>
  <si>
    <t>CB-Gateway Re Ltd. Series 2023-1 Class A Reset 2025</t>
  </si>
  <si>
    <t>Surechoice Underwriters Reciprocal Exchange / Elevate Reciprocal Exchange_Gateway Re Ltd.</t>
  </si>
  <si>
    <t>36779CAC0</t>
  </si>
  <si>
    <t>Named Storm / Alabama, Louisiana, Mississippi, North Carolina, South Carolina, Texas</t>
  </si>
  <si>
    <t>Alabama, Louisiana, Mississippi, North Carolina, South Carolina, Texas</t>
  </si>
  <si>
    <t>CB-Gateway Re Ltd. Series 2023-1 Class B Reset 2025</t>
  </si>
  <si>
    <t>36779CAD8</t>
  </si>
  <si>
    <t>CB-Gateway Re Ltd. Series 2024-1 Class AA Reset 2025</t>
  </si>
  <si>
    <t>36779CAG1</t>
  </si>
  <si>
    <t>CB-Maschpark Re Ltd. Series 2024-1 Class A</t>
  </si>
  <si>
    <t>Talanx AG_Maschpark Re Ltd.</t>
  </si>
  <si>
    <t>Maschpark Re Ltd.</t>
  </si>
  <si>
    <t>574591AA1</t>
  </si>
  <si>
    <t>Earthquake / Chile, Peru, Bolivia, Argentina</t>
  </si>
  <si>
    <t>Chile, Peru, Bolivia, Argentina</t>
  </si>
  <si>
    <t>CB-Mystic Re IV Ltd. Series 2023-1 Class A Reset 2025</t>
  </si>
  <si>
    <t>Liberty Mutual Insurance Company_Mystic Re IV Ltd.</t>
  </si>
  <si>
    <t>Mystic Re IV Ltd.</t>
  </si>
  <si>
    <t>62865LAD9</t>
  </si>
  <si>
    <t>Earthquake ; Named Storm / U.S., Canada, Caribbean</t>
  </si>
  <si>
    <t>U.S., Canada, Caribbean</t>
  </si>
  <si>
    <t>CB-Greengrove Re Ltd. Series 2025-1 Class A</t>
  </si>
  <si>
    <t>Sutton Specialty Insurance Company (“SSIC”) / Sutton National Insurance Company (“SNIC”)_Greengrove Re Ltd.</t>
  </si>
  <si>
    <t>Greengrove Re Ltd.</t>
  </si>
  <si>
    <t>39526JAA9</t>
  </si>
  <si>
    <t>Fire ; Fire Following Earthquake / California</t>
  </si>
  <si>
    <t>CB-Lion Re DAC Series 2025-1 Class A</t>
  </si>
  <si>
    <t>Assicurazioni Generali S.p.A._Lion Re DAC</t>
  </si>
  <si>
    <t>Lion Re DAC</t>
  </si>
  <si>
    <t>XS3075449036</t>
  </si>
  <si>
    <t>Earthquake / Italy ; Windstorm / Europe</t>
  </si>
  <si>
    <t>Italy ; Windstorm / Europe</t>
  </si>
  <si>
    <t>CB-Lion Re DAC Series 2025-1 Class B</t>
  </si>
  <si>
    <t>XS3075450471</t>
  </si>
  <si>
    <t>Earthquake / Italy</t>
  </si>
  <si>
    <t>Italy</t>
  </si>
  <si>
    <t>CB-Liongate Re DAC</t>
  </si>
  <si>
    <t>Zenkyoren_Liongate Re DAC</t>
  </si>
  <si>
    <t>Liongate Re DAC</t>
  </si>
  <si>
    <t>53625HAA4</t>
  </si>
  <si>
    <t>Earthquake / Japan, Germany</t>
  </si>
  <si>
    <t>Japan, Germany</t>
  </si>
  <si>
    <t>Term Aggregate (Three-Year) ; Per Occurrence</t>
  </si>
  <si>
    <t>Indemnity ; 1st Gen Parametric</t>
  </si>
  <si>
    <t>CB-Chartwell Re Ltd. Series 2025-1 Class C</t>
  </si>
  <si>
    <t>US Coastal Insurance Company &amp; US Coastal Property and Casualty Company_Chartwell Re Ltd.</t>
  </si>
  <si>
    <t>Chartwell Re Ltd.</t>
  </si>
  <si>
    <t>16140YAC6</t>
  </si>
  <si>
    <t>Named Storm / Alabama, Florida, Mississippi, New Jersey, New York, Rhode Island, Texas</t>
  </si>
  <si>
    <t>Alabama, Florida, Mississippi, New Jersey, New York, Rhode Island, Texas</t>
  </si>
  <si>
    <t>Swiss Re Capital Markets; BMS Capital Solutions &amp; Advisory</t>
  </si>
  <si>
    <t>CB-Chartwell Re Ltd. Series 2025-1 Class B</t>
  </si>
  <si>
    <t>16140YAB8</t>
  </si>
  <si>
    <t>CB-Chartwell Re Ltd. Series 2025-1 Class A</t>
  </si>
  <si>
    <t>16140YAA0</t>
  </si>
  <si>
    <t>CB-Hypatia Ltd. Series 2023-1 Class A Reset 2025</t>
  </si>
  <si>
    <t>44914CAC0</t>
  </si>
  <si>
    <t>CB-Commonwealth Re Ltd. Series 2023-1 Class A Reset 2025</t>
  </si>
  <si>
    <t>Hanover Insurance_Commonwealth Re Ltd.</t>
  </si>
  <si>
    <t>Commonwealth Re Ltd.</t>
  </si>
  <si>
    <t>203235AB2</t>
  </si>
  <si>
    <t>CB-Everglades Re II Ltd. Series 2024-1 Class A Reset 2025</t>
  </si>
  <si>
    <t>Citizens Property Insurance Corp._Everglades Re II Ltd.</t>
  </si>
  <si>
    <t>Everglades Re II Ltd.</t>
  </si>
  <si>
    <t>30014LAM6</t>
  </si>
  <si>
    <t>CB-Everglades Re II Ltd. Series 2024-1 Class B Reset 2025</t>
  </si>
  <si>
    <t>30014LAN4</t>
  </si>
  <si>
    <t>CB-Everglades Re II Ltd. Series 2024-1 Class C Reset 2025</t>
  </si>
  <si>
    <t>30014LAP9</t>
  </si>
  <si>
    <t>CB-Everglades Re II Ltd. Series 2025-1 Class A</t>
  </si>
  <si>
    <t>30014LAT1</t>
  </si>
  <si>
    <t>CB-Everglades Re II Ltd. Series 2025-1 Class B</t>
  </si>
  <si>
    <t>30014LAU8</t>
  </si>
  <si>
    <t>CB-Everglades Re II Ltd. Series 2025-1 Class C</t>
  </si>
  <si>
    <t>30014LAV6</t>
  </si>
  <si>
    <t>CB-Everglades Re II Ltd. Series 2025-1 Class D</t>
  </si>
  <si>
    <t>30014LAW4</t>
  </si>
  <si>
    <t>CB-Fish Pond Re Ltd. Series 2024-1 Class A Reset 2025</t>
  </si>
  <si>
    <t>Texas Farm Bureau Insurance_Fish Pond Re Ltd.</t>
  </si>
  <si>
    <t>Fish Pond Re Ltd.</t>
  </si>
  <si>
    <t>33774EAA2</t>
  </si>
  <si>
    <t>Named Storm / Texas</t>
  </si>
  <si>
    <t>CB-Mountain Re Ltd. Series 2023-1 Class A Reset 2025</t>
  </si>
  <si>
    <t>Spinnaker Insurance Company_Mountain Re Ltd.</t>
  </si>
  <si>
    <t>Mountain Re Ltd.</t>
  </si>
  <si>
    <t>62426LAA7</t>
  </si>
  <si>
    <t>Earthquake ; Named Storm ; Severe Thunderstorm ; Winter Storm / U.S.</t>
  </si>
  <si>
    <t>CB-Mystic Re IV Ltd. Series 2024-1 Class A Reset 2025</t>
  </si>
  <si>
    <t>62865LAE7</t>
  </si>
  <si>
    <t>CB-Northshore Re II Ltd. Series 2025-1 Class A</t>
  </si>
  <si>
    <t>AXIS_Northshore Re II Ltd.</t>
  </si>
  <si>
    <t>Northshore Re II Ltd.</t>
  </si>
  <si>
    <t>666842AF6</t>
  </si>
  <si>
    <t>CB-Oceanside Re Ltd. Series 2025-1 Class A</t>
  </si>
  <si>
    <t>Ocean Harbor Casualty Insurance Company_Oceanside Re Ltd.</t>
  </si>
  <si>
    <t>Oceanside Re Ltd.</t>
  </si>
  <si>
    <t>67550LAA4</t>
  </si>
  <si>
    <t>Named Storm ; Severe Thunderstorm ; Winter Storm / New York</t>
  </si>
  <si>
    <t>New York</t>
  </si>
  <si>
    <t>CB-Palm Re Ltd. Series 2024-1 Class A Reset 2025</t>
  </si>
  <si>
    <t>Florida Peninsula Insurance Company / Edison Insurance Company_Palm Re Ltd.</t>
  </si>
  <si>
    <t>Palm Re Ltd.</t>
  </si>
  <si>
    <t>69664FAA6</t>
  </si>
  <si>
    <t>CB-Winston Re Ltd. Series 2024-1 Class A Reset 2025</t>
  </si>
  <si>
    <t>Tower Hill Insurance Exchange_Winston Re Ltd.</t>
  </si>
  <si>
    <t>Winston Re Ltd.</t>
  </si>
  <si>
    <t>975660AA9</t>
  </si>
  <si>
    <t>CB-Winston Re Ltd. Series 2024-1 Class B Reset 2025</t>
  </si>
  <si>
    <t>975660AB7</t>
  </si>
  <si>
    <t>CB-Winston Re Ltd. Series 2025-1 Class A</t>
  </si>
  <si>
    <t>975660AC5</t>
  </si>
  <si>
    <t>CB-Palm Re Ltd. Series 2025-1 Class A</t>
  </si>
  <si>
    <t>Florida Peninsula Insurance Company / Edison Insurance Company / Ovation Home Insurance Exchange_Palm Re Ltd.</t>
  </si>
  <si>
    <t>69664FAB4</t>
  </si>
  <si>
    <t>CB-Acorn Re Ltd. Series 2023-1 Class A</t>
  </si>
  <si>
    <t>Oak Tree Assurance Ltd._Acorn Re Ltd.</t>
  </si>
  <si>
    <t>Acorn Re Ltd.</t>
  </si>
  <si>
    <t>00485YAD1</t>
  </si>
  <si>
    <t>Earthquake / U.S., Mexico</t>
  </si>
  <si>
    <t>U.S., Mexico</t>
  </si>
  <si>
    <t>CB-Acorn Re Ltd. Series 2024-1 Class A</t>
  </si>
  <si>
    <t>00485YAE9</t>
  </si>
  <si>
    <t>Earthquake / U.S., Canada, Mexico</t>
  </si>
  <si>
    <t>U.S., Canada, Mexico</t>
  </si>
  <si>
    <t>CB-Acorn Re Ltd. Series 2024-1 Class B</t>
  </si>
  <si>
    <t>00485YAF6</t>
  </si>
  <si>
    <t>CB-Ursa Re II Ltd. Series 2022-2 Class AA Reset 2024</t>
  </si>
  <si>
    <t>California Earthquake Authority_Ursa Re II Ltd.</t>
  </si>
  <si>
    <t>Ursa Re II Ltd.</t>
  </si>
  <si>
    <t>2022-2</t>
  </si>
  <si>
    <t>91734PAF3</t>
  </si>
  <si>
    <t>CB-Ursa Re II Ltd. Series 2022-2 Class C Reset 2024</t>
  </si>
  <si>
    <t>91734PAG1</t>
  </si>
  <si>
    <t>CB-Ursa Re II Ltd. Series 2025-1 Class G</t>
  </si>
  <si>
    <t>G</t>
  </si>
  <si>
    <t>91734PAH9</t>
  </si>
  <si>
    <t>Aon Securities; Swiss Re Capital Markets</t>
  </si>
  <si>
    <t>CB-Ursa Re Ltd. Series 2023-2 Class E Reset 2024</t>
  </si>
  <si>
    <t>California Earthquake Authority_Ursa Re Ltd.</t>
  </si>
  <si>
    <t>Ursa Re Ltd.</t>
  </si>
  <si>
    <t>E</t>
  </si>
  <si>
    <t>90323WAN0</t>
  </si>
  <si>
    <t>CB-Ursa Re Ltd. Series 2023-3 Class AA Reset 2024</t>
  </si>
  <si>
    <t>90323WAP5</t>
  </si>
  <si>
    <t>CB-Ursa Re Ltd. Series 2023-3 Class D Reset 2024</t>
  </si>
  <si>
    <t>90323WAQ3</t>
  </si>
  <si>
    <t>CB-Ursa Re Ltd. Series 2023-1 Class AA Reset 2024</t>
  </si>
  <si>
    <t>90323WAL4</t>
  </si>
  <si>
    <t>CB-Ursa Re Ltd. Series 2023-1 Class C Reset 2024</t>
  </si>
  <si>
    <t>90323WAM2</t>
  </si>
  <si>
    <t>CB-Ursa Re Ltd. Series 2025-1 Class F</t>
  </si>
  <si>
    <t>F</t>
  </si>
  <si>
    <t>90323WAR1</t>
  </si>
  <si>
    <t>CB-Montoya Re Ltd. Series 2022-2 Class A Reset 2025</t>
  </si>
  <si>
    <t>Lloyd's Syndicate 1301 (Inigo Limited)_Montoya Re Ltd.</t>
  </si>
  <si>
    <t>Montoya Re Ltd.</t>
  </si>
  <si>
    <t>613752AB0</t>
  </si>
  <si>
    <t>CB-Totara Re Pte. Ltd. Series 2023-1 Class A Reset 2025</t>
  </si>
  <si>
    <t>The Earthquake Commission_Totara Re Pte. Ltd.</t>
  </si>
  <si>
    <t>Totara Re Pte. Ltd.</t>
  </si>
  <si>
    <t>XS2630523749</t>
  </si>
  <si>
    <t>Earthquake ; Landslide ; Hydrothermal Activity ; Volcanic Activity ; Tsunami ; Storm ; Flood / New Zealand</t>
  </si>
  <si>
    <t>New Zealand</t>
  </si>
  <si>
    <t>CB-FloodSmart Re Ltd. Series 2023-1 Class A Reset 2025</t>
  </si>
  <si>
    <t>KatRisk</t>
  </si>
  <si>
    <t>National Flood Insurance Program_FloodSmart Re Ltd.</t>
  </si>
  <si>
    <t>FloodSmart Re Ltd.</t>
  </si>
  <si>
    <t>33975CAM7</t>
  </si>
  <si>
    <t>Flood / U.S., Puerto Rico, U.S. VI</t>
  </si>
  <si>
    <t>CB-FloodSmart Re Ltd. Series 2023-1 Class B Reset 2025</t>
  </si>
  <si>
    <t>33975CAN5</t>
  </si>
  <si>
    <t>CB-FloodSmart Re Ltd. Series 2024-1 Class A Reset 2025</t>
  </si>
  <si>
    <t>33975CAP0</t>
  </si>
  <si>
    <t>CB-FloodSmart Re Ltd. Series 2024-1 Class B Reset 2025</t>
  </si>
  <si>
    <t>33975CAQ8</t>
  </si>
  <si>
    <t>CB-Foundation Re IV Ltd. Series 2023-1 Class A Reset 2025</t>
  </si>
  <si>
    <t>Hartford Fire Insurance Company_Foundation Re IV Ltd.</t>
  </si>
  <si>
    <t>Foundation Re IV Ltd.</t>
  </si>
  <si>
    <t>349939AA6</t>
  </si>
  <si>
    <t>Earthquake ; Tropical Cyclone / U.S., Puerto Rico</t>
  </si>
  <si>
    <t>U.S., Puerto Rico</t>
  </si>
  <si>
    <t>CB-Quercus Re DAC Reset 2025</t>
  </si>
  <si>
    <t>Groupama Assurances Mutuelles_Quercus Re DAC Reset 2025</t>
  </si>
  <si>
    <t>Quercus Re DAC Reset 2025</t>
  </si>
  <si>
    <t>XS2865536135</t>
  </si>
  <si>
    <t>CB-Sabine Re Ltd. Series 2024-1 Class A Reset 2025</t>
  </si>
  <si>
    <t>Allied Trust_Sabine Re Ltd.</t>
  </si>
  <si>
    <t>Sabine Re Ltd.</t>
  </si>
  <si>
    <t>785628AA6</t>
  </si>
  <si>
    <t>Named Storm / Louisiana, North Carolina, South Carolina, Texas</t>
  </si>
  <si>
    <t>Louisiana, North Carolina, South Carolina, Texas</t>
  </si>
  <si>
    <t>CB-Sakura Re Ltd. Series 2025-1 Class A</t>
  </si>
  <si>
    <t>Sompo Japan_Sakura Re Ltd.</t>
  </si>
  <si>
    <t>79381MAD6</t>
  </si>
  <si>
    <t>CB-Solis Re Ltd. Series 2025-1 Class A</t>
  </si>
  <si>
    <t>Technology Insurance Company &amp; AmTrust Financial Services_Solis Re Ltd.</t>
  </si>
  <si>
    <t>Solis Re Ltd.</t>
  </si>
  <si>
    <t>83423TAA9</t>
  </si>
  <si>
    <t>Named Storm / Northeast U.S., Mid-Atlantic U.S.</t>
  </si>
  <si>
    <t>Northeast U.S., Mid-Atlantic U.S.</t>
  </si>
  <si>
    <t>CB-Taranis Re DAC Class A Reset 2025</t>
  </si>
  <si>
    <t>Pacifica_Taranis Re DAC Class A Reset 2025</t>
  </si>
  <si>
    <t>Taranis Re DAC Class A Reset 2025</t>
  </si>
  <si>
    <t>87609TAA6</t>
  </si>
  <si>
    <t>Windstorm ; Hail Storm / France</t>
  </si>
  <si>
    <t>CB-Taranis Re DAC Class B Reset 2025</t>
  </si>
  <si>
    <t>Pacifica_Taranis Re DAC Class B Reset 2025</t>
  </si>
  <si>
    <t>Taranis Re DAC Class B Reset 2025</t>
  </si>
  <si>
    <t>87609TAB4</t>
  </si>
  <si>
    <t>CB-Wrigley Re Ltd. Series 2023-1 Class B Reset 2025</t>
  </si>
  <si>
    <t>Gryphon Mutual Insurance Company_Wrigley Re Ltd.</t>
  </si>
  <si>
    <t>Wrigley Re Ltd.</t>
  </si>
  <si>
    <t>982533AC5</t>
  </si>
  <si>
    <t>CB-Wrigley Re Ltd. Series 2023-1 Class A Reset 2025</t>
  </si>
  <si>
    <t>982533AB7</t>
  </si>
  <si>
    <t>Earthquake / U.S. (excl. CA), Canada ; Named Storm / U.S., Canada</t>
  </si>
  <si>
    <t>U.S. (excl. CA), Canada ; Named Storm / U.S., Canada</t>
  </si>
  <si>
    <t>Per Occurrence (Named Storm) and Annual Aggregate (Earthquake)</t>
  </si>
  <si>
    <t>CB-Yosemite Re Ltd. Series 2025-1 Class A</t>
  </si>
  <si>
    <t>Core Specialty Insurance Holdings_Yosemite Re Ltd.</t>
  </si>
  <si>
    <t>Yosemite Re Ltd.</t>
  </si>
  <si>
    <t>98740RAB5</t>
  </si>
  <si>
    <t>CB-Montoya Re Ltd. Series 2024-1 Class A Reset 2025</t>
  </si>
  <si>
    <t>613752AC8</t>
  </si>
  <si>
    <t>CB-Fuchsia Series 2023-1 Class A Reset 2025</t>
  </si>
  <si>
    <t>Beazley_Fuchsia</t>
  </si>
  <si>
    <t>Fuchsia</t>
  </si>
  <si>
    <t>54180TAA3</t>
  </si>
  <si>
    <t>CB-Fuchsia 2 Series 2024-1 Class A Reset 2025</t>
  </si>
  <si>
    <t>Beazley_Fuchsia 2</t>
  </si>
  <si>
    <t>Fuchsia 2</t>
  </si>
  <si>
    <t>541917AA8</t>
  </si>
  <si>
    <t>CB-Montoya Re Ltd. Series 2025-1 Class A Reset 2025</t>
  </si>
  <si>
    <t>613752AD6</t>
  </si>
  <si>
    <t>CB-Montoya Re Ltd. Series 2025-1 Class B Reset 2025</t>
  </si>
  <si>
    <t>613752AE4</t>
  </si>
  <si>
    <t>CB-Mystic Re IV Ltd. Series 2025-1 Class A</t>
  </si>
  <si>
    <t>62865LAF4</t>
  </si>
  <si>
    <t>CB-Mystic Re IV Ltd. Series 2025-1 Class B</t>
  </si>
  <si>
    <t>62865LAG2</t>
  </si>
  <si>
    <t>CB-Mystic Re IV Ltd. Series 2025-1 Class C</t>
  </si>
  <si>
    <t>62865LAH0</t>
  </si>
  <si>
    <t>All Natural Perils / U.S., Canada, Caribbean</t>
  </si>
  <si>
    <t>CB-Alamo Re Ltd. Series 2023-1 Class A Reset 2025</t>
  </si>
  <si>
    <t>Texas Windstorm Insurance Association_Alamo Re Ltd.</t>
  </si>
  <si>
    <t>Alamo Re Ltd.</t>
  </si>
  <si>
    <t>011395AJ9</t>
  </si>
  <si>
    <t>CB-Alamo Re Ltd. Series 2024-1 Class A Reset 2025</t>
  </si>
  <si>
    <t>011395AN0</t>
  </si>
  <si>
    <t>CB-Alamo Re Ltd. Series 2024-1 Class B Reset 2025</t>
  </si>
  <si>
    <t>011395AP5</t>
  </si>
  <si>
    <t>CB-Alamo Re Ltd. Series 2024-1 Class C Reset 2025</t>
  </si>
  <si>
    <t>011395AQ3</t>
  </si>
  <si>
    <t>CB-Topanga Re Ltd. Series 2021-1 Class A Reset 2025</t>
  </si>
  <si>
    <t>Topanga Re Ltd.</t>
  </si>
  <si>
    <t>89055TAA1</t>
  </si>
  <si>
    <t>CB-Sanders Re III Ltd. Series 2023-2 Class A Reset 2025</t>
  </si>
  <si>
    <t>Castle Key Insurance Company / Castle Key Indemnity Company / National General Brand / North Light Brand_Sanders Re III Ltd.</t>
  </si>
  <si>
    <t>799925AA0</t>
  </si>
  <si>
    <t>Earthquake ; Named Storm ; Severe Thunderstorm ; Wildfire / Florida</t>
  </si>
  <si>
    <t>CB-Mona Lisa Re Ltd. Series 2025-1 Class A</t>
  </si>
  <si>
    <t>Renaissance Re / DaVinci Re_Mona Lisa Re Ltd.</t>
  </si>
  <si>
    <t>Mona Lisa Re Ltd.</t>
  </si>
  <si>
    <t>608800AJ7</t>
  </si>
  <si>
    <t>CB-Mona Lisa Re Ltd. Series 2025-1 Class B</t>
  </si>
  <si>
    <t>608800AK4</t>
  </si>
  <si>
    <t>CB-Mona Lisa Re Ltd. Series 2024-1 Class A Reset 2025</t>
  </si>
  <si>
    <t>608800AH1</t>
  </si>
  <si>
    <t>CB-Mona Lisa Re Ltd. Series 2023-1 Class A Reset 2025</t>
  </si>
  <si>
    <t>608800AF5</t>
  </si>
  <si>
    <t>CB-Mona Lisa Re Ltd. Series 2023-1 Class B Reset 2025</t>
  </si>
  <si>
    <t>608800AG3</t>
  </si>
  <si>
    <t>CB-King Max Re DAC Reset 2025</t>
  </si>
  <si>
    <t>VKB Re_King Max Re DAC Reset 2025</t>
  </si>
  <si>
    <t>King Max Re DAC Reset 2025</t>
  </si>
  <si>
    <t>Windstorm ; Hail Storm ; Flood ; Earthquake / Germany</t>
  </si>
  <si>
    <t>Germany</t>
  </si>
  <si>
    <t>CB-Orange Capital Re DAC Series 2024-1 Class A</t>
  </si>
  <si>
    <t>NN Re_Orange Capital Re DAC</t>
  </si>
  <si>
    <t>Orange Capital Re DAC</t>
  </si>
  <si>
    <t>XS2931270180</t>
  </si>
  <si>
    <t>Windstorm ; Severe Thunderstorm / Belgium, Netherlands</t>
  </si>
  <si>
    <t>Belgium, Netherlands</t>
  </si>
  <si>
    <t>CB-Orange Capital Re DAC Series 2023-1 Class A Reset 2025</t>
  </si>
  <si>
    <t>XS2722275190</t>
  </si>
  <si>
    <t>CB-Locke Tavern Re Ltd. Series 2023-1 Class A Reset 2025</t>
  </si>
  <si>
    <t>The Andover Companies_Locke Tavern Re Ltd.</t>
  </si>
  <si>
    <t>Locke Tavern Re Ltd.</t>
  </si>
  <si>
    <t>539694AA7</t>
  </si>
  <si>
    <t>Earthquake ; Named Storm ; Severe Thunderstorm ; Winter Storm / Northeast U.S., Illinois</t>
  </si>
  <si>
    <t>Northeast U.S., Illinois</t>
  </si>
  <si>
    <t>CB-Herbie Re Ltd. Series 2024-1 Class A Reset 2025</t>
  </si>
  <si>
    <t>Fidelis Insurance Bermuda_Herbie Re Ltd.</t>
  </si>
  <si>
    <t>Herbie Re Ltd.</t>
  </si>
  <si>
    <t>42703VAG8</t>
  </si>
  <si>
    <t>CB-Herbie Re Ltd. Series 2024-1 Class B Reset 2025</t>
  </si>
  <si>
    <t>42703VAH6</t>
  </si>
  <si>
    <t>CB-Herbie Re Ltd. Series 2024-2 Class A</t>
  </si>
  <si>
    <t>42703VAJ2</t>
  </si>
  <si>
    <t>CB-Herbie Re Ltd. Series 2024-2 Class B</t>
  </si>
  <si>
    <t>42703VAK9</t>
  </si>
  <si>
    <t>CB-Herbie Re Ltd. Series 2024-2 Class C</t>
  </si>
  <si>
    <t>42703VAL7</t>
  </si>
  <si>
    <t>CB-Herbie Re Ltd. Series 2022-1 Class A Reset 2025</t>
  </si>
  <si>
    <t>42703VAF0</t>
  </si>
  <si>
    <t>Earthquake / U.S., Canada</t>
  </si>
  <si>
    <t>CB-Long Point Re IV Ltd. Series 2022-1 Class A Reset 2025</t>
  </si>
  <si>
    <t>Travelers Indemnity Company_Long Point Re IV Ltd.</t>
  </si>
  <si>
    <t>Long Point Re IV Ltd.</t>
  </si>
  <si>
    <t>54279PAA3</t>
  </si>
  <si>
    <t>Earthquake ; Tropical Cyclone ; Severe Thunderstorm ; Winter Storm  / Northeast U.S.</t>
  </si>
  <si>
    <t>CB-Sutter Re Ltd. Series 2023-1 Class B Reset 2025</t>
  </si>
  <si>
    <t>California Earthquake Authority_Sutter Re Ltd.</t>
  </si>
  <si>
    <t>Sutter Re Ltd.</t>
  </si>
  <si>
    <t>86944RAE8</t>
  </si>
  <si>
    <t>CB-Sutter Re Ltd. Series 2023-1 Class E Reset 2025</t>
  </si>
  <si>
    <t>86944RAF5</t>
  </si>
  <si>
    <t>CB-Windmill III Re DAC Series 2024-1 Class A Reset 2025</t>
  </si>
  <si>
    <t>Achmea Reinsurance Company_Windmill III Re DAC</t>
  </si>
  <si>
    <t>Windmill III Re DAC</t>
  </si>
  <si>
    <t>XS2845137541</t>
  </si>
  <si>
    <t>Windstorm / Europe</t>
  </si>
  <si>
    <t>Europe</t>
  </si>
  <si>
    <t>CB-Titania Re Ltd. Series 2023-1 Class A Reset 2025</t>
  </si>
  <si>
    <t>Syndicate 1910 (Ariel Re)_Titania Re Ltd.</t>
  </si>
  <si>
    <t>Titania Re Ltd.</t>
  </si>
  <si>
    <t>888329AC3</t>
  </si>
  <si>
    <t>CB-Titania Re Ltd. Series 2023-1 Class B Reset 2025</t>
  </si>
  <si>
    <t>888329AD1</t>
  </si>
  <si>
    <t>Named Storm / U.S., Canada, Puerto Rico, U.S. VI</t>
  </si>
  <si>
    <t>CB-Titania Re Ltd. Series 2024-1 Class A</t>
  </si>
  <si>
    <t>888329AE9</t>
  </si>
  <si>
    <t>CB-Titania Re Ltd. Series 2024-1 Class B</t>
  </si>
  <si>
    <t>888329AF6</t>
  </si>
  <si>
    <t>CB-Titania Re Ltd. Series 2025-1 Class A</t>
  </si>
  <si>
    <t>888329AG4</t>
  </si>
  <si>
    <t>Earthquake ; Named Storm / U.S., Canada, Puerto Rico, U.S. VI ; Wildfire / U.S.</t>
  </si>
  <si>
    <t>U.S., Canada, Puerto Rico, U.S. VI ; Wildfire / U.S.</t>
  </si>
  <si>
    <t>CB-Titania Re Ltd. Series 2025-1 Class B</t>
  </si>
  <si>
    <t>888329AH2</t>
  </si>
  <si>
    <t>CB-Kendall Re Ltd. Series 2024-1 Class A Reset 2025</t>
  </si>
  <si>
    <t>Aspen Bermuda Ltd._Kendall Re Ltd.</t>
  </si>
  <si>
    <t>Kendall Re Ltd.</t>
  </si>
  <si>
    <t>48878QAD2</t>
  </si>
  <si>
    <t>Earthquake / U.S., Canada, Puerto Rico, U.S. VI ; Named Storm / U.S., Puerto Rico, U.S. VI ; Windstorm / Europe</t>
  </si>
  <si>
    <t>U.S., Canada, Puerto Rico, U.S. VI ; Named Storm / U.S., Puerto Rico, U.S. VI ; Windstorm / Europe</t>
  </si>
  <si>
    <t>Gallagher Securities; GC Securities</t>
  </si>
  <si>
    <t>CB-Kendall Re Ltd. Series 2024-1 Class B Reset 2025</t>
  </si>
  <si>
    <t>48878QAE0</t>
  </si>
  <si>
    <t>CB-Sanders Re II Ltd. Series 2025-2 Class A</t>
  </si>
  <si>
    <t>Castle Key Insurance Company / Castle Key Indemnity Company / National General Brand / North Light Brand_Sanders Re II Ltd.</t>
  </si>
  <si>
    <t>80001AAA6</t>
  </si>
  <si>
    <t>CB-High Point Re Ltd. Series 2023-1 Class A Reset 2025</t>
  </si>
  <si>
    <t>Selective Insurance Company_High Point Re Ltd.</t>
  </si>
  <si>
    <t>High Point Re Ltd.</t>
  </si>
  <si>
    <t>429932AA4</t>
  </si>
  <si>
    <t>All Natural Perils / U.S. (excl. CA, FL, LA, TX)</t>
  </si>
  <si>
    <t>U.S. (excl. CA, FL, LA, TX)</t>
  </si>
  <si>
    <t>CB-Azzurro Re II DAC Series 2024-1 Class A Reset 2025</t>
  </si>
  <si>
    <t>UnipolSai Assicurazioni S.p.A._Azzurro Re II DAC</t>
  </si>
  <si>
    <t>Azzurro Re II DAC</t>
  </si>
  <si>
    <t>XS2788028178</t>
  </si>
  <si>
    <t>Earthquake / Italy, Austria, Croatia, France, Monaco, Slovenia, Switzerland</t>
  </si>
  <si>
    <t>Italy, Austria, Croatia, France, Monaco, Slovenia, Switzerland</t>
  </si>
  <si>
    <t>CB-Bonanza Re Ltd. Series 2023-1 Class A Reset 2025</t>
  </si>
  <si>
    <t>ARX Holding Corp_Bonanza Re Ltd.</t>
  </si>
  <si>
    <t>09785EAK7</t>
  </si>
  <si>
    <t>CB-Blue Sky Re DAC Series 2023-1 Reset 2025</t>
  </si>
  <si>
    <t>Allianz SE_Blue Sky Re DAC</t>
  </si>
  <si>
    <t>Blue Sky Re DAC</t>
  </si>
  <si>
    <t>09605UAA1</t>
  </si>
  <si>
    <t>CB-Eiffel Re Ltd. Series 2023-1 Class A Reset 2025</t>
  </si>
  <si>
    <t>AXA SA_Eiffel Re Ltd.</t>
  </si>
  <si>
    <t>Eiffel Re Ltd.</t>
  </si>
  <si>
    <t>XS2641776773</t>
  </si>
  <si>
    <t>CB-Atlas Capital DAC Series 2023-1 Class A Reset 2025</t>
  </si>
  <si>
    <t>049207AA1</t>
  </si>
  <si>
    <t>CB-Atlas Capital DAC Series 2025-1 Class A</t>
  </si>
  <si>
    <t>049207AC7</t>
  </si>
  <si>
    <t>Earthquake / U.S., Canada, Puerto Rico, U.S. VI ; Named Storm / U.S., Caribbean, Puerto Rico, U.S. VI ; Windstorm / Europe</t>
  </si>
  <si>
    <t>U.S., Canada, Puerto Rico, U.S. VI ; Named Storm / U.S., Caribbean, Puerto Rico, U.S. VI ; Windstorm / Europe</t>
  </si>
  <si>
    <t>CB-Commonwealth Re Ltd. Series 2025-1 Class A</t>
  </si>
  <si>
    <t>203235AC0</t>
  </si>
  <si>
    <t>CB-First Coast Re IV Ltd. Series 2025-1 Class B</t>
  </si>
  <si>
    <t>31969UAC1</t>
  </si>
  <si>
    <t>CB-First Coast Re IV Ltd. Series 2025-1 Class A</t>
  </si>
  <si>
    <t>31969UAB3</t>
  </si>
  <si>
    <t>CB-3264 Re Ltd. Series 2025-1 Class B</t>
  </si>
  <si>
    <t>Hannover Rück SE_3264 Re Ltd.</t>
  </si>
  <si>
    <t>88577CAF8</t>
  </si>
  <si>
    <t>EQ / North America</t>
  </si>
  <si>
    <t>North America</t>
  </si>
  <si>
    <t>CB-3264 Re Ltd. Series 2025-1 Class A</t>
  </si>
  <si>
    <t>88577CAE1</t>
  </si>
  <si>
    <t xml:space="preserve">EQ / North America, Australasia, Japan, Italy, Turkey ; NS / North America, Australia, Japan ; EW / Europe ; Other Wind / U.S., Canada </t>
  </si>
  <si>
    <t>North America, Australasia, Japan, Italy, Turkey ; NS / North America, Australia, Japan ; EW / Europe ; Other Wind / U.S., Canada</t>
  </si>
  <si>
    <t>CB-2001 CAT Re Ltd. Series 2023-1 Class A Reset 2025</t>
  </si>
  <si>
    <t>Allied World Assurance Company_2001 CAT Re Ltd.</t>
  </si>
  <si>
    <t>2001 CAT Re Ltd.</t>
  </si>
  <si>
    <t>90215BAB3</t>
  </si>
  <si>
    <t>CB-Herbie Re Ltd. Series 2025-1 Class A</t>
  </si>
  <si>
    <t>42703VAM5</t>
  </si>
  <si>
    <t>EQ / North America, Australasia, Japan, Italy, Turkey ; NS / North America, Australia, Japan ; EW / Europe ; Other Wind / U.S., Canada ; WF / U.S.</t>
  </si>
  <si>
    <t>North America, Australasia, Japan, Italy, Turkey ; NS / North America, Australia, Japan ; EW / Europe ; Other Wind / U.S., Canada ; WF / U.S.</t>
  </si>
  <si>
    <t>CB-Res Re 2025 Ltd. Series 2025-II Class 2</t>
  </si>
  <si>
    <t>2025-II</t>
  </si>
  <si>
    <t>76091JAA6</t>
  </si>
  <si>
    <t>CB-Four Lakes Re Ltd. Series 2023-1 Class B Reset 2025_V12</t>
  </si>
  <si>
    <t>CB-Four Lakes Re Ltd. Series 2024-1 Class B_V12</t>
  </si>
  <si>
    <t>B_V12</t>
  </si>
  <si>
    <t>CB-Herbie Re Ltd. Series 2025-1 Class A LMF USSCS</t>
  </si>
  <si>
    <t>A LMF USSCS</t>
  </si>
  <si>
    <t>CB-FloodSmart Re Ltd. Series 2024-1 Class A Reset 2025_wLMF</t>
  </si>
  <si>
    <t>CB-Meadows Ltd. Series 2025-1 Class A</t>
  </si>
  <si>
    <t>One William Street_Meadows Ltd.</t>
  </si>
  <si>
    <t>Meadows Ltd.</t>
  </si>
  <si>
    <t>58320RAA9</t>
  </si>
  <si>
    <t>Named Storm / Florida, Puerto Rico, U.S. VI</t>
  </si>
  <si>
    <t>Florida, Puerto Rico, U.S. VI</t>
  </si>
  <si>
    <t>CB-Meadows Ltd. Series 2025-1 Class C</t>
  </si>
  <si>
    <t>58320RAC5</t>
  </si>
  <si>
    <t>Named Storm / Florida, Georgia, North Carolina, South Carolina, Puerto Rico, U.S. VI</t>
  </si>
  <si>
    <t>Florida, Georgia, North Carolina, South Carolina, Puerto Rico, U.S. VI</t>
  </si>
  <si>
    <t>CB-Blue Ridge Re Ltd. Series 2025-1 Class B</t>
  </si>
  <si>
    <t>096003AD0</t>
  </si>
  <si>
    <t>Named Storm, Severe Thunderstorm / North Carolina</t>
  </si>
  <si>
    <t>CB-Blue Ridge Re Ltd. Series 2025-1 Class D</t>
  </si>
  <si>
    <t>096003AF5</t>
  </si>
  <si>
    <t>Named Storm, Severe Thunderstorm, Winter Storm / North Carolina</t>
  </si>
  <si>
    <t>Issuer</t>
  </si>
  <si>
    <t>Reset</t>
  </si>
  <si>
    <t>NRE_ID</t>
  </si>
  <si>
    <t>TTM</t>
  </si>
  <si>
    <t>Bond Coupon</t>
  </si>
  <si>
    <t>CurrExchangeFactor</t>
  </si>
  <si>
    <t>Quantity</t>
  </si>
  <si>
    <t>Premium</t>
  </si>
  <si>
    <t>AttachProb</t>
  </si>
  <si>
    <t>ExhaustProb</t>
  </si>
  <si>
    <t>Cat Bond</t>
  </si>
  <si>
    <t>Buy</t>
  </si>
  <si>
    <t>Zenkyoren</t>
  </si>
  <si>
    <t>Class 1</t>
  </si>
  <si>
    <t>Aggregate</t>
  </si>
  <si>
    <t>USD</t>
  </si>
  <si>
    <t>Inigo Insurance</t>
  </si>
  <si>
    <t>Class B</t>
  </si>
  <si>
    <t>Occurrence</t>
  </si>
  <si>
    <t>Industry Loss Index</t>
  </si>
  <si>
    <t>NC Farm Bureau</t>
  </si>
  <si>
    <t>Class A</t>
  </si>
  <si>
    <t>Mitsui Sumitomo</t>
  </si>
  <si>
    <t>Class B-1</t>
  </si>
  <si>
    <t>CEA</t>
  </si>
  <si>
    <t>Class AA</t>
  </si>
  <si>
    <t>GeoVera</t>
  </si>
  <si>
    <t>Beazley</t>
  </si>
  <si>
    <t>Texaf Farm Bureau</t>
  </si>
  <si>
    <t>AllState</t>
  </si>
  <si>
    <t>Talanx AG (Via Hannover Re)</t>
  </si>
  <si>
    <t>574591AA1_1</t>
  </si>
  <si>
    <t>Parametric</t>
  </si>
  <si>
    <t>SageSure</t>
  </si>
  <si>
    <t>Class C2</t>
  </si>
  <si>
    <t>Occ (2nd event)</t>
  </si>
  <si>
    <t>Slide</t>
  </si>
  <si>
    <t>Brookfield Property</t>
  </si>
  <si>
    <t>Oak Tree Insurance</t>
  </si>
  <si>
    <t>Hartford</t>
  </si>
  <si>
    <t>349939AA6_1</t>
  </si>
  <si>
    <t>349939AA6_2</t>
  </si>
  <si>
    <t>Hannover Insurance</t>
  </si>
  <si>
    <t>Gryphon Mutual (Blackstone)</t>
  </si>
  <si>
    <t xml:space="preserve">American European Insurance </t>
  </si>
  <si>
    <t>Tower Hill Ins Exch</t>
  </si>
  <si>
    <t>975660AC5_1</t>
  </si>
  <si>
    <t>Palomar Specialty</t>
  </si>
  <si>
    <t>FL Citizens</t>
  </si>
  <si>
    <t>TWIA</t>
  </si>
  <si>
    <t>LA Citizens</t>
  </si>
  <si>
    <t>FL Peninsula</t>
  </si>
  <si>
    <t>Ariel Re</t>
  </si>
  <si>
    <t>Prologis</t>
  </si>
  <si>
    <t>American Family</t>
  </si>
  <si>
    <t>NFIP</t>
  </si>
  <si>
    <t>Spinnaker Insurance</t>
  </si>
  <si>
    <t>Heritage</t>
  </si>
  <si>
    <t>Swiss Re</t>
  </si>
  <si>
    <t>Class 2</t>
  </si>
  <si>
    <t>Peak Re</t>
  </si>
  <si>
    <t>Class C</t>
  </si>
  <si>
    <t>30014LAM6_1</t>
  </si>
  <si>
    <t>Fidelis</t>
  </si>
  <si>
    <t>574591AA1_2</t>
  </si>
  <si>
    <t>975660AC5_2</t>
  </si>
  <si>
    <t>Progressive</t>
  </si>
  <si>
    <t>American Coastal</t>
  </si>
  <si>
    <t>04227FAF2_1</t>
  </si>
  <si>
    <t>Syndicate 1910</t>
  </si>
  <si>
    <t>04227FAF2_2</t>
  </si>
  <si>
    <t>NCIUA</t>
  </si>
  <si>
    <t>30014LAM6_2</t>
  </si>
  <si>
    <t>Puerto Rico Government</t>
  </si>
  <si>
    <t>Hedges</t>
  </si>
  <si>
    <t>BoundDate</t>
  </si>
  <si>
    <t>ExpirationDate</t>
  </si>
  <si>
    <t>Fronting</t>
  </si>
  <si>
    <t>SecurityInstrument</t>
  </si>
  <si>
    <t>OccurenceLimit</t>
  </si>
  <si>
    <t>AggregateLimit</t>
  </si>
  <si>
    <t>Premium100</t>
  </si>
  <si>
    <t>COMPANYOccurenceLimit</t>
  </si>
  <si>
    <t>COMPANYAggregateLimit</t>
  </si>
  <si>
    <t>CollateralFronted</t>
  </si>
  <si>
    <t>BondPrice</t>
  </si>
  <si>
    <t>COMPANYShare</t>
  </si>
  <si>
    <t>InvestedAUM</t>
  </si>
  <si>
    <t>ExpectedLoss</t>
  </si>
  <si>
    <t>StandardDeviation</t>
  </si>
  <si>
    <t>AEP100</t>
  </si>
  <si>
    <t>AEP500</t>
  </si>
  <si>
    <t>ActualAUMPercent</t>
  </si>
  <si>
    <t>SingleRiskGuideline</t>
  </si>
  <si>
    <t>GuidelineCheck</t>
  </si>
  <si>
    <t>InitialFees</t>
  </si>
  <si>
    <t>Expenses</t>
  </si>
  <si>
    <t>ExceptionApproval</t>
  </si>
  <si>
    <t>portfolioId</t>
  </si>
  <si>
    <t>BoundSpread</t>
  </si>
  <si>
    <t>AUM</t>
  </si>
  <si>
    <t>CUSIP</t>
  </si>
  <si>
    <t>CollateralPremium</t>
  </si>
  <si>
    <t>CollateralFee</t>
  </si>
  <si>
    <t>NonModeledAndCOMPANYView</t>
  </si>
  <si>
    <t>LossRatio</t>
  </si>
  <si>
    <t>CoTVAR100</t>
  </si>
  <si>
    <t>Return</t>
  </si>
  <si>
    <t>ReturnonCoTVAR100</t>
  </si>
  <si>
    <t>Profit</t>
  </si>
  <si>
    <t>AvgRateChangeProjection</t>
  </si>
  <si>
    <t>ROL</t>
  </si>
  <si>
    <t>Fronted</t>
  </si>
  <si>
    <t>CoTVAR1000</t>
  </si>
  <si>
    <t>ReportID</t>
  </si>
  <si>
    <t>OptimizationLayerID</t>
  </si>
  <si>
    <t>Comments</t>
  </si>
  <si>
    <t>ID</t>
  </si>
  <si>
    <t>CoverageType</t>
  </si>
  <si>
    <t>ContractWordingReceivedDate</t>
  </si>
  <si>
    <t>ContractWordingForwardedtoAONART</t>
  </si>
  <si>
    <t>AuthorizationDate</t>
  </si>
  <si>
    <t>ConfirmationNoticeDate</t>
  </si>
  <si>
    <t>ContractExecutedDate</t>
  </si>
  <si>
    <t>TreatyType</t>
  </si>
  <si>
    <t>BondRedemptionPrice</t>
  </si>
  <si>
    <t>BondInitialSpread</t>
  </si>
  <si>
    <t>Renewal</t>
  </si>
  <si>
    <t>Reinstatements</t>
  </si>
  <si>
    <t>CurrencyCode</t>
  </si>
  <si>
    <t>BondCoupon</t>
  </si>
  <si>
    <t>BondTransactionType</t>
  </si>
  <si>
    <t>BondBuyDate</t>
  </si>
  <si>
    <t>BondSellPrice</t>
  </si>
  <si>
    <t>BondSellDate</t>
  </si>
  <si>
    <t>QuantityPledged</t>
  </si>
  <si>
    <t>RealizedGain</t>
  </si>
  <si>
    <t>ActivityID</t>
  </si>
  <si>
    <t>BreakevenProbability</t>
  </si>
  <si>
    <t>ci05</t>
  </si>
  <si>
    <t>OPt05</t>
  </si>
  <si>
    <t>LOD</t>
  </si>
  <si>
    <t>ci06</t>
  </si>
  <si>
    <t>OPt06</t>
  </si>
  <si>
    <t>ci10</t>
  </si>
  <si>
    <t>OPt10</t>
  </si>
  <si>
    <t>ci11</t>
  </si>
  <si>
    <t>OPt11</t>
  </si>
  <si>
    <t>ci12</t>
  </si>
  <si>
    <t>OPt12</t>
  </si>
  <si>
    <t>ci14</t>
  </si>
  <si>
    <t>OPt14</t>
  </si>
  <si>
    <t>ci15</t>
  </si>
  <si>
    <t>OPt15</t>
  </si>
  <si>
    <t>ci16</t>
  </si>
  <si>
    <t>OPt16</t>
  </si>
  <si>
    <t>ci17</t>
  </si>
  <si>
    <t>OPt17</t>
  </si>
  <si>
    <t>ci18</t>
  </si>
  <si>
    <t>OPt18</t>
  </si>
  <si>
    <t>ci19</t>
  </si>
  <si>
    <t>OPt19</t>
  </si>
  <si>
    <t>ci20</t>
  </si>
  <si>
    <t>OPt20</t>
  </si>
  <si>
    <t>ci21</t>
  </si>
  <si>
    <t>OPt21</t>
  </si>
  <si>
    <t>ci22</t>
  </si>
  <si>
    <t>OPt22</t>
  </si>
  <si>
    <t>ci23</t>
  </si>
  <si>
    <t>OPt23</t>
  </si>
  <si>
    <t>ci24</t>
  </si>
  <si>
    <t>OPt24</t>
  </si>
  <si>
    <t>ci25</t>
  </si>
  <si>
    <t>OPt25</t>
  </si>
  <si>
    <t>ci26</t>
  </si>
  <si>
    <t>OPt26</t>
  </si>
  <si>
    <t>ci32</t>
  </si>
  <si>
    <t>OPt32</t>
  </si>
  <si>
    <t>ci33</t>
  </si>
  <si>
    <t>OPt33</t>
  </si>
  <si>
    <t>ci34</t>
  </si>
  <si>
    <t>OPt34</t>
  </si>
  <si>
    <t>ci27</t>
  </si>
  <si>
    <t>OPt27</t>
  </si>
  <si>
    <t>ci28</t>
  </si>
  <si>
    <t>OPt28</t>
  </si>
  <si>
    <t>ci29</t>
  </si>
  <si>
    <t>OPt29</t>
  </si>
  <si>
    <t>ci30</t>
  </si>
  <si>
    <t>OPt30</t>
  </si>
  <si>
    <t>ci31</t>
  </si>
  <si>
    <t>OPt31</t>
  </si>
  <si>
    <t>ci54</t>
  </si>
  <si>
    <t>OPt54</t>
  </si>
  <si>
    <t>ci58</t>
  </si>
  <si>
    <t>OPt58</t>
  </si>
  <si>
    <t>ci55</t>
  </si>
  <si>
    <t>OPt55</t>
  </si>
  <si>
    <t>ci35</t>
  </si>
  <si>
    <t>OPt35</t>
  </si>
  <si>
    <t>ci36</t>
  </si>
  <si>
    <t>OPt36</t>
  </si>
  <si>
    <t>ci37</t>
  </si>
  <si>
    <t>OPt37</t>
  </si>
  <si>
    <t>ci38</t>
  </si>
  <si>
    <t>OPt38</t>
  </si>
  <si>
    <t>ci39</t>
  </si>
  <si>
    <t>OPt39</t>
  </si>
  <si>
    <t>ci40</t>
  </si>
  <si>
    <t>OPt40</t>
  </si>
  <si>
    <t>ci41</t>
  </si>
  <si>
    <t>OPt41</t>
  </si>
  <si>
    <t>ci42</t>
  </si>
  <si>
    <t>OPt42</t>
  </si>
  <si>
    <t>ci43</t>
  </si>
  <si>
    <t>OPt43</t>
  </si>
  <si>
    <t>ci44</t>
  </si>
  <si>
    <t>OPt44</t>
  </si>
  <si>
    <t>ci46</t>
  </si>
  <si>
    <t>OPt46</t>
  </si>
  <si>
    <t>ci47</t>
  </si>
  <si>
    <t>OPt47</t>
  </si>
  <si>
    <t>ci48</t>
  </si>
  <si>
    <t>OPt48</t>
  </si>
  <si>
    <t>ci49</t>
  </si>
  <si>
    <t>OPt49</t>
  </si>
  <si>
    <t>ci50</t>
  </si>
  <si>
    <t>OPt50</t>
  </si>
  <si>
    <t>ci51</t>
  </si>
  <si>
    <t>OPt51</t>
  </si>
  <si>
    <t>ci52</t>
  </si>
  <si>
    <t>OPt52</t>
  </si>
  <si>
    <t>ci53</t>
  </si>
  <si>
    <t>OPt53</t>
  </si>
  <si>
    <t>ci07</t>
  </si>
  <si>
    <t>OPt07</t>
  </si>
  <si>
    <t>ci08</t>
  </si>
  <si>
    <t>OPt08</t>
  </si>
  <si>
    <t>ci13</t>
  </si>
  <si>
    <t>OPt13</t>
  </si>
  <si>
    <t>ci59</t>
  </si>
  <si>
    <t>OPt59</t>
  </si>
  <si>
    <t>ci60</t>
  </si>
  <si>
    <t>OPt60</t>
  </si>
  <si>
    <t>ci61</t>
  </si>
  <si>
    <t>OPt61</t>
  </si>
  <si>
    <t>ci62</t>
  </si>
  <si>
    <t>OPt62</t>
  </si>
  <si>
    <t>ci01</t>
  </si>
  <si>
    <t>OPt01</t>
  </si>
  <si>
    <t>ci02</t>
  </si>
  <si>
    <t>OPt02</t>
  </si>
  <si>
    <t>ci03</t>
  </si>
  <si>
    <t>OPt03</t>
  </si>
  <si>
    <t>ci04</t>
  </si>
  <si>
    <t>OPt04</t>
  </si>
  <si>
    <t>OK</t>
  </si>
  <si>
    <t>Loss Basis</t>
  </si>
  <si>
    <t>Bond Buy or Sell</t>
  </si>
  <si>
    <t>Bonds Buy Date</t>
  </si>
  <si>
    <t>Bond Sell Price</t>
  </si>
  <si>
    <t>Bond Sell Date</t>
  </si>
  <si>
    <t>CompanyShare</t>
  </si>
  <si>
    <t>BondRedemption</t>
  </si>
  <si>
    <t>No.ofReinstatement</t>
  </si>
  <si>
    <t>ContractWordingforwardedtoAON/ART</t>
  </si>
  <si>
    <t xml:space="preserve"> ConfirmationNoticeDate</t>
  </si>
  <si>
    <t>Quantity Pledged</t>
  </si>
  <si>
    <t>Realized Gain</t>
  </si>
  <si>
    <t>PortfolioID</t>
  </si>
  <si>
    <t>Name</t>
  </si>
  <si>
    <t>NotionalAUM</t>
  </si>
  <si>
    <t>RiskPeriod</t>
  </si>
  <si>
    <t>SubjectBusiness</t>
  </si>
  <si>
    <t>ReportDate</t>
  </si>
  <si>
    <t>Remarks</t>
  </si>
  <si>
    <t>IsDefaultPortfolio</t>
  </si>
  <si>
    <t>IsDeleted</t>
  </si>
  <si>
    <t>Vendor</t>
  </si>
  <si>
    <t>DataAvailable</t>
  </si>
  <si>
    <t>DeployedAUM</t>
  </si>
  <si>
    <t>Version</t>
  </si>
  <si>
    <t>UI Testcase 1</t>
  </si>
  <si>
    <t>TC 1 for UI</t>
  </si>
  <si>
    <t>AIR</t>
  </si>
  <si>
    <t>N</t>
  </si>
  <si>
    <t>SettingsID</t>
  </si>
  <si>
    <t>BoundPortfolioID</t>
  </si>
  <si>
    <t>MgmtFees</t>
  </si>
  <si>
    <t>Carry</t>
  </si>
  <si>
    <t>HurdleType</t>
  </si>
  <si>
    <t>AcquisitionExpense</t>
  </si>
  <si>
    <t>InvestmentIncome</t>
  </si>
  <si>
    <t>OpsExpenses</t>
  </si>
  <si>
    <t>RiskFreeRate</t>
  </si>
  <si>
    <t>QSAttritionalLRUSWind</t>
  </si>
  <si>
    <t>QSAttritionalLRWorldwide</t>
  </si>
  <si>
    <t>ProFormaRateChange</t>
  </si>
  <si>
    <t>Hard</t>
  </si>
  <si>
    <t>ConstraintType</t>
  </si>
  <si>
    <t>ConstraintName</t>
  </si>
  <si>
    <t>SingleLimit</t>
  </si>
  <si>
    <t>MaxLimit</t>
  </si>
  <si>
    <t>LossType</t>
  </si>
  <si>
    <t>ReturnPeriod</t>
  </si>
  <si>
    <t>Cedant</t>
  </si>
  <si>
    <t xml:space="preserve">Single Cedent (including business fronted by Allianz Risk Transfer) </t>
  </si>
  <si>
    <t>Allianz as cedent</t>
  </si>
  <si>
    <t>ILW Long</t>
  </si>
  <si>
    <t>ILW Short</t>
  </si>
  <si>
    <t>Side Car</t>
  </si>
  <si>
    <t>Retro XOL</t>
  </si>
  <si>
    <t>Retro QS</t>
  </si>
  <si>
    <t>Allianz</t>
  </si>
  <si>
    <t>Reinsurance</t>
  </si>
  <si>
    <t>Single</t>
  </si>
  <si>
    <t>Cash</t>
  </si>
  <si>
    <t>PerilRegion</t>
  </si>
  <si>
    <t>US Hurricanes</t>
  </si>
  <si>
    <t>OEP</t>
  </si>
  <si>
    <t>Florida Hurricane</t>
  </si>
  <si>
    <t>Gulf of Mexico WS</t>
  </si>
  <si>
    <t>Japan Typhoon</t>
  </si>
  <si>
    <t>Europe Tropical Cyclone</t>
  </si>
  <si>
    <t>Texas Hurricane</t>
  </si>
  <si>
    <t>California Earthquake</t>
  </si>
  <si>
    <t>Japan Earthquake</t>
  </si>
  <si>
    <t>All other WS</t>
  </si>
  <si>
    <t>all other EQ</t>
  </si>
  <si>
    <t>WildFire</t>
  </si>
  <si>
    <t>InlandFlood</t>
  </si>
  <si>
    <t>SevereStorm</t>
  </si>
  <si>
    <t>Terrorism</t>
  </si>
  <si>
    <t>AEP</t>
  </si>
  <si>
    <t>Northeast Hurricane</t>
  </si>
  <si>
    <t>Southeast Hurricane</t>
  </si>
  <si>
    <t>Louisiana Hurricane</t>
  </si>
  <si>
    <t>Mexico Hurricane</t>
  </si>
  <si>
    <t>US Earthquake xl CA</t>
  </si>
  <si>
    <t>Mexico Earthquake</t>
  </si>
  <si>
    <t>South America Earthquake</t>
  </si>
  <si>
    <t>Europe Earthquake</t>
  </si>
  <si>
    <t>US Winter Storm</t>
  </si>
  <si>
    <t>US WildFire</t>
  </si>
  <si>
    <t>US Severe Storm</t>
  </si>
  <si>
    <t>US Inland Flood</t>
  </si>
  <si>
    <t>WWAP</t>
  </si>
  <si>
    <t>ReinsuranceType</t>
  </si>
  <si>
    <t>Breached</t>
  </si>
  <si>
    <t>P&amp;L Report</t>
  </si>
  <si>
    <t>Deployed AUM</t>
  </si>
  <si>
    <t>Total AUM</t>
  </si>
  <si>
    <t>Expected P&amp;L</t>
  </si>
  <si>
    <t>Expected</t>
  </si>
  <si>
    <t>1.111 yr</t>
  </si>
  <si>
    <t>2 yr</t>
  </si>
  <si>
    <t>5 yr</t>
  </si>
  <si>
    <t>10 yr</t>
  </si>
  <si>
    <t>25 yr</t>
  </si>
  <si>
    <t>50 yr</t>
  </si>
  <si>
    <t>100 yr</t>
  </si>
  <si>
    <t>250 yr</t>
  </si>
  <si>
    <t>500 yr</t>
  </si>
  <si>
    <t>1000 yr</t>
  </si>
  <si>
    <t>Gross Written Premium</t>
  </si>
  <si>
    <t>Reinstatement Premium</t>
  </si>
  <si>
    <t>Leverage Expense</t>
  </si>
  <si>
    <t>Net Written Premium</t>
  </si>
  <si>
    <t>Gross Loss Amount</t>
  </si>
  <si>
    <t>Acquisition Expenses</t>
  </si>
  <si>
    <t>Federal Excise Tax</t>
  </si>
  <si>
    <t>Fronting Fee</t>
  </si>
  <si>
    <t>Net Underwriting Income</t>
  </si>
  <si>
    <t xml:space="preserve">Excess Return Gross </t>
  </si>
  <si>
    <t>Investment Income</t>
  </si>
  <si>
    <t>Op/Org Expenses</t>
  </si>
  <si>
    <t>Management Fee</t>
  </si>
  <si>
    <t>Net Operating Income</t>
  </si>
  <si>
    <t>Total Net Return</t>
  </si>
  <si>
    <t>Portfolio Metrics</t>
  </si>
  <si>
    <t>Metric</t>
  </si>
  <si>
    <t>%NAV</t>
  </si>
  <si>
    <t>Expected_Return Excess</t>
  </si>
  <si>
    <t>Expected_Return Net</t>
  </si>
  <si>
    <t>Standard Deviation</t>
  </si>
  <si>
    <t>Sharpe Ratio</t>
  </si>
  <si>
    <t>CV</t>
  </si>
  <si>
    <t>Best Reasonable Outcome</t>
  </si>
  <si>
    <t>ProbabilityOfLoss</t>
  </si>
  <si>
    <t>1 in 100 yr PML</t>
  </si>
  <si>
    <t>1 in 250 yr PML</t>
  </si>
  <si>
    <t>1% TVAR</t>
  </si>
  <si>
    <t>RAROC (99%)</t>
  </si>
  <si>
    <t>Notional Occurrence Limits (Short)</t>
  </si>
  <si>
    <t>Notional Aggregate Limits (Short)</t>
  </si>
  <si>
    <t>Leverage</t>
  </si>
  <si>
    <t>Guideline</t>
  </si>
  <si>
    <t>Guideline Check</t>
  </si>
  <si>
    <t>EL (%)</t>
  </si>
  <si>
    <t>AUM (%)</t>
  </si>
  <si>
    <t>Premium (%)</t>
  </si>
  <si>
    <t>Premium ($)</t>
  </si>
  <si>
    <t>Exposed Limit</t>
  </si>
  <si>
    <t>Actual % of AUM</t>
  </si>
  <si>
    <t>Actual 100 yr Occ PML ($)</t>
  </si>
  <si>
    <t>Actual 500 yr Agg PML ($)</t>
  </si>
  <si>
    <t>Actual 100 yr Occ PML (%)</t>
  </si>
  <si>
    <t>Actual 500 yr Occ PML (%)</t>
  </si>
  <si>
    <t>Guideline 100 yr Occ PML (%)</t>
  </si>
  <si>
    <t>Guideline 500 yr Agg PML (%)</t>
  </si>
  <si>
    <t>Guideline Check 100 yr Occ PML (%)</t>
  </si>
  <si>
    <t>ok</t>
  </si>
  <si>
    <t>RegionPerilDescription</t>
  </si>
  <si>
    <t>AAL</t>
  </si>
  <si>
    <t>OtherAAL</t>
  </si>
  <si>
    <t>VAR_100</t>
  </si>
  <si>
    <t>TVAR_100</t>
  </si>
  <si>
    <t>CoTVAR_100</t>
  </si>
  <si>
    <t>AEP_100_OtherAAL</t>
  </si>
  <si>
    <t>PnL</t>
  </si>
  <si>
    <t>Monthly Earning Pattern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</si>
  <si>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</si>
  <si>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</si>
  <si>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</si>
  <si>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</si>
  <si>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</si>
  <si>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</si>
  <si>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</si>
  <si>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</si>
  <si>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</si>
  <si>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</si>
  <si>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</si>
  <si>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</si>
  <si>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Portfolio</t>
  </si>
  <si>
    <t>Monthly Premium Break-up</t>
  </si>
  <si>
    <t>Month</t>
  </si>
  <si>
    <t>Gross Premium</t>
  </si>
  <si>
    <t>Premium Share</t>
  </si>
  <si>
    <t>Sr.No</t>
  </si>
  <si>
    <t>Cusip ID</t>
  </si>
  <si>
    <t>ISINID</t>
  </si>
  <si>
    <t>No of Reinstatement</t>
  </si>
  <si>
    <t>Bound Date</t>
  </si>
  <si>
    <t>Expiration Date</t>
  </si>
  <si>
    <t>Security Instrument</t>
  </si>
  <si>
    <t>Tranche</t>
  </si>
  <si>
    <t>SponsorTier</t>
  </si>
  <si>
    <t>ReinRetro</t>
  </si>
  <si>
    <t>OccAgg/QS</t>
  </si>
  <si>
    <t>layer_group</t>
  </si>
  <si>
    <t>Qscore</t>
  </si>
  <si>
    <t>Occ Limit (100%)</t>
  </si>
  <si>
    <t>Aggregate Limit (100%)</t>
  </si>
  <si>
    <t>100% Premium</t>
  </si>
  <si>
    <t>COMPANY Occ Limit</t>
  </si>
  <si>
    <t>COMPANY Agg Limit</t>
  </si>
  <si>
    <t>Collateral (Fronted)</t>
  </si>
  <si>
    <t>Collateral Premium</t>
  </si>
  <si>
    <t>Collateral Fee</t>
  </si>
  <si>
    <t>Bond Price @Binding</t>
  </si>
  <si>
    <t>Bond Buy Date</t>
  </si>
  <si>
    <t>COMPANY Share</t>
  </si>
  <si>
    <t>Bond Initial Spread</t>
  </si>
  <si>
    <t>Bond Redemption</t>
  </si>
  <si>
    <t>Realised Gain</t>
  </si>
  <si>
    <t>Co-TVAR 1000</t>
  </si>
  <si>
    <t>Invested AUM</t>
  </si>
  <si>
    <t>Exp. Loss</t>
  </si>
  <si>
    <t>SD</t>
  </si>
  <si>
    <t>5 AEP</t>
  </si>
  <si>
    <t>10 AEP</t>
  </si>
  <si>
    <t>20 AEP</t>
  </si>
  <si>
    <t>25 AEP</t>
  </si>
  <si>
    <t>50 AEP</t>
  </si>
  <si>
    <t>75 AEP</t>
  </si>
  <si>
    <t>100 AEP</t>
  </si>
  <si>
    <t>500 AEP</t>
  </si>
  <si>
    <t>Breakeven Probability</t>
  </si>
  <si>
    <t>Single Risk Guideline</t>
  </si>
  <si>
    <t>Initial Fees</t>
  </si>
  <si>
    <t>UW Expenses</t>
  </si>
  <si>
    <t>MaxContLiab</t>
  </si>
  <si>
    <t>Non-Modeled + COMPANY View</t>
  </si>
  <si>
    <t>Exception Approval</t>
  </si>
  <si>
    <t>Loss Ratio</t>
  </si>
  <si>
    <t>Co-TVAR 100</t>
  </si>
  <si>
    <t>Return on Co-TVAR 100</t>
  </si>
  <si>
    <t>Profit (%)</t>
  </si>
  <si>
    <t>Pledged %</t>
  </si>
  <si>
    <t>Avg Rate Change Projection</t>
  </si>
  <si>
    <t>2025</t>
  </si>
  <si>
    <t>0</t>
  </si>
  <si>
    <t>Mezz</t>
  </si>
  <si>
    <t>2024</t>
  </si>
  <si>
    <t>Equity</t>
  </si>
  <si>
    <t>UI Testcase 2</t>
  </si>
  <si>
    <t>TC 2 for UI</t>
  </si>
  <si>
    <t>UI Testcase 3</t>
  </si>
  <si>
    <t>Added Carry value</t>
  </si>
  <si>
    <t>Limit by Security Instrument</t>
  </si>
  <si>
    <t>Added Hard %</t>
  </si>
  <si>
    <t>UI Testcase 5</t>
  </si>
  <si>
    <t>TC 5</t>
  </si>
  <si>
    <t>UI Testcase 6</t>
  </si>
  <si>
    <t>TC 6</t>
  </si>
  <si>
    <t>Guideline Check 500 yr Occ PML (%)</t>
  </si>
  <si>
    <t>UI Testcase 7</t>
  </si>
  <si>
    <t>TC 7</t>
  </si>
  <si>
    <t>UI Testcase 8</t>
  </si>
  <si>
    <t>TC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</si>
</sst>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000_);_(* \(#,##0.0000000\);_(* &quot;-&quot;??_);_(@_)"/>
    <numFmt numFmtId="165" formatCode="0.00000"/>
    <numFmt numFmtId="166" formatCode="_(* #,##0_);_(* \(#,##0\);_(* &quot;-&quot;??_);_(@_)"/>
    <numFmt numFmtId="167" formatCode="_(* #,##0.000_);_(* \(#,##0.000\);_(* &quot;-&quot;??_);_(@_)"/>
    <numFmt numFmtId="168" formatCode="_(&quot;$&quot;* #,##0_);_(&quot;$&quot;* \(#,##0\);_(&quot;$&quot;* &quot;-&quot;??_);_(@_)"/>
    <numFmt numFmtId="169" formatCode="0.0%"/>
    <numFmt numFmtId="170" formatCode="_(* #,##0.0000_);_(* \(#,##0.0000\);_(* &quot;-&quot;??_);_(@_)"/>
    <numFmt numFmtId="171" formatCode="_(* #,##0.00000_);_(* \(#,##0.000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name val="Gill Sans MT"/>
      <family val="2"/>
    </font>
    <font>
      <sz val="11"/>
      <color theme="1"/>
      <name val="Calibri"/>
      <family val="2"/>
    </font>
    <font>
      <b/>
      <sz val="10"/>
      <color rgb="FFFFFFFF"/>
      <name val="Gill Sans MT"/>
      <family val="2"/>
    </font>
    <font>
      <b/>
      <sz val="10"/>
      <color rgb="FF16365C"/>
      <name val="Gill Sans MT"/>
      <family val="2"/>
    </font>
    <font>
      <b/>
      <sz val="10"/>
      <color rgb="FF000000"/>
      <name val="Gill Sans MT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43" fontId="1" fillId="0" borderId="0"/>
    <xf numFmtId="9" fontId="1" fillId="0" borderId="0"/>
    <xf numFmtId="44" fontId="1" fillId="0" borderId="0"/>
  </cellStyleXfs>
  <cellXfs count="195">
    <xf numFmtId="0" fontId="0" fillId="0" borderId="0" xfId="0"/>
    <xf numFmtId="47" fontId="0" fillId="0" borderId="0" xfId="0" applyNumberFormat="1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14" fontId="4" fillId="0" borderId="2" xfId="1" applyNumberFormat="1" applyFont="1" applyFill="1" applyBorder="1" applyAlignment="1">
      <alignment horizontal="right"/>
    </xf>
    <xf numFmtId="0" fontId="4" fillId="3" borderId="2" xfId="1" applyNumberFormat="1" applyFont="1" applyFill="1" applyBorder="1" applyAlignment="1">
      <alignment horizontal="left"/>
    </xf>
    <xf numFmtId="43" fontId="4" fillId="3" borderId="2" xfId="1" applyFont="1" applyFill="1" applyBorder="1" applyAlignment="1"/>
    <xf numFmtId="10" fontId="4" fillId="3" borderId="2" xfId="2" applyNumberFormat="1" applyFont="1" applyFill="1" applyBorder="1" applyAlignment="1"/>
    <xf numFmtId="43" fontId="4" fillId="2" borderId="2" xfId="1" applyFont="1" applyFill="1" applyBorder="1" applyAlignment="1"/>
    <xf numFmtId="14" fontId="4" fillId="3" borderId="2" xfId="1" applyNumberFormat="1" applyFont="1" applyFill="1" applyBorder="1" applyAlignment="1"/>
    <xf numFmtId="164" fontId="4" fillId="3" borderId="2" xfId="1" applyNumberFormat="1" applyFont="1" applyFill="1" applyBorder="1" applyAlignment="1">
      <alignment horizontal="left"/>
    </xf>
    <xf numFmtId="165" fontId="4" fillId="3" borderId="2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14" fontId="6" fillId="0" borderId="0" xfId="0" applyNumberFormat="1" applyFont="1"/>
    <xf numFmtId="0" fontId="5" fillId="0" borderId="0" xfId="1" applyNumberFormat="1" applyFont="1" applyFill="1"/>
    <xf numFmtId="3" fontId="6" fillId="0" borderId="0" xfId="1" applyNumberFormat="1" applyFont="1" applyFill="1"/>
    <xf numFmtId="2" fontId="6" fillId="0" borderId="0" xfId="1" applyNumberFormat="1" applyFont="1" applyFill="1"/>
    <xf numFmtId="10" fontId="5" fillId="0" borderId="0" xfId="2" applyNumberFormat="1" applyFont="1" applyFill="1"/>
    <xf numFmtId="14" fontId="2" fillId="0" borderId="0" xfId="0" applyNumberFormat="1" applyFont="1"/>
    <xf numFmtId="165" fontId="5" fillId="0" borderId="0" xfId="1" applyNumberFormat="1" applyFont="1" applyFill="1"/>
    <xf numFmtId="165" fontId="5" fillId="0" borderId="0" xfId="0" applyNumberFormat="1" applyFont="1"/>
    <xf numFmtId="165" fontId="2" fillId="0" borderId="0" xfId="0" applyNumberFormat="1" applyFont="1"/>
    <xf numFmtId="10" fontId="0" fillId="0" borderId="0" xfId="2" applyNumberFormat="1" applyFont="1" applyFill="1"/>
    <xf numFmtId="164" fontId="0" fillId="0" borderId="0" xfId="1" applyNumberFormat="1" applyFont="1" applyFill="1"/>
    <xf numFmtId="165" fontId="0" fillId="0" borderId="0" xfId="0" applyNumberFormat="1"/>
    <xf numFmtId="14" fontId="0" fillId="0" borderId="0" xfId="0" applyNumberFormat="1" applyAlignment="1">
      <alignment horizontal="right"/>
    </xf>
    <xf numFmtId="0" fontId="0" fillId="0" borderId="5" xfId="0" applyBorder="1"/>
    <xf numFmtId="47" fontId="0" fillId="0" borderId="5" xfId="0" applyNumberFormat="1" applyBorder="1"/>
    <xf numFmtId="0" fontId="8" fillId="4" borderId="0" xfId="4" applyFont="1" applyFill="1" applyAlignment="1">
      <alignment vertical="center" wrapText="1"/>
    </xf>
    <xf numFmtId="0" fontId="3" fillId="0" borderId="5" xfId="0" applyFont="1" applyBorder="1" applyAlignment="1">
      <alignment horizontal="left"/>
    </xf>
    <xf numFmtId="166" fontId="1" fillId="0" borderId="5" xfId="5" applyNumberFormat="1" applyBorder="1" applyAlignment="1">
      <alignment horizontal="left"/>
    </xf>
    <xf numFmtId="0" fontId="8" fillId="0" borderId="0" xfId="4" applyFont="1" applyAlignment="1">
      <alignment vertical="center" wrapText="1"/>
    </xf>
    <xf numFmtId="0" fontId="8" fillId="0" borderId="0" xfId="4" applyFont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166" fontId="0" fillId="0" borderId="5" xfId="5" applyNumberFormat="1" applyFont="1" applyBorder="1" applyAlignment="1">
      <alignment horizontal="left"/>
    </xf>
    <xf numFmtId="44" fontId="9" fillId="0" borderId="0" xfId="0" applyNumberFormat="1" applyFont="1"/>
    <xf numFmtId="0" fontId="9" fillId="0" borderId="0" xfId="0" applyFont="1"/>
    <xf numFmtId="166" fontId="9" fillId="0" borderId="0" xfId="5" applyNumberFormat="1" applyFont="1"/>
    <xf numFmtId="9" fontId="10" fillId="5" borderId="9" xfId="4" applyNumberFormat="1" applyFont="1" applyFill="1" applyBorder="1" applyAlignment="1">
      <alignment horizontal="center" vertical="center" wrapText="1"/>
    </xf>
    <xf numFmtId="9" fontId="10" fillId="5" borderId="9" xfId="6" applyFont="1" applyFill="1" applyBorder="1" applyAlignment="1">
      <alignment horizontal="center" vertical="center" wrapText="1"/>
    </xf>
    <xf numFmtId="10" fontId="10" fillId="5" borderId="9" xfId="4" applyNumberFormat="1" applyFont="1" applyFill="1" applyBorder="1" applyAlignment="1">
      <alignment horizontal="center" vertical="center" wrapText="1"/>
    </xf>
    <xf numFmtId="10" fontId="10" fillId="5" borderId="10" xfId="4" applyNumberFormat="1" applyFont="1" applyFill="1" applyBorder="1" applyAlignment="1">
      <alignment horizontal="center" vertical="center" wrapText="1"/>
    </xf>
    <xf numFmtId="167" fontId="10" fillId="5" borderId="13" xfId="5" applyNumberFormat="1" applyFont="1" applyFill="1" applyBorder="1" applyAlignment="1">
      <alignment vertical="center" wrapText="1"/>
    </xf>
    <xf numFmtId="166" fontId="10" fillId="5" borderId="13" xfId="5" applyNumberFormat="1" applyFont="1" applyFill="1" applyBorder="1" applyAlignment="1">
      <alignment vertical="center" wrapText="1"/>
    </xf>
    <xf numFmtId="0" fontId="11" fillId="6" borderId="0" xfId="3" applyFont="1" applyFill="1" applyBorder="1" applyAlignment="1">
      <alignment horizontal="right"/>
    </xf>
    <xf numFmtId="168" fontId="12" fillId="6" borderId="14" xfId="7" applyNumberFormat="1" applyFont="1" applyFill="1" applyBorder="1"/>
    <xf numFmtId="168" fontId="12" fillId="6" borderId="15" xfId="7" applyNumberFormat="1" applyFont="1" applyFill="1" applyBorder="1"/>
    <xf numFmtId="168" fontId="12" fillId="6" borderId="5" xfId="7" applyNumberFormat="1" applyFont="1" applyFill="1" applyBorder="1"/>
    <xf numFmtId="168" fontId="12" fillId="6" borderId="16" xfId="7" applyNumberFormat="1" applyFont="1" applyFill="1" applyBorder="1"/>
    <xf numFmtId="0" fontId="11" fillId="0" borderId="0" xfId="3" applyFont="1" applyFill="1" applyBorder="1" applyAlignment="1">
      <alignment horizontal="right"/>
    </xf>
    <xf numFmtId="0" fontId="11" fillId="7" borderId="17" xfId="3" applyFont="1" applyFill="1" applyBorder="1" applyAlignment="1">
      <alignment horizontal="right"/>
    </xf>
    <xf numFmtId="168" fontId="12" fillId="7" borderId="5" xfId="7" applyNumberFormat="1" applyFont="1" applyFill="1" applyBorder="1"/>
    <xf numFmtId="168" fontId="12" fillId="7" borderId="16" xfId="7" applyNumberFormat="1" applyFont="1" applyFill="1" applyBorder="1"/>
    <xf numFmtId="168" fontId="12" fillId="0" borderId="5" xfId="7" applyNumberFormat="1" applyFont="1" applyBorder="1"/>
    <xf numFmtId="168" fontId="12" fillId="0" borderId="16" xfId="7" applyNumberFormat="1" applyFont="1" applyBorder="1"/>
    <xf numFmtId="10" fontId="12" fillId="6" borderId="5" xfId="2" applyNumberFormat="1" applyFont="1" applyFill="1" applyBorder="1"/>
    <xf numFmtId="10" fontId="12" fillId="6" borderId="16" xfId="2" applyNumberFormat="1" applyFont="1" applyFill="1" applyBorder="1"/>
    <xf numFmtId="166" fontId="12" fillId="0" borderId="5" xfId="1" applyNumberFormat="1" applyFont="1" applyBorder="1"/>
    <xf numFmtId="166" fontId="12" fillId="0" borderId="16" xfId="1" applyNumberFormat="1" applyFont="1" applyBorder="1"/>
    <xf numFmtId="0" fontId="11" fillId="0" borderId="18" xfId="3" applyFont="1" applyFill="1" applyBorder="1" applyAlignment="1">
      <alignment horizontal="right"/>
    </xf>
    <xf numFmtId="166" fontId="12" fillId="8" borderId="5" xfId="1" applyNumberFormat="1" applyFont="1" applyFill="1" applyBorder="1"/>
    <xf numFmtId="166" fontId="12" fillId="8" borderId="16" xfId="1" applyNumberFormat="1" applyFont="1" applyFill="1" applyBorder="1"/>
    <xf numFmtId="0" fontId="11" fillId="0" borderId="17" xfId="3" applyFont="1" applyFill="1" applyBorder="1" applyAlignment="1">
      <alignment horizontal="right"/>
    </xf>
    <xf numFmtId="0" fontId="11" fillId="9" borderId="18" xfId="3" applyFont="1" applyFill="1" applyBorder="1" applyAlignment="1">
      <alignment horizontal="right"/>
    </xf>
    <xf numFmtId="10" fontId="12" fillId="6" borderId="5" xfId="6" applyNumberFormat="1" applyFont="1" applyFill="1" applyBorder="1"/>
    <xf numFmtId="10" fontId="12" fillId="6" borderId="16" xfId="6" applyNumberFormat="1" applyFont="1" applyFill="1" applyBorder="1"/>
    <xf numFmtId="0" fontId="8" fillId="4" borderId="0" xfId="4" applyFont="1" applyFill="1" applyAlignment="1">
      <alignment horizontal="left"/>
    </xf>
    <xf numFmtId="0" fontId="0" fillId="0" borderId="0" xfId="0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/>
    <xf numFmtId="0" fontId="13" fillId="0" borderId="21" xfId="0" applyFont="1" applyBorder="1"/>
    <xf numFmtId="0" fontId="9" fillId="0" borderId="22" xfId="0" applyFont="1" applyBorder="1"/>
    <xf numFmtId="168" fontId="9" fillId="0" borderId="9" xfId="6" applyNumberFormat="1" applyFont="1" applyBorder="1"/>
    <xf numFmtId="10" fontId="9" fillId="0" borderId="10" xfId="6" applyNumberFormat="1" applyFont="1" applyBorder="1"/>
    <xf numFmtId="0" fontId="9" fillId="0" borderId="23" xfId="0" applyFont="1" applyBorder="1"/>
    <xf numFmtId="168" fontId="9" fillId="0" borderId="5" xfId="6" applyNumberFormat="1" applyFont="1" applyBorder="1"/>
    <xf numFmtId="10" fontId="9" fillId="0" borderId="16" xfId="6" applyNumberFormat="1" applyFont="1" applyBorder="1"/>
    <xf numFmtId="166" fontId="9" fillId="0" borderId="5" xfId="5" applyNumberFormat="1" applyFont="1" applyBorder="1"/>
    <xf numFmtId="169" fontId="9" fillId="0" borderId="5" xfId="2" applyNumberFormat="1" applyFont="1" applyBorder="1"/>
    <xf numFmtId="169" fontId="9" fillId="0" borderId="16" xfId="2" applyNumberFormat="1" applyFont="1" applyBorder="1"/>
    <xf numFmtId="0" fontId="0" fillId="0" borderId="23" xfId="0" applyBorder="1"/>
    <xf numFmtId="169" fontId="0" fillId="0" borderId="5" xfId="2" applyNumberFormat="1" applyFont="1" applyBorder="1"/>
    <xf numFmtId="2" fontId="9" fillId="0" borderId="16" xfId="6" applyNumberFormat="1" applyFont="1" applyBorder="1"/>
    <xf numFmtId="168" fontId="0" fillId="0" borderId="5" xfId="0" applyNumberFormat="1" applyBorder="1"/>
    <xf numFmtId="169" fontId="9" fillId="0" borderId="16" xfId="6" applyNumberFormat="1" applyFont="1" applyBorder="1"/>
    <xf numFmtId="0" fontId="9" fillId="10" borderId="23" xfId="0" applyFont="1" applyFill="1" applyBorder="1"/>
    <xf numFmtId="10" fontId="9" fillId="0" borderId="5" xfId="2" applyNumberFormat="1" applyFont="1" applyFill="1" applyBorder="1"/>
    <xf numFmtId="0" fontId="9" fillId="10" borderId="16" xfId="0" applyFont="1" applyFill="1" applyBorder="1"/>
    <xf numFmtId="166" fontId="9" fillId="0" borderId="5" xfId="0" applyNumberFormat="1" applyFont="1" applyBorder="1"/>
    <xf numFmtId="169" fontId="9" fillId="0" borderId="16" xfId="0" applyNumberFormat="1" applyFont="1" applyBorder="1"/>
    <xf numFmtId="169" fontId="0" fillId="0" borderId="16" xfId="0" applyNumberFormat="1" applyBorder="1"/>
    <xf numFmtId="10" fontId="9" fillId="0" borderId="5" xfId="6" applyNumberFormat="1" applyFont="1" applyBorder="1"/>
    <xf numFmtId="43" fontId="0" fillId="0" borderId="16" xfId="5" applyFont="1" applyBorder="1"/>
    <xf numFmtId="0" fontId="0" fillId="0" borderId="24" xfId="0" applyBorder="1"/>
    <xf numFmtId="43" fontId="0" fillId="0" borderId="13" xfId="5" applyFont="1" applyBorder="1"/>
    <xf numFmtId="10" fontId="0" fillId="0" borderId="25" xfId="5" applyNumberFormat="1" applyFont="1" applyBorder="1"/>
    <xf numFmtId="0" fontId="0" fillId="0" borderId="26" xfId="0" applyBorder="1" applyAlignment="1">
      <alignment horizontal="left"/>
    </xf>
    <xf numFmtId="168" fontId="0" fillId="0" borderId="14" xfId="7" applyNumberFormat="1" applyFont="1" applyBorder="1"/>
    <xf numFmtId="0" fontId="0" fillId="0" borderId="15" xfId="0" applyBorder="1"/>
    <xf numFmtId="0" fontId="0" fillId="0" borderId="24" xfId="0" applyBorder="1" applyAlignment="1">
      <alignment horizontal="left"/>
    </xf>
    <xf numFmtId="168" fontId="0" fillId="0" borderId="13" xfId="7" applyNumberFormat="1" applyFont="1" applyBorder="1"/>
    <xf numFmtId="0" fontId="0" fillId="0" borderId="25" xfId="0" applyBorder="1"/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9" fontId="0" fillId="0" borderId="5" xfId="2" applyFont="1" applyBorder="1"/>
    <xf numFmtId="166" fontId="0" fillId="0" borderId="16" xfId="1" applyNumberFormat="1" applyFont="1" applyBorder="1"/>
    <xf numFmtId="0" fontId="3" fillId="4" borderId="22" xfId="0" applyFont="1" applyFill="1" applyBorder="1" applyAlignment="1">
      <alignment horizontal="left"/>
    </xf>
    <xf numFmtId="166" fontId="0" fillId="0" borderId="5" xfId="1" applyNumberFormat="1" applyFont="1" applyBorder="1" applyAlignment="1">
      <alignment horizontal="left"/>
    </xf>
    <xf numFmtId="169" fontId="0" fillId="0" borderId="5" xfId="2" applyNumberFormat="1" applyFont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0" borderId="23" xfId="0" applyFont="1" applyBorder="1"/>
    <xf numFmtId="166" fontId="1" fillId="0" borderId="5" xfId="1" applyNumberFormat="1" applyBorder="1" applyAlignment="1">
      <alignment horizontal="left"/>
    </xf>
    <xf numFmtId="166" fontId="1" fillId="0" borderId="16" xfId="5" applyNumberFormat="1" applyBorder="1" applyAlignment="1">
      <alignment horizontal="left"/>
    </xf>
    <xf numFmtId="0" fontId="3" fillId="10" borderId="23" xfId="0" applyFont="1" applyFill="1" applyBorder="1"/>
    <xf numFmtId="10" fontId="0" fillId="0" borderId="5" xfId="0" applyNumberFormat="1" applyBorder="1" applyAlignment="1">
      <alignment horizontal="left"/>
    </xf>
    <xf numFmtId="166" fontId="0" fillId="0" borderId="16" xfId="5" applyNumberFormat="1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166" fontId="1" fillId="0" borderId="5" xfId="1" applyNumberFormat="1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166" fontId="0" fillId="0" borderId="13" xfId="1" applyNumberFormat="1" applyFont="1" applyBorder="1" applyAlignment="1">
      <alignment horizontal="left"/>
    </xf>
    <xf numFmtId="169" fontId="0" fillId="0" borderId="13" xfId="2" applyNumberFormat="1" applyFont="1" applyBorder="1" applyAlignment="1">
      <alignment horizontal="left"/>
    </xf>
    <xf numFmtId="166" fontId="0" fillId="0" borderId="13" xfId="5" applyNumberFormat="1" applyFont="1" applyBorder="1" applyAlignment="1">
      <alignment horizontal="left"/>
    </xf>
    <xf numFmtId="166" fontId="0" fillId="0" borderId="25" xfId="5" applyNumberFormat="1" applyFont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9" fontId="0" fillId="0" borderId="5" xfId="2" applyFont="1" applyBorder="1" applyAlignment="1">
      <alignment horizontal="left"/>
    </xf>
    <xf numFmtId="0" fontId="3" fillId="0" borderId="5" xfId="0" applyFont="1" applyBorder="1"/>
    <xf numFmtId="43" fontId="3" fillId="0" borderId="5" xfId="1" applyFont="1" applyFill="1" applyBorder="1" applyProtection="1"/>
    <xf numFmtId="166" fontId="3" fillId="0" borderId="5" xfId="1" applyNumberFormat="1" applyFont="1" applyFill="1" applyBorder="1" applyProtection="1"/>
    <xf numFmtId="166" fontId="0" fillId="0" borderId="5" xfId="1" applyNumberFormat="1" applyFont="1" applyBorder="1"/>
    <xf numFmtId="0" fontId="3" fillId="4" borderId="0" xfId="0" applyFont="1" applyFill="1"/>
    <xf numFmtId="10" fontId="3" fillId="0" borderId="0" xfId="0" applyNumberFormat="1" applyFont="1"/>
    <xf numFmtId="169" fontId="3" fillId="0" borderId="0" xfId="2" applyNumberFormat="1" applyFont="1"/>
    <xf numFmtId="10" fontId="3" fillId="0" borderId="5" xfId="0" applyNumberFormat="1" applyFont="1" applyBorder="1"/>
    <xf numFmtId="169" fontId="3" fillId="0" borderId="5" xfId="2" applyNumberFormat="1" applyFont="1" applyBorder="1"/>
    <xf numFmtId="10" fontId="0" fillId="0" borderId="5" xfId="0" applyNumberFormat="1" applyBorder="1"/>
    <xf numFmtId="166" fontId="3" fillId="0" borderId="0" xfId="1" applyNumberFormat="1" applyFont="1"/>
    <xf numFmtId="10" fontId="0" fillId="0" borderId="0" xfId="0" applyNumberFormat="1" applyAlignment="1">
      <alignment horizontal="left"/>
    </xf>
    <xf numFmtId="166" fontId="3" fillId="0" borderId="5" xfId="1" applyNumberFormat="1" applyFont="1" applyBorder="1" applyAlignment="1">
      <alignment horizontal="left"/>
    </xf>
    <xf numFmtId="10" fontId="3" fillId="0" borderId="5" xfId="0" applyNumberFormat="1" applyFont="1" applyBorder="1" applyAlignment="1">
      <alignment horizontal="left"/>
    </xf>
    <xf numFmtId="10" fontId="0" fillId="0" borderId="0" xfId="0" applyNumberFormat="1"/>
    <xf numFmtId="166" fontId="0" fillId="0" borderId="0" xfId="1" applyNumberFormat="1" applyFont="1"/>
    <xf numFmtId="166" fontId="3" fillId="0" borderId="6" xfId="1" applyNumberFormat="1" applyFont="1" applyBorder="1"/>
    <xf numFmtId="0" fontId="3" fillId="0" borderId="6" xfId="0" applyFont="1" applyBorder="1"/>
    <xf numFmtId="14" fontId="0" fillId="0" borderId="5" xfId="1" applyNumberFormat="1" applyFont="1" applyBorder="1"/>
    <xf numFmtId="14" fontId="0" fillId="0" borderId="5" xfId="0" applyNumberFormat="1" applyBorder="1"/>
    <xf numFmtId="43" fontId="0" fillId="0" borderId="5" xfId="1" applyFont="1" applyBorder="1"/>
    <xf numFmtId="170" fontId="0" fillId="0" borderId="5" xfId="1" applyNumberFormat="1" applyFont="1" applyBorder="1"/>
    <xf numFmtId="166" fontId="3" fillId="0" borderId="5" xfId="1" applyNumberFormat="1" applyFont="1" applyBorder="1"/>
    <xf numFmtId="10" fontId="3" fillId="0" borderId="5" xfId="2" applyNumberFormat="1" applyFont="1" applyBorder="1"/>
    <xf numFmtId="167" fontId="3" fillId="0" borderId="5" xfId="1" applyNumberFormat="1" applyFont="1" applyBorder="1"/>
    <xf numFmtId="0" fontId="3" fillId="0" borderId="5" xfId="2" applyNumberFormat="1" applyFont="1" applyBorder="1"/>
    <xf numFmtId="43" fontId="3" fillId="0" borderId="5" xfId="1" applyFont="1" applyBorder="1"/>
    <xf numFmtId="170" fontId="3" fillId="0" borderId="5" xfId="1" applyNumberFormat="1" applyFont="1" applyBorder="1"/>
    <xf numFmtId="0" fontId="3" fillId="0" borderId="5" xfId="1" applyNumberFormat="1" applyFont="1" applyBorder="1"/>
    <xf numFmtId="166" fontId="3" fillId="11" borderId="5" xfId="1" applyNumberFormat="1" applyFont="1" applyFill="1" applyBorder="1"/>
    <xf numFmtId="0" fontId="0" fillId="0" borderId="0" xfId="1" applyNumberFormat="1" applyFont="1"/>
    <xf numFmtId="170" fontId="0" fillId="0" borderId="0" xfId="1" applyNumberFormat="1" applyFont="1"/>
    <xf numFmtId="0" fontId="0" fillId="0" borderId="5" xfId="1" applyNumberFormat="1" applyFont="1" applyBorder="1"/>
    <xf numFmtId="0" fontId="0" fillId="0" borderId="5" xfId="2" applyNumberFormat="1" applyFont="1" applyBorder="1"/>
    <xf numFmtId="14" fontId="0" fillId="0" borderId="5" xfId="2" applyNumberFormat="1" applyFont="1" applyBorder="1"/>
    <xf numFmtId="0" fontId="0" fillId="0" borderId="5" xfId="1" applyNumberFormat="1" applyFont="1" applyFill="1" applyBorder="1"/>
    <xf numFmtId="166" fontId="0" fillId="0" borderId="5" xfId="1" applyNumberFormat="1" applyFont="1" applyFill="1" applyBorder="1"/>
    <xf numFmtId="0" fontId="0" fillId="0" borderId="5" xfId="2" applyNumberFormat="1" applyFont="1" applyFill="1" applyBorder="1"/>
    <xf numFmtId="43" fontId="0" fillId="0" borderId="5" xfId="1" applyFont="1" applyFill="1" applyBorder="1"/>
    <xf numFmtId="14" fontId="0" fillId="0" borderId="5" xfId="2" applyNumberFormat="1" applyFont="1" applyFill="1" applyBorder="1"/>
    <xf numFmtId="170" fontId="0" fillId="0" borderId="5" xfId="1" applyNumberFormat="1" applyFont="1" applyFill="1" applyBorder="1"/>
    <xf numFmtId="14" fontId="0" fillId="0" borderId="5" xfId="1" applyNumberFormat="1" applyFont="1" applyFill="1" applyBorder="1"/>
    <xf numFmtId="9" fontId="0" fillId="0" borderId="5" xfId="2" applyFont="1" applyFill="1" applyBorder="1"/>
    <xf numFmtId="169" fontId="0" fillId="0" borderId="5" xfId="2" applyNumberFormat="1" applyFont="1" applyFill="1" applyBorder="1"/>
    <xf numFmtId="9" fontId="0" fillId="0" borderId="5" xfId="2" applyFont="1" applyBorder="1" applyAlignment="1">
      <alignment horizontal="right"/>
    </xf>
    <xf numFmtId="171" fontId="0" fillId="0" borderId="0" xfId="1" applyNumberFormat="1" applyFont="1"/>
    <xf numFmtId="171" fontId="0" fillId="0" borderId="5" xfId="1" applyNumberFormat="1" applyFont="1" applyBorder="1"/>
    <xf numFmtId="0" fontId="3" fillId="4" borderId="0" xfId="0" applyFont="1" applyFill="1" applyAlignment="1">
      <alignment horizontal="left"/>
    </xf>
    <xf numFmtId="166" fontId="0" fillId="0" borderId="0" xfId="5" applyNumberFormat="1" applyFont="1" applyAlignment="1">
      <alignment horizontal="left"/>
    </xf>
    <xf numFmtId="43" fontId="0" fillId="0" borderId="5" xfId="0" applyNumberFormat="1" applyBorder="1"/>
    <xf numFmtId="166" fontId="3" fillId="0" borderId="27" xfId="1" applyNumberFormat="1" applyFont="1" applyBorder="1"/>
    <xf numFmtId="166" fontId="0" fillId="0" borderId="28" xfId="1" applyNumberFormat="1" applyFont="1" applyBorder="1"/>
    <xf numFmtId="166" fontId="1" fillId="0" borderId="0" xfId="5" applyNumberFormat="1" applyAlignment="1">
      <alignment horizontal="left"/>
    </xf>
    <xf numFmtId="9" fontId="0" fillId="0" borderId="5" xfId="2" applyFont="1" applyBorder="1" applyAlignment="1"/>
    <xf numFmtId="166" fontId="3" fillId="0" borderId="28" xfId="1" applyNumberFormat="1" applyFont="1" applyBorder="1"/>
    <xf numFmtId="0" fontId="10" fillId="5" borderId="7" xfId="4" applyFont="1" applyFill="1" applyBorder="1" applyAlignment="1">
      <alignment horizontal="left" vertical="center" wrapText="1"/>
    </xf>
    <xf numFmtId="0" fontId="10" fillId="5" borderId="11" xfId="4" applyFont="1" applyFill="1" applyBorder="1" applyAlignment="1">
      <alignment horizontal="left" vertical="center" wrapText="1"/>
    </xf>
    <xf numFmtId="0" fontId="10" fillId="5" borderId="8" xfId="4" applyFont="1" applyFill="1" applyBorder="1" applyAlignment="1">
      <alignment horizontal="center" vertical="center" wrapText="1"/>
    </xf>
    <xf numFmtId="0" fontId="10" fillId="5" borderId="12" xfId="4" applyFont="1" applyFill="1" applyBorder="1" applyAlignment="1">
      <alignment horizontal="center" vertical="center" wrapText="1"/>
    </xf>
    <xf numFmtId="14" fontId="3" fillId="0" borderId="5" xfId="0" applyNumberFormat="1" applyFont="1" applyBorder="1"/>
    <xf numFmtId="47" fontId="3" fillId="0" borderId="5" xfId="0" applyNumberFormat="1" applyFont="1" applyBorder="1"/>
  </cellXfs>
  <cellStyles count="8">
    <cellStyle name="Comma" xfId="1" builtinId="3"/>
    <cellStyle name="Comma 4" xfId="5" xr:uid="{A67107D1-6514-48CF-84F6-F82C6BD00938}"/>
    <cellStyle name="Currency 3 2" xfId="7" xr:uid="{92E650D9-161E-4D4A-941E-161774727DD2}"/>
    <cellStyle name="Heading 4" xfId="3" builtinId="19"/>
    <cellStyle name="Heading 4 2" xfId="4" xr:uid="{4611CDEC-04ED-445C-BD50-253C23EA96E5}"/>
    <cellStyle name="Normal" xfId="0" builtinId="0"/>
    <cellStyle name="Percent" xfId="2" builtinId="5"/>
    <cellStyle name="Percent 4" xfId="6" xr:uid="{0D48C7B5-0653-4403-9C8C-2B65ACC20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lient%20Reports\Bound%20Portfolio%20Reports\July%202021\Bound%20Fund%20Are%205.0%20July%208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ndhu/Bound%20Portfolio/Nov%2017/Bound%20Report%20Import%20Template-%20AIR%20-%2011172025.xlsm" TargetMode="External"/><Relationship Id="rId2" Type="http://schemas.openxmlformats.org/officeDocument/2006/relationships/externalLinkPath" Target="file:///C:\Sindhu\Bound%20Portfolio\Nov%2017\Bound%20Report%20Import%20Template-%20AIR%20-%2011172025.xlsm" TargetMode="External"/><Relationship Id="rId1" Type="http://schemas.openxmlformats.org/officeDocument/2006/relationships/externalLinkPath" Target="/Sindhu/Bound%20Portfolio/Nov%2017/Bound%20Report%20Import%20Template-%20AIR%20-%201117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Checks"/>
      <sheetName val="Version Control"/>
      <sheetName val="Index"/>
      <sheetName val="Comparison V_8.0"/>
      <sheetName val="P&amp;L"/>
      <sheetName val="Limit by Guideline %"/>
      <sheetName val="BoundLayerDB"/>
      <sheetName val="BoundLayerTransaction"/>
      <sheetName val="Guidelines"/>
      <sheetName val="RegionPeril"/>
      <sheetName val="Bound Portfolio Report"/>
      <sheetName val="Region Peril By Deal"/>
      <sheetName val="Leverage Calc"/>
      <sheetName val="AALByMonth"/>
      <sheetName val="~AnalyzeReAddIn"/>
      <sheetName val="PH_EQ_TY"/>
      <sheetName val="HistoricalEvents"/>
      <sheetName val="ILS Report- DeployedCapital"/>
      <sheetName val="ILS Report- AvailableCapital"/>
      <sheetName val="ILS Report- Combined"/>
      <sheetName val="HistoricalEvents_AddAdj"/>
      <sheetName val="EPCurve"/>
      <sheetName val="Free Cash analysis"/>
      <sheetName val="May to June 2021 (Cat bd &amp; IOU)"/>
      <sheetName val="ART Collateral"/>
      <sheetName val="Settings"/>
      <sheetName val="Downloa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>f74b1185-2790-4456-97b4-c593bb2c4c54</v>
          </cell>
          <cell r="D3" t="str">
            <v>da2d16f3-da36-4797-a854-2c29a9cad374</v>
          </cell>
        </row>
        <row r="4">
          <cell r="B4" t="str">
            <v>f5a81352-f47e-4b9d-9e2c-d0d43e4323c3</v>
          </cell>
          <cell r="D4" t="str">
            <v>e55fb6ed-c1e9-423c-93b0-56454001fcc0</v>
          </cell>
        </row>
        <row r="5">
          <cell r="B5" t="str">
            <v>1db260a6-f8a2-473e-a9cc-602d49d928d4</v>
          </cell>
          <cell r="D5" t="str">
            <v>1db260a6-f8a2-473e-a9cc-602d49d928d4</v>
          </cell>
        </row>
        <row r="6">
          <cell r="B6" t="str">
            <v>ace90e6c-eea5-41eb-9688-f7aea0bb6127</v>
          </cell>
          <cell r="D6" t="str">
            <v>ace90e6c-eea5-41eb-9688-f7aea0bb6127</v>
          </cell>
        </row>
        <row r="7">
          <cell r="B7" t="str">
            <v>b57a2f08-fdd0-4920-b673-ca80fba7c4e2</v>
          </cell>
          <cell r="D7" t="str">
            <v>b57a2f08-fdd0-4920-b673-ca80fba7c4e2</v>
          </cell>
        </row>
        <row r="8">
          <cell r="B8" t="str">
            <v>0d60ddeb-f5e7-4cb3-8ce7-1b4ffff84708</v>
          </cell>
          <cell r="D8" t="str">
            <v>0d60ddeb-f5e7-4cb3-8ce7-1b4ffff84708</v>
          </cell>
        </row>
        <row r="9">
          <cell r="B9" t="str">
            <v>78b8baf2-d021-474a-88fe-8848157f307c</v>
          </cell>
          <cell r="D9" t="str">
            <v>78b8baf2-d021-474a-88fe-8848157f307c</v>
          </cell>
        </row>
        <row r="10">
          <cell r="B10" t="str">
            <v>0d037bdf-4c5b-440f-af45-40ab6bfa679a</v>
          </cell>
          <cell r="D10" t="str">
            <v>0d037bdf-4c5b-440f-af45-40ab6bfa679a</v>
          </cell>
        </row>
        <row r="11">
          <cell r="B11" t="str">
            <v>0e74071f-f24a-41e9-a546-92308322358b</v>
          </cell>
          <cell r="D11" t="str">
            <v>0e74071f-f24a-41e9-a546-92308322358b</v>
          </cell>
        </row>
        <row r="12">
          <cell r="B12" t="str">
            <v>a6d3dc3b-43d0-43f5-b383-efb3f802deb2</v>
          </cell>
          <cell r="D12" t="str">
            <v>5e8fabde-347b-439c-87cf-bcfb4f715eb1</v>
          </cell>
        </row>
        <row r="13">
          <cell r="B13" t="str">
            <v>8bf343b5-ed85-49ca-a579-b240dfac2e64</v>
          </cell>
          <cell r="D13" t="str">
            <v>8bf343b5-ed85-49ca-a579-b240dfac2e64</v>
          </cell>
        </row>
        <row r="14">
          <cell r="B14" t="str">
            <v>bb16ef32-b2f8-40f8-b42a-7f157e4a85e8</v>
          </cell>
          <cell r="D14" t="str">
            <v>bb16ef32-b2f8-40f8-b42a-7f157e4a85e8</v>
          </cell>
        </row>
        <row r="15">
          <cell r="B15" t="str">
            <v>cc894233-c238-4dbf-9343-a786880d26ba</v>
          </cell>
          <cell r="D15" t="str">
            <v>cc894233-c238-4dbf-9343-a786880d26ba</v>
          </cell>
        </row>
        <row r="16">
          <cell r="B16" t="str">
            <v>4f5cea76-4687-4e7c-8f51-92a5830e28f1</v>
          </cell>
          <cell r="D16" t="str">
            <v>4f5cea76-4687-4e7c-8f51-92a5830e28f1</v>
          </cell>
        </row>
        <row r="17">
          <cell r="B17" t="str">
            <v>1748e56d-6998-494f-81c5-a56945501558</v>
          </cell>
          <cell r="D17" t="str">
            <v>f4b9b7cc-d315-4941-a570-86a04f0d4cc3</v>
          </cell>
        </row>
        <row r="18">
          <cell r="B18" t="str">
            <v>1efdfd0a-4f9a-4f1f-8454-c96dd24cf18f</v>
          </cell>
          <cell r="D18" t="str">
            <v>01cf8f26-0234-4502-aa38-3cd8fed2e7fe</v>
          </cell>
        </row>
        <row r="19">
          <cell r="B19" t="str">
            <v>ac67c715-d8ca-48f2-a570-1c0ea6d75123</v>
          </cell>
          <cell r="D19" t="str">
            <v>ac67c715-d8ca-48f2-a570-1c0ea6d75123</v>
          </cell>
        </row>
        <row r="20">
          <cell r="B20" t="str">
            <v>8e8eef8e-3081-48e0-a182-c4d6e82f8910</v>
          </cell>
          <cell r="D20" t="str">
            <v>8e8eef8e-3081-48e0-a182-c4d6e82f8910</v>
          </cell>
        </row>
        <row r="21">
          <cell r="B21" t="str">
            <v>a1b763f3-f5fa-41d6-a198-a3dd657c2b0c</v>
          </cell>
          <cell r="D21" t="str">
            <v>a1b763f3-f5fa-41d6-a198-a3dd657c2b0c</v>
          </cell>
        </row>
        <row r="22">
          <cell r="B22" t="str">
            <v>cda60fa2-d7ba-4b04-8f47-b39dc06901f4</v>
          </cell>
          <cell r="D22" t="str">
            <v>a94abb8a-388b-4a22-95f2-804d80def75a</v>
          </cell>
        </row>
        <row r="23">
          <cell r="B23" t="str">
            <v>66e777b5-bf07-46bb-afec-b01e1e9450ca</v>
          </cell>
          <cell r="D23" t="str">
            <v>ee364d8a-54b2-48a6-a60e-2ee1b478371f</v>
          </cell>
        </row>
        <row r="24">
          <cell r="B24" t="str">
            <v>1cb19bab-0723-4e08-a35f-0c6eb72c7fec</v>
          </cell>
          <cell r="D24" t="str">
            <v>3ac41184-3e03-49dd-981c-47fb5e7feee1</v>
          </cell>
        </row>
        <row r="25">
          <cell r="B25" t="str">
            <v>02097af3-58dc-4cca-8d11-af02faf56d35</v>
          </cell>
          <cell r="D25" t="str">
            <v>02097af3-58dc-4cca-8d11-af02faf56d35</v>
          </cell>
        </row>
        <row r="26">
          <cell r="B26" t="str">
            <v>4a4da73f-cc61-4851-a3ab-4d04f9c58758</v>
          </cell>
          <cell r="D26" t="str">
            <v>4a4da73f-cc61-4851-a3ab-4d04f9c58758</v>
          </cell>
        </row>
        <row r="27">
          <cell r="B27" t="str">
            <v>be03cdda-17ec-4b23-973d-cd3da96f4c17</v>
          </cell>
          <cell r="D27" t="str">
            <v>be03cdda-17ec-4b23-973d-cd3da96f4c17</v>
          </cell>
        </row>
        <row r="28">
          <cell r="B28" t="str">
            <v>b1bd2d0e-aa09-4cfa-b0bc-0c9f5aa6a70f</v>
          </cell>
          <cell r="D28" t="str">
            <v>b1bd2d0e-aa09-4cfa-b0bc-0c9f5aa6a70f</v>
          </cell>
        </row>
        <row r="29">
          <cell r="B29" t="str">
            <v>030b277e-5cf5-4b7c-bba6-a157090b2e1d</v>
          </cell>
          <cell r="D29" t="str">
            <v>52f1f148-e949-4335-9bcb-b1627e2c6a46</v>
          </cell>
        </row>
        <row r="30">
          <cell r="B30" t="str">
            <v>945384eb-dd73-4124-95b5-daa1d0acebc5</v>
          </cell>
          <cell r="D30" t="str">
            <v>e0c3601e-5e44-42a9-ae7e-76dc123a77e8</v>
          </cell>
        </row>
        <row r="31">
          <cell r="B31" t="str">
            <v>3a254a51-dde6-4982-aea2-31f22d659045</v>
          </cell>
          <cell r="D31" t="str">
            <v>615f2dbf-6997-4f36-acd2-b3a85596c32f</v>
          </cell>
        </row>
        <row r="32">
          <cell r="B32" t="str">
            <v>e8038ce4-e39f-4e0a-92c2-456e090da305</v>
          </cell>
          <cell r="D32" t="str">
            <v>e8038ce4-e39f-4e0a-92c2-456e090da305</v>
          </cell>
        </row>
        <row r="33">
          <cell r="B33" t="str">
            <v>44e7085d-57b9-4402-80f8-9ff378a2618d</v>
          </cell>
          <cell r="D33" t="str">
            <v>44e7085d-57b9-4402-80f8-9ff378a2618d</v>
          </cell>
        </row>
        <row r="34">
          <cell r="B34" t="str">
            <v>af755125-9cce-40f3-8c65-6286fd072aed</v>
          </cell>
          <cell r="D34" t="str">
            <v>a8bfe41e-cb32-481c-ad69-e6f28ed49505</v>
          </cell>
        </row>
        <row r="35">
          <cell r="B35" t="str">
            <v>143b3cc6-fe04-4568-a08b-482e9f174a6b</v>
          </cell>
          <cell r="D35" t="str">
            <v>5f0a8d21-65bd-4a10-8205-292f26e4be89</v>
          </cell>
        </row>
        <row r="36">
          <cell r="B36" t="str">
            <v>faf86cf8-8ae9-4c2c-bd3f-bf0d6df3c9c0</v>
          </cell>
          <cell r="D36" t="str">
            <v>faf86cf8-8ae9-4c2c-bd3f-bf0d6df3c9c0</v>
          </cell>
        </row>
        <row r="37">
          <cell r="B37" t="str">
            <v>7458d7bf-ccb6-4053-b6f4-a5ad023a513b</v>
          </cell>
          <cell r="D37" t="str">
            <v>cfbd124d-6961-4aac-8a81-68757aa0282a</v>
          </cell>
        </row>
        <row r="38">
          <cell r="B38" t="str">
            <v>0bb71f89-3d3c-425a-afdc-2dd959e1541d</v>
          </cell>
          <cell r="D38" t="str">
            <v>0bb71f89-3d3c-425a-afdc-2dd959e1541d</v>
          </cell>
        </row>
        <row r="39">
          <cell r="B39" t="str">
            <v>1eb85d37-92bd-4dd1-bf68-37decd4b8520</v>
          </cell>
          <cell r="D39" t="str">
            <v>13179b22-932d-4f4f-9294-5593749beeaf</v>
          </cell>
        </row>
        <row r="40">
          <cell r="B40" t="str">
            <v>3de30a9c-4ee4-42ca-8ffa-c70029c71deb</v>
          </cell>
          <cell r="D40" t="str">
            <v>17e9592a-c6ad-469a-bd85-4b442e350332</v>
          </cell>
        </row>
        <row r="41">
          <cell r="B41" t="str">
            <v>d9dbfe40-a3f7-489b-a512-9ca0f428db86</v>
          </cell>
          <cell r="D41" t="str">
            <v>ec1e7ec3-27d7-4773-8bd0-3f958f51f767</v>
          </cell>
        </row>
        <row r="42">
          <cell r="B42" t="str">
            <v>613cbe86-488e-4695-a06b-e85852fda7cd</v>
          </cell>
          <cell r="D42" t="str">
            <v>528c1f61-2fe2-4017-8057-d11ce3e9a5e6</v>
          </cell>
        </row>
        <row r="43">
          <cell r="B43" t="str">
            <v>8913d62d-45a6-4320-818a-860c271a30da</v>
          </cell>
          <cell r="D43" t="str">
            <v>d88bd82c-7fd9-40a8-b545-27f9f6c59093</v>
          </cell>
        </row>
        <row r="44">
          <cell r="B44" t="str">
            <v>b4611905-5bef-44e6-a585-47c43509b61f</v>
          </cell>
          <cell r="D44" t="str">
            <v>bc370e72-5148-4f6e-a7b9-4c3c856a9204</v>
          </cell>
        </row>
        <row r="45">
          <cell r="B45" t="str">
            <v>99fc7615-ba25-40f5-9ccb-0c5196d7beff</v>
          </cell>
          <cell r="D45" t="str">
            <v>e2cead91-9dd3-45ae-b4b3-411502bfcf34</v>
          </cell>
        </row>
        <row r="46">
          <cell r="B46" t="str">
            <v>07d73fe4-876c-47e0-9f43-45149d08e530</v>
          </cell>
          <cell r="D46" t="str">
            <v>1bc2b2f3-50dc-4ad1-90b0-f78674db3b48</v>
          </cell>
        </row>
        <row r="47">
          <cell r="B47" t="str">
            <v>ed3d3706-3989-4567-9593-9bbd28af6f78</v>
          </cell>
          <cell r="D47" t="str">
            <v>e48e592c-4703-4e88-84fd-b82d9a13f658</v>
          </cell>
        </row>
        <row r="48">
          <cell r="B48" t="str">
            <v>def71915-8036-4f67-a892-985e2cf987e7</v>
          </cell>
          <cell r="D48" t="str">
            <v>1600722a-64b6-4ae6-8178-ab34658e9cda</v>
          </cell>
        </row>
        <row r="49">
          <cell r="B49" t="str">
            <v>b35ae2d8-0d34-4429-a010-dc87cb616c03</v>
          </cell>
          <cell r="D49" t="str">
            <v>6f5c87b2-7e4c-4667-b8ea-98187450d33b</v>
          </cell>
        </row>
        <row r="50">
          <cell r="B50" t="str">
            <v>85339c3a-1f29-46c4-abc0-92431fbe2a01</v>
          </cell>
          <cell r="D50" t="str">
            <v>d693c137-0e4d-4e64-8777-dcfc258fb834</v>
          </cell>
        </row>
        <row r="51">
          <cell r="B51" t="str">
            <v>c69ec3e5-d550-4674-a060-39b8ec5b9b81</v>
          </cell>
          <cell r="D51" t="str">
            <v>c69ec3e5-d550-4674-a060-39b8ec5b9b81</v>
          </cell>
        </row>
        <row r="52">
          <cell r="B52" t="str">
            <v>9ccdd151-185c-4e6c-afed-e97240f8f5f9</v>
          </cell>
          <cell r="D52" t="str">
            <v>302ca347-3579-4abc-bc39-21a78a157add</v>
          </cell>
        </row>
        <row r="53">
          <cell r="B53" t="str">
            <v>e436fd72-2a60-4447-8c3c-9d68749bc529</v>
          </cell>
          <cell r="D53" t="str">
            <v>e436fd72-2a60-4447-8c3c-9d68749bc529</v>
          </cell>
        </row>
        <row r="54">
          <cell r="B54" t="str">
            <v>27cbc047-5e22-43bd-bbdf-0701cc13dc29</v>
          </cell>
          <cell r="D54" t="str">
            <v>27cbc047-5e22-43bd-bbdf-0701cc13dc29</v>
          </cell>
        </row>
        <row r="55">
          <cell r="B55" t="str">
            <v>0ccf2def-c88f-4c01-b8d0-3da32c550b5b</v>
          </cell>
          <cell r="D55" t="str">
            <v>1443684f-35c9-4bde-a867-7d5363ef0366</v>
          </cell>
        </row>
        <row r="56">
          <cell r="B56" t="str">
            <v>1896da5b-179d-4d09-8367-08cac22f0c45</v>
          </cell>
          <cell r="D56" t="str">
            <v>d513a4cf-c3db-4d61-af9e-8398d200a70e</v>
          </cell>
        </row>
        <row r="57">
          <cell r="B57" t="str">
            <v>d0b0c099-5ee5-41d4-81c7-4a9ad9e60022</v>
          </cell>
          <cell r="D57" t="str">
            <v>b186b116-83d7-4517-971e-06097de9fe74</v>
          </cell>
        </row>
        <row r="58">
          <cell r="B58" t="str">
            <v>3c2ba04b-5f6a-43e4-9432-fc715b9d96be</v>
          </cell>
          <cell r="D58" t="str">
            <v>53a423fe-9d90-4ba0-9d75-f8db50eee2a7</v>
          </cell>
        </row>
        <row r="59">
          <cell r="B59" t="str">
            <v>40b520d9-c56d-429b-b27b-f5ff5231ce3d</v>
          </cell>
          <cell r="D59" t="str">
            <v>cbac4bd4-56ba-4377-805e-9d3460959c83</v>
          </cell>
        </row>
        <row r="60">
          <cell r="B60" t="str">
            <v>7c421aad-02b1-4283-9c7a-a14a3a65ba6d</v>
          </cell>
          <cell r="D60" t="str">
            <v>fcee0f47-bbf9-461c-97b6-0ddcf5929f6a</v>
          </cell>
        </row>
        <row r="61">
          <cell r="B61" t="str">
            <v>fbf50045-0015-4baf-9057-a8bfeaf27189</v>
          </cell>
          <cell r="D61" t="str">
            <v>1ceb183b-7010-4637-8415-0b19103be13a</v>
          </cell>
        </row>
        <row r="62">
          <cell r="B62" t="str">
            <v>1d5cdfea-a0d1-40bf-a8fc-559611ebb78e</v>
          </cell>
          <cell r="D62" t="str">
            <v>65802c86-239d-44a5-a250-5763b18bc35d</v>
          </cell>
        </row>
        <row r="63">
          <cell r="B63" t="str">
            <v>17d4720c-abc8-42da-a07e-749f33cc860a</v>
          </cell>
          <cell r="D63" t="str">
            <v>8b2bd62d-6420-45d3-ac26-5d83e2929e58</v>
          </cell>
        </row>
        <row r="64">
          <cell r="B64" t="str">
            <v>532f05cc-8fb0-40c0-b114-5024e3b33d7a</v>
          </cell>
          <cell r="D64" t="str">
            <v>56c94b29-b7bd-4c7b-bf23-d72f1ccf02dc</v>
          </cell>
        </row>
        <row r="65">
          <cell r="B65" t="str">
            <v>041c805a-6767-4509-99c2-bebc32e05102</v>
          </cell>
          <cell r="D65" t="str">
            <v>4a7510b4-e6cb-4e5c-a968-f2af67497372</v>
          </cell>
        </row>
        <row r="66">
          <cell r="B66" t="str">
            <v>0e6e076c-5ec3-4deb-b20e-5b85c22f8474</v>
          </cell>
          <cell r="D66" t="str">
            <v>d67526d1-9995-4c0c-9d4e-a3e00d406a14</v>
          </cell>
        </row>
        <row r="67">
          <cell r="B67" t="str">
            <v>84320566-c675-4405-80d4-534e18c9035e</v>
          </cell>
          <cell r="D67" t="str">
            <v>4f3daa03-f60e-4dbe-9ab3-4ca535271fd2</v>
          </cell>
        </row>
        <row r="68">
          <cell r="B68" t="str">
            <v>080aa06b-359d-4ea2-b127-7e67572ee742</v>
          </cell>
          <cell r="D68" t="str">
            <v>080aa06b-359d-4ea2-b127-7e67572ee742</v>
          </cell>
        </row>
        <row r="69">
          <cell r="B69" t="str">
            <v>0db13979-776a-40b4-952f-362355203ee6</v>
          </cell>
          <cell r="D69" t="str">
            <v>19dfbc5f-45e9-4152-b48c-2887c8509ac3</v>
          </cell>
        </row>
        <row r="70">
          <cell r="B70" t="str">
            <v>e4beed55-160e-4591-9e6c-28b6f2daee97</v>
          </cell>
          <cell r="D70" t="str">
            <v>bc44f699-0117-4279-adc6-eddc01a68f6c</v>
          </cell>
        </row>
        <row r="71">
          <cell r="B71" t="str">
            <v>6738a179-a722-4dfa-9836-c0f838278249</v>
          </cell>
          <cell r="D71" t="str">
            <v>407e6d65-3553-455f-929b-9ae20dc577b5</v>
          </cell>
        </row>
        <row r="72">
          <cell r="B72" t="str">
            <v>3679802f-8f29-43fa-baa5-98c52fedfa6b</v>
          </cell>
          <cell r="D72" t="str">
            <v>a1e5bcd9-a964-4327-847b-901c57be2fd7</v>
          </cell>
        </row>
        <row r="73">
          <cell r="B73" t="str">
            <v>6c9fc971-1bf6-491e-b986-40c8c8fbfd77</v>
          </cell>
          <cell r="D73" t="str">
            <v>dfc694c6-c0ca-460a-95e5-0d20edb8f80e</v>
          </cell>
        </row>
        <row r="74">
          <cell r="B74" t="str">
            <v>a0702302-2b6d-4a1e-97ef-f6a6c34722ae</v>
          </cell>
          <cell r="D74" t="str">
            <v>173604b8-9444-49bd-a0ef-6f5816764b4e</v>
          </cell>
        </row>
        <row r="75">
          <cell r="B75" t="str">
            <v>901a089c-3947-4d62-beee-1bb6468323ba</v>
          </cell>
          <cell r="D75" t="str">
            <v>ab05ff8d-7b06-4bb5-88ad-0f078ec996a7</v>
          </cell>
        </row>
        <row r="76">
          <cell r="B76" t="str">
            <v>a40307c6-c759-49a3-b102-458be0797fd5</v>
          </cell>
          <cell r="D76" t="str">
            <v>2ca3d394-754a-4525-a715-c6b15f5f1506</v>
          </cell>
        </row>
        <row r="77">
          <cell r="B77" t="str">
            <v>170868ea-1534-4563-83d5-30efd28bfe97</v>
          </cell>
          <cell r="D77" t="str">
            <v>4cdc6658-0b04-4056-b7f8-c94a21f05567</v>
          </cell>
        </row>
        <row r="78">
          <cell r="B78" t="str">
            <v>326a486e-1ddb-4e83-ac61-80ac2928a4d7</v>
          </cell>
          <cell r="D78" t="str">
            <v>6c7c31d7-1015-4292-b41f-4f9e93d496c4</v>
          </cell>
        </row>
        <row r="79">
          <cell r="B79" t="str">
            <v>3e62e249-0429-4f40-ae37-86d5bd4c7ba0</v>
          </cell>
          <cell r="D79" t="str">
            <v>b14f50c4-6625-431d-8158-cfef97f5997c</v>
          </cell>
        </row>
        <row r="80">
          <cell r="B80" t="str">
            <v>3561c634-221c-4810-96a2-c0017c88cac2</v>
          </cell>
          <cell r="D80" t="str">
            <v>5126294a-fbc3-4cfd-a44d-8fa0dc0120e4</v>
          </cell>
        </row>
        <row r="81">
          <cell r="B81" t="str">
            <v>522b90d9-a504-46b2-90c5-51ffa4a2e392</v>
          </cell>
          <cell r="D81" t="str">
            <v>b7766c36-6693-42aa-98cc-f73ff6cac609</v>
          </cell>
        </row>
        <row r="82">
          <cell r="B82" t="str">
            <v>cf8fbcfe-db8c-4c6a-aec4-d33809e805d9</v>
          </cell>
          <cell r="D82" t="str">
            <v>d1fb3ea6-0576-4fe3-b47b-c0e1b480c2d1</v>
          </cell>
        </row>
        <row r="83">
          <cell r="B83" t="str">
            <v>c269fb9f-464e-4351-9552-eab589a099e0</v>
          </cell>
          <cell r="D83" t="str">
            <v>3e97b3c9-c688-4067-bfcc-920244c152b4</v>
          </cell>
        </row>
        <row r="84">
          <cell r="B84" t="str">
            <v>ba8e3ab8-9182-45d3-9e30-44486c59e878</v>
          </cell>
          <cell r="D84" t="str">
            <v>0c32149b-9a1e-4d94-80c3-dfbc9705331a</v>
          </cell>
        </row>
        <row r="85">
          <cell r="B85" t="str">
            <v>171748ac-19e8-48b2-91db-8ccd81345449</v>
          </cell>
          <cell r="D85" t="str">
            <v>88323c2c-f716-4763-99de-3f50a47c9424</v>
          </cell>
        </row>
        <row r="86">
          <cell r="B86" t="str">
            <v>54f76fdc-33b9-4af1-9c5c-f377892bac0a</v>
          </cell>
          <cell r="D86" t="str">
            <v>4dddc222-e6fe-4833-b966-459eff6bb370</v>
          </cell>
        </row>
        <row r="87">
          <cell r="B87" t="str">
            <v>21dea044-de8f-4b11-a0e6-cf3eec9634aa</v>
          </cell>
          <cell r="D87" t="str">
            <v>b4bfa346-0f23-4840-b94f-5ff2da60de65</v>
          </cell>
        </row>
        <row r="88">
          <cell r="B88" t="str">
            <v>f8339d53-ee8c-4686-936e-7058c4f0f79d</v>
          </cell>
          <cell r="D88" t="str">
            <v>c4a298fe-662c-494d-a80c-4f79c8990f64</v>
          </cell>
        </row>
        <row r="89">
          <cell r="B89" t="str">
            <v>823a610f-b7a7-4e68-a23b-0a28beeea9d8</v>
          </cell>
          <cell r="D89" t="str">
            <v>addeda11-9f44-4a27-bb57-41dc392910c3</v>
          </cell>
        </row>
        <row r="90">
          <cell r="B90" t="str">
            <v>fb94af8f-d44b-406b-8599-3344c344ab0d</v>
          </cell>
          <cell r="D90" t="str">
            <v>f9743afe-6afe-406b-857e-858b9b04285b</v>
          </cell>
        </row>
        <row r="91">
          <cell r="B91" t="str">
            <v>29e95ad2-a2ff-4352-aee5-f3271aa92bd4</v>
          </cell>
          <cell r="D91" t="str">
            <v>b246af28-3446-4792-b4f8-6d6c87776af7</v>
          </cell>
        </row>
        <row r="92">
          <cell r="B92" t="str">
            <v>f6c5b9c5-b010-4c97-af45-2be77bf6606e</v>
          </cell>
          <cell r="D92" t="str">
            <v>7425169e-95c5-436c-8fc9-95a546235e14</v>
          </cell>
        </row>
        <row r="93">
          <cell r="B93" t="str">
            <v>ad716185-54f7-4352-98ff-e6836b6021d6</v>
          </cell>
          <cell r="D93" t="str">
            <v>0b0eb7d5-f2dc-42ce-bc26-6bcaf27a797d</v>
          </cell>
        </row>
        <row r="94">
          <cell r="B94" t="str">
            <v>3735a91c-029c-4a08-879c-ad53a8dd4ada</v>
          </cell>
          <cell r="D94" t="str">
            <v>234e52bd-f40c-4920-b414-d3d3b07db3eb</v>
          </cell>
        </row>
        <row r="95">
          <cell r="B95" t="str">
            <v>fef45136-91d4-4e9b-9476-c31deb56c80a</v>
          </cell>
          <cell r="D95" t="str">
            <v>1d0f1ae6-c733-4cbe-821c-8e848c4f136d</v>
          </cell>
        </row>
        <row r="96">
          <cell r="B96" t="str">
            <v>02ac7df9-9d9a-4f66-a124-bb9bf04fbfb4</v>
          </cell>
          <cell r="D96" t="str">
            <v>12aa5fc0-435a-42ac-a8a4-ee4f7c3d661d</v>
          </cell>
        </row>
        <row r="97">
          <cell r="B97" t="str">
            <v>9d6c44d2-8695-4592-bf7e-d882d4cb0e47</v>
          </cell>
          <cell r="D97" t="str">
            <v>42d26fff-2ccb-4908-b81c-0a3c9f5120c8</v>
          </cell>
        </row>
        <row r="98">
          <cell r="B98" t="str">
            <v>ed2eaa3a-90a6-4555-9e24-b8d71fac7b37</v>
          </cell>
          <cell r="D98" t="str">
            <v>57d7cea8-ca0a-4f09-991b-f0254fb056f8</v>
          </cell>
        </row>
        <row r="99">
          <cell r="B99" t="str">
            <v>13b2d866-b8f3-4ebc-a122-13b4cd3cb29b</v>
          </cell>
          <cell r="D99" t="str">
            <v>33c5a6b5-3299-48e9-81b4-0fb5262b43eb</v>
          </cell>
        </row>
        <row r="100">
          <cell r="B100" t="str">
            <v>ea5451fc-13e6-405c-831f-619483cc6958</v>
          </cell>
          <cell r="D100" t="str">
            <v>2da77c71-454d-4884-935b-d162552d11e3</v>
          </cell>
        </row>
        <row r="101">
          <cell r="B101" t="str">
            <v>1ef711bd-99bb-47b5-a0b3-9bbf16a7cecc</v>
          </cell>
          <cell r="D101" t="str">
            <v>fd2fdd4c-826e-4725-ad2e-bea67bb66c24</v>
          </cell>
        </row>
        <row r="102">
          <cell r="B102" t="str">
            <v>ec07276e-499f-45b6-a725-827c6f4c83ef</v>
          </cell>
          <cell r="D102" t="str">
            <v>ca81d465-f4e2-416c-b68e-9d1883d89671</v>
          </cell>
        </row>
        <row r="103">
          <cell r="B103" t="str">
            <v>003e3b8f-aa81-4b68-9266-8b4fccb66e2d</v>
          </cell>
          <cell r="D103" t="str">
            <v>003e3b8f-aa81-4b68-9266-8b4fccb66e2d</v>
          </cell>
        </row>
        <row r="104">
          <cell r="B104" t="str">
            <v>29ee7a57-611f-45e5-ae50-e783abd1f4d4</v>
          </cell>
          <cell r="D104" t="str">
            <v>e65ae86e-022f-40ef-9bdd-116fd56ee3f9</v>
          </cell>
        </row>
        <row r="105">
          <cell r="B105" t="str">
            <v>66f05453-b6bc-4314-b367-132f86703834</v>
          </cell>
          <cell r="D105" t="str">
            <v>c14b6f30-0d87-43e1-adce-92960163e89e</v>
          </cell>
        </row>
        <row r="106">
          <cell r="B106" t="str">
            <v>1f881ac9-83ce-4657-b801-22605053ff57</v>
          </cell>
          <cell r="D106" t="str">
            <v>8f8e4a64-6a00-4638-821b-ed1683fbe52a</v>
          </cell>
        </row>
        <row r="107">
          <cell r="B107" t="str">
            <v>c309c08a-c872-4cfb-8b07-03124b330efc</v>
          </cell>
          <cell r="D107" t="str">
            <v>c9308c6d-8ca9-4ba7-88ab-6781fb358d7d</v>
          </cell>
        </row>
        <row r="108">
          <cell r="B108" t="str">
            <v>36cabedb-da63-428c-956f-599eec2d7da7</v>
          </cell>
          <cell r="D108" t="str">
            <v>98893b46-aab6-43c2-93a2-0a1a68112705</v>
          </cell>
        </row>
        <row r="109">
          <cell r="B109" t="str">
            <v>31d4f295-3a32-4f96-a964-9acda88665bc</v>
          </cell>
          <cell r="D109" t="str">
            <v>a9679729-915a-4733-a324-e855c8b46866</v>
          </cell>
        </row>
        <row r="110">
          <cell r="B110" t="str">
            <v>5b2dc949-d130-4e88-bf26-5e52d113c904</v>
          </cell>
          <cell r="D110" t="str">
            <v>e9f4a02f-219d-4d72-990c-ce0c9d4f704d</v>
          </cell>
        </row>
        <row r="111">
          <cell r="B111" t="str">
            <v>2f3db371-c815-48ae-9e41-4480cf269923</v>
          </cell>
          <cell r="D111" t="str">
            <v>bd302e75-79e7-4be3-95f5-05d069d14c10</v>
          </cell>
        </row>
        <row r="112">
          <cell r="B112" t="str">
            <v>e88d63cd-993e-4979-bc9c-578a40debfd7</v>
          </cell>
          <cell r="D112" t="str">
            <v>28389ce3-9119-4a36-aaeb-0a86f080063c</v>
          </cell>
        </row>
        <row r="113">
          <cell r="B113" t="str">
            <v>c9258108-147f-491f-a42f-cb93485b742e</v>
          </cell>
          <cell r="D113" t="str">
            <v>cb4a4686-856d-46d9-a0ee-8dc3adab6caf</v>
          </cell>
        </row>
        <row r="114">
          <cell r="B114" t="str">
            <v>a799afdc-92f4-482d-82a8-22fce5a892dc</v>
          </cell>
          <cell r="D114" t="str">
            <v>39016563-b88a-48fe-8557-237c4643603c</v>
          </cell>
        </row>
        <row r="115">
          <cell r="B115" t="str">
            <v>3f736956-7b7b-46ab-8a7c-ee6fb4a4fd4e</v>
          </cell>
          <cell r="D115" t="str">
            <v>cd10b1ac-e962-4666-88c0-e7d09e48ffeb</v>
          </cell>
        </row>
        <row r="116">
          <cell r="B116" t="str">
            <v>3891f4d6-7d73-4bc5-82f5-894d3d5a8600</v>
          </cell>
          <cell r="D116" t="str">
            <v>fa79bdfa-0f71-4878-9dcd-a2a4543537d5</v>
          </cell>
        </row>
        <row r="117">
          <cell r="B117" t="str">
            <v>9336c4f3-7c1f-45f8-a247-be297eab26e5</v>
          </cell>
          <cell r="D117" t="str">
            <v>c14ebc53-e394-4bd5-a243-b8f4bf48bb36</v>
          </cell>
        </row>
        <row r="118">
          <cell r="B118" t="str">
            <v>bc694373-3052-4a88-9945-987dea5709b1</v>
          </cell>
          <cell r="D118" t="str">
            <v>1d30bd78-79c5-443d-a6b4-ebbece3e3161</v>
          </cell>
        </row>
        <row r="119">
          <cell r="B119" t="str">
            <v>7d41839e-7414-4973-844f-7b00df9b9869</v>
          </cell>
          <cell r="D119" t="str">
            <v>78e1e266-6441-403e-8f5a-ea7c11165dc7</v>
          </cell>
        </row>
        <row r="120">
          <cell r="B120" t="str">
            <v>f3698925-b15f-4889-8dcc-21eaa05a185b</v>
          </cell>
          <cell r="D120" t="str">
            <v>f13489d8-0c86-4235-8470-f9f8e5139595</v>
          </cell>
        </row>
        <row r="121">
          <cell r="B121" t="str">
            <v>2d5ddf4e-e7c8-4e62-8082-ce4ae5ac750a</v>
          </cell>
          <cell r="D121" t="str">
            <v>a5a352ab-6bc5-497e-be7e-ac057c5c099a</v>
          </cell>
        </row>
        <row r="122">
          <cell r="B122" t="str">
            <v>f5c13f14-4889-4bf4-817f-d4f51e84dd32</v>
          </cell>
          <cell r="D122" t="str">
            <v>f682f635-62f9-4951-a641-3e19ab1d801d</v>
          </cell>
        </row>
        <row r="123">
          <cell r="B123" t="str">
            <v>9270054d-4438-4fb3-8280-c0f746dc4165</v>
          </cell>
          <cell r="D123" t="str">
            <v>d9f50e1c-3d68-42b3-a628-d46a068f15a1</v>
          </cell>
        </row>
        <row r="124">
          <cell r="B124" t="str">
            <v>cb149365-8aea-4249-9951-cf8ab2cf9248</v>
          </cell>
          <cell r="D124" t="str">
            <v>96e72b98-d263-4bbf-aa65-7a0ccf823ab3</v>
          </cell>
        </row>
        <row r="125">
          <cell r="B125" t="str">
            <v>83ef2f28-5fcc-47b6-ac3f-0d0a4e0fd414</v>
          </cell>
          <cell r="D125" t="str">
            <v>57902380-6ce3-4348-bab0-ee84bed398e6</v>
          </cell>
        </row>
        <row r="126">
          <cell r="B126" t="str">
            <v>29ee7a57-611f-45e5-ae50-e783abd1f4d4</v>
          </cell>
          <cell r="D126" t="str">
            <v>e65ae86e-022f-40ef-9bdd-116fd56ee3f9</v>
          </cell>
        </row>
        <row r="127">
          <cell r="B127" t="str">
            <v>90fd1b50-2ae4-4009-abeb-de7f15308a12</v>
          </cell>
          <cell r="D127" t="str">
            <v>3e61ec15-0636-4821-a3de-8ceb780975df</v>
          </cell>
        </row>
        <row r="128">
          <cell r="B128" t="str">
            <v>0c4ad65a-3e68-4585-abbd-490b71e17745</v>
          </cell>
          <cell r="D128" t="str">
            <v>d7bbd710-9080-4c6c-a3bf-02423b37ea7a</v>
          </cell>
        </row>
        <row r="129">
          <cell r="B129" t="str">
            <v>31725355-c6fd-483d-9729-68646b3c18e2</v>
          </cell>
          <cell r="D129" t="str">
            <v>d37977b9-35dd-42ce-a1ea-cf27798bf294</v>
          </cell>
        </row>
        <row r="130">
          <cell r="B130" t="str">
            <v>86f766cc-853c-4724-8255-0e176252a6a8</v>
          </cell>
          <cell r="D130" t="str">
            <v>7750abd8-97f7-4a64-be99-9e451003d7b2</v>
          </cell>
        </row>
        <row r="131">
          <cell r="B131" t="str">
            <v>e9053593-2fc0-482d-8661-3dcb153bccd0</v>
          </cell>
          <cell r="D131" t="str">
            <v>c3ba3041-9993-4316-96de-daab6bebd6dd</v>
          </cell>
        </row>
        <row r="132">
          <cell r="B132" t="str">
            <v>13f4fa2b-ae1f-4f0a-9fab-46ba86587608</v>
          </cell>
          <cell r="D132" t="str">
            <v>ff9fbd5a-ae2a-4870-801a-2495ec6a5066</v>
          </cell>
        </row>
        <row r="133">
          <cell r="B133" t="str">
            <v>9555d632-79ed-4670-85e3-38127fe90da3</v>
          </cell>
          <cell r="D133" t="str">
            <v>e49f94da-62d7-479a-8ffc-e29d07f2a2a6</v>
          </cell>
        </row>
        <row r="134">
          <cell r="B134" t="str">
            <v>cc6843d1-1d94-4d38-8dd6-629d7f56d69d</v>
          </cell>
          <cell r="D134" t="str">
            <v>3be33e9d-15aa-46d4-a105-0a3340b7e6c8</v>
          </cell>
        </row>
        <row r="135">
          <cell r="B135" t="str">
            <v>029b1fbb-f9b7-43f7-8b54-5e9c34ac6d60</v>
          </cell>
          <cell r="D135" t="str">
            <v>6a72dcd7-9e7b-4d1d-8625-70285f5ec878</v>
          </cell>
        </row>
        <row r="136">
          <cell r="B136" t="str">
            <v>f974d7a0-880a-45fd-b85c-16621e3ee985</v>
          </cell>
          <cell r="D136" t="str">
            <v>a1b96073-8f65-4d12-ac1e-524282fa3167</v>
          </cell>
        </row>
        <row r="137">
          <cell r="B137" t="str">
            <v>21948631-c786-44c6-ac99-dee3cf752cbe</v>
          </cell>
          <cell r="D137" t="str">
            <v>9e09f1c1-910f-43ac-b5fd-fe5c80284c62</v>
          </cell>
        </row>
        <row r="138">
          <cell r="B138" t="str">
            <v>b6f24632-44fc-43c8-a42f-5ee53b35fa51</v>
          </cell>
          <cell r="D138" t="str">
            <v>589cf086-c435-4632-850b-37863c554640</v>
          </cell>
        </row>
        <row r="139">
          <cell r="B139" t="str">
            <v>99411fbd-545c-41da-84ea-9471fe17e461</v>
          </cell>
          <cell r="D139" t="str">
            <v>8b4c9b85-e850-45db-83e9-81e8bc66a4cc</v>
          </cell>
        </row>
        <row r="140">
          <cell r="B140" t="str">
            <v>7a4261cf-fe83-48c0-a960-5fc3369251e2</v>
          </cell>
          <cell r="D140" t="str">
            <v>b0a1f27e-203f-4e28-86a7-e32197f9f59d</v>
          </cell>
        </row>
        <row r="141">
          <cell r="B141" t="str">
            <v>c295f3fa-fd99-4840-8c0a-728a509ff132</v>
          </cell>
          <cell r="D141" t="str">
            <v>49a1e798-f159-48ff-9389-4a7158c51332</v>
          </cell>
        </row>
        <row r="142">
          <cell r="B142" t="str">
            <v>c67f0071-649c-4ed2-9baa-21a2209c0534</v>
          </cell>
          <cell r="D142" t="str">
            <v>6b3f1491-7b85-4854-9978-5f52dbb8f5f3</v>
          </cell>
        </row>
        <row r="143">
          <cell r="B143" t="str">
            <v>02fdd367-66b5-45ac-b78e-ff44c45a4905</v>
          </cell>
          <cell r="D143" t="str">
            <v>cbb1f97a-caea-4464-84c5-d7a714830e61</v>
          </cell>
        </row>
        <row r="144">
          <cell r="B144" t="str">
            <v>17620956-6da2-44e2-8b53-3d6dad52172c</v>
          </cell>
          <cell r="D144" t="str">
            <v>f809bfef-9782-4267-8e96-2925ff3914d7</v>
          </cell>
        </row>
        <row r="145">
          <cell r="B145" t="str">
            <v>eaeb6b75-08d4-4521-a4d0-fe7f27d63e71</v>
          </cell>
          <cell r="D145" t="str">
            <v>b9f723a7-c78c-4061-b8a7-bf57ac3d1103</v>
          </cell>
        </row>
        <row r="146">
          <cell r="B146" t="str">
            <v>f1a9c6c5-172e-4f0c-be8a-13bb6118ce63</v>
          </cell>
          <cell r="D146" t="str">
            <v>98e5f283-00e6-49c0-965b-f7d734f2fa49</v>
          </cell>
        </row>
        <row r="147">
          <cell r="B147" t="str">
            <v>d9113846-e366-4026-9d57-0116751f3dc8</v>
          </cell>
          <cell r="D147" t="str">
            <v>526e9298-ad8d-4647-984c-d83912ced51c</v>
          </cell>
        </row>
        <row r="148">
          <cell r="B148" t="str">
            <v>fc0c3bd9-dcc7-47e0-a00e-abb90fdaad2b</v>
          </cell>
          <cell r="D148" t="str">
            <v>5865ab13-0177-4dbf-b4a2-0a2f2e7ea0bc</v>
          </cell>
        </row>
        <row r="149">
          <cell r="B149" t="str">
            <v>9ed27ee0-7447-4324-bb0d-15fe7f804bd4</v>
          </cell>
          <cell r="D149" t="str">
            <v>e2b4f05f-bbf4-4360-b0a6-b3f9afce07ab</v>
          </cell>
        </row>
        <row r="150">
          <cell r="B150" t="str">
            <v>1f3df9d6-8a66-4036-9eda-799e69fb1285</v>
          </cell>
          <cell r="D150" t="str">
            <v>c56f1f76-e1a4-44a6-98ea-51c3e31970d9</v>
          </cell>
        </row>
        <row r="151">
          <cell r="B151" t="str">
            <v>02551529-ad11-4b13-afa8-0852fa9e6fb8</v>
          </cell>
          <cell r="D151" t="str">
            <v>e65c3cbf-42aa-43c5-a373-8555b1b43a31</v>
          </cell>
        </row>
        <row r="152">
          <cell r="B152" t="str">
            <v>2637fd7f-23dc-42df-8ad4-bb5d918f1ed7</v>
          </cell>
          <cell r="D152" t="str">
            <v>2b6f49ed-1a02-4ea5-a595-6b5208e7a641</v>
          </cell>
        </row>
        <row r="153">
          <cell r="B153" t="str">
            <v>3b98f333-5fda-4212-afe5-95c6e6ec8a8a</v>
          </cell>
          <cell r="D153" t="str">
            <v>562368cf-f49f-4549-9e32-86a17572ce9f</v>
          </cell>
        </row>
        <row r="154">
          <cell r="B154" t="str">
            <v>83dd95cf-72b8-49f8-bab2-70299ce78f8f</v>
          </cell>
          <cell r="D154" t="str">
            <v>a6bfff7f-e175-404a-a38f-6df3651af63d</v>
          </cell>
        </row>
        <row r="155">
          <cell r="B155" t="str">
            <v>719c8d7f-d646-482a-8aba-9fb36be64aba</v>
          </cell>
          <cell r="D155" t="str">
            <v>c09ce764-80a2-4742-ae2c-a97605d59e4b</v>
          </cell>
        </row>
        <row r="156">
          <cell r="B156" t="str">
            <v>936658fc-23f2-407d-b46a-0c587a2db36b</v>
          </cell>
          <cell r="D156" t="str">
            <v>bb2d5667-c7b8-4f52-9839-3a93bd6c9d3d</v>
          </cell>
        </row>
        <row r="157">
          <cell r="B157" t="str">
            <v>98cc30dc-2a3f-4407-a7ae-78b8adf0ca99</v>
          </cell>
          <cell r="D157" t="str">
            <v>0a7be90a-f9bd-4fd2-806e-2d6027e16c11</v>
          </cell>
        </row>
        <row r="158">
          <cell r="B158" t="str">
            <v>2740545c-e39e-4a47-ad18-106294619dde</v>
          </cell>
          <cell r="D158" t="str">
            <v>2a036671-a28c-4435-8c35-06607903632a</v>
          </cell>
        </row>
        <row r="159">
          <cell r="B159" t="str">
            <v>8fd455e3-6890-46f6-9453-4a0474e3be25</v>
          </cell>
          <cell r="D159" t="str">
            <v>c44ac23b-72f1-4bea-b760-41d842574d1f</v>
          </cell>
        </row>
        <row r="160">
          <cell r="B160" t="str">
            <v>a580ad02-88ce-458d-a518-e3f3728a7b3e</v>
          </cell>
          <cell r="D160" t="str">
            <v>80e286f2-bc66-4e4a-a973-6ae3caf05674</v>
          </cell>
        </row>
        <row r="161">
          <cell r="B161" t="str">
            <v>937227f8-676c-4b3a-8d78-b52588c637f3</v>
          </cell>
          <cell r="D161" t="str">
            <v>0baa0225-b31b-44da-9a28-c341876ae43e</v>
          </cell>
        </row>
        <row r="162">
          <cell r="B162" t="str">
            <v>0dfc2951-4bcf-4e30-a0eb-471254594111</v>
          </cell>
          <cell r="D162" t="str">
            <v>fd5e08aa-6957-4520-b847-80ed3d29a8de</v>
          </cell>
        </row>
        <row r="163">
          <cell r="B163" t="str">
            <v>57d16c06-44f1-414d-a87a-351a3e2958d6</v>
          </cell>
          <cell r="D163" t="str">
            <v>57d16c06-44f1-414d-a87a-351a3e2958d6</v>
          </cell>
        </row>
        <row r="164">
          <cell r="B164" t="str">
            <v>cc71450d-96a6-4833-9be7-a0ab347cf8a8</v>
          </cell>
          <cell r="D164" t="str">
            <v>86ebb7df-82c9-4408-8891-02e5fd922931</v>
          </cell>
        </row>
        <row r="165">
          <cell r="B165" t="str">
            <v>0c7ff3cf-9625-4b20-b349-133ef90aaf24</v>
          </cell>
          <cell r="D165" t="str">
            <v>b146bfec-4154-4436-a5ba-36d300fefc64</v>
          </cell>
        </row>
        <row r="166">
          <cell r="B166" t="str">
            <v>935b18b1-b9a8-43ea-947d-ac9b8e8396c7</v>
          </cell>
          <cell r="D166" t="str">
            <v>82775fe8-9c9a-476b-a678-6a1b6efaca25</v>
          </cell>
        </row>
        <row r="167">
          <cell r="B167" t="str">
            <v>4706e237-1f9f-47fa-87c3-0c81fcf23b8b</v>
          </cell>
          <cell r="D167" t="str">
            <v>33213e8a-921d-4ca6-a050-b09d9bb5bf8a</v>
          </cell>
        </row>
        <row r="168">
          <cell r="B168" t="str">
            <v>3047aad0-4e2f-49c8-8136-a5dfb32a394a</v>
          </cell>
          <cell r="D168" t="str">
            <v>c1b130e9-ed21-4e04-9e7e-9f6f779e36cc</v>
          </cell>
        </row>
        <row r="169">
          <cell r="B169" t="str">
            <v>e088d256-152e-478d-8ee1-ca460974a611</v>
          </cell>
          <cell r="D169" t="str">
            <v>05dbeff8-ef22-4db7-b87c-0deb394f65f1</v>
          </cell>
        </row>
        <row r="170">
          <cell r="B170" t="str">
            <v>d18e3541-cb85-4c3e-b7e1-4a12022f2c5d</v>
          </cell>
          <cell r="D170" t="str">
            <v>afc90605-2a0d-4ca0-94b8-b084f937aa97</v>
          </cell>
        </row>
        <row r="171">
          <cell r="B171" t="str">
            <v>f6118623-d928-4da8-9649-361f45d0a0af</v>
          </cell>
          <cell r="D171" t="str">
            <v>f31d55f8-8ba0-4ecc-ac7c-2176dbe27b07</v>
          </cell>
        </row>
        <row r="172">
          <cell r="B172" t="str">
            <v>1c1af1d5-6f8c-47d6-93d8-df00a85b8916</v>
          </cell>
          <cell r="D172" t="str">
            <v>cdb62608-6381-4d4e-975b-46b370c250be</v>
          </cell>
        </row>
        <row r="173">
          <cell r="B173" t="str">
            <v>76a74ad4-b2b9-4683-a6a1-5e54311d73c9</v>
          </cell>
          <cell r="D173" t="str">
            <v>76a74ad4-b2b9-4683-a6a1-5e54311d73c9</v>
          </cell>
        </row>
        <row r="174">
          <cell r="B174" t="str">
            <v>1ac8e940-8e0e-4ba1-aa2a-5e166e1b53cf</v>
          </cell>
          <cell r="D174" t="str">
            <v>1ac8e940-8e0e-4ba1-aa2a-5e166e1b53cf</v>
          </cell>
        </row>
        <row r="175">
          <cell r="B175" t="str">
            <v>01189daf-6c6f-4300-a8f9-9c5b5f3d21c0</v>
          </cell>
          <cell r="D175" t="str">
            <v>baba564a-5be6-4710-b149-89afe0b5a44a</v>
          </cell>
        </row>
        <row r="176">
          <cell r="B176" t="str">
            <v>32eded19-1f8a-47e5-8ac5-ecd91fd1a719</v>
          </cell>
          <cell r="D176" t="str">
            <v>32eded19-1f8a-47e5-8ac5-ecd91fd1a719</v>
          </cell>
        </row>
        <row r="177">
          <cell r="B177" t="str">
            <v>01f70625-2d69-4e4f-a0d3-b9ce9323bd5b</v>
          </cell>
          <cell r="D177" t="str">
            <v>d47f566f-281a-429b-a3d7-953f8e056f73</v>
          </cell>
        </row>
        <row r="178">
          <cell r="B178" t="str">
            <v>2ef3c4da-61d2-4ba3-a7d5-d86e319236be</v>
          </cell>
          <cell r="D178" t="str">
            <v>0a976c86-7b23-4fcc-90e0-216310e54d25</v>
          </cell>
        </row>
        <row r="179">
          <cell r="B179" t="str">
            <v>8e3b4d38-feea-41c6-819e-5f63407f7ca8</v>
          </cell>
          <cell r="D179" t="str">
            <v>dea0d657-508d-486c-8437-7f54c11cd575</v>
          </cell>
        </row>
        <row r="180">
          <cell r="B180" t="str">
            <v>e7631e06-aa76-4d99-b4f6-dbf12d9481a8</v>
          </cell>
          <cell r="D180" t="str">
            <v>c4dc94ca-bea4-4327-aa36-c9dc2dab1e21</v>
          </cell>
        </row>
        <row r="181">
          <cell r="B181" t="str">
            <v>e352d439-2b7d-418c-a375-d3d9aa9bea1e</v>
          </cell>
          <cell r="D181" t="str">
            <v>51ab4940-ce4c-4381-8906-e25ac1746781</v>
          </cell>
        </row>
        <row r="182">
          <cell r="B182" t="str">
            <v>d52df895-55ff-4337-bd9f-fa7207a1c38e</v>
          </cell>
          <cell r="D182" t="str">
            <v>c06fcd63-1501-4f1b-85c1-3cc7ec5a96cf</v>
          </cell>
        </row>
        <row r="183">
          <cell r="B183" t="str">
            <v>ba74dc8a-6a44-49d9-8687-e9050f8a5f60</v>
          </cell>
          <cell r="D183" t="str">
            <v>c3efa2be-7478-4850-8b50-27453ee982ff</v>
          </cell>
        </row>
        <row r="184">
          <cell r="B184" t="str">
            <v>ff4f2c6e-fb73-49d2-a8c1-f12e36fe8657</v>
          </cell>
          <cell r="D184" t="str">
            <v>68498cd4-87fc-4290-a051-49c2ffa0f3f0</v>
          </cell>
        </row>
        <row r="185">
          <cell r="B185" t="str">
            <v>2740545c-e39e-4a47-ad18-106294619dde</v>
          </cell>
          <cell r="D185" t="str">
            <v>2a036671-a28c-4435-8c35-06607903632a</v>
          </cell>
        </row>
        <row r="186">
          <cell r="B186" t="str">
            <v>b095587d-5561-4a3b-ae25-35e4cb1980e5</v>
          </cell>
          <cell r="D186" t="str">
            <v>e7ed0c43-e01c-499a-88ac-bcd56033ccba</v>
          </cell>
        </row>
        <row r="187">
          <cell r="B187" t="str">
            <v>723c463a-9ed7-43e9-98ce-7902e643fda2</v>
          </cell>
          <cell r="D187" t="str">
            <v>78786c30-828a-4cf5-9cf8-7b17e54dcc93</v>
          </cell>
        </row>
        <row r="188">
          <cell r="B188" t="str">
            <v>d767c7d5-d4c3-474c-b55e-680937bbc6ef</v>
          </cell>
          <cell r="D188" t="str">
            <v>80c1ee2b-7eeb-4ff2-bd3f-f8e82d634587</v>
          </cell>
        </row>
        <row r="189">
          <cell r="B189" t="str">
            <v>a7f85d66-872d-41ce-b8bc-c518690c751a</v>
          </cell>
          <cell r="D189" t="str">
            <v xml:space="preserve"> 4946b964-1468-435a-b87d-674768d75c2c</v>
          </cell>
        </row>
        <row r="190">
          <cell r="B190" t="str">
            <v>78df6019-6221-4fdb-a197-c24888642d44</v>
          </cell>
          <cell r="D190" t="str">
            <v>0e61e70f-0b6d-4e1d-aa16-b4ec7518074d</v>
          </cell>
        </row>
        <row r="191">
          <cell r="B191" t="str">
            <v>1a5b3c03-8784-45a8-9250-6b8de645b58e</v>
          </cell>
          <cell r="D191" t="str">
            <v>e0d0e22b-9664-467d-b887-f7ed55666d1f</v>
          </cell>
        </row>
        <row r="192">
          <cell r="B192" t="str">
            <v>be1158b5-c4df-48ea-b19a-3910d1464900</v>
          </cell>
        </row>
        <row r="193">
          <cell r="B193" t="str">
            <v>12f2186f-4fcb-4a00-8390-9dacf7ddfd87</v>
          </cell>
        </row>
        <row r="194">
          <cell r="B194" t="str">
            <v>bbf480c6-3ea8-4b6c-be0d-8ffd3fd3fe48</v>
          </cell>
        </row>
        <row r="195">
          <cell r="B195" t="str">
            <v>09c84861-5f93-4295-a103-046d3341cee9</v>
          </cell>
        </row>
        <row r="196">
          <cell r="B196" t="str">
            <v>747be69f-7b13-4a37-b155-ec505995767a</v>
          </cell>
        </row>
        <row r="197">
          <cell r="B197" t="str">
            <v>5c3b9f89-0e2f-407a-8da0-a3a191a4d4cf</v>
          </cell>
        </row>
        <row r="198">
          <cell r="B198" t="str">
            <v>1f814373-19aa-4f26-9277-9b4780b1e549</v>
          </cell>
        </row>
        <row r="199">
          <cell r="B199" t="str">
            <v>8cbd6f9c-7c49-480e-a4b2-f86b8f73f010</v>
          </cell>
        </row>
        <row r="200">
          <cell r="B200" t="str">
            <v>e75d1518-8bbb-47f6-8273-22ed681b1857</v>
          </cell>
        </row>
        <row r="201">
          <cell r="B201" t="str">
            <v>9bbd2eb0-2b86-4a39-8981-adc088e892a5</v>
          </cell>
        </row>
        <row r="202">
          <cell r="B202" t="str">
            <v>becf6572-6652-423f-9d6e-b3514bd90fa7</v>
          </cell>
        </row>
        <row r="203">
          <cell r="B203" t="str">
            <v>2bc8771f-a618-433d-ae3a-b22a831ad9cc</v>
          </cell>
        </row>
        <row r="204">
          <cell r="B204" t="str">
            <v>dc2c5e24-7861-4bde-8810-fe935fb8c1cd</v>
          </cell>
        </row>
        <row r="205">
          <cell r="B205" t="str">
            <v>1fa25ed5-6f6f-471d-874b-674d74f03cf0</v>
          </cell>
        </row>
        <row r="206">
          <cell r="B206" t="str">
            <v>5f938345-0fb7-41ae-8679-31f991f66d23</v>
          </cell>
        </row>
        <row r="207">
          <cell r="B207" t="str">
            <v>6dc40cea-792a-42af-8a87-62990676047d</v>
          </cell>
        </row>
        <row r="208">
          <cell r="B208" t="str">
            <v>52772669-ba7e-4451-b9f2-51a02147d660</v>
          </cell>
        </row>
        <row r="209">
          <cell r="B209" t="str">
            <v>0442c55f-8353-46fe-ab6b-0f752126c420</v>
          </cell>
        </row>
        <row r="210">
          <cell r="B210" t="str">
            <v>be6f2b80-4d96-45bf-a425-25431055ed38</v>
          </cell>
          <cell r="D210" t="str">
            <v>36eaffa4-37e9-4fa9-8734-644b50a18ed3</v>
          </cell>
        </row>
        <row r="211">
          <cell r="B211" t="str">
            <v>153eb09a-5a60-454d-ad1b-7f9060f601ac</v>
          </cell>
        </row>
        <row r="212">
          <cell r="B212" t="str">
            <v>03a5c8b8-76f4-46f2-b34b-10eaa65eee46</v>
          </cell>
        </row>
        <row r="213">
          <cell r="B213" t="str">
            <v>2366443f-ab2f-42b9-95c4-d8c5a34bcd9d</v>
          </cell>
        </row>
        <row r="214">
          <cell r="B214" t="str">
            <v>4e08f6ea-80d4-48f4-a544-9385b0a8a2a6</v>
          </cell>
        </row>
        <row r="215">
          <cell r="B215" t="str">
            <v>92634be8-3b74-45a6-b2a5-7cc74b745c8f</v>
          </cell>
          <cell r="D215" t="str">
            <v>310a279b-7d01-4825-bd79-7de3bc6310e3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F Portfolio"/>
      <sheetName val="Control Checks"/>
      <sheetName val="ETF Portfolio OLD"/>
      <sheetName val="ILS Data pull"/>
      <sheetName val="Tasks"/>
      <sheetName val="Bound Portfolio Report"/>
      <sheetName val="BoundPortfolio"/>
      <sheetName val="Profit and Loss"/>
      <sheetName val="Historical Events Adjustment"/>
      <sheetName val="Guidelines"/>
      <sheetName val="BoundPortfolioDetails"/>
      <sheetName val="Setup"/>
    </sheetNames>
    <sheetDataSet>
      <sheetData sheetId="0">
        <row r="18">
          <cell r="A18" t="str">
            <v>62984JAC2</v>
          </cell>
          <cell r="B18" t="str">
            <v>Cat Bond</v>
          </cell>
          <cell r="C18" t="str">
            <v>Buy</v>
          </cell>
          <cell r="D18">
            <v>45749</v>
          </cell>
          <cell r="E18">
            <v>45750</v>
          </cell>
          <cell r="F18" t="str">
            <v>BH</v>
          </cell>
          <cell r="G18" t="str">
            <v>Nakama Re 2024-1 A</v>
          </cell>
          <cell r="H18" t="str">
            <v>62984JAC2</v>
          </cell>
          <cell r="I18" t="str">
            <v>Zenkyoren</v>
          </cell>
          <cell r="J18" t="str">
            <v>Aggregate</v>
          </cell>
          <cell r="K18" t="str">
            <v>Indemnity</v>
          </cell>
          <cell r="L18" t="str">
            <v>4/23/2024</v>
          </cell>
          <cell r="M18" t="str">
            <v>4/4/2029</v>
          </cell>
          <cell r="N18">
            <v>150000000</v>
          </cell>
          <cell r="O18" t="str">
            <v>JP EQ</v>
          </cell>
          <cell r="P18">
            <v>7.9000000000000008E-3</v>
          </cell>
          <cell r="Q18">
            <v>2.3430279977205756E-2</v>
          </cell>
          <cell r="R18">
            <v>6.2164801120758055E-2</v>
          </cell>
          <cell r="S18">
            <v>101.32</v>
          </cell>
          <cell r="T18">
            <v>101</v>
          </cell>
          <cell r="U18">
            <v>250000</v>
          </cell>
          <cell r="V18" t="str">
            <v>USD</v>
          </cell>
          <cell r="W18">
            <v>1</v>
          </cell>
          <cell r="X18">
            <v>0</v>
          </cell>
          <cell r="Y18">
            <v>2</v>
          </cell>
          <cell r="Z18">
            <v>252500</v>
          </cell>
          <cell r="AA18">
            <v>252500</v>
          </cell>
          <cell r="AB18">
            <v>254175</v>
          </cell>
          <cell r="AC18">
            <v>3.3890410958904109</v>
          </cell>
          <cell r="AD18">
            <v>5.6722120000000001E-2</v>
          </cell>
        </row>
        <row r="19">
          <cell r="A19" t="str">
            <v>613752AE4</v>
          </cell>
          <cell r="B19" t="str">
            <v>Cat Bond</v>
          </cell>
          <cell r="C19" t="str">
            <v>Buy</v>
          </cell>
          <cell r="D19">
            <v>45751</v>
          </cell>
          <cell r="E19">
            <v>45754</v>
          </cell>
          <cell r="F19" t="str">
            <v>RBC</v>
          </cell>
          <cell r="G19" t="str">
            <v>Montoya Re 2025-1 B </v>
          </cell>
          <cell r="H19" t="str">
            <v>613752AE4</v>
          </cell>
          <cell r="I19" t="str">
            <v>Inigo Insurance</v>
          </cell>
          <cell r="J19" t="str">
            <v>Occurrence</v>
          </cell>
          <cell r="K19" t="str">
            <v>Industry Loss Index</v>
          </cell>
          <cell r="L19" t="str">
            <v>1/29/2025</v>
          </cell>
          <cell r="M19" t="str">
            <v>4/7/2028</v>
          </cell>
          <cell r="N19">
            <v>30000000</v>
          </cell>
          <cell r="O19" t="str">
            <v>US WD / US &amp; CAD QK</v>
          </cell>
          <cell r="P19">
            <v>2.6200000000000001E-2</v>
          </cell>
          <cell r="Q19">
            <v>6.6102750044470304E-2</v>
          </cell>
          <cell r="R19">
            <v>0.10476479396820068</v>
          </cell>
          <cell r="S19">
            <v>99.76</v>
          </cell>
          <cell r="T19">
            <v>100.2</v>
          </cell>
          <cell r="U19">
            <v>250000</v>
          </cell>
          <cell r="V19" t="str">
            <v>USD</v>
          </cell>
          <cell r="W19">
            <v>1</v>
          </cell>
          <cell r="X19">
            <v>798.60999999998603</v>
          </cell>
          <cell r="Y19">
            <v>20</v>
          </cell>
          <cell r="Z19">
            <v>250500</v>
          </cell>
          <cell r="AA19">
            <v>251298.61</v>
          </cell>
          <cell r="AB19">
            <v>254375</v>
          </cell>
          <cell r="AC19">
            <v>2.3972602739726026</v>
          </cell>
          <cell r="AD19">
            <v>0.10367698</v>
          </cell>
        </row>
        <row r="20">
          <cell r="A20" t="str">
            <v>096003AA6</v>
          </cell>
          <cell r="B20" t="str">
            <v>Cat Bond</v>
          </cell>
          <cell r="C20" t="str">
            <v>Buy</v>
          </cell>
          <cell r="D20">
            <v>45751</v>
          </cell>
          <cell r="E20">
            <v>45754</v>
          </cell>
          <cell r="F20" t="str">
            <v>BH</v>
          </cell>
          <cell r="G20" t="str">
            <v>Blue Ridge Re 2023-1 A</v>
          </cell>
          <cell r="H20" t="str">
            <v>096003AA6</v>
          </cell>
          <cell r="I20" t="str">
            <v>NC Farm Bureau</v>
          </cell>
          <cell r="J20" t="str">
            <v>Occurrence</v>
          </cell>
          <cell r="K20" t="str">
            <v>Indemnity</v>
          </cell>
          <cell r="L20" t="str">
            <v>11/22/2023</v>
          </cell>
          <cell r="M20" t="str">
            <v>1/8/2027</v>
          </cell>
          <cell r="N20">
            <v>200000000</v>
          </cell>
          <cell r="O20" t="str">
            <v>NC WD</v>
          </cell>
          <cell r="P20">
            <v>1.0800000000000001E-2</v>
          </cell>
          <cell r="Q20">
            <v>5.2493054522594618E-2</v>
          </cell>
          <cell r="R20">
            <v>9.06E-2</v>
          </cell>
          <cell r="S20">
            <v>102.71</v>
          </cell>
          <cell r="T20">
            <v>102.85</v>
          </cell>
          <cell r="U20">
            <v>250000</v>
          </cell>
          <cell r="V20" t="str">
            <v>USD</v>
          </cell>
          <cell r="W20">
            <v>1</v>
          </cell>
          <cell r="X20">
            <v>1020.8299999999872</v>
          </cell>
          <cell r="Y20">
            <v>28</v>
          </cell>
          <cell r="Z20">
            <v>257125</v>
          </cell>
          <cell r="AA20">
            <v>258145.83</v>
          </cell>
          <cell r="AB20">
            <v>258800</v>
          </cell>
          <cell r="AC20">
            <v>1.1506849315068493</v>
          </cell>
          <cell r="AD20">
            <v>7.6703099999999996E-2</v>
          </cell>
        </row>
        <row r="21">
          <cell r="A21" t="str">
            <v>89009PAB4</v>
          </cell>
          <cell r="B21" t="str">
            <v>Cat Bond</v>
          </cell>
          <cell r="C21" t="str">
            <v>Buy</v>
          </cell>
          <cell r="D21">
            <v>45751</v>
          </cell>
          <cell r="E21">
            <v>45754</v>
          </cell>
          <cell r="F21" t="str">
            <v>BH</v>
          </cell>
          <cell r="G21" t="str">
            <v>Tomoni Re 2022-1 B </v>
          </cell>
          <cell r="H21" t="str">
            <v>89009PAB4</v>
          </cell>
          <cell r="I21" t="str">
            <v>Mitsui Sumitomo</v>
          </cell>
          <cell r="J21" t="str">
            <v>Occurrence</v>
          </cell>
          <cell r="K21" t="str">
            <v>Indemnity</v>
          </cell>
          <cell r="L21" t="str">
            <v>3/30/2022</v>
          </cell>
          <cell r="M21" t="str">
            <v>4/7/2026</v>
          </cell>
          <cell r="N21">
            <v>120000000</v>
          </cell>
          <cell r="O21" t="str">
            <v>JP WD &amp; FL</v>
          </cell>
          <cell r="P21">
            <v>1.5100000000000001E-2</v>
          </cell>
          <cell r="Q21">
            <v>2.8000797571017751E-2</v>
          </cell>
          <cell r="R21">
            <v>6.6600000000000006E-2</v>
          </cell>
          <cell r="S21">
            <v>99.85</v>
          </cell>
          <cell r="T21">
            <v>101</v>
          </cell>
          <cell r="U21">
            <v>250000</v>
          </cell>
          <cell r="V21" t="str">
            <v>USD</v>
          </cell>
          <cell r="W21">
            <v>1</v>
          </cell>
          <cell r="X21">
            <v>114.57999999998719</v>
          </cell>
          <cell r="Y21">
            <v>6</v>
          </cell>
          <cell r="Z21">
            <v>252500</v>
          </cell>
          <cell r="AA21">
            <v>252614.58</v>
          </cell>
          <cell r="AB21">
            <v>252225</v>
          </cell>
          <cell r="AC21">
            <v>0.39452054794520547</v>
          </cell>
          <cell r="AD21">
            <v>5.962858E-2</v>
          </cell>
        </row>
        <row r="22">
          <cell r="A22" t="str">
            <v>90323WAP5</v>
          </cell>
          <cell r="B22" t="str">
            <v>Cat Bond</v>
          </cell>
          <cell r="C22" t="str">
            <v>Buy</v>
          </cell>
          <cell r="D22">
            <v>45751</v>
          </cell>
          <cell r="E22">
            <v>45754</v>
          </cell>
          <cell r="F22" t="str">
            <v>RBC</v>
          </cell>
          <cell r="G22" t="str">
            <v>Ursa Re 2023-3 AA</v>
          </cell>
          <cell r="H22" t="str">
            <v>90323WAP5</v>
          </cell>
          <cell r="I22" t="str">
            <v>CEA</v>
          </cell>
          <cell r="J22" t="str">
            <v>Aggregate</v>
          </cell>
          <cell r="K22" t="str">
            <v>Indemnity</v>
          </cell>
          <cell r="L22" t="str">
            <v>12/7/2023</v>
          </cell>
          <cell r="M22" t="str">
            <v>12/7/2026</v>
          </cell>
          <cell r="N22">
            <v>300000000</v>
          </cell>
          <cell r="O22" t="str">
            <v>CA EQ</v>
          </cell>
          <cell r="P22">
            <v>1.0500000000000001E-2</v>
          </cell>
          <cell r="Q22">
            <v>5.5000616024999997E-2</v>
          </cell>
          <cell r="R22">
            <v>9.3200000000000005E-2</v>
          </cell>
          <cell r="S22">
            <v>102.96</v>
          </cell>
          <cell r="T22">
            <v>103.95</v>
          </cell>
          <cell r="U22">
            <v>250000</v>
          </cell>
          <cell r="V22" t="str">
            <v>USD</v>
          </cell>
          <cell r="W22">
            <v>1</v>
          </cell>
          <cell r="X22">
            <v>1393.8399999999965</v>
          </cell>
          <cell r="Y22">
            <v>37</v>
          </cell>
          <cell r="Z22">
            <v>259875</v>
          </cell>
          <cell r="AA22">
            <v>261268.84</v>
          </cell>
          <cell r="AB22">
            <v>256925</v>
          </cell>
          <cell r="AC22">
            <v>1.0630136986301371</v>
          </cell>
          <cell r="AD22">
            <v>7.1253140000000006E-2</v>
          </cell>
        </row>
        <row r="23">
          <cell r="A23" t="str">
            <v>92335TAD1</v>
          </cell>
          <cell r="B23" t="str">
            <v>Cat Bond</v>
          </cell>
          <cell r="C23" t="str">
            <v>Buy</v>
          </cell>
          <cell r="D23">
            <v>45755</v>
          </cell>
          <cell r="E23">
            <v>45756</v>
          </cell>
          <cell r="F23" t="str">
            <v>BH</v>
          </cell>
          <cell r="G23" t="str">
            <v>Veraison Re 2025-1 A</v>
          </cell>
          <cell r="H23" t="str">
            <v>92335TAD1</v>
          </cell>
          <cell r="I23" t="str">
            <v>GeoVera</v>
          </cell>
          <cell r="J23" t="str">
            <v>Occurrence</v>
          </cell>
          <cell r="K23" t="str">
            <v>Indemnity</v>
          </cell>
          <cell r="L23" t="str">
            <v>2/5/2025</v>
          </cell>
          <cell r="M23" t="str">
            <v>3/8/2028</v>
          </cell>
          <cell r="N23">
            <v>300000000</v>
          </cell>
          <cell r="O23" t="str">
            <v>US EQ</v>
          </cell>
          <cell r="P23">
            <v>1.43E-2</v>
          </cell>
          <cell r="Q23">
            <v>3.496664027454658E-2</v>
          </cell>
          <cell r="R23">
            <v>7.3507139999999999E-2</v>
          </cell>
          <cell r="S23">
            <v>99.62</v>
          </cell>
          <cell r="T23">
            <v>100.25</v>
          </cell>
          <cell r="U23">
            <v>250000</v>
          </cell>
          <cell r="V23" t="str">
            <v>USD</v>
          </cell>
          <cell r="W23">
            <v>1</v>
          </cell>
          <cell r="X23">
            <v>729.17000000001281</v>
          </cell>
          <cell r="Y23">
            <v>30</v>
          </cell>
          <cell r="Z23">
            <v>250625</v>
          </cell>
          <cell r="AA23">
            <v>251354.17</v>
          </cell>
          <cell r="AB23">
            <v>253200</v>
          </cell>
          <cell r="AC23">
            <v>2.3150684931506849</v>
          </cell>
          <cell r="AD23">
            <v>7.558753E-2</v>
          </cell>
        </row>
        <row r="24">
          <cell r="A24" t="str">
            <v>541917AA8</v>
          </cell>
          <cell r="B24" t="str">
            <v>Cat Bond</v>
          </cell>
          <cell r="C24" t="str">
            <v>Buy</v>
          </cell>
          <cell r="D24">
            <v>45755</v>
          </cell>
          <cell r="E24">
            <v>45756</v>
          </cell>
          <cell r="F24" t="str">
            <v>RBC</v>
          </cell>
          <cell r="G24" t="str">
            <v xml:space="preserve">Fuchsia 2 2024-1 </v>
          </cell>
          <cell r="H24" t="str">
            <v>541917AA8</v>
          </cell>
          <cell r="I24" t="str">
            <v>Beazley</v>
          </cell>
          <cell r="J24" t="str">
            <v>Occurrence</v>
          </cell>
          <cell r="K24" t="str">
            <v>Indemnity</v>
          </cell>
          <cell r="L24" t="str">
            <v>12/23/2024</v>
          </cell>
          <cell r="M24" t="str">
            <v>4/6/2028</v>
          </cell>
          <cell r="N24">
            <v>200000000</v>
          </cell>
          <cell r="O24" t="str">
            <v>US &amp; CAD WD &amp; QK</v>
          </cell>
          <cell r="P24">
            <v>1.0800000000000001E-2</v>
          </cell>
          <cell r="Q24">
            <v>5.1341884104035361E-2</v>
          </cell>
          <cell r="R24">
            <v>8.9599999999999985E-2</v>
          </cell>
          <cell r="S24">
            <v>101.78</v>
          </cell>
          <cell r="T24">
            <v>100.65</v>
          </cell>
          <cell r="U24">
            <v>250000</v>
          </cell>
          <cell r="V24" t="str">
            <v>USD</v>
          </cell>
          <cell r="W24">
            <v>1</v>
          </cell>
          <cell r="X24">
            <v>69.440000000002328</v>
          </cell>
          <cell r="Y24">
            <v>2</v>
          </cell>
          <cell r="Z24">
            <v>251625</v>
          </cell>
          <cell r="AA24">
            <v>251694.44</v>
          </cell>
          <cell r="AB24">
            <v>257512.5</v>
          </cell>
          <cell r="AC24">
            <v>2.3945205479452056</v>
          </cell>
          <cell r="AD24">
            <v>9.0424110000000002E-2</v>
          </cell>
        </row>
        <row r="25">
          <cell r="A25" t="str">
            <v>33774EAA2</v>
          </cell>
          <cell r="B25" t="str">
            <v>Cat Bond</v>
          </cell>
          <cell r="C25" t="str">
            <v>Buy</v>
          </cell>
          <cell r="D25">
            <v>45756</v>
          </cell>
          <cell r="E25">
            <v>45757</v>
          </cell>
          <cell r="F25" t="str">
            <v>BH</v>
          </cell>
          <cell r="G25" t="str">
            <v xml:space="preserve">Fish Pond Re 2024-1 A </v>
          </cell>
          <cell r="H25" t="str">
            <v>33774EAA2</v>
          </cell>
          <cell r="I25" t="str">
            <v>Texaf Farm Bureau</v>
          </cell>
          <cell r="J25" t="str">
            <v>Occurrence</v>
          </cell>
          <cell r="K25" t="str">
            <v>Indemnity</v>
          </cell>
          <cell r="L25" t="str">
            <v>1/9/2024</v>
          </cell>
          <cell r="M25" t="str">
            <v>1/8/2027</v>
          </cell>
          <cell r="N25">
            <v>255000000</v>
          </cell>
          <cell r="O25" t="str">
            <v>TX HU &amp; THD</v>
          </cell>
          <cell r="P25">
            <v>1.4E-3</v>
          </cell>
          <cell r="Q25">
            <v>4.0195003191350213E-2</v>
          </cell>
          <cell r="R25">
            <v>7.85E-2</v>
          </cell>
          <cell r="S25">
            <v>102.14</v>
          </cell>
          <cell r="T25">
            <v>102.3</v>
          </cell>
          <cell r="U25">
            <v>250000</v>
          </cell>
          <cell r="V25" t="str">
            <v>USD</v>
          </cell>
          <cell r="W25">
            <v>1</v>
          </cell>
          <cell r="X25">
            <v>55.559999999997672</v>
          </cell>
          <cell r="Y25">
            <v>2</v>
          </cell>
          <cell r="Z25">
            <v>255750</v>
          </cell>
          <cell r="AA25">
            <v>255805.56</v>
          </cell>
          <cell r="AB25">
            <v>256200</v>
          </cell>
          <cell r="AC25">
            <v>1.1506849315068493</v>
          </cell>
          <cell r="AD25">
            <v>6.7969870000000002E-2</v>
          </cell>
        </row>
        <row r="26">
          <cell r="A26" t="str">
            <v>05826BAB2</v>
          </cell>
          <cell r="B26" t="str">
            <v>Cat Bond</v>
          </cell>
          <cell r="C26" t="str">
            <v>Buy</v>
          </cell>
          <cell r="D26">
            <v>45756</v>
          </cell>
          <cell r="E26">
            <v>45757</v>
          </cell>
          <cell r="F26" t="str">
            <v>RBC</v>
          </cell>
          <cell r="G26" t="str">
            <v xml:space="preserve">Baldwin Re 2023-1 A </v>
          </cell>
          <cell r="H26" t="str">
            <v>05826BAB2</v>
          </cell>
          <cell r="I26" t="str">
            <v>Vermont Mutual</v>
          </cell>
          <cell r="J26" t="str">
            <v>Occurrence</v>
          </cell>
          <cell r="K26" t="str">
            <v>Indemnity</v>
          </cell>
          <cell r="L26" t="str">
            <v>6/28/2023</v>
          </cell>
          <cell r="M26" t="str">
            <v>7/7/2027</v>
          </cell>
          <cell r="N26">
            <v>100000000</v>
          </cell>
          <cell r="O26" t="str">
            <v>NE WD,QK,TH,WF</v>
          </cell>
          <cell r="P26">
            <v>1.204E-2</v>
          </cell>
          <cell r="Q26">
            <v>5.0413572020649673E-2</v>
          </cell>
          <cell r="R26">
            <v>8.879999999999999E-2</v>
          </cell>
          <cell r="S26">
            <v>103.37</v>
          </cell>
          <cell r="T26">
            <v>102.2</v>
          </cell>
          <cell r="U26">
            <v>250000</v>
          </cell>
          <cell r="V26" t="str">
            <v>USD</v>
          </cell>
          <cell r="W26">
            <v>1</v>
          </cell>
          <cell r="X26">
            <v>281.25</v>
          </cell>
          <cell r="Y26">
            <v>9</v>
          </cell>
          <cell r="Z26">
            <v>255500</v>
          </cell>
          <cell r="AA26">
            <v>255781.25</v>
          </cell>
          <cell r="AB26">
            <v>258725</v>
          </cell>
          <cell r="AC26">
            <v>1.6438356164383561</v>
          </cell>
          <cell r="AD26">
            <v>8.1138769999999999E-2</v>
          </cell>
        </row>
        <row r="27">
          <cell r="A27" t="str">
            <v>80001QAA1</v>
          </cell>
          <cell r="B27" t="str">
            <v>Cat Bond</v>
          </cell>
          <cell r="C27" t="str">
            <v>Buy</v>
          </cell>
          <cell r="D27">
            <v>45756</v>
          </cell>
          <cell r="E27">
            <v>45757</v>
          </cell>
          <cell r="F27" t="str">
            <v>RBC</v>
          </cell>
          <cell r="G27" t="str">
            <v xml:space="preserve">Sanders Re III 2023-1 A </v>
          </cell>
          <cell r="H27" t="str">
            <v>80001QAA1</v>
          </cell>
          <cell r="I27" t="str">
            <v>AllState</v>
          </cell>
          <cell r="J27" t="str">
            <v>Occurrence</v>
          </cell>
          <cell r="K27" t="str">
            <v>Indemnity</v>
          </cell>
          <cell r="L27" t="str">
            <v>3/31/2023</v>
          </cell>
          <cell r="M27" t="str">
            <v>4/7/2027</v>
          </cell>
          <cell r="N27">
            <v>100000000</v>
          </cell>
          <cell r="O27" t="str">
            <v>US WD (not FL) / TH/ US QK/WF</v>
          </cell>
          <cell r="P27">
            <v>7.4999999999999997E-3</v>
          </cell>
          <cell r="Q27">
            <v>5.4591848848021235E-2</v>
          </cell>
          <cell r="R27">
            <v>9.3000000000000013E-2</v>
          </cell>
          <cell r="S27">
            <v>102.4</v>
          </cell>
          <cell r="T27">
            <v>102.6</v>
          </cell>
          <cell r="U27">
            <v>250000</v>
          </cell>
          <cell r="V27" t="str">
            <v>USD</v>
          </cell>
          <cell r="W27">
            <v>1</v>
          </cell>
          <cell r="X27">
            <v>501.04000000000815</v>
          </cell>
          <cell r="Y27">
            <v>13</v>
          </cell>
          <cell r="Z27">
            <v>256500</v>
          </cell>
          <cell r="AA27">
            <v>257001.04</v>
          </cell>
          <cell r="AB27">
            <v>260175</v>
          </cell>
          <cell r="AC27">
            <v>1.3945205479452054</v>
          </cell>
          <cell r="AD27">
            <v>8.2214540000000003E-2</v>
          </cell>
        </row>
        <row r="28">
          <cell r="A28" t="str">
            <v>574591AA1_1</v>
          </cell>
          <cell r="B28" t="str">
            <v>Cat Bond</v>
          </cell>
          <cell r="C28" t="str">
            <v>Buy</v>
          </cell>
          <cell r="D28">
            <v>45756</v>
          </cell>
          <cell r="E28">
            <v>45757</v>
          </cell>
          <cell r="F28" t="str">
            <v>RBC</v>
          </cell>
          <cell r="G28" t="str">
            <v>Maschpark Re 2024-1</v>
          </cell>
          <cell r="H28" t="str">
            <v>574591AA1_1</v>
          </cell>
          <cell r="I28" t="str">
            <v>Talanx AG (Via Hannover Re)</v>
          </cell>
          <cell r="J28" t="str">
            <v>Occurrence</v>
          </cell>
          <cell r="K28" t="str">
            <v>Parametric</v>
          </cell>
          <cell r="L28" t="str">
            <v>12/4/2024</v>
          </cell>
          <cell r="M28" t="str">
            <v>1/10/2028</v>
          </cell>
          <cell r="N28">
            <v>100000000</v>
          </cell>
          <cell r="O28" t="str">
            <v>Chile, Peru, Bolivia, Argentina EQ</v>
          </cell>
          <cell r="P28">
            <v>9.1999999999999998E-3</v>
          </cell>
          <cell r="Q28">
            <v>3.4997438079953813E-2</v>
          </cell>
          <cell r="R28">
            <v>7.3099999999999998E-2</v>
          </cell>
          <cell r="S28">
            <v>101.71</v>
          </cell>
          <cell r="T28">
            <v>101.6</v>
          </cell>
          <cell r="U28">
            <v>250000</v>
          </cell>
          <cell r="V28" t="str">
            <v>USD</v>
          </cell>
          <cell r="W28">
            <v>1</v>
          </cell>
          <cell r="X28">
            <v>0</v>
          </cell>
          <cell r="Y28">
            <v>0</v>
          </cell>
          <cell r="Z28">
            <v>254000</v>
          </cell>
          <cell r="AA28">
            <v>254000</v>
          </cell>
          <cell r="AB28">
            <v>257800</v>
          </cell>
          <cell r="AC28">
            <v>2.1561643835616437</v>
          </cell>
          <cell r="AD28">
            <v>6.9968120000000009E-2</v>
          </cell>
        </row>
        <row r="29">
          <cell r="A29" t="str">
            <v>36779CAN6</v>
          </cell>
          <cell r="B29" t="str">
            <v>Cat Bond</v>
          </cell>
          <cell r="C29" t="str">
            <v>Buy</v>
          </cell>
          <cell r="D29">
            <v>45758</v>
          </cell>
          <cell r="E29">
            <v>45761</v>
          </cell>
          <cell r="F29" t="str">
            <v>BH</v>
          </cell>
          <cell r="G29" t="str">
            <v>Gateway Re 2025-1 C2</v>
          </cell>
          <cell r="H29" t="str">
            <v>36779CAN6</v>
          </cell>
          <cell r="I29" t="str">
            <v>SageSure</v>
          </cell>
          <cell r="J29" t="str">
            <v>Occ (2nd event)</v>
          </cell>
          <cell r="K29" t="str">
            <v>Indemnity</v>
          </cell>
          <cell r="L29" t="str">
            <v>2/27/2025</v>
          </cell>
          <cell r="M29" t="str">
            <v>7/7/2027</v>
          </cell>
          <cell r="N29">
            <v>150000000</v>
          </cell>
          <cell r="O29" t="str">
            <v>US WD</v>
          </cell>
          <cell r="P29">
            <v>1.6500000000000001E-2</v>
          </cell>
          <cell r="Q29">
            <v>9.4942248479457494E-2</v>
          </cell>
          <cell r="R29">
            <v>0.13366479396820069</v>
          </cell>
          <cell r="S29">
            <v>102.05</v>
          </cell>
          <cell r="T29">
            <v>100.1</v>
          </cell>
          <cell r="U29">
            <v>250000</v>
          </cell>
          <cell r="V29" t="str">
            <v>USD</v>
          </cell>
          <cell r="W29">
            <v>1</v>
          </cell>
          <cell r="X29">
            <v>1847.2200000000012</v>
          </cell>
          <cell r="Y29">
            <v>28</v>
          </cell>
          <cell r="Z29">
            <v>250250</v>
          </cell>
          <cell r="AA29">
            <v>252097.22</v>
          </cell>
          <cell r="AB29">
            <v>264250</v>
          </cell>
          <cell r="AC29">
            <v>1.6438356164383561</v>
          </cell>
          <cell r="AD29">
            <v>0.13305328999999999</v>
          </cell>
        </row>
        <row r="30">
          <cell r="A30" t="str">
            <v>74639NAC7</v>
          </cell>
          <cell r="B30" t="str">
            <v>Cat Bond</v>
          </cell>
          <cell r="C30" t="str">
            <v>Buy</v>
          </cell>
          <cell r="D30">
            <v>45761</v>
          </cell>
          <cell r="E30">
            <v>45762</v>
          </cell>
          <cell r="F30" t="str">
            <v>BH</v>
          </cell>
          <cell r="G30" t="str">
            <v>Purple Re 2024-1 A</v>
          </cell>
          <cell r="H30" t="str">
            <v>74639NAC7</v>
          </cell>
          <cell r="I30" t="str">
            <v>Slide</v>
          </cell>
          <cell r="J30" t="str">
            <v>Occurrence</v>
          </cell>
          <cell r="K30" t="str">
            <v>Indemnity</v>
          </cell>
          <cell r="L30" t="str">
            <v>4/9/2024</v>
          </cell>
          <cell r="M30" t="str">
            <v>6/7/2027</v>
          </cell>
          <cell r="N30">
            <v>210000000</v>
          </cell>
          <cell r="O30" t="str">
            <v>FL &amp; SC HU</v>
          </cell>
          <cell r="P30">
            <v>1.32E-2</v>
          </cell>
          <cell r="Q30">
            <v>9.1247227937579611E-2</v>
          </cell>
          <cell r="R30">
            <v>0.12965999755859375</v>
          </cell>
          <cell r="S30">
            <v>103.7</v>
          </cell>
          <cell r="T30">
            <v>102.6</v>
          </cell>
          <cell r="U30">
            <v>250000</v>
          </cell>
          <cell r="V30" t="str">
            <v>USD</v>
          </cell>
          <cell r="W30">
            <v>1</v>
          </cell>
          <cell r="X30">
            <v>500</v>
          </cell>
          <cell r="Y30">
            <v>8</v>
          </cell>
          <cell r="Z30">
            <v>256500</v>
          </cell>
          <cell r="AA30">
            <v>257000</v>
          </cell>
          <cell r="AB30">
            <v>266075</v>
          </cell>
          <cell r="AC30">
            <v>1.5616438356164384</v>
          </cell>
          <cell r="AD30">
            <v>0.11921872999999999</v>
          </cell>
        </row>
        <row r="31">
          <cell r="A31" t="str">
            <v>03851YAA7</v>
          </cell>
          <cell r="B31" t="str">
            <v>Cat Bond</v>
          </cell>
          <cell r="C31" t="str">
            <v>Buy</v>
          </cell>
          <cell r="D31">
            <v>45763</v>
          </cell>
          <cell r="E31">
            <v>45764</v>
          </cell>
          <cell r="F31" t="str">
            <v>BH</v>
          </cell>
          <cell r="G31" t="str">
            <v xml:space="preserve">Aragonite Re 2024-1 A </v>
          </cell>
          <cell r="H31" t="str">
            <v>03851YAA7</v>
          </cell>
          <cell r="I31" t="str">
            <v>Brookfield Property</v>
          </cell>
          <cell r="J31" t="str">
            <v>Occurrence</v>
          </cell>
          <cell r="K31" t="str">
            <v>Indemnity</v>
          </cell>
          <cell r="L31" t="str">
            <v>3/28/2024</v>
          </cell>
          <cell r="M31" t="str">
            <v>4/7/2027</v>
          </cell>
          <cell r="N31">
            <v>100000000</v>
          </cell>
          <cell r="O31" t="str">
            <v>US&amp;CAD WD&amp;QK</v>
          </cell>
          <cell r="P31">
            <v>6.7000000000000002E-3</v>
          </cell>
          <cell r="Q31">
            <v>5.4388598366769E-2</v>
          </cell>
          <cell r="R31">
            <v>9.3007139999999988E-2</v>
          </cell>
          <cell r="S31">
            <v>103.6</v>
          </cell>
          <cell r="T31">
            <v>103.85</v>
          </cell>
          <cell r="U31">
            <v>250000</v>
          </cell>
          <cell r="V31" t="str">
            <v>USD</v>
          </cell>
          <cell r="W31">
            <v>1</v>
          </cell>
          <cell r="X31">
            <v>1130.2099999999919</v>
          </cell>
          <cell r="Y31">
            <v>31</v>
          </cell>
          <cell r="Z31">
            <v>259625</v>
          </cell>
          <cell r="AA31">
            <v>260755.21</v>
          </cell>
          <cell r="AB31">
            <v>258912.5</v>
          </cell>
          <cell r="AC31">
            <v>1.3945205479452054</v>
          </cell>
          <cell r="AD31">
            <v>7.5250440000000002E-2</v>
          </cell>
        </row>
        <row r="32">
          <cell r="A32" t="str">
            <v>00485YAD1</v>
          </cell>
          <cell r="B32" t="str">
            <v>Cat Bond</v>
          </cell>
          <cell r="C32" t="str">
            <v>Buy</v>
          </cell>
          <cell r="D32">
            <v>45763</v>
          </cell>
          <cell r="E32">
            <v>45764</v>
          </cell>
          <cell r="F32" t="str">
            <v>RBC</v>
          </cell>
          <cell r="G32" t="str">
            <v>Acorn Re 2023-1 A</v>
          </cell>
          <cell r="H32" t="str">
            <v>00485YAD1</v>
          </cell>
          <cell r="I32" t="str">
            <v>Oak Tree Insurance</v>
          </cell>
          <cell r="J32" t="str">
            <v>Occurrence</v>
          </cell>
          <cell r="K32" t="str">
            <v>Parametric</v>
          </cell>
          <cell r="L32" t="str">
            <v>6/27/2023</v>
          </cell>
          <cell r="M32" t="str">
            <v>11/6/2026</v>
          </cell>
          <cell r="N32">
            <v>150000000</v>
          </cell>
          <cell r="O32" t="str">
            <v>US CA EQ</v>
          </cell>
          <cell r="P32">
            <v>9.1000000000000004E-3</v>
          </cell>
          <cell r="Q32">
            <v>4.342876561368355E-2</v>
          </cell>
          <cell r="R32">
            <v>8.1708199999999995E-2</v>
          </cell>
          <cell r="S32">
            <v>101.57</v>
          </cell>
          <cell r="T32">
            <v>102.4</v>
          </cell>
          <cell r="U32">
            <v>250000</v>
          </cell>
          <cell r="V32" t="str">
            <v>USD</v>
          </cell>
          <cell r="W32">
            <v>1</v>
          </cell>
          <cell r="X32">
            <v>60.420000000012806</v>
          </cell>
          <cell r="Y32">
            <v>2</v>
          </cell>
          <cell r="Z32">
            <v>256000</v>
          </cell>
          <cell r="AA32">
            <v>256060.42</v>
          </cell>
          <cell r="AB32">
            <v>256150</v>
          </cell>
          <cell r="AC32">
            <v>0.9780821917808219</v>
          </cell>
          <cell r="AD32">
            <v>6.8990380000000004E-2</v>
          </cell>
        </row>
        <row r="33">
          <cell r="A33" t="str">
            <v>349939AA6_1</v>
          </cell>
          <cell r="B33" t="str">
            <v>Cat Bond</v>
          </cell>
          <cell r="C33" t="str">
            <v>Buy</v>
          </cell>
          <cell r="D33">
            <v>45770</v>
          </cell>
          <cell r="E33">
            <v>45771</v>
          </cell>
          <cell r="F33" t="str">
            <v>RBC</v>
          </cell>
          <cell r="G33" t="str">
            <v xml:space="preserve">Foundation Re IV 2023-1 A </v>
          </cell>
          <cell r="H33" t="str">
            <v>349939AA6_1</v>
          </cell>
          <cell r="I33" t="str">
            <v>Hartford</v>
          </cell>
          <cell r="J33" t="str">
            <v>Occurrence</v>
          </cell>
          <cell r="K33" t="str">
            <v>Indemnity</v>
          </cell>
          <cell r="L33" t="str">
            <v>12/27/2023</v>
          </cell>
          <cell r="M33" t="str">
            <v>1/8/2027</v>
          </cell>
          <cell r="N33">
            <v>200000000</v>
          </cell>
          <cell r="O33" t="str">
            <v>US WD/ US QK</v>
          </cell>
          <cell r="P33">
            <v>1.4500000000000001E-2</v>
          </cell>
          <cell r="Q33">
            <v>6.2344141903376588E-2</v>
          </cell>
          <cell r="R33">
            <v>0.1009</v>
          </cell>
          <cell r="S33">
            <v>102.5</v>
          </cell>
          <cell r="T33">
            <v>103.1</v>
          </cell>
          <cell r="U33">
            <v>250000</v>
          </cell>
          <cell r="V33" t="str">
            <v>USD</v>
          </cell>
          <cell r="W33">
            <v>1</v>
          </cell>
          <cell r="X33">
            <v>998.26000000000931</v>
          </cell>
          <cell r="Y33">
            <v>23</v>
          </cell>
          <cell r="Z33">
            <v>257750</v>
          </cell>
          <cell r="AA33">
            <v>258748.26</v>
          </cell>
          <cell r="AB33">
            <v>257437.5</v>
          </cell>
          <cell r="AC33">
            <v>1.1506849315068493</v>
          </cell>
          <cell r="AD33">
            <v>8.4681469999999995E-2</v>
          </cell>
        </row>
        <row r="34">
          <cell r="A34" t="str">
            <v>349939AA6_2</v>
          </cell>
          <cell r="B34" t="str">
            <v>Cat Bond</v>
          </cell>
          <cell r="C34" t="str">
            <v>Buy</v>
          </cell>
          <cell r="D34">
            <v>45889</v>
          </cell>
          <cell r="E34">
            <v>45890</v>
          </cell>
          <cell r="F34" t="str">
            <v>BH</v>
          </cell>
          <cell r="G34" t="str">
            <v xml:space="preserve">Foundation Re IV 2023-1 A </v>
          </cell>
          <cell r="H34" t="str">
            <v>349939AA6_2</v>
          </cell>
          <cell r="I34" t="str">
            <v>Hartford</v>
          </cell>
          <cell r="J34" t="str">
            <v>Occurrence</v>
          </cell>
          <cell r="K34" t="str">
            <v>Indemnity</v>
          </cell>
          <cell r="L34" t="str">
            <v>12/27/2023</v>
          </cell>
          <cell r="M34" t="str">
            <v>1/8/2027</v>
          </cell>
          <cell r="N34">
            <v>200000000</v>
          </cell>
          <cell r="O34" t="str">
            <v>US WD/ US QK</v>
          </cell>
          <cell r="P34">
            <v>1.4500000000000001E-2</v>
          </cell>
          <cell r="Q34">
            <v>6.2344141903376588E-2</v>
          </cell>
          <cell r="R34">
            <v>0.1009</v>
          </cell>
          <cell r="S34">
            <v>102.5</v>
          </cell>
          <cell r="T34">
            <v>103.6</v>
          </cell>
          <cell r="U34">
            <v>250000</v>
          </cell>
          <cell r="V34" t="str">
            <v>USD</v>
          </cell>
          <cell r="W34">
            <v>1</v>
          </cell>
          <cell r="X34">
            <v>2213.54</v>
          </cell>
          <cell r="Y34">
            <v>51</v>
          </cell>
          <cell r="Z34">
            <v>259000</v>
          </cell>
          <cell r="AA34">
            <v>261213.54</v>
          </cell>
          <cell r="AB34">
            <v>257437.5</v>
          </cell>
          <cell r="AC34">
            <v>1.1506849315068493</v>
          </cell>
          <cell r="AD34">
            <v>7.6477260000000005E-2</v>
          </cell>
        </row>
        <row r="35">
          <cell r="A35" t="str">
            <v>203235AB2</v>
          </cell>
          <cell r="B35" t="str">
            <v>Cat Bond</v>
          </cell>
          <cell r="C35" t="str">
            <v>Buy</v>
          </cell>
          <cell r="D35">
            <v>45775</v>
          </cell>
          <cell r="E35">
            <v>45776</v>
          </cell>
          <cell r="F35" t="str">
            <v>BH</v>
          </cell>
          <cell r="G35" t="str">
            <v xml:space="preserve">Commonwealth Re 2023-1 A </v>
          </cell>
          <cell r="H35" t="str">
            <v>203235AB2</v>
          </cell>
          <cell r="I35" t="str">
            <v>Hannover Insurance</v>
          </cell>
          <cell r="J35" t="str">
            <v>Occurrence</v>
          </cell>
          <cell r="K35" t="str">
            <v>Indemnity</v>
          </cell>
          <cell r="L35" t="str">
            <v>6/21/2023</v>
          </cell>
          <cell r="M35" t="str">
            <v>7/8/2026</v>
          </cell>
          <cell r="N35">
            <v>150000000</v>
          </cell>
          <cell r="O35" t="str">
            <v>NE US WD</v>
          </cell>
          <cell r="P35">
            <v>4.4999999999999997E-3</v>
          </cell>
          <cell r="Q35">
            <v>3.8097325757443325E-2</v>
          </cell>
          <cell r="R35">
            <v>7.7850000000000003E-2</v>
          </cell>
          <cell r="S35">
            <v>101.49</v>
          </cell>
          <cell r="T35">
            <v>101.15</v>
          </cell>
          <cell r="U35">
            <v>250000</v>
          </cell>
          <cell r="V35" t="str">
            <v>USD</v>
          </cell>
          <cell r="W35">
            <v>1</v>
          </cell>
          <cell r="X35">
            <v>859.93</v>
          </cell>
          <cell r="Y35">
            <v>29</v>
          </cell>
          <cell r="Z35">
            <v>252875</v>
          </cell>
          <cell r="AA35">
            <v>253734.93</v>
          </cell>
          <cell r="AB35">
            <v>253625</v>
          </cell>
          <cell r="AC35">
            <v>0.64657534246575343</v>
          </cell>
          <cell r="AD35">
            <v>6.9939169999999995E-2</v>
          </cell>
        </row>
        <row r="36">
          <cell r="A36" t="str">
            <v>982533AB7</v>
          </cell>
          <cell r="B36" t="str">
            <v>Cat Bond</v>
          </cell>
          <cell r="C36" t="str">
            <v>Buy</v>
          </cell>
          <cell r="D36">
            <v>45777</v>
          </cell>
          <cell r="E36">
            <v>45779</v>
          </cell>
          <cell r="F36" t="str">
            <v>BH</v>
          </cell>
          <cell r="G36" t="str">
            <v xml:space="preserve">Wrigley Re 2023-1 A </v>
          </cell>
          <cell r="H36" t="str">
            <v>982533AB7</v>
          </cell>
          <cell r="I36" t="str">
            <v>Gryphon Mutual (Blackstone)</v>
          </cell>
          <cell r="J36" t="str">
            <v>Occurrence</v>
          </cell>
          <cell r="K36" t="str">
            <v>Indemnity</v>
          </cell>
          <cell r="L36" t="str">
            <v>7/19/2023</v>
          </cell>
          <cell r="M36" t="str">
            <v>8/7/2026</v>
          </cell>
          <cell r="N36">
            <v>100000000</v>
          </cell>
          <cell r="O36" t="str">
            <v>US &amp; CAD WD &amp; QK</v>
          </cell>
          <cell r="P36">
            <v>4.7999999999999996E-3</v>
          </cell>
          <cell r="Q36">
            <v>6.1561047014999995E-2</v>
          </cell>
          <cell r="R36">
            <v>0.1004</v>
          </cell>
          <cell r="S36">
            <v>102.45</v>
          </cell>
          <cell r="T36">
            <v>101.95</v>
          </cell>
          <cell r="U36">
            <v>250000</v>
          </cell>
          <cell r="V36" t="str">
            <v>USD</v>
          </cell>
          <cell r="W36">
            <v>1</v>
          </cell>
          <cell r="X36">
            <v>180.56</v>
          </cell>
          <cell r="Y36">
            <v>4</v>
          </cell>
          <cell r="Z36">
            <v>254875</v>
          </cell>
          <cell r="AA36">
            <v>255055.56</v>
          </cell>
          <cell r="AB36">
            <v>257362.5</v>
          </cell>
          <cell r="AC36">
            <v>0.72876712328767124</v>
          </cell>
          <cell r="AD36">
            <v>8.6950429999999995E-2</v>
          </cell>
        </row>
        <row r="37">
          <cell r="A37" t="str">
            <v>159873AA6</v>
          </cell>
          <cell r="B37" t="str">
            <v>Cat Bond</v>
          </cell>
          <cell r="C37" t="str">
            <v>Buy</v>
          </cell>
          <cell r="D37">
            <v>45777</v>
          </cell>
          <cell r="E37">
            <v>45778</v>
          </cell>
          <cell r="F37" t="str">
            <v>RBC</v>
          </cell>
          <cell r="G37" t="str">
            <v xml:space="preserve">Charles River Re 2024-1 A </v>
          </cell>
          <cell r="H37" t="str">
            <v>159873AA6</v>
          </cell>
          <cell r="I37" t="str">
            <v xml:space="preserve">American European Insurance </v>
          </cell>
          <cell r="J37" t="str">
            <v>Occurrence</v>
          </cell>
          <cell r="K37" t="str">
            <v>Indemnity</v>
          </cell>
          <cell r="L37" t="str">
            <v>4/11/2024</v>
          </cell>
          <cell r="M37" t="str">
            <v>5/10/2027</v>
          </cell>
          <cell r="N37">
            <v>125000000</v>
          </cell>
          <cell r="O37" t="str">
            <v>US WD (MA,NJ,NY,SC)</v>
          </cell>
          <cell r="P37">
            <v>2.7300000000000001E-2</v>
          </cell>
          <cell r="Q37">
            <v>7.6309884370243677E-2</v>
          </cell>
          <cell r="R37">
            <v>0.11452000122070313</v>
          </cell>
          <cell r="S37">
            <v>104.43</v>
          </cell>
          <cell r="T37">
            <v>102</v>
          </cell>
          <cell r="U37">
            <v>250000</v>
          </cell>
          <cell r="V37" t="str">
            <v>USD</v>
          </cell>
          <cell r="W37">
            <v>1</v>
          </cell>
          <cell r="X37">
            <v>984.38</v>
          </cell>
          <cell r="Y37">
            <v>21</v>
          </cell>
          <cell r="Z37">
            <v>255000</v>
          </cell>
          <cell r="AA37">
            <v>255984.38</v>
          </cell>
          <cell r="AB37">
            <v>265300</v>
          </cell>
          <cell r="AC37">
            <v>1.484931506849315</v>
          </cell>
          <cell r="AD37">
            <v>0.106922</v>
          </cell>
        </row>
        <row r="38">
          <cell r="A38" t="str">
            <v>975660AC5_1</v>
          </cell>
          <cell r="B38" t="str">
            <v>Cat Bond</v>
          </cell>
          <cell r="C38" t="str">
            <v>Buy</v>
          </cell>
          <cell r="D38">
            <v>45784</v>
          </cell>
          <cell r="E38">
            <v>45785</v>
          </cell>
          <cell r="F38" t="str">
            <v>RBC</v>
          </cell>
          <cell r="G38" t="str">
            <v xml:space="preserve">Winston Re 2025-1 A </v>
          </cell>
          <cell r="H38" t="str">
            <v>975660AC5_1</v>
          </cell>
          <cell r="I38" t="str">
            <v>Tower Hill Ins Exch</v>
          </cell>
          <cell r="J38" t="str">
            <v>Occurrence</v>
          </cell>
          <cell r="K38" t="str">
            <v>Indemnity</v>
          </cell>
          <cell r="L38" t="str">
            <v>2/13/2025</v>
          </cell>
          <cell r="M38" t="str">
            <v>2/21/2028</v>
          </cell>
          <cell r="N38">
            <v>175000000</v>
          </cell>
          <cell r="O38" t="str">
            <v>US (FL) WD</v>
          </cell>
          <cell r="P38">
            <v>1.61E-2</v>
          </cell>
          <cell r="Q38">
            <v>6.4970000542552628E-2</v>
          </cell>
          <cell r="R38">
            <v>0.1032</v>
          </cell>
          <cell r="S38">
            <v>102.22</v>
          </cell>
          <cell r="T38">
            <v>99.85</v>
          </cell>
          <cell r="U38">
            <v>250000</v>
          </cell>
          <cell r="V38" t="str">
            <v>USD</v>
          </cell>
          <cell r="W38">
            <v>1</v>
          </cell>
          <cell r="X38">
            <v>3836.81</v>
          </cell>
          <cell r="Y38">
            <v>85</v>
          </cell>
          <cell r="Z38">
            <v>249625</v>
          </cell>
          <cell r="AA38">
            <v>253461.81</v>
          </cell>
          <cell r="AB38">
            <v>260512.5</v>
          </cell>
          <cell r="AC38">
            <v>2.2712328767123289</v>
          </cell>
          <cell r="AD38">
            <v>0.10708301000000001</v>
          </cell>
        </row>
        <row r="39">
          <cell r="A39" t="str">
            <v>89141WAF9</v>
          </cell>
          <cell r="B39" t="str">
            <v>Cat Bond</v>
          </cell>
          <cell r="C39" t="str">
            <v>Buy</v>
          </cell>
          <cell r="D39">
            <v>45785</v>
          </cell>
          <cell r="E39">
            <v>45786</v>
          </cell>
          <cell r="F39" t="str">
            <v>BH</v>
          </cell>
          <cell r="G39" t="str">
            <v xml:space="preserve">Torrey Pines Re 2023-1 A </v>
          </cell>
          <cell r="H39" t="str">
            <v>89141WAF9</v>
          </cell>
          <cell r="I39" t="str">
            <v>Palomar Specialty</v>
          </cell>
          <cell r="J39" t="str">
            <v>Occurrence</v>
          </cell>
          <cell r="K39" t="str">
            <v>Indemnity</v>
          </cell>
          <cell r="L39" t="str">
            <v>5/25/2023</v>
          </cell>
          <cell r="M39" t="str">
            <v>6/5/2026</v>
          </cell>
          <cell r="N39">
            <v>150000000</v>
          </cell>
          <cell r="O39" t="str">
            <v>CA EQ</v>
          </cell>
          <cell r="P39">
            <v>1.0699999999999999E-2</v>
          </cell>
          <cell r="Q39">
            <v>5.285336942949477E-2</v>
          </cell>
          <cell r="R39">
            <v>9.1459997558593742E-2</v>
          </cell>
          <cell r="S39">
            <v>101.59</v>
          </cell>
          <cell r="T39">
            <v>101.95</v>
          </cell>
          <cell r="U39">
            <v>250000</v>
          </cell>
          <cell r="V39" t="str">
            <v>USD</v>
          </cell>
          <cell r="W39">
            <v>1</v>
          </cell>
          <cell r="X39">
            <v>72.44</v>
          </cell>
          <cell r="Y39">
            <v>2</v>
          </cell>
          <cell r="Z39">
            <v>254875</v>
          </cell>
          <cell r="AA39">
            <v>254947.44</v>
          </cell>
          <cell r="AB39">
            <v>253712.5</v>
          </cell>
          <cell r="AC39">
            <v>0.55616438356164388</v>
          </cell>
          <cell r="AD39">
            <v>7.5891169999999994E-2</v>
          </cell>
        </row>
        <row r="40">
          <cell r="A40" t="str">
            <v>532242AA2</v>
          </cell>
          <cell r="B40" t="str">
            <v>Cat Bond</v>
          </cell>
          <cell r="C40" t="str">
            <v>Buy</v>
          </cell>
          <cell r="D40">
            <v>45789</v>
          </cell>
          <cell r="E40">
            <v>45790</v>
          </cell>
          <cell r="F40" t="str">
            <v>RBC</v>
          </cell>
          <cell r="G40" t="str">
            <v>Lightning Re 2023-1 A</v>
          </cell>
          <cell r="H40" t="str">
            <v>532242AA2</v>
          </cell>
          <cell r="I40" t="str">
            <v>FL Citizens</v>
          </cell>
          <cell r="J40" t="str">
            <v>Aggregate</v>
          </cell>
          <cell r="K40" t="str">
            <v>Industry Loss Index</v>
          </cell>
          <cell r="L40" t="str">
            <v>3/24/2023</v>
          </cell>
          <cell r="M40" t="str">
            <v>3/31/2026</v>
          </cell>
          <cell r="N40">
            <v>500000000</v>
          </cell>
          <cell r="O40" t="str">
            <v>FL HU</v>
          </cell>
          <cell r="P40">
            <v>2.0400000000000001E-2</v>
          </cell>
          <cell r="Q40">
            <v>0.10714589536399999</v>
          </cell>
          <cell r="R40">
            <v>0.14850714000000001</v>
          </cell>
          <cell r="S40">
            <v>103</v>
          </cell>
          <cell r="T40">
            <v>102.8</v>
          </cell>
          <cell r="U40">
            <v>250000</v>
          </cell>
          <cell r="V40" t="str">
            <v>USD</v>
          </cell>
          <cell r="W40">
            <v>1</v>
          </cell>
          <cell r="X40">
            <v>4354.17</v>
          </cell>
          <cell r="Y40">
            <v>57</v>
          </cell>
          <cell r="Z40">
            <v>257000</v>
          </cell>
          <cell r="AA40">
            <v>261354.17</v>
          </cell>
          <cell r="AB40">
            <v>259925</v>
          </cell>
          <cell r="AC40">
            <v>0.37534246575342467</v>
          </cell>
          <cell r="AD40">
            <v>0.11713456000000001</v>
          </cell>
        </row>
        <row r="41">
          <cell r="A41" t="str">
            <v>011395AJ9</v>
          </cell>
          <cell r="B41" t="str">
            <v>Cat Bond</v>
          </cell>
          <cell r="C41" t="str">
            <v>Buy</v>
          </cell>
          <cell r="D41">
            <v>45789</v>
          </cell>
          <cell r="E41">
            <v>45790</v>
          </cell>
          <cell r="F41" t="str">
            <v>RBC</v>
          </cell>
          <cell r="G41" t="str">
            <v xml:space="preserve">Alamo Re 2023-1 A </v>
          </cell>
          <cell r="H41" t="str">
            <v>011395AJ9</v>
          </cell>
          <cell r="I41" t="str">
            <v>TWIA</v>
          </cell>
          <cell r="J41" t="str">
            <v>Aggregate</v>
          </cell>
          <cell r="K41" t="str">
            <v>Indemnity</v>
          </cell>
          <cell r="L41" t="str">
            <v>4/19/2023</v>
          </cell>
          <cell r="M41" t="str">
            <v>6/7/2026</v>
          </cell>
          <cell r="N41">
            <v>500000000</v>
          </cell>
          <cell r="O41" t="str">
            <v>US HU (TX Storms) &amp; TH</v>
          </cell>
          <cell r="P41">
            <v>2.5700000000000001E-2</v>
          </cell>
          <cell r="Q41">
            <v>9.0592527148662366E-2</v>
          </cell>
          <cell r="R41">
            <v>0.12890000000000001</v>
          </cell>
          <cell r="S41">
            <v>103.83</v>
          </cell>
          <cell r="T41">
            <v>102.5</v>
          </cell>
          <cell r="U41">
            <v>250000</v>
          </cell>
          <cell r="V41" t="str">
            <v>USD</v>
          </cell>
          <cell r="W41">
            <v>1</v>
          </cell>
          <cell r="X41">
            <v>1631.78</v>
          </cell>
          <cell r="Y41">
            <v>28</v>
          </cell>
          <cell r="Z41">
            <v>256250</v>
          </cell>
          <cell r="AA41">
            <v>257881.78</v>
          </cell>
          <cell r="AB41">
            <v>262100</v>
          </cell>
          <cell r="AC41">
            <v>0.56164383561643838</v>
          </cell>
          <cell r="AD41">
            <v>0.10738033</v>
          </cell>
        </row>
        <row r="42">
          <cell r="A42" t="str">
            <v>07304LAA9</v>
          </cell>
          <cell r="B42" t="str">
            <v>Cat Bond</v>
          </cell>
          <cell r="C42" t="str">
            <v>Buy</v>
          </cell>
          <cell r="D42">
            <v>45790</v>
          </cell>
          <cell r="E42">
            <v>45791</v>
          </cell>
          <cell r="F42" t="str">
            <v>RBC</v>
          </cell>
          <cell r="G42" t="str">
            <v xml:space="preserve">Bayou Re 2023-1 A </v>
          </cell>
          <cell r="H42" t="str">
            <v>07304LAA9</v>
          </cell>
          <cell r="I42" t="str">
            <v>LA Citizens</v>
          </cell>
          <cell r="J42" t="str">
            <v>Occurrence</v>
          </cell>
          <cell r="K42" t="str">
            <v>Indemnity</v>
          </cell>
          <cell r="L42" t="str">
            <v>5/18/2023</v>
          </cell>
          <cell r="M42" t="str">
            <v>5/26/2026</v>
          </cell>
          <cell r="N42">
            <v>120000000</v>
          </cell>
          <cell r="O42" t="str">
            <v>LA HU</v>
          </cell>
          <cell r="P42">
            <v>1.9800000000000002E-2</v>
          </cell>
          <cell r="Q42">
            <v>0.12371484670499999</v>
          </cell>
          <cell r="R42">
            <v>0.1623</v>
          </cell>
          <cell r="S42">
            <v>103.95</v>
          </cell>
          <cell r="T42">
            <v>104.6</v>
          </cell>
          <cell r="U42">
            <v>250000</v>
          </cell>
          <cell r="V42" t="str">
            <v>USD</v>
          </cell>
          <cell r="W42">
            <v>1</v>
          </cell>
          <cell r="X42">
            <v>448.26</v>
          </cell>
          <cell r="Y42">
            <v>5</v>
          </cell>
          <cell r="Z42">
            <v>261500</v>
          </cell>
          <cell r="AA42">
            <v>261948.26</v>
          </cell>
          <cell r="AB42">
            <v>265650</v>
          </cell>
          <cell r="AC42">
            <v>0.52876712328767128</v>
          </cell>
          <cell r="AD42">
            <v>0.11846672999999999</v>
          </cell>
        </row>
        <row r="43">
          <cell r="A43" t="str">
            <v>69664FAA6</v>
          </cell>
          <cell r="B43" t="str">
            <v>Cat Bond</v>
          </cell>
          <cell r="C43" t="str">
            <v>Buy</v>
          </cell>
          <cell r="D43">
            <v>45791</v>
          </cell>
          <cell r="E43">
            <v>45792</v>
          </cell>
          <cell r="F43" t="str">
            <v>BH</v>
          </cell>
          <cell r="G43" t="str">
            <v>Palm Re 2024-1 A</v>
          </cell>
          <cell r="H43" t="str">
            <v>69664FAA6</v>
          </cell>
          <cell r="I43" t="str">
            <v>FL Peninsula</v>
          </cell>
          <cell r="J43" t="str">
            <v>Occurrence</v>
          </cell>
          <cell r="K43" t="str">
            <v>Indemnity</v>
          </cell>
          <cell r="L43" t="str">
            <v>4/11/2024</v>
          </cell>
          <cell r="M43" t="str">
            <v>6/7/2027</v>
          </cell>
          <cell r="N43">
            <v>150000000</v>
          </cell>
          <cell r="O43" t="str">
            <v>FL HU</v>
          </cell>
          <cell r="P43">
            <v>2.1600000000000001E-2</v>
          </cell>
          <cell r="Q43">
            <v>9.6978148762843802E-2</v>
          </cell>
          <cell r="R43">
            <v>0.13565251064300538</v>
          </cell>
          <cell r="S43">
            <v>104.18</v>
          </cell>
          <cell r="T43">
            <v>102.85</v>
          </cell>
          <cell r="U43">
            <v>250000</v>
          </cell>
          <cell r="V43" t="str">
            <v>USD</v>
          </cell>
          <cell r="W43">
            <v>1</v>
          </cell>
          <cell r="X43">
            <v>659.72</v>
          </cell>
          <cell r="Y43">
            <v>10</v>
          </cell>
          <cell r="Z43">
            <v>257125</v>
          </cell>
          <cell r="AA43">
            <v>257784.72</v>
          </cell>
          <cell r="AB43">
            <v>267475</v>
          </cell>
          <cell r="AC43">
            <v>1.5616438356164384</v>
          </cell>
          <cell r="AD43">
            <v>0.11963620999999999</v>
          </cell>
        </row>
        <row r="44">
          <cell r="A44" t="str">
            <v>888329AC3</v>
          </cell>
          <cell r="B44" t="str">
            <v>Cat Bond</v>
          </cell>
          <cell r="C44" t="str">
            <v>Buy</v>
          </cell>
          <cell r="D44">
            <v>45793</v>
          </cell>
          <cell r="E44">
            <v>45797</v>
          </cell>
          <cell r="F44" t="str">
            <v>RBC</v>
          </cell>
          <cell r="G44" t="str">
            <v>Titania Re 2023-1 A</v>
          </cell>
          <cell r="H44" t="str">
            <v>888329AC3</v>
          </cell>
          <cell r="I44" t="str">
            <v>Ariel Re</v>
          </cell>
          <cell r="J44" t="str">
            <v>Aggregate</v>
          </cell>
          <cell r="K44" t="str">
            <v>Industry Loss Index</v>
          </cell>
          <cell r="L44" t="str">
            <v>2/23/2023</v>
          </cell>
          <cell r="M44" t="str">
            <v>2/27/2026</v>
          </cell>
          <cell r="N44">
            <v>75000000</v>
          </cell>
          <cell r="O44" t="str">
            <v>US CAD &amp; PR WD &amp; QK</v>
          </cell>
          <cell r="P44">
            <v>3.4500000000000003E-2</v>
          </cell>
          <cell r="Q44">
            <v>0.132513423963</v>
          </cell>
          <cell r="R44">
            <v>0.1696</v>
          </cell>
          <cell r="S44">
            <v>102.83</v>
          </cell>
          <cell r="T44">
            <v>103.75</v>
          </cell>
          <cell r="U44">
            <v>250000</v>
          </cell>
          <cell r="V44" t="str">
            <v>USD</v>
          </cell>
          <cell r="W44">
            <v>1</v>
          </cell>
          <cell r="X44">
            <v>2553.06</v>
          </cell>
          <cell r="Y44">
            <v>28</v>
          </cell>
          <cell r="Z44">
            <v>259375</v>
          </cell>
          <cell r="AA44">
            <v>261928.06</v>
          </cell>
          <cell r="AB44">
            <v>259525</v>
          </cell>
          <cell r="AC44">
            <v>0.28767123287671231</v>
          </cell>
          <cell r="AD44">
            <v>0.12295012</v>
          </cell>
        </row>
        <row r="45">
          <cell r="A45" t="str">
            <v>54143LAB4</v>
          </cell>
          <cell r="B45" t="str">
            <v>Cat Bond</v>
          </cell>
          <cell r="C45" t="str">
            <v>Buy</v>
          </cell>
          <cell r="D45">
            <v>45797</v>
          </cell>
          <cell r="E45">
            <v>45798</v>
          </cell>
          <cell r="F45" t="str">
            <v>BH</v>
          </cell>
          <cell r="G45" t="str">
            <v>Logistics Re 2024-1 A</v>
          </cell>
          <cell r="H45" t="str">
            <v>54143LAB4</v>
          </cell>
          <cell r="I45" t="str">
            <v>Prologis</v>
          </cell>
          <cell r="J45" t="str">
            <v>Occurrence</v>
          </cell>
          <cell r="K45" t="str">
            <v>Indemnity</v>
          </cell>
          <cell r="L45" t="str">
            <v>10/28/2024</v>
          </cell>
          <cell r="M45" t="str">
            <v>12/21/2027</v>
          </cell>
          <cell r="N45">
            <v>95000000</v>
          </cell>
          <cell r="O45" t="str">
            <v>CA EQ</v>
          </cell>
          <cell r="P45">
            <v>2.64E-2</v>
          </cell>
          <cell r="Q45">
            <v>5.9943972307865592E-2</v>
          </cell>
          <cell r="R45">
            <v>9.8100000000000007E-2</v>
          </cell>
          <cell r="S45">
            <v>102.15</v>
          </cell>
          <cell r="T45">
            <v>101.85</v>
          </cell>
          <cell r="U45">
            <v>250000</v>
          </cell>
          <cell r="V45" t="str">
            <v>USD</v>
          </cell>
          <cell r="W45">
            <v>1</v>
          </cell>
          <cell r="X45">
            <v>0</v>
          </cell>
          <cell r="Y45">
            <v>0</v>
          </cell>
          <cell r="Z45">
            <v>254625</v>
          </cell>
          <cell r="AA45">
            <v>254625</v>
          </cell>
          <cell r="AB45">
            <v>255937.5</v>
          </cell>
          <cell r="AC45">
            <v>2.1013698630136988</v>
          </cell>
          <cell r="AD45">
            <v>9.3113240000000014E-2</v>
          </cell>
        </row>
        <row r="46">
          <cell r="A46" t="str">
            <v>35087TAF5</v>
          </cell>
          <cell r="B46" t="str">
            <v>Cat Bond</v>
          </cell>
          <cell r="C46" t="str">
            <v>Buy</v>
          </cell>
          <cell r="D46">
            <v>45805</v>
          </cell>
          <cell r="E46">
            <v>45806</v>
          </cell>
          <cell r="F46" t="str">
            <v>RBC</v>
          </cell>
          <cell r="G46" t="str">
            <v>Four Lakes Re 2023-1 B</v>
          </cell>
          <cell r="H46" t="str">
            <v>35087TAF5</v>
          </cell>
          <cell r="I46" t="str">
            <v>American Family</v>
          </cell>
          <cell r="J46" t="str">
            <v>Occurrence</v>
          </cell>
          <cell r="K46" t="str">
            <v>Indemnity</v>
          </cell>
          <cell r="L46" t="str">
            <v>12/14/2023</v>
          </cell>
          <cell r="M46" t="str">
            <v>1/7/2027</v>
          </cell>
          <cell r="N46">
            <v>50000000</v>
          </cell>
          <cell r="O46" t="str">
            <v>US WD/QK/TH/WS/WF</v>
          </cell>
          <cell r="P46">
            <v>2.12E-2</v>
          </cell>
          <cell r="Q46">
            <v>8.895815195583813E-2</v>
          </cell>
          <cell r="R46">
            <v>0.1275</v>
          </cell>
          <cell r="S46">
            <v>101.46</v>
          </cell>
          <cell r="T46">
            <v>101.6</v>
          </cell>
          <cell r="U46">
            <v>250000</v>
          </cell>
          <cell r="V46" t="str">
            <v>USD</v>
          </cell>
          <cell r="W46">
            <v>1</v>
          </cell>
          <cell r="X46">
            <v>3892.36</v>
          </cell>
          <cell r="Y46">
            <v>59</v>
          </cell>
          <cell r="Z46">
            <v>254000</v>
          </cell>
          <cell r="AA46">
            <v>257892.36</v>
          </cell>
          <cell r="AB46">
            <v>258225</v>
          </cell>
          <cell r="AC46">
            <v>1.1479452054794521</v>
          </cell>
          <cell r="AD46">
            <v>0.11989807000000001</v>
          </cell>
        </row>
        <row r="47">
          <cell r="A47" t="str">
            <v>33975CAP0</v>
          </cell>
          <cell r="B47" t="str">
            <v>Cat Bond</v>
          </cell>
          <cell r="C47" t="str">
            <v>Buy</v>
          </cell>
          <cell r="D47">
            <v>45834</v>
          </cell>
          <cell r="E47">
            <v>45835</v>
          </cell>
          <cell r="F47" t="str">
            <v>BH</v>
          </cell>
          <cell r="G47" t="str">
            <v xml:space="preserve">Floodsmart Re 2024-1 A </v>
          </cell>
          <cell r="H47" t="str">
            <v>33975CAP0</v>
          </cell>
          <cell r="I47" t="str">
            <v>NFIP</v>
          </cell>
          <cell r="J47" t="str">
            <v>Occurrence</v>
          </cell>
          <cell r="K47" t="str">
            <v>Indemnity</v>
          </cell>
          <cell r="L47" t="str">
            <v>3/7/2024</v>
          </cell>
          <cell r="M47" t="str">
            <v>3/12/2027</v>
          </cell>
          <cell r="N47">
            <v>475000000</v>
          </cell>
          <cell r="O47" t="str">
            <v xml:space="preserve">US FLOOD </v>
          </cell>
          <cell r="P47">
            <v>5.6599999999999998E-2</v>
          </cell>
          <cell r="Q47">
            <v>0.14337499204691626</v>
          </cell>
          <cell r="R47">
            <v>0.18169999999999997</v>
          </cell>
          <cell r="S47">
            <v>105.48</v>
          </cell>
          <cell r="T47">
            <v>102.8</v>
          </cell>
          <cell r="U47">
            <v>250000</v>
          </cell>
          <cell r="V47" t="str">
            <v>USD</v>
          </cell>
          <cell r="W47">
            <v>1</v>
          </cell>
          <cell r="X47">
            <v>2041.67</v>
          </cell>
          <cell r="Y47">
            <v>21</v>
          </cell>
          <cell r="Z47">
            <v>257000</v>
          </cell>
          <cell r="AA47">
            <v>259041.67</v>
          </cell>
          <cell r="AB47">
            <v>267575</v>
          </cell>
          <cell r="AC47">
            <v>1.3232876712328767</v>
          </cell>
          <cell r="AD47">
            <v>0.16562574999999999</v>
          </cell>
        </row>
        <row r="48">
          <cell r="A48" t="str">
            <v>35087TAH1</v>
          </cell>
          <cell r="B48" t="str">
            <v>Cat Bond</v>
          </cell>
          <cell r="C48" t="str">
            <v>Buy</v>
          </cell>
          <cell r="D48">
            <v>45859</v>
          </cell>
          <cell r="E48">
            <v>45860</v>
          </cell>
          <cell r="F48" t="str">
            <v>RBC</v>
          </cell>
          <cell r="G48" t="str">
            <v>Four Lakes Re 2024-1 B </v>
          </cell>
          <cell r="H48" t="str">
            <v>35087TAH1</v>
          </cell>
          <cell r="I48" t="str">
            <v>American Family</v>
          </cell>
          <cell r="J48" t="str">
            <v>Occurrence</v>
          </cell>
          <cell r="K48" t="str">
            <v>Indemnity</v>
          </cell>
          <cell r="L48" t="str">
            <v>12/18/2024</v>
          </cell>
          <cell r="M48" t="str">
            <v>1/7/2028</v>
          </cell>
          <cell r="N48">
            <v>75000000</v>
          </cell>
          <cell r="O48" t="str">
            <v>US WD/QK/TH/WS/WF</v>
          </cell>
          <cell r="P48">
            <v>0.03</v>
          </cell>
          <cell r="Q48">
            <v>8.2377062182166227E-2</v>
          </cell>
          <cell r="R48">
            <v>0.1208</v>
          </cell>
          <cell r="S48">
            <v>100.27</v>
          </cell>
          <cell r="T48">
            <v>99.3</v>
          </cell>
          <cell r="U48">
            <v>250000</v>
          </cell>
          <cell r="V48" t="str">
            <v>USD</v>
          </cell>
          <cell r="W48">
            <v>1</v>
          </cell>
          <cell r="X48">
            <v>1260.42</v>
          </cell>
          <cell r="Y48">
            <v>22</v>
          </cell>
          <cell r="Z48">
            <v>248250</v>
          </cell>
          <cell r="AA48">
            <v>249510.42</v>
          </cell>
          <cell r="AB48">
            <v>258612.5</v>
          </cell>
          <cell r="AC48">
            <v>2.1479452054794521</v>
          </cell>
          <cell r="AD48">
            <v>0.12753048</v>
          </cell>
        </row>
        <row r="49">
          <cell r="A49" t="str">
            <v>62426LAA7</v>
          </cell>
          <cell r="B49" t="str">
            <v>Cat Bond</v>
          </cell>
          <cell r="C49" t="str">
            <v>Buy</v>
          </cell>
          <cell r="D49">
            <v>45866</v>
          </cell>
          <cell r="E49">
            <v>45867</v>
          </cell>
          <cell r="F49" t="str">
            <v>RBC</v>
          </cell>
          <cell r="G49" t="str">
            <v xml:space="preserve">Mountain Re 2023-1 A </v>
          </cell>
          <cell r="H49" t="str">
            <v>62426LAA7</v>
          </cell>
          <cell r="I49" t="str">
            <v>Spinnaker Insurance</v>
          </cell>
          <cell r="J49" t="str">
            <v>Occurrence</v>
          </cell>
          <cell r="K49" t="str">
            <v>Indemnity</v>
          </cell>
          <cell r="L49" t="str">
            <v>5/31/2023</v>
          </cell>
          <cell r="M49" t="str">
            <v>6/5/2026</v>
          </cell>
          <cell r="N49">
            <v>110000000</v>
          </cell>
          <cell r="O49" t="str">
            <v xml:space="preserve">US WD / US QK </v>
          </cell>
          <cell r="P49">
            <v>9.1999999999999998E-3</v>
          </cell>
          <cell r="Q49">
            <v>6.7368757419999994E-2</v>
          </cell>
          <cell r="R49">
            <v>0.1056</v>
          </cell>
          <cell r="S49">
            <v>103.16</v>
          </cell>
          <cell r="T49">
            <v>103.1</v>
          </cell>
          <cell r="U49">
            <v>250000</v>
          </cell>
          <cell r="V49" t="str">
            <v>USD</v>
          </cell>
          <cell r="W49">
            <v>1</v>
          </cell>
          <cell r="X49">
            <v>1041.94</v>
          </cell>
          <cell r="Y49">
            <v>22</v>
          </cell>
          <cell r="Z49">
            <v>257750</v>
          </cell>
          <cell r="AA49">
            <v>258791.94</v>
          </cell>
          <cell r="AB49">
            <v>258525</v>
          </cell>
          <cell r="AC49">
            <v>0.55616438356164388</v>
          </cell>
          <cell r="AD49">
            <v>7.1632760000000004E-2</v>
          </cell>
        </row>
        <row r="50">
          <cell r="A50" t="str">
            <v>92335TAA7</v>
          </cell>
          <cell r="B50" t="str">
            <v>Cat Bond</v>
          </cell>
          <cell r="C50" t="str">
            <v>Buy</v>
          </cell>
          <cell r="D50">
            <v>45889</v>
          </cell>
          <cell r="E50">
            <v>45890</v>
          </cell>
          <cell r="F50" t="str">
            <v>Tullet</v>
          </cell>
          <cell r="G50" t="str">
            <v>Veraison Re 2023-1 A</v>
          </cell>
          <cell r="H50" t="str">
            <v>92335TAA7</v>
          </cell>
          <cell r="I50" t="str">
            <v>GeoVera</v>
          </cell>
          <cell r="J50" t="str">
            <v>Occurrence</v>
          </cell>
          <cell r="K50" t="str">
            <v>Indemnity</v>
          </cell>
          <cell r="L50" t="str">
            <v>12/20/2022</v>
          </cell>
          <cell r="M50" t="str">
            <v>3/9/2026</v>
          </cell>
          <cell r="N50">
            <v>75000000</v>
          </cell>
          <cell r="O50" t="str">
            <v>US EQ</v>
          </cell>
          <cell r="P50">
            <v>8.0999999999999996E-3</v>
          </cell>
          <cell r="Q50">
            <v>6.7481547241393061E-2</v>
          </cell>
          <cell r="R50">
            <v>0.10617999877929687</v>
          </cell>
          <cell r="S50">
            <v>102.32</v>
          </cell>
          <cell r="T50">
            <v>102.925</v>
          </cell>
          <cell r="U50">
            <v>250000</v>
          </cell>
          <cell r="V50" t="str">
            <v>USD</v>
          </cell>
          <cell r="W50">
            <v>1</v>
          </cell>
          <cell r="X50">
            <v>471.39</v>
          </cell>
          <cell r="Y50">
            <v>10</v>
          </cell>
          <cell r="Z50">
            <v>257312.5</v>
          </cell>
          <cell r="AA50">
            <v>257783.89</v>
          </cell>
          <cell r="AB50">
            <v>253575</v>
          </cell>
          <cell r="AC50">
            <v>0.31506849315068491</v>
          </cell>
          <cell r="AD50">
            <v>5.5554730000000004E-2</v>
          </cell>
        </row>
        <row r="51">
          <cell r="A51" t="str">
            <v>89141WAG7</v>
          </cell>
          <cell r="B51" t="str">
            <v>Cat Bond</v>
          </cell>
          <cell r="C51" t="str">
            <v>Buy</v>
          </cell>
          <cell r="D51">
            <v>45908</v>
          </cell>
          <cell r="E51">
            <v>45909</v>
          </cell>
          <cell r="F51" t="str">
            <v>RBC</v>
          </cell>
          <cell r="G51" t="str">
            <v>Torrey Pines Re 2023-1 B</v>
          </cell>
          <cell r="H51" t="str">
            <v>89141WAG7</v>
          </cell>
          <cell r="I51" t="str">
            <v>Palomar Specialty</v>
          </cell>
          <cell r="J51" t="str">
            <v>Occurrence</v>
          </cell>
          <cell r="K51" t="str">
            <v>Indemnity</v>
          </cell>
          <cell r="L51" t="str">
            <v>5/25/2023</v>
          </cell>
          <cell r="M51" t="str">
            <v>6/5/2026</v>
          </cell>
          <cell r="N51">
            <v>50000000</v>
          </cell>
          <cell r="O51" t="str">
            <v>US EQ</v>
          </cell>
          <cell r="P51">
            <v>2.7799999999999998E-2</v>
          </cell>
          <cell r="Q51">
            <v>8.2161083101289042E-2</v>
          </cell>
          <cell r="R51">
            <v>0.1206</v>
          </cell>
          <cell r="S51">
            <v>102.43</v>
          </cell>
          <cell r="T51">
            <v>102.75</v>
          </cell>
          <cell r="U51">
            <v>250000</v>
          </cell>
          <cell r="V51" t="str">
            <v>USD</v>
          </cell>
          <cell r="W51">
            <v>1</v>
          </cell>
          <cell r="X51">
            <v>57.08</v>
          </cell>
          <cell r="Y51">
            <v>1</v>
          </cell>
          <cell r="Z51">
            <v>256875</v>
          </cell>
          <cell r="AA51">
            <v>256932.08</v>
          </cell>
          <cell r="AB51">
            <v>255675</v>
          </cell>
          <cell r="AC51">
            <v>0.55616438356164388</v>
          </cell>
          <cell r="AD51">
            <v>8.541230000000001E-2</v>
          </cell>
        </row>
        <row r="52">
          <cell r="A52" t="str">
            <v>177510AM6</v>
          </cell>
          <cell r="B52" t="str">
            <v>Cat Bond</v>
          </cell>
          <cell r="C52" t="str">
            <v>Buy</v>
          </cell>
          <cell r="D52">
            <v>45908</v>
          </cell>
          <cell r="E52">
            <v>45909</v>
          </cell>
          <cell r="F52" t="str">
            <v>BH</v>
          </cell>
          <cell r="G52" t="str">
            <v>Citrus Re 2023-1 B</v>
          </cell>
          <cell r="H52" t="str">
            <v>177510AM6</v>
          </cell>
          <cell r="I52" t="str">
            <v>Heritage</v>
          </cell>
          <cell r="J52" t="str">
            <v>Occurrence</v>
          </cell>
          <cell r="K52" t="str">
            <v>Indemnity</v>
          </cell>
          <cell r="L52" t="str">
            <v>5/11/2023</v>
          </cell>
          <cell r="M52" t="str">
            <v>6/7/2026</v>
          </cell>
          <cell r="N52">
            <v>115000000</v>
          </cell>
          <cell r="O52" t="str">
            <v>US WD</v>
          </cell>
          <cell r="P52">
            <v>2.3300000000000001E-2</v>
          </cell>
          <cell r="Q52">
            <v>8.6567912869999986E-2</v>
          </cell>
          <cell r="R52">
            <v>0.1257647939682007</v>
          </cell>
          <cell r="S52">
            <v>103.48</v>
          </cell>
          <cell r="T52">
            <v>103.85</v>
          </cell>
          <cell r="U52">
            <v>250000</v>
          </cell>
          <cell r="V52" t="str">
            <v>USD</v>
          </cell>
          <cell r="W52">
            <v>1</v>
          </cell>
          <cell r="X52">
            <v>3266.25</v>
          </cell>
          <cell r="Y52">
            <v>54</v>
          </cell>
          <cell r="Z52">
            <v>259625</v>
          </cell>
          <cell r="AA52">
            <v>262891.25</v>
          </cell>
          <cell r="AB52">
            <v>260262.5</v>
          </cell>
          <cell r="AC52">
            <v>0.56164383561643838</v>
          </cell>
          <cell r="AD52">
            <v>6.7369300000000007E-2</v>
          </cell>
        </row>
        <row r="53">
          <cell r="A53" t="str">
            <v>74639NAB9</v>
          </cell>
          <cell r="B53" t="str">
            <v>Cat Bond</v>
          </cell>
          <cell r="C53" t="str">
            <v>Buy</v>
          </cell>
          <cell r="D53">
            <v>45908</v>
          </cell>
          <cell r="E53">
            <v>45909</v>
          </cell>
          <cell r="F53" t="str">
            <v>BH</v>
          </cell>
          <cell r="G53" t="str">
            <v>Purple Re 2023-2  A</v>
          </cell>
          <cell r="H53" t="str">
            <v>74639NAB9</v>
          </cell>
          <cell r="I53" t="str">
            <v>Slide</v>
          </cell>
          <cell r="J53" t="str">
            <v>Occurrence</v>
          </cell>
          <cell r="K53" t="str">
            <v>Indemnity</v>
          </cell>
          <cell r="L53" t="str">
            <v>7/5/2023</v>
          </cell>
          <cell r="M53" t="str">
            <v>6/5/2026</v>
          </cell>
          <cell r="N53">
            <v>100000000</v>
          </cell>
          <cell r="O53" t="str">
            <v>FL &amp; SC HU</v>
          </cell>
          <cell r="P53">
            <v>1.54E-2</v>
          </cell>
          <cell r="Q53">
            <v>0.10575252025762831</v>
          </cell>
          <cell r="R53">
            <v>0.14446480112075805</v>
          </cell>
          <cell r="S53">
            <v>103.29</v>
          </cell>
          <cell r="T53">
            <v>102.9</v>
          </cell>
          <cell r="U53">
            <v>250000</v>
          </cell>
          <cell r="V53" t="str">
            <v>USD</v>
          </cell>
          <cell r="W53">
            <v>1</v>
          </cell>
          <cell r="X53">
            <v>293.89</v>
          </cell>
          <cell r="Y53">
            <v>4</v>
          </cell>
          <cell r="Z53">
            <v>257250</v>
          </cell>
          <cell r="AA53">
            <v>257543.89</v>
          </cell>
          <cell r="AB53">
            <v>263975</v>
          </cell>
          <cell r="AC53">
            <v>0.55616438356164388</v>
          </cell>
          <cell r="AD53">
            <v>0.10023182999999999</v>
          </cell>
        </row>
        <row r="54">
          <cell r="A54" t="str">
            <v>577092AZ2</v>
          </cell>
          <cell r="B54" t="str">
            <v>Cat Bond</v>
          </cell>
          <cell r="C54" t="str">
            <v>Buy</v>
          </cell>
          <cell r="D54">
            <v>45912</v>
          </cell>
          <cell r="E54">
            <v>45917</v>
          </cell>
          <cell r="F54" t="str">
            <v>Swiss Re</v>
          </cell>
          <cell r="G54" t="str">
            <v>Matterhorn Re 2025-3 A</v>
          </cell>
          <cell r="H54" t="str">
            <v>577092AZ2</v>
          </cell>
          <cell r="I54" t="str">
            <v>Swiss Re</v>
          </cell>
          <cell r="J54" t="str">
            <v>Aggregate</v>
          </cell>
          <cell r="K54" t="str">
            <v>Industry Loss Index</v>
          </cell>
          <cell r="L54">
            <v>45917</v>
          </cell>
          <cell r="M54">
            <v>47013</v>
          </cell>
          <cell r="N54">
            <v>60000000</v>
          </cell>
          <cell r="O54" t="str">
            <v>US/CAN EQ</v>
          </cell>
          <cell r="P54">
            <v>9.7000000000000003E-3</v>
          </cell>
          <cell r="Q54">
            <v>2.4989104510654645E-2</v>
          </cell>
          <cell r="R54">
            <v>6.3716461658477788E-2</v>
          </cell>
          <cell r="S54">
            <v>0</v>
          </cell>
          <cell r="T54">
            <v>100</v>
          </cell>
          <cell r="U54">
            <v>250000</v>
          </cell>
          <cell r="V54" t="str">
            <v>USD</v>
          </cell>
          <cell r="W54">
            <v>1</v>
          </cell>
          <cell r="X54">
            <v>0</v>
          </cell>
          <cell r="Y54">
            <v>0</v>
          </cell>
          <cell r="Z54">
            <v>250000</v>
          </cell>
          <cell r="AA54">
            <v>250000</v>
          </cell>
          <cell r="AB54">
            <v>251762.5</v>
          </cell>
          <cell r="AC54">
            <v>2.8438356164383563</v>
          </cell>
          <cell r="AD54">
            <v>6.3665340000000001E-2</v>
          </cell>
        </row>
        <row r="55">
          <cell r="A55" t="str">
            <v>62983QAP8</v>
          </cell>
          <cell r="B55" t="str">
            <v>Cat Bond</v>
          </cell>
          <cell r="C55" t="str">
            <v>Buy</v>
          </cell>
          <cell r="D55">
            <v>45917</v>
          </cell>
          <cell r="E55">
            <v>45918</v>
          </cell>
          <cell r="F55" t="str">
            <v>BH</v>
          </cell>
          <cell r="G55" t="str">
            <v xml:space="preserve">Nakama Re 2023-1 2 </v>
          </cell>
          <cell r="H55" t="str">
            <v>62983QAP8</v>
          </cell>
          <cell r="I55" t="str">
            <v>Zenkyoren</v>
          </cell>
          <cell r="J55" t="str">
            <v>Aggregate</v>
          </cell>
          <cell r="K55" t="str">
            <v>Indemnity</v>
          </cell>
          <cell r="L55" t="str">
            <v>4/24/2023</v>
          </cell>
          <cell r="M55" t="str">
            <v>5/9/2028</v>
          </cell>
          <cell r="N55">
            <v>150000000</v>
          </cell>
          <cell r="O55" t="str">
            <v>JP EQ</v>
          </cell>
          <cell r="P55">
            <v>1.54E-2</v>
          </cell>
          <cell r="Q55">
            <v>3.9735449151122572E-2</v>
          </cell>
          <cell r="R55">
            <v>7.7952500000000008E-2</v>
          </cell>
          <cell r="S55">
            <v>103.74</v>
          </cell>
          <cell r="T55">
            <v>104.5</v>
          </cell>
          <cell r="U55">
            <v>250000</v>
          </cell>
          <cell r="V55" t="str">
            <v>USD</v>
          </cell>
          <cell r="W55">
            <v>1</v>
          </cell>
          <cell r="X55">
            <v>4444.07</v>
          </cell>
          <cell r="Y55">
            <v>79</v>
          </cell>
          <cell r="Z55">
            <v>261250</v>
          </cell>
          <cell r="AA55">
            <v>265694.07</v>
          </cell>
          <cell r="AB55">
            <v>259187.5</v>
          </cell>
          <cell r="AC55">
            <v>2.484931506849315</v>
          </cell>
          <cell r="AD55">
            <v>6.1684509999999998E-2</v>
          </cell>
        </row>
        <row r="56">
          <cell r="A56" t="str">
            <v>092168AB9</v>
          </cell>
          <cell r="B56" t="str">
            <v>Cat Bond</v>
          </cell>
          <cell r="C56" t="str">
            <v>Buy</v>
          </cell>
          <cell r="D56">
            <v>45918</v>
          </cell>
          <cell r="E56">
            <v>45919</v>
          </cell>
          <cell r="F56" t="str">
            <v>Tullet</v>
          </cell>
          <cell r="G56" t="str">
            <v>Black Kite Re 2025-1 A</v>
          </cell>
          <cell r="H56" t="str">
            <v>092168AB9</v>
          </cell>
          <cell r="I56" t="str">
            <v>Peak Re</v>
          </cell>
          <cell r="J56" t="str">
            <v>Occurrence</v>
          </cell>
          <cell r="K56" t="str">
            <v>Industry Loss Index</v>
          </cell>
          <cell r="L56" t="str">
            <v>4/29/2025</v>
          </cell>
          <cell r="M56" t="str">
            <v>5/8/2028</v>
          </cell>
          <cell r="N56">
            <v>50000000</v>
          </cell>
          <cell r="O56" t="str">
            <v>JP WS/EQ, CH EQ, IN EQ</v>
          </cell>
          <cell r="P56">
            <v>3.78E-2</v>
          </cell>
          <cell r="Q56">
            <v>7.9825592971428452E-2</v>
          </cell>
          <cell r="R56">
            <v>0.1183</v>
          </cell>
          <cell r="S56">
            <v>100.43</v>
          </cell>
          <cell r="T56">
            <v>104.65</v>
          </cell>
          <cell r="U56">
            <v>250000</v>
          </cell>
          <cell r="V56" t="str">
            <v>USD</v>
          </cell>
          <cell r="W56">
            <v>1</v>
          </cell>
          <cell r="X56">
            <v>2333.33</v>
          </cell>
          <cell r="Y56">
            <v>42</v>
          </cell>
          <cell r="Z56">
            <v>261625</v>
          </cell>
          <cell r="AA56">
            <v>263958.33</v>
          </cell>
          <cell r="AB56">
            <v>253550</v>
          </cell>
          <cell r="AC56">
            <v>2.4821917808219176</v>
          </cell>
          <cell r="AD56">
            <v>9.9497470000000005E-2</v>
          </cell>
        </row>
        <row r="57">
          <cell r="A57" t="str">
            <v>011395AQ3</v>
          </cell>
          <cell r="B57" t="str">
            <v>Cat Bond</v>
          </cell>
          <cell r="C57" t="str">
            <v>Buy</v>
          </cell>
          <cell r="D57">
            <v>45929</v>
          </cell>
          <cell r="E57">
            <v>45930</v>
          </cell>
          <cell r="F57" t="str">
            <v>RBC</v>
          </cell>
          <cell r="G57" t="str">
            <v>Alamo 2024-1 C</v>
          </cell>
          <cell r="H57" t="str">
            <v>011395AQ3</v>
          </cell>
          <cell r="I57" t="str">
            <v>TWIA</v>
          </cell>
          <cell r="J57" t="str">
            <v>Aggregate</v>
          </cell>
          <cell r="K57" t="str">
            <v>Indemnity</v>
          </cell>
          <cell r="L57" t="str">
            <v>4/11/2024</v>
          </cell>
          <cell r="M57" t="str">
            <v>6/7/2026</v>
          </cell>
          <cell r="N57">
            <v>400000000</v>
          </cell>
          <cell r="O57" t="str">
            <v>US HU (TX Storms) &amp; TH</v>
          </cell>
          <cell r="P57">
            <v>3.9399999999999998E-2</v>
          </cell>
          <cell r="Q57">
            <v>0.11854834382856104</v>
          </cell>
          <cell r="R57">
            <v>0.15690000000000001</v>
          </cell>
          <cell r="S57">
            <v>104.87</v>
          </cell>
          <cell r="T57">
            <v>105.2</v>
          </cell>
          <cell r="U57">
            <v>250000</v>
          </cell>
          <cell r="V57" t="str">
            <v>USD</v>
          </cell>
          <cell r="W57">
            <v>1</v>
          </cell>
          <cell r="X57">
            <v>1237.5</v>
          </cell>
          <cell r="Y57">
            <v>15</v>
          </cell>
          <cell r="Z57">
            <v>263000</v>
          </cell>
          <cell r="AA57">
            <v>264237.5</v>
          </cell>
          <cell r="AB57">
            <v>263375</v>
          </cell>
          <cell r="AC57">
            <v>0.56164383561643838</v>
          </cell>
          <cell r="AD57">
            <v>8.1617250000000002E-2</v>
          </cell>
        </row>
        <row r="58">
          <cell r="A58" t="str">
            <v>799927AA6</v>
          </cell>
          <cell r="B58" t="str">
            <v>Cat Bond</v>
          </cell>
          <cell r="C58" t="str">
            <v>Buy</v>
          </cell>
          <cell r="D58">
            <v>45931</v>
          </cell>
          <cell r="E58">
            <v>45932</v>
          </cell>
          <cell r="F58" t="str">
            <v>BH</v>
          </cell>
          <cell r="G58" t="str">
            <v>Sanders 2024-1 A</v>
          </cell>
          <cell r="H58" t="str">
            <v>799927AA6</v>
          </cell>
          <cell r="I58" t="str">
            <v>AllState</v>
          </cell>
          <cell r="J58" t="str">
            <v>Occurrence</v>
          </cell>
          <cell r="K58" t="str">
            <v>Indemnity</v>
          </cell>
          <cell r="L58" t="str">
            <v>1/23/2024</v>
          </cell>
          <cell r="M58" t="str">
            <v>4/7/2028</v>
          </cell>
          <cell r="N58">
            <v>400000000</v>
          </cell>
          <cell r="O58" t="str">
            <v>US WD (not FL) / TH/ US QK/WF</v>
          </cell>
          <cell r="P58">
            <v>7.7999999999999996E-3</v>
          </cell>
          <cell r="Q58">
            <v>5.5532829293870552E-2</v>
          </cell>
          <cell r="R58">
            <v>9.3900000000000011E-2</v>
          </cell>
          <cell r="S58">
            <v>103.91</v>
          </cell>
          <cell r="T58">
            <v>105.4</v>
          </cell>
          <cell r="U58">
            <v>675000</v>
          </cell>
          <cell r="V58" t="str">
            <v>USD</v>
          </cell>
          <cell r="W58">
            <v>1</v>
          </cell>
          <cell r="X58">
            <v>312.75</v>
          </cell>
          <cell r="Y58">
            <v>3</v>
          </cell>
          <cell r="Z58">
            <v>711450</v>
          </cell>
          <cell r="AA58">
            <v>711762.75</v>
          </cell>
          <cell r="AB58">
            <v>714251.25</v>
          </cell>
          <cell r="AC58">
            <v>2.3972602739726026</v>
          </cell>
          <cell r="AD58">
            <v>7.1962929999999994E-2</v>
          </cell>
        </row>
        <row r="59">
          <cell r="A59" t="str">
            <v>975660AA9</v>
          </cell>
          <cell r="B59" t="str">
            <v>Cat Bond</v>
          </cell>
          <cell r="C59" t="str">
            <v>Buy</v>
          </cell>
          <cell r="D59">
            <v>45939</v>
          </cell>
          <cell r="E59">
            <v>45940</v>
          </cell>
          <cell r="F59" t="str">
            <v>BH</v>
          </cell>
          <cell r="G59" t="str">
            <v>Winston 2024-1 A</v>
          </cell>
          <cell r="H59" t="str">
            <v>975660AA9</v>
          </cell>
          <cell r="I59" t="str">
            <v>Tower Hill Ins Exch</v>
          </cell>
          <cell r="J59" t="str">
            <v>Occurrence</v>
          </cell>
          <cell r="K59" t="str">
            <v>Indemnity</v>
          </cell>
          <cell r="L59" t="str">
            <v>2/21/2024</v>
          </cell>
          <cell r="M59" t="str">
            <v>2/26/2027</v>
          </cell>
          <cell r="N59">
            <v>250000000</v>
          </cell>
          <cell r="O59" t="str">
            <v>US (FL) WD</v>
          </cell>
          <cell r="P59">
            <v>1.7500000000000002E-2</v>
          </cell>
          <cell r="Q59">
            <v>0.10162389465689785</v>
          </cell>
          <cell r="R59">
            <v>0.14030000000000001</v>
          </cell>
          <cell r="S59">
            <v>106.04</v>
          </cell>
          <cell r="T59">
            <v>107.85</v>
          </cell>
          <cell r="U59">
            <v>250000</v>
          </cell>
          <cell r="V59" t="str">
            <v>USD</v>
          </cell>
          <cell r="W59">
            <v>1</v>
          </cell>
          <cell r="X59">
            <v>3627.92</v>
          </cell>
          <cell r="Y59">
            <v>38</v>
          </cell>
          <cell r="Z59">
            <v>269625</v>
          </cell>
          <cell r="AA59">
            <v>273252.92</v>
          </cell>
          <cell r="AB59">
            <v>268825</v>
          </cell>
          <cell r="AC59">
            <v>1.284931506849315</v>
          </cell>
          <cell r="AD59">
            <v>8.1237019999999993E-2</v>
          </cell>
        </row>
        <row r="60">
          <cell r="A60" t="str">
            <v>975660AB7</v>
          </cell>
          <cell r="B60" t="str">
            <v>Cat Bond</v>
          </cell>
          <cell r="C60" t="str">
            <v>Buy</v>
          </cell>
          <cell r="D60">
            <v>45939</v>
          </cell>
          <cell r="E60">
            <v>45944</v>
          </cell>
          <cell r="F60" t="str">
            <v>Tullet</v>
          </cell>
          <cell r="G60" t="str">
            <v xml:space="preserve">Winston Re 2024-1 B </v>
          </cell>
          <cell r="H60" t="str">
            <v>975660AB7</v>
          </cell>
          <cell r="I60" t="str">
            <v>Tower Hill Ins Exch</v>
          </cell>
          <cell r="J60" t="str">
            <v>Occurrence</v>
          </cell>
          <cell r="K60" t="str">
            <v>Indemnity</v>
          </cell>
          <cell r="L60" t="str">
            <v>2/21/2024</v>
          </cell>
          <cell r="M60" t="str">
            <v>2/26/2027</v>
          </cell>
          <cell r="N60">
            <v>150000000</v>
          </cell>
          <cell r="O60" t="str">
            <v>US (FL) WD</v>
          </cell>
          <cell r="P60">
            <v>2.24E-2</v>
          </cell>
          <cell r="Q60">
            <v>0.11673172109656935</v>
          </cell>
          <cell r="R60">
            <v>0.15509999999999999</v>
          </cell>
          <cell r="S60">
            <v>105.89</v>
          </cell>
          <cell r="T60">
            <v>108.35</v>
          </cell>
          <cell r="U60">
            <v>250000</v>
          </cell>
          <cell r="V60" t="str">
            <v>USD</v>
          </cell>
          <cell r="W60">
            <v>1</v>
          </cell>
          <cell r="X60">
            <v>4577.99</v>
          </cell>
          <cell r="Y60">
            <v>42</v>
          </cell>
          <cell r="Z60">
            <v>270875</v>
          </cell>
          <cell r="AA60">
            <v>275452.99</v>
          </cell>
          <cell r="AB60">
            <v>268887.5</v>
          </cell>
          <cell r="AC60">
            <v>1.284931506849315</v>
          </cell>
          <cell r="AD60">
            <v>9.1780930000000011E-2</v>
          </cell>
        </row>
        <row r="61">
          <cell r="A61" t="str">
            <v>30014LAM6_1</v>
          </cell>
          <cell r="B61" t="str">
            <v>Cat Bond</v>
          </cell>
          <cell r="C61" t="str">
            <v>Buy</v>
          </cell>
          <cell r="D61">
            <v>45944</v>
          </cell>
          <cell r="E61">
            <v>45945</v>
          </cell>
          <cell r="F61" t="str">
            <v>BH</v>
          </cell>
          <cell r="G61" t="str">
            <v>Everglades 2024-1 A</v>
          </cell>
          <cell r="H61" t="str">
            <v>30014LAM6_1</v>
          </cell>
          <cell r="I61" t="str">
            <v>FL Citizens</v>
          </cell>
          <cell r="J61" t="str">
            <v>Aggregate</v>
          </cell>
          <cell r="K61" t="str">
            <v>Indemnity</v>
          </cell>
          <cell r="L61" t="str">
            <v>5/22/2024</v>
          </cell>
          <cell r="M61" t="str">
            <v>5/13/2027</v>
          </cell>
          <cell r="N61">
            <v>450000000</v>
          </cell>
          <cell r="O61" t="str">
            <v>FL HU</v>
          </cell>
          <cell r="P61">
            <v>1.43E-2</v>
          </cell>
          <cell r="Q61">
            <v>0.10489571908489592</v>
          </cell>
          <cell r="R61">
            <v>0.14350714000000001</v>
          </cell>
          <cell r="S61">
            <v>105.14</v>
          </cell>
          <cell r="T61">
            <v>107.75</v>
          </cell>
          <cell r="U61">
            <v>500000</v>
          </cell>
          <cell r="V61" t="str">
            <v>USD</v>
          </cell>
          <cell r="W61">
            <v>1</v>
          </cell>
          <cell r="X61">
            <v>200.56</v>
          </cell>
          <cell r="Y61">
            <v>0</v>
          </cell>
          <cell r="Z61">
            <v>538750</v>
          </cell>
          <cell r="AA61">
            <v>538950.56000000006</v>
          </cell>
          <cell r="AB61">
            <v>538975</v>
          </cell>
          <cell r="AC61">
            <v>1.4931506849315068</v>
          </cell>
          <cell r="AD61">
            <v>9.2212089999999997E-2</v>
          </cell>
        </row>
        <row r="62">
          <cell r="A62" t="str">
            <v>76091JAA6</v>
          </cell>
          <cell r="B62" t="str">
            <v>Cat Bond</v>
          </cell>
          <cell r="C62" t="str">
            <v>Buy</v>
          </cell>
          <cell r="D62">
            <v>45947</v>
          </cell>
          <cell r="E62">
            <v>45965</v>
          </cell>
          <cell r="F62" t="str">
            <v>Swiss Re</v>
          </cell>
          <cell r="G62" t="str">
            <v>Residential Re 2025-2 2</v>
          </cell>
          <cell r="H62" t="str">
            <v>76091JAA6</v>
          </cell>
          <cell r="I62" t="str">
            <v>USAA</v>
          </cell>
          <cell r="J62" t="str">
            <v>Occurrence</v>
          </cell>
          <cell r="K62" t="str">
            <v>Indemnity</v>
          </cell>
          <cell r="L62">
            <v>45992</v>
          </cell>
          <cell r="M62">
            <v>47452</v>
          </cell>
          <cell r="N62">
            <v>200000000</v>
          </cell>
          <cell r="O62" t="str">
            <v>US All Natural Perils (incl Auto)</v>
          </cell>
          <cell r="P62">
            <v>7.2700000000000001E-2</v>
          </cell>
          <cell r="Q62">
            <v>0.10246677015858263</v>
          </cell>
          <cell r="R62">
            <v>0.1411647939682007</v>
          </cell>
          <cell r="S62">
            <v>0</v>
          </cell>
          <cell r="T62">
            <v>100</v>
          </cell>
          <cell r="U62">
            <v>250000</v>
          </cell>
          <cell r="V62" t="str">
            <v>USD</v>
          </cell>
          <cell r="W62">
            <v>1</v>
          </cell>
          <cell r="X62">
            <v>0</v>
          </cell>
          <cell r="Y62">
            <v>0</v>
          </cell>
          <cell r="Z62">
            <v>250000</v>
          </cell>
          <cell r="AA62">
            <v>250000</v>
          </cell>
          <cell r="AB62">
            <v>250000</v>
          </cell>
          <cell r="AC62">
            <v>4.0465753424657533</v>
          </cell>
          <cell r="AD62">
            <v>0.14121886</v>
          </cell>
        </row>
        <row r="63">
          <cell r="A63" t="str">
            <v>42703VAM5</v>
          </cell>
          <cell r="B63" t="str">
            <v>Cat Bond</v>
          </cell>
          <cell r="C63" t="str">
            <v>Buy</v>
          </cell>
          <cell r="D63">
            <v>45951</v>
          </cell>
          <cell r="E63">
            <v>45952</v>
          </cell>
          <cell r="F63" t="str">
            <v>RBC</v>
          </cell>
          <cell r="G63" t="str">
            <v>Herbie Re 2025-1 A</v>
          </cell>
          <cell r="H63" t="str">
            <v>42703VAM5</v>
          </cell>
          <cell r="I63" t="str">
            <v>Fidelis</v>
          </cell>
          <cell r="J63" t="str">
            <v>Aggregate</v>
          </cell>
          <cell r="K63" t="str">
            <v>Industry Loss Index</v>
          </cell>
          <cell r="L63" t="str">
            <v>5/30/2025</v>
          </cell>
          <cell r="M63" t="str">
            <v>6/7/2027</v>
          </cell>
          <cell r="N63">
            <v>90000000</v>
          </cell>
          <cell r="O63" t="str">
            <v>Global-Multiperil</v>
          </cell>
          <cell r="P63">
            <v>9.9500000000000005E-2</v>
          </cell>
          <cell r="Q63">
            <v>0.3093300987126848</v>
          </cell>
          <cell r="R63">
            <v>0.34866479396820066</v>
          </cell>
          <cell r="S63">
            <v>103.39</v>
          </cell>
          <cell r="T63">
            <v>116</v>
          </cell>
          <cell r="U63">
            <v>500000</v>
          </cell>
          <cell r="V63" t="str">
            <v>USD</v>
          </cell>
          <cell r="W63">
            <v>1</v>
          </cell>
          <cell r="X63">
            <v>21527.78</v>
          </cell>
          <cell r="Y63">
            <v>50</v>
          </cell>
          <cell r="Z63">
            <v>580000</v>
          </cell>
          <cell r="AA63">
            <v>601527.78</v>
          </cell>
          <cell r="AB63">
            <v>578750</v>
          </cell>
          <cell r="AC63">
            <v>1.5616438356164384</v>
          </cell>
          <cell r="AD63">
            <v>0.22882463</v>
          </cell>
        </row>
        <row r="64">
          <cell r="A64" t="str">
            <v>574591AA1_2</v>
          </cell>
          <cell r="B64" t="str">
            <v>Cat Bond</v>
          </cell>
          <cell r="C64" t="str">
            <v>Buy</v>
          </cell>
          <cell r="D64">
            <v>45957</v>
          </cell>
          <cell r="E64">
            <v>45958</v>
          </cell>
          <cell r="F64" t="str">
            <v>RBC</v>
          </cell>
          <cell r="G64" t="str">
            <v>Maschpark Re 2024-1</v>
          </cell>
          <cell r="H64" t="str">
            <v>574591AA1_2</v>
          </cell>
          <cell r="I64" t="str">
            <v>Talanx AG (Via Hannover Re)</v>
          </cell>
          <cell r="J64" t="str">
            <v>Occurrence</v>
          </cell>
          <cell r="K64" t="str">
            <v>Parametric</v>
          </cell>
          <cell r="L64" t="str">
            <v>12/4/2024</v>
          </cell>
          <cell r="M64" t="str">
            <v>1/10/2028</v>
          </cell>
          <cell r="N64">
            <v>100000000</v>
          </cell>
          <cell r="O64" t="str">
            <v>Chile, Peru, Bolivia, Argentina EQ</v>
          </cell>
          <cell r="P64">
            <v>9.1999999999999998E-3</v>
          </cell>
          <cell r="Q64">
            <v>3.4997438079953813E-2</v>
          </cell>
          <cell r="R64">
            <v>7.3099999999999998E-2</v>
          </cell>
          <cell r="S64">
            <v>101.71</v>
          </cell>
          <cell r="T64">
            <v>103.1</v>
          </cell>
          <cell r="U64">
            <v>250000</v>
          </cell>
          <cell r="V64" t="str">
            <v>USD</v>
          </cell>
          <cell r="W64">
            <v>1</v>
          </cell>
          <cell r="X64">
            <v>928.47</v>
          </cell>
          <cell r="Y64">
            <v>18</v>
          </cell>
          <cell r="Z64">
            <v>257750</v>
          </cell>
          <cell r="AA64">
            <v>258678.47</v>
          </cell>
          <cell r="AB64">
            <v>257800</v>
          </cell>
          <cell r="AC64">
            <v>2.1561643835616437</v>
          </cell>
          <cell r="AD64">
            <v>5.9052420000000001E-2</v>
          </cell>
        </row>
        <row r="65">
          <cell r="A65" t="str">
            <v>92335TAE9</v>
          </cell>
          <cell r="B65" t="str">
            <v>Cat Bond</v>
          </cell>
          <cell r="C65" t="str">
            <v>Buy</v>
          </cell>
          <cell r="D65">
            <v>45957</v>
          </cell>
          <cell r="E65">
            <v>45958</v>
          </cell>
          <cell r="F65" t="str">
            <v>BH</v>
          </cell>
          <cell r="G65" t="str">
            <v>Veraison 2025-1 B</v>
          </cell>
          <cell r="H65" t="str">
            <v>92335TAE9</v>
          </cell>
          <cell r="I65" t="str">
            <v>GeoVera</v>
          </cell>
          <cell r="J65" t="str">
            <v>Occurrence</v>
          </cell>
          <cell r="K65" t="str">
            <v>Indemnity</v>
          </cell>
          <cell r="L65" t="str">
            <v>2/5/2025</v>
          </cell>
          <cell r="M65" t="str">
            <v>3/8/2028</v>
          </cell>
          <cell r="N65">
            <v>150000000</v>
          </cell>
          <cell r="O65" t="str">
            <v>US EQ</v>
          </cell>
          <cell r="P65">
            <v>2.5700000000000001E-2</v>
          </cell>
          <cell r="Q65">
            <v>4.9959809826109432E-2</v>
          </cell>
          <cell r="R65">
            <v>8.8507139999999998E-2</v>
          </cell>
          <cell r="S65">
            <v>100.97</v>
          </cell>
          <cell r="T65">
            <v>101.25</v>
          </cell>
          <cell r="U65">
            <v>250000</v>
          </cell>
          <cell r="V65" t="str">
            <v>USD</v>
          </cell>
          <cell r="W65">
            <v>1</v>
          </cell>
          <cell r="X65">
            <v>1088.72</v>
          </cell>
          <cell r="Y65">
            <v>18</v>
          </cell>
          <cell r="Z65">
            <v>253125</v>
          </cell>
          <cell r="AA65">
            <v>254213.72</v>
          </cell>
          <cell r="AB65">
            <v>253237.5</v>
          </cell>
          <cell r="AC65">
            <v>2.3150684931506849</v>
          </cell>
          <cell r="AD65">
            <v>8.3334779999999997E-2</v>
          </cell>
        </row>
        <row r="66">
          <cell r="A66" t="str">
            <v>975660AC5_2</v>
          </cell>
          <cell r="B66" t="str">
            <v>Cat Bond</v>
          </cell>
          <cell r="C66" t="str">
            <v>Buy</v>
          </cell>
          <cell r="D66">
            <v>45957</v>
          </cell>
          <cell r="E66">
            <v>45958</v>
          </cell>
          <cell r="F66" t="str">
            <v>BH</v>
          </cell>
          <cell r="G66" t="str">
            <v>Winston 2025-1 A</v>
          </cell>
          <cell r="H66" t="str">
            <v>975660AC5_2</v>
          </cell>
          <cell r="I66" t="str">
            <v>Tower Hill Ins Exch</v>
          </cell>
          <cell r="J66" t="str">
            <v>Occurrence</v>
          </cell>
          <cell r="K66" t="str">
            <v>Indemnity</v>
          </cell>
          <cell r="L66" t="str">
            <v>2/13/2025</v>
          </cell>
          <cell r="M66" t="str">
            <v>2/21/2028</v>
          </cell>
          <cell r="N66">
            <v>175000000</v>
          </cell>
          <cell r="O66" t="str">
            <v>US (FL) WD</v>
          </cell>
          <cell r="P66">
            <v>1.61E-2</v>
          </cell>
          <cell r="Q66">
            <v>6.4970000542552628E-2</v>
          </cell>
          <cell r="R66">
            <v>0.1032</v>
          </cell>
          <cell r="S66">
            <v>102.22</v>
          </cell>
          <cell r="T66">
            <v>104.2</v>
          </cell>
          <cell r="U66">
            <v>250000</v>
          </cell>
          <cell r="V66" t="str">
            <v>USD</v>
          </cell>
          <cell r="W66">
            <v>1</v>
          </cell>
          <cell r="X66">
            <v>4047.99</v>
          </cell>
          <cell r="Y66">
            <v>56</v>
          </cell>
          <cell r="Z66">
            <v>260500</v>
          </cell>
          <cell r="AA66">
            <v>264547.99</v>
          </cell>
          <cell r="AB66">
            <v>260512.5</v>
          </cell>
          <cell r="AC66">
            <v>2.2712328767123289</v>
          </cell>
          <cell r="AD66">
            <v>8.3603850000000007E-2</v>
          </cell>
        </row>
        <row r="67">
          <cell r="A67" t="str">
            <v>982533AC5</v>
          </cell>
          <cell r="B67" t="str">
            <v>Cat Bond</v>
          </cell>
          <cell r="C67" t="str">
            <v>Buy</v>
          </cell>
          <cell r="D67">
            <v>45960</v>
          </cell>
          <cell r="E67">
            <v>45961</v>
          </cell>
          <cell r="F67" t="str">
            <v>BH</v>
          </cell>
          <cell r="G67" t="str">
            <v xml:space="preserve">Wrigley Re 2023-1 B </v>
          </cell>
          <cell r="H67" t="str">
            <v>982533AC5</v>
          </cell>
          <cell r="I67" t="str">
            <v>Gryphon Mutual (Blackstone)</v>
          </cell>
          <cell r="J67" t="str">
            <v>Aggregate</v>
          </cell>
          <cell r="K67" t="str">
            <v>Indemnity</v>
          </cell>
          <cell r="L67" t="str">
            <v>7/19/2023</v>
          </cell>
          <cell r="M67" t="str">
            <v>8/7/2026</v>
          </cell>
          <cell r="N67">
            <v>150000000</v>
          </cell>
          <cell r="O67" t="str">
            <v>CA EQ</v>
          </cell>
          <cell r="P67">
            <v>1.06E-2</v>
          </cell>
          <cell r="Q67">
            <v>6.682648264256999E-2</v>
          </cell>
          <cell r="R67">
            <v>0.1051</v>
          </cell>
          <cell r="S67">
            <v>103.31</v>
          </cell>
          <cell r="T67">
            <v>103.15</v>
          </cell>
          <cell r="U67">
            <v>250000</v>
          </cell>
          <cell r="V67" t="str">
            <v>USD</v>
          </cell>
          <cell r="W67">
            <v>1</v>
          </cell>
          <cell r="X67">
            <v>193.47</v>
          </cell>
          <cell r="Y67">
            <v>3</v>
          </cell>
          <cell r="Z67">
            <v>257875</v>
          </cell>
          <cell r="AA67">
            <v>258068.47</v>
          </cell>
          <cell r="AB67">
            <v>257787.5</v>
          </cell>
          <cell r="AC67">
            <v>0.72876712328767124</v>
          </cell>
          <cell r="AD67">
            <v>6.3872529999999997E-2</v>
          </cell>
        </row>
        <row r="68">
          <cell r="A68" t="str">
            <v>86944RAE8</v>
          </cell>
          <cell r="B68" t="str">
            <v>Cat Bond</v>
          </cell>
          <cell r="C68" t="str">
            <v>Buy</v>
          </cell>
          <cell r="D68">
            <v>45960</v>
          </cell>
          <cell r="E68">
            <v>45961</v>
          </cell>
          <cell r="F68" t="str">
            <v>BH</v>
          </cell>
          <cell r="G68" t="str">
            <v xml:space="preserve">Sutter Re 2023-1 B </v>
          </cell>
          <cell r="H68" t="str">
            <v>86944RAE8</v>
          </cell>
          <cell r="I68" t="str">
            <v>CEA</v>
          </cell>
          <cell r="J68" t="str">
            <v>Aggregate</v>
          </cell>
          <cell r="K68" t="str">
            <v>Indemnity</v>
          </cell>
          <cell r="L68" t="str">
            <v>6/13/2023</v>
          </cell>
          <cell r="M68" t="str">
            <v>6/19/2026</v>
          </cell>
          <cell r="N68">
            <v>225000000</v>
          </cell>
          <cell r="O68" t="str">
            <v>CA EQ</v>
          </cell>
          <cell r="P68">
            <v>1.8599999999999998E-2</v>
          </cell>
          <cell r="Q68">
            <v>6.742759059999999E-2</v>
          </cell>
          <cell r="R68">
            <v>0.1056</v>
          </cell>
          <cell r="S68">
            <v>102.23</v>
          </cell>
          <cell r="T68">
            <v>102.35</v>
          </cell>
          <cell r="U68">
            <v>250000</v>
          </cell>
          <cell r="V68" t="str">
            <v>USD</v>
          </cell>
          <cell r="W68">
            <v>1</v>
          </cell>
          <cell r="X68">
            <v>4311.71</v>
          </cell>
          <cell r="Y68">
            <v>59</v>
          </cell>
          <cell r="Z68">
            <v>255875</v>
          </cell>
          <cell r="AA68">
            <v>260186.71</v>
          </cell>
          <cell r="AB68">
            <v>255625</v>
          </cell>
          <cell r="AC68">
            <v>0.59452054794520548</v>
          </cell>
          <cell r="AD68">
            <v>6.777103000000001E-2</v>
          </cell>
        </row>
        <row r="69">
          <cell r="A69" t="str">
            <v>09610NAA0</v>
          </cell>
          <cell r="B69" t="str">
            <v>Cat Bond</v>
          </cell>
          <cell r="C69" t="str">
            <v>Buy</v>
          </cell>
          <cell r="D69">
            <v>45964</v>
          </cell>
          <cell r="E69">
            <v>45965</v>
          </cell>
          <cell r="F69" t="str">
            <v>BH</v>
          </cell>
          <cell r="G69" t="str">
            <v>Blue Bonnet 2025-1 A</v>
          </cell>
          <cell r="H69" t="str">
            <v>09610NAA0</v>
          </cell>
          <cell r="I69" t="str">
            <v>TWIA</v>
          </cell>
          <cell r="J69" t="str">
            <v>Aggregate</v>
          </cell>
          <cell r="K69" t="str">
            <v>Indemnity</v>
          </cell>
          <cell r="L69" t="str">
            <v>5/14/2025</v>
          </cell>
          <cell r="M69" t="str">
            <v>6/7/2028</v>
          </cell>
          <cell r="N69">
            <v>250000000</v>
          </cell>
          <cell r="O69" t="str">
            <v>US HU (TX Storms) &amp; TH</v>
          </cell>
          <cell r="P69">
            <v>2.0199999999999999E-2</v>
          </cell>
          <cell r="Q69">
            <v>5.7469028659218019E-2</v>
          </cell>
          <cell r="R69">
            <v>9.5600000000000004E-2</v>
          </cell>
          <cell r="S69">
            <v>104.66</v>
          </cell>
          <cell r="T69">
            <v>105.6</v>
          </cell>
          <cell r="U69">
            <v>250000</v>
          </cell>
          <cell r="V69" t="str">
            <v>USD</v>
          </cell>
          <cell r="W69">
            <v>1</v>
          </cell>
          <cell r="X69">
            <v>1312.99</v>
          </cell>
          <cell r="Y69">
            <v>20</v>
          </cell>
          <cell r="Z69">
            <v>264000</v>
          </cell>
          <cell r="AA69">
            <v>265312.99</v>
          </cell>
          <cell r="AB69">
            <v>264125</v>
          </cell>
          <cell r="AC69">
            <v>2.5643835616438357</v>
          </cell>
          <cell r="AD69">
            <v>7.2376590000000005E-2</v>
          </cell>
        </row>
        <row r="70">
          <cell r="A70" t="str">
            <v>89141WAM4</v>
          </cell>
          <cell r="B70" t="str">
            <v>Cat Bond</v>
          </cell>
          <cell r="C70" t="str">
            <v>Buy</v>
          </cell>
          <cell r="D70">
            <v>45965</v>
          </cell>
          <cell r="E70">
            <v>45966</v>
          </cell>
          <cell r="F70" t="str">
            <v>RBC</v>
          </cell>
          <cell r="G70" t="str">
            <v>Torrey Pines Re 2025-1 B</v>
          </cell>
          <cell r="H70" t="str">
            <v>89141WAM4</v>
          </cell>
          <cell r="I70" t="str">
            <v>Palomar Specialty</v>
          </cell>
          <cell r="J70" t="str">
            <v>Occurrence</v>
          </cell>
          <cell r="K70" t="str">
            <v>Indemnity</v>
          </cell>
          <cell r="L70" t="str">
            <v>4/30/2025</v>
          </cell>
          <cell r="M70" t="str">
            <v>6/7/2028</v>
          </cell>
          <cell r="N70">
            <v>200000000</v>
          </cell>
          <cell r="O70" t="str">
            <v>US EQ</v>
          </cell>
          <cell r="P70">
            <v>1.84E-2</v>
          </cell>
          <cell r="Q70">
            <v>4.4995846200183612E-2</v>
          </cell>
          <cell r="R70">
            <v>8.3299999999999999E-2</v>
          </cell>
          <cell r="S70">
            <v>100.51</v>
          </cell>
          <cell r="T70">
            <v>103</v>
          </cell>
          <cell r="U70">
            <v>250000</v>
          </cell>
          <cell r="V70" t="str">
            <v>USD</v>
          </cell>
          <cell r="W70">
            <v>1</v>
          </cell>
          <cell r="X70">
            <v>1692.64</v>
          </cell>
          <cell r="Y70">
            <v>29</v>
          </cell>
          <cell r="Z70">
            <v>257500</v>
          </cell>
          <cell r="AA70">
            <v>259192.64</v>
          </cell>
          <cell r="AB70">
            <v>257625</v>
          </cell>
          <cell r="AC70">
            <v>2.5643835616438357</v>
          </cell>
          <cell r="AD70">
            <v>7.1044219999999991E-2</v>
          </cell>
        </row>
        <row r="71">
          <cell r="A71" t="str">
            <v>09785EAQ4</v>
          </cell>
          <cell r="B71" t="str">
            <v>Cat Bond</v>
          </cell>
          <cell r="C71" t="str">
            <v>Buy</v>
          </cell>
          <cell r="D71">
            <v>45966</v>
          </cell>
          <cell r="E71">
            <v>45968</v>
          </cell>
          <cell r="F71" t="str">
            <v>BH</v>
          </cell>
          <cell r="G71" t="str">
            <v>Bonanza 2024-1 C</v>
          </cell>
          <cell r="H71" t="str">
            <v>09785EAQ4</v>
          </cell>
          <cell r="I71" t="str">
            <v>Progressive</v>
          </cell>
          <cell r="J71" t="str">
            <v>Occurrence</v>
          </cell>
          <cell r="K71" t="str">
            <v>Indemnity</v>
          </cell>
          <cell r="L71" t="str">
            <v>12/19/2024</v>
          </cell>
          <cell r="M71" t="str">
            <v>12/19/2027</v>
          </cell>
          <cell r="N71">
            <v>200000000</v>
          </cell>
          <cell r="O71" t="str">
            <v>US WD,QK,TH,WS,&amp; WF</v>
          </cell>
          <cell r="P71">
            <v>2.0299999999999999E-2</v>
          </cell>
          <cell r="Q71">
            <v>5.6146497097254007E-2</v>
          </cell>
          <cell r="R71">
            <v>9.3000000000000013E-2</v>
          </cell>
          <cell r="S71">
            <v>100.48</v>
          </cell>
          <cell r="T71">
            <v>102.9</v>
          </cell>
          <cell r="U71">
            <v>500000</v>
          </cell>
          <cell r="V71" t="str">
            <v>USD</v>
          </cell>
          <cell r="W71">
            <v>1</v>
          </cell>
          <cell r="X71">
            <v>8662.2199999999993</v>
          </cell>
          <cell r="Y71">
            <v>66</v>
          </cell>
          <cell r="Z71">
            <v>514500</v>
          </cell>
          <cell r="AA71">
            <v>523162.22</v>
          </cell>
          <cell r="AB71">
            <v>514750</v>
          </cell>
          <cell r="AC71">
            <v>2.095890410958904</v>
          </cell>
          <cell r="AD71">
            <v>7.9424849999999991E-2</v>
          </cell>
        </row>
        <row r="72">
          <cell r="A72" t="str">
            <v>04227FAF2_1</v>
          </cell>
          <cell r="B72" t="str">
            <v>Cat Bond</v>
          </cell>
          <cell r="C72" t="str">
            <v>Buy</v>
          </cell>
          <cell r="D72">
            <v>45967</v>
          </cell>
          <cell r="E72">
            <v>45968</v>
          </cell>
          <cell r="F72" t="str">
            <v>RBC</v>
          </cell>
          <cell r="G72" t="str">
            <v xml:space="preserve">Armor Re 2024-2 A </v>
          </cell>
          <cell r="H72" t="str">
            <v>04227FAF2_1</v>
          </cell>
          <cell r="I72" t="str">
            <v>American Coastal</v>
          </cell>
          <cell r="J72" t="str">
            <v>Occurrence</v>
          </cell>
          <cell r="K72" t="str">
            <v>Indemnity</v>
          </cell>
          <cell r="L72" t="str">
            <v>12/20/2024</v>
          </cell>
          <cell r="M72" t="str">
            <v>1/7/2028</v>
          </cell>
          <cell r="N72">
            <v>200000000</v>
          </cell>
          <cell r="O72" t="str">
            <v>FL HU</v>
          </cell>
          <cell r="P72">
            <v>7.0000000000000001E-3</v>
          </cell>
          <cell r="Q72">
            <v>8.4869250491294942E-2</v>
          </cell>
          <cell r="R72">
            <v>0.12330000000000001</v>
          </cell>
          <cell r="S72">
            <v>104.89</v>
          </cell>
          <cell r="T72">
            <v>107.2</v>
          </cell>
          <cell r="U72">
            <v>250000</v>
          </cell>
          <cell r="V72" t="str">
            <v>USD</v>
          </cell>
          <cell r="W72">
            <v>1</v>
          </cell>
          <cell r="X72">
            <v>3162.43</v>
          </cell>
          <cell r="Y72">
            <v>37</v>
          </cell>
          <cell r="Z72">
            <v>268000</v>
          </cell>
          <cell r="AA72">
            <v>271162.43</v>
          </cell>
          <cell r="AB72">
            <v>268000</v>
          </cell>
          <cell r="AC72">
            <v>2.1479452054794521</v>
          </cell>
          <cell r="AD72">
            <v>8.7041720000000003E-2</v>
          </cell>
        </row>
        <row r="73">
          <cell r="A73" t="str">
            <v>58320RAA9</v>
          </cell>
          <cell r="B73" t="str">
            <v>Cat Bond</v>
          </cell>
          <cell r="C73" t="str">
            <v>Buy</v>
          </cell>
          <cell r="D73">
            <v>45967</v>
          </cell>
          <cell r="E73">
            <v>45981</v>
          </cell>
          <cell r="F73" t="str">
            <v>Swiss Re</v>
          </cell>
          <cell r="G73" t="str">
            <v>Meadows Re 2025-1 A</v>
          </cell>
          <cell r="H73" t="str">
            <v>58320RAA9</v>
          </cell>
          <cell r="I73" t="str">
            <v>One William Street</v>
          </cell>
          <cell r="J73" t="str">
            <v>Occurrence</v>
          </cell>
          <cell r="K73" t="str">
            <v>Industry Loss Index</v>
          </cell>
          <cell r="L73">
            <v>45992</v>
          </cell>
          <cell r="M73">
            <v>47452</v>
          </cell>
          <cell r="N73">
            <v>55000000</v>
          </cell>
          <cell r="O73" t="str">
            <v>FL, PR, USVI WD</v>
          </cell>
          <cell r="P73">
            <v>7.8200000000000006E-2</v>
          </cell>
          <cell r="Q73">
            <v>0.12251717762756059</v>
          </cell>
          <cell r="R73">
            <v>0.16116479396820069</v>
          </cell>
          <cell r="S73">
            <v>0</v>
          </cell>
          <cell r="T73">
            <v>100</v>
          </cell>
          <cell r="U73">
            <v>250000</v>
          </cell>
          <cell r="V73" t="str">
            <v>USD</v>
          </cell>
          <cell r="W73">
            <v>1</v>
          </cell>
          <cell r="X73">
            <v>0</v>
          </cell>
          <cell r="Y73">
            <v>0</v>
          </cell>
          <cell r="Z73">
            <v>250000</v>
          </cell>
          <cell r="AA73">
            <v>250000</v>
          </cell>
          <cell r="AB73">
            <v>250000</v>
          </cell>
          <cell r="AC73">
            <v>4.0465753424657533</v>
          </cell>
          <cell r="AD73">
            <v>0.16118136</v>
          </cell>
        </row>
        <row r="74">
          <cell r="A74" t="str">
            <v>58320RAC5</v>
          </cell>
          <cell r="B74" t="str">
            <v>Cat Bond</v>
          </cell>
          <cell r="C74" t="str">
            <v>Buy</v>
          </cell>
          <cell r="D74">
            <v>45967</v>
          </cell>
          <cell r="E74">
            <v>45981</v>
          </cell>
          <cell r="F74" t="str">
            <v>Swiss Re</v>
          </cell>
          <cell r="G74" t="str">
            <v>Meadows Re 2025-1 C</v>
          </cell>
          <cell r="H74" t="str">
            <v>58320RAC5</v>
          </cell>
          <cell r="I74" t="str">
            <v>One William Street</v>
          </cell>
          <cell r="J74" t="str">
            <v>Aggregate</v>
          </cell>
          <cell r="K74" t="str">
            <v>Industry Loss Index</v>
          </cell>
          <cell r="L74">
            <v>45992</v>
          </cell>
          <cell r="M74">
            <v>47452</v>
          </cell>
          <cell r="N74">
            <v>30000000</v>
          </cell>
          <cell r="O74" t="str">
            <v>FL, SE, PR, USVI</v>
          </cell>
          <cell r="P74">
            <v>2.8400000000000002E-2</v>
          </cell>
          <cell r="Q74">
            <v>7.5015894204477643E-2</v>
          </cell>
          <cell r="R74">
            <v>0.11366479396820069</v>
          </cell>
          <cell r="S74">
            <v>0</v>
          </cell>
          <cell r="T74">
            <v>100</v>
          </cell>
          <cell r="U74">
            <v>500000</v>
          </cell>
          <cell r="V74" t="str">
            <v>USD</v>
          </cell>
          <cell r="W74">
            <v>1</v>
          </cell>
          <cell r="X74">
            <v>0</v>
          </cell>
          <cell r="Y74">
            <v>0</v>
          </cell>
          <cell r="Z74">
            <v>500000</v>
          </cell>
          <cell r="AA74">
            <v>500000</v>
          </cell>
          <cell r="AB74">
            <v>500000</v>
          </cell>
          <cell r="AC74">
            <v>4.0465753424657533</v>
          </cell>
          <cell r="AD74">
            <v>0.11368012</v>
          </cell>
        </row>
        <row r="75">
          <cell r="A75" t="str">
            <v>888329AG4</v>
          </cell>
          <cell r="B75" t="str">
            <v>Cat Bond</v>
          </cell>
          <cell r="C75" t="str">
            <v>Buy</v>
          </cell>
          <cell r="D75">
            <v>45974</v>
          </cell>
          <cell r="E75">
            <v>45978</v>
          </cell>
          <cell r="F75" t="str">
            <v>BH</v>
          </cell>
          <cell r="G75" t="str">
            <v>Titania Re 2025-1 A</v>
          </cell>
          <cell r="H75" t="str">
            <v>888329AG4</v>
          </cell>
          <cell r="I75" t="str">
            <v>Syndicate 1910</v>
          </cell>
          <cell r="J75" t="str">
            <v>Aggregate</v>
          </cell>
          <cell r="K75" t="str">
            <v>Industry Loss Index</v>
          </cell>
          <cell r="L75" t="str">
            <v>7/1/2025</v>
          </cell>
          <cell r="M75" t="str">
            <v>7/9/2029</v>
          </cell>
          <cell r="N75">
            <v>75000000</v>
          </cell>
          <cell r="O75" t="str">
            <v>US/CAN WS, US/CAN EQ, US WF</v>
          </cell>
          <cell r="P75">
            <v>2.6100000000000002E-2</v>
          </cell>
          <cell r="Q75">
            <v>6.2334962800133301E-2</v>
          </cell>
          <cell r="R75">
            <v>0.10100714</v>
          </cell>
          <cell r="S75">
            <v>102.73</v>
          </cell>
          <cell r="T75">
            <v>104.75</v>
          </cell>
          <cell r="U75">
            <v>500000</v>
          </cell>
          <cell r="V75" t="str">
            <v>USD</v>
          </cell>
          <cell r="W75">
            <v>1</v>
          </cell>
          <cell r="X75">
            <v>7694.9</v>
          </cell>
          <cell r="Y75">
            <v>56</v>
          </cell>
          <cell r="Z75">
            <v>523750</v>
          </cell>
          <cell r="AA75">
            <v>531444.9</v>
          </cell>
          <cell r="AB75">
            <v>523750</v>
          </cell>
          <cell r="AC75">
            <v>3.6520547945205482</v>
          </cell>
          <cell r="AD75">
            <v>8.5719829999999997E-2</v>
          </cell>
        </row>
        <row r="76">
          <cell r="A76" t="str">
            <v>04227FAF2_2</v>
          </cell>
          <cell r="B76" t="str">
            <v>Cat Bond</v>
          </cell>
          <cell r="C76" t="str">
            <v>Buy</v>
          </cell>
          <cell r="D76">
            <v>45974</v>
          </cell>
          <cell r="E76">
            <v>45975</v>
          </cell>
          <cell r="F76" t="str">
            <v>RBC</v>
          </cell>
          <cell r="G76" t="str">
            <v xml:space="preserve">Armor Re 2024-2 A </v>
          </cell>
          <cell r="H76" t="str">
            <v>04227FAF2_2</v>
          </cell>
          <cell r="I76" t="str">
            <v>American Coastal</v>
          </cell>
          <cell r="J76" t="str">
            <v>Occurrence</v>
          </cell>
          <cell r="K76" t="str">
            <v>Indemnity</v>
          </cell>
          <cell r="L76" t="str">
            <v>12/20/2024</v>
          </cell>
          <cell r="M76" t="str">
            <v>1/7/2028</v>
          </cell>
          <cell r="N76">
            <v>200000000</v>
          </cell>
          <cell r="O76" t="str">
            <v>FL HU</v>
          </cell>
          <cell r="P76">
            <v>7.0000000000000001E-3</v>
          </cell>
          <cell r="Q76">
            <v>8.4869250491294942E-2</v>
          </cell>
          <cell r="R76">
            <v>0.12330000000000001</v>
          </cell>
          <cell r="S76">
            <v>104.89</v>
          </cell>
          <cell r="T76">
            <v>107.15</v>
          </cell>
          <cell r="U76">
            <v>250000</v>
          </cell>
          <cell r="V76" t="str">
            <v>USD</v>
          </cell>
          <cell r="W76">
            <v>1</v>
          </cell>
          <cell r="X76">
            <v>3762.78</v>
          </cell>
          <cell r="Y76">
            <v>44</v>
          </cell>
          <cell r="Z76">
            <v>267875</v>
          </cell>
          <cell r="AA76">
            <v>271637.78000000003</v>
          </cell>
          <cell r="AB76">
            <v>268000</v>
          </cell>
          <cell r="AC76">
            <v>2.1479452054794521</v>
          </cell>
          <cell r="AD76">
            <v>8.6807519999999999E-2</v>
          </cell>
        </row>
        <row r="77">
          <cell r="A77" t="str">
            <v>13947LAG7</v>
          </cell>
          <cell r="B77" t="str">
            <v>Cat Bond</v>
          </cell>
          <cell r="C77" t="str">
            <v>Buy</v>
          </cell>
          <cell r="D77">
            <v>45974</v>
          </cell>
          <cell r="E77">
            <v>45975</v>
          </cell>
          <cell r="F77" t="str">
            <v>RBC</v>
          </cell>
          <cell r="G77" t="str">
            <v xml:space="preserve">Cape Lookout Re 2025-1 A </v>
          </cell>
          <cell r="H77" t="str">
            <v>13947LAG7</v>
          </cell>
          <cell r="I77" t="str">
            <v>NCIUA</v>
          </cell>
          <cell r="J77" t="str">
            <v>Aggregate</v>
          </cell>
          <cell r="K77" t="str">
            <v>Indemnity</v>
          </cell>
          <cell r="L77" t="str">
            <v>3/6/2025</v>
          </cell>
          <cell r="M77" t="str">
            <v>3/13/2028</v>
          </cell>
          <cell r="N77">
            <v>600000000</v>
          </cell>
          <cell r="O77" t="str">
            <v>NC WD</v>
          </cell>
          <cell r="P77">
            <v>2.52E-2</v>
          </cell>
          <cell r="Q77">
            <v>6.896924363170169E-2</v>
          </cell>
          <cell r="R77">
            <v>0.10710000000000001</v>
          </cell>
          <cell r="S77">
            <v>104.3</v>
          </cell>
          <cell r="T77">
            <v>105.25</v>
          </cell>
          <cell r="U77">
            <v>250000</v>
          </cell>
          <cell r="V77" t="str">
            <v>USD</v>
          </cell>
          <cell r="W77">
            <v>1</v>
          </cell>
          <cell r="X77">
            <v>1317.22</v>
          </cell>
          <cell r="Y77">
            <v>18</v>
          </cell>
          <cell r="Z77">
            <v>263125</v>
          </cell>
          <cell r="AA77">
            <v>264442.21999999997</v>
          </cell>
          <cell r="AB77">
            <v>263125</v>
          </cell>
          <cell r="AC77">
            <v>2.3287671232876712</v>
          </cell>
          <cell r="AD77">
            <v>8.2521459999999991E-2</v>
          </cell>
        </row>
        <row r="78">
          <cell r="A78" t="str">
            <v>30014LAM6_2</v>
          </cell>
          <cell r="B78" t="str">
            <v>Cat Bond</v>
          </cell>
          <cell r="C78" t="str">
            <v>Buy</v>
          </cell>
          <cell r="D78">
            <v>45974</v>
          </cell>
          <cell r="E78">
            <v>45975</v>
          </cell>
          <cell r="F78" t="str">
            <v>BH</v>
          </cell>
          <cell r="G78" t="str">
            <v>Everglades 2024-1 A </v>
          </cell>
          <cell r="H78" t="str">
            <v>30014LAM6_2</v>
          </cell>
          <cell r="I78" t="str">
            <v>FL Citizens</v>
          </cell>
          <cell r="J78" t="str">
            <v>Aggregate</v>
          </cell>
          <cell r="K78" t="str">
            <v>Indemnity</v>
          </cell>
          <cell r="L78" t="str">
            <v>5/22/2024</v>
          </cell>
          <cell r="M78" t="str">
            <v>5/13/2027</v>
          </cell>
          <cell r="N78">
            <v>450000000</v>
          </cell>
          <cell r="O78" t="str">
            <v>FL HU</v>
          </cell>
          <cell r="P78">
            <v>1.43E-2</v>
          </cell>
          <cell r="Q78">
            <v>0.10489571908489592</v>
          </cell>
          <cell r="R78">
            <v>0.14350714000000001</v>
          </cell>
          <cell r="S78">
            <v>105.14</v>
          </cell>
          <cell r="T78">
            <v>107.75</v>
          </cell>
          <cell r="U78">
            <v>250000</v>
          </cell>
          <cell r="V78" t="str">
            <v>USD</v>
          </cell>
          <cell r="W78">
            <v>1</v>
          </cell>
          <cell r="X78">
            <v>2972.04</v>
          </cell>
          <cell r="Y78">
            <v>30</v>
          </cell>
          <cell r="Z78">
            <v>269375</v>
          </cell>
          <cell r="AA78">
            <v>272347.03999999998</v>
          </cell>
          <cell r="AB78">
            <v>269487.5</v>
          </cell>
          <cell r="AC78">
            <v>1.4931506849315068</v>
          </cell>
          <cell r="AD78">
            <v>8.8858130000000007E-2</v>
          </cell>
        </row>
        <row r="79">
          <cell r="A79" t="str">
            <v>74528TAA2</v>
          </cell>
          <cell r="B79" t="str">
            <v>Cat Bond</v>
          </cell>
          <cell r="C79" t="str">
            <v>Buy</v>
          </cell>
          <cell r="D79">
            <v>45974</v>
          </cell>
          <cell r="E79">
            <v>45975</v>
          </cell>
          <cell r="F79" t="str">
            <v>BH</v>
          </cell>
          <cell r="G79" t="str">
            <v>Puerto Rico Parametric </v>
          </cell>
          <cell r="H79" t="str">
            <v>74528TAA2</v>
          </cell>
          <cell r="I79" t="str">
            <v>Puerto Rico Government</v>
          </cell>
          <cell r="J79" t="str">
            <v>Occurrence</v>
          </cell>
          <cell r="K79" t="str">
            <v>Parametric</v>
          </cell>
          <cell r="L79" t="str">
            <v>6/20/2024</v>
          </cell>
          <cell r="M79" t="str">
            <v>6/7/2027</v>
          </cell>
          <cell r="N79">
            <v>85000000</v>
          </cell>
          <cell r="O79" t="str">
            <v>PR WD &amp; PR QK</v>
          </cell>
          <cell r="P79">
            <v>1.9900000000000001E-2</v>
          </cell>
          <cell r="Q79">
            <v>8.9871699733416924E-2</v>
          </cell>
          <cell r="R79">
            <v>0.12866479396820069</v>
          </cell>
          <cell r="S79">
            <v>102.65</v>
          </cell>
          <cell r="T79">
            <v>107.35</v>
          </cell>
          <cell r="U79">
            <v>250000</v>
          </cell>
          <cell r="V79" t="str">
            <v>USD</v>
          </cell>
          <cell r="W79">
            <v>1</v>
          </cell>
          <cell r="X79">
            <v>687.5</v>
          </cell>
          <cell r="Y79">
            <v>11</v>
          </cell>
          <cell r="Z79">
            <v>268375</v>
          </cell>
          <cell r="AA79">
            <v>269062.5</v>
          </cell>
          <cell r="AB79">
            <v>268375</v>
          </cell>
          <cell r="AC79">
            <v>1.5616438356164384</v>
          </cell>
          <cell r="AD79">
            <v>7.9067299999999993E-2</v>
          </cell>
        </row>
        <row r="80">
          <cell r="A80" t="str">
            <v>912797PG6</v>
          </cell>
          <cell r="B80" t="str">
            <v>Treasury</v>
          </cell>
          <cell r="C80" t="str">
            <v>Buy</v>
          </cell>
          <cell r="D80">
            <v>45782</v>
          </cell>
          <cell r="E80">
            <v>45783</v>
          </cell>
          <cell r="F80" t="str">
            <v>RBC</v>
          </cell>
          <cell r="G80" t="str">
            <v>Treasury 7/31/25</v>
          </cell>
          <cell r="H80" t="str">
            <v>912797PG6</v>
          </cell>
          <cell r="I80" t="str">
            <v>US Govt.</v>
          </cell>
          <cell r="J80"/>
          <cell r="K80"/>
          <cell r="L80"/>
          <cell r="M80">
            <v>45869</v>
          </cell>
          <cell r="N80"/>
          <cell r="O80"/>
          <cell r="P80"/>
          <cell r="Q80"/>
          <cell r="R80">
            <v>4.1825000000000001E-2</v>
          </cell>
          <cell r="S80"/>
          <cell r="T80">
            <v>99.000846999999993</v>
          </cell>
          <cell r="U80">
            <v>250000</v>
          </cell>
          <cell r="V80" t="str">
            <v>USD</v>
          </cell>
          <cell r="W80">
            <v>1</v>
          </cell>
          <cell r="X80"/>
          <cell r="Y80"/>
          <cell r="Z80">
            <v>247502.11749999999</v>
          </cell>
          <cell r="AA80">
            <v>247502.11749999999</v>
          </cell>
          <cell r="AB80">
            <v>0</v>
          </cell>
          <cell r="AC80"/>
          <cell r="AD80">
            <v>4.22173920042722E-2</v>
          </cell>
        </row>
        <row r="81">
          <cell r="A81" t="str">
            <v>912797PG6</v>
          </cell>
          <cell r="B81" t="str">
            <v>Treasury</v>
          </cell>
          <cell r="C81" t="str">
            <v>Buy</v>
          </cell>
          <cell r="D81">
            <v>45783</v>
          </cell>
          <cell r="E81">
            <v>45784</v>
          </cell>
          <cell r="F81" t="str">
            <v>RBC</v>
          </cell>
          <cell r="G81" t="str">
            <v>Treasury 7/31/25</v>
          </cell>
          <cell r="H81" t="str">
            <v>912797PG6</v>
          </cell>
          <cell r="I81" t="str">
            <v>US Govt.</v>
          </cell>
          <cell r="J81"/>
          <cell r="K81"/>
          <cell r="L81"/>
          <cell r="M81">
            <v>45869</v>
          </cell>
          <cell r="N81"/>
          <cell r="O81"/>
          <cell r="P81"/>
          <cell r="Q81"/>
          <cell r="R81">
            <v>4.1724999999999998E-2</v>
          </cell>
          <cell r="S81"/>
          <cell r="T81">
            <v>99.014825999999999</v>
          </cell>
          <cell r="U81">
            <v>750000</v>
          </cell>
          <cell r="V81" t="str">
            <v>USD</v>
          </cell>
          <cell r="W81">
            <v>1</v>
          </cell>
          <cell r="X81"/>
          <cell r="Y81"/>
          <cell r="Z81">
            <v>742611.19499999995</v>
          </cell>
          <cell r="AA81">
            <v>742611.19499999995</v>
          </cell>
          <cell r="AB81">
            <v>0</v>
          </cell>
          <cell r="AC81"/>
          <cell r="AD81">
            <v>4.210566121851822E-2</v>
          </cell>
        </row>
        <row r="82">
          <cell r="A82" t="str">
            <v>912797MG9</v>
          </cell>
          <cell r="B82" t="str">
            <v>Treasury</v>
          </cell>
          <cell r="C82" t="str">
            <v>Buy</v>
          </cell>
          <cell r="D82">
            <v>45786</v>
          </cell>
          <cell r="E82">
            <v>45789</v>
          </cell>
          <cell r="F82" t="str">
            <v>RBC</v>
          </cell>
          <cell r="G82" t="str">
            <v>Treasury 8/7/25</v>
          </cell>
          <cell r="H82" t="str">
            <v>912797MG9</v>
          </cell>
          <cell r="I82" t="str">
            <v>US Govt.</v>
          </cell>
          <cell r="J82"/>
          <cell r="K82"/>
          <cell r="L82"/>
          <cell r="M82">
            <v>45876</v>
          </cell>
          <cell r="N82"/>
          <cell r="O82"/>
          <cell r="P82"/>
          <cell r="Q82"/>
          <cell r="R82">
            <v>4.2099999999999999E-2</v>
          </cell>
          <cell r="S82"/>
          <cell r="T82">
            <v>98.982583000000005</v>
          </cell>
          <cell r="U82">
            <v>500000</v>
          </cell>
          <cell r="V82" t="str">
            <v>USD</v>
          </cell>
          <cell r="W82">
            <v>1</v>
          </cell>
          <cell r="X82"/>
          <cell r="Y82"/>
          <cell r="Z82">
            <v>494912.91499999998</v>
          </cell>
          <cell r="AA82">
            <v>494912.91499999998</v>
          </cell>
          <cell r="AB82">
            <v>0</v>
          </cell>
          <cell r="AC82"/>
          <cell r="AD82">
            <v>4.3007721475601945E-2</v>
          </cell>
        </row>
        <row r="83">
          <cell r="A83" t="str">
            <v>912797PN1</v>
          </cell>
          <cell r="B83" t="str">
            <v>Treasury</v>
          </cell>
          <cell r="C83" t="str">
            <v>Buy</v>
          </cell>
          <cell r="D83">
            <v>45796</v>
          </cell>
          <cell r="E83">
            <v>45797</v>
          </cell>
          <cell r="F83" t="str">
            <v>RBC</v>
          </cell>
          <cell r="G83" t="str">
            <v>Treasury 8/14/25</v>
          </cell>
          <cell r="H83" t="str">
            <v>912797PN1</v>
          </cell>
          <cell r="I83" t="str">
            <v>US Govt.</v>
          </cell>
          <cell r="J83"/>
          <cell r="K83"/>
          <cell r="L83"/>
          <cell r="M83">
            <v>45883</v>
          </cell>
          <cell r="N83"/>
          <cell r="O83"/>
          <cell r="P83"/>
          <cell r="Q83"/>
          <cell r="R83">
            <v>4.2450000000000002E-2</v>
          </cell>
          <cell r="S83"/>
          <cell r="T83">
            <v>98.985917000000001</v>
          </cell>
          <cell r="U83">
            <v>500000</v>
          </cell>
          <cell r="V83" t="str">
            <v>USD</v>
          </cell>
          <cell r="W83">
            <v>1</v>
          </cell>
          <cell r="X83"/>
          <cell r="Y83"/>
          <cell r="Z83">
            <v>494929.58500000002</v>
          </cell>
          <cell r="AA83">
            <v>494929.58500000002</v>
          </cell>
          <cell r="AB83">
            <v>0</v>
          </cell>
          <cell r="AC83"/>
          <cell r="AD83">
            <v>4.3364420892538058E-2</v>
          </cell>
        </row>
        <row r="84">
          <cell r="A84" t="str">
            <v>912797PG6</v>
          </cell>
          <cell r="B84" t="str">
            <v>Treasury</v>
          </cell>
          <cell r="C84" t="str">
            <v>Sell</v>
          </cell>
          <cell r="D84">
            <v>45805</v>
          </cell>
          <cell r="E84">
            <v>45806</v>
          </cell>
          <cell r="F84" t="str">
            <v>RBC</v>
          </cell>
          <cell r="G84" t="str">
            <v>Treasury 7/31/25</v>
          </cell>
          <cell r="H84" t="str">
            <v>912797PG6</v>
          </cell>
          <cell r="I84" t="str">
            <v>US Govt.</v>
          </cell>
          <cell r="J84"/>
          <cell r="K84"/>
          <cell r="L84"/>
          <cell r="M84">
            <v>45869</v>
          </cell>
          <cell r="N84"/>
          <cell r="O84"/>
          <cell r="P84"/>
          <cell r="Q84"/>
          <cell r="R84">
            <v>4.1799999999999997E-2</v>
          </cell>
          <cell r="S84"/>
          <cell r="T84">
            <v>99.259749999999997</v>
          </cell>
          <cell r="U84">
            <v>-250000</v>
          </cell>
          <cell r="V84" t="str">
            <v>USD</v>
          </cell>
          <cell r="W84">
            <v>1</v>
          </cell>
          <cell r="X84"/>
          <cell r="Y84"/>
          <cell r="Z84">
            <v>-248149.375</v>
          </cell>
          <cell r="AA84">
            <v>-248149.375</v>
          </cell>
          <cell r="AB84">
            <v>0</v>
          </cell>
          <cell r="AC84"/>
          <cell r="AD84">
            <v>4.2224419519832704E-2</v>
          </cell>
        </row>
        <row r="85">
          <cell r="A85" t="str">
            <v>912797PG6</v>
          </cell>
          <cell r="B85" t="str">
            <v>Treasury</v>
          </cell>
          <cell r="C85" t="str">
            <v>Sell</v>
          </cell>
          <cell r="D85">
            <v>45833</v>
          </cell>
          <cell r="E85">
            <v>45834</v>
          </cell>
          <cell r="F85" t="str">
            <v>RBC</v>
          </cell>
          <cell r="G85" t="str">
            <v>Treasury 7/31/25</v>
          </cell>
          <cell r="H85" t="str">
            <v>912797PG6</v>
          </cell>
          <cell r="I85" t="str">
            <v>US Govt.</v>
          </cell>
          <cell r="J85"/>
          <cell r="K85"/>
          <cell r="L85"/>
          <cell r="M85">
            <v>45869</v>
          </cell>
          <cell r="N85"/>
          <cell r="O85"/>
          <cell r="P85"/>
          <cell r="Q85"/>
          <cell r="R85">
            <v>4.1799999999999997E-2</v>
          </cell>
          <cell r="S85"/>
          <cell r="T85">
            <v>99.597986000000006</v>
          </cell>
          <cell r="U85">
            <v>-50000</v>
          </cell>
          <cell r="V85" t="str">
            <v>USD</v>
          </cell>
          <cell r="W85">
            <v>1</v>
          </cell>
          <cell r="X85"/>
          <cell r="Y85"/>
          <cell r="Z85">
            <v>-49798.993000000009</v>
          </cell>
          <cell r="AA85">
            <v>-49798.993000000009</v>
          </cell>
          <cell r="AB85">
            <v>0</v>
          </cell>
          <cell r="AC85"/>
          <cell r="AD85">
            <v>4.0876404260818996E-2</v>
          </cell>
        </row>
        <row r="86">
          <cell r="A86" t="str">
            <v>912797PG6</v>
          </cell>
          <cell r="B86" t="str">
            <v>Treasury</v>
          </cell>
          <cell r="C86" t="str">
            <v>Sell</v>
          </cell>
          <cell r="D86">
            <v>45834</v>
          </cell>
          <cell r="E86">
            <v>45834</v>
          </cell>
          <cell r="F86" t="str">
            <v>RBC</v>
          </cell>
          <cell r="G86" t="str">
            <v>Treasury 7/31/25</v>
          </cell>
          <cell r="H86" t="str">
            <v>912797PG6</v>
          </cell>
          <cell r="I86" t="str">
            <v>US Govt.</v>
          </cell>
          <cell r="J86"/>
          <cell r="K86"/>
          <cell r="L86"/>
          <cell r="M86">
            <v>45869</v>
          </cell>
          <cell r="N86"/>
          <cell r="O86"/>
          <cell r="P86"/>
          <cell r="Q86"/>
          <cell r="R86">
            <v>4.1799999999999997E-2</v>
          </cell>
          <cell r="S86"/>
          <cell r="T86">
            <v>99.601875000000007</v>
          </cell>
          <cell r="U86">
            <v>-250000</v>
          </cell>
          <cell r="V86" t="str">
            <v>USD</v>
          </cell>
          <cell r="W86">
            <v>1</v>
          </cell>
          <cell r="X86"/>
          <cell r="Y86"/>
          <cell r="Z86">
            <v>-249004.6875</v>
          </cell>
          <cell r="AA86">
            <v>-249004.6875</v>
          </cell>
          <cell r="AB86">
            <v>0</v>
          </cell>
          <cell r="AC86"/>
          <cell r="AD86">
            <v>4.067531580159086E-2</v>
          </cell>
        </row>
        <row r="87">
          <cell r="A87" t="str">
            <v>912797QE0</v>
          </cell>
          <cell r="B87" t="str">
            <v>Treasury</v>
          </cell>
          <cell r="C87" t="str">
            <v>Buy</v>
          </cell>
          <cell r="D87">
            <v>45849</v>
          </cell>
          <cell r="E87">
            <v>45849</v>
          </cell>
          <cell r="F87" t="str">
            <v>RBC</v>
          </cell>
          <cell r="G87" t="str">
            <v>Treasury 10/9/2025</v>
          </cell>
          <cell r="H87" t="str">
            <v>912797QE0</v>
          </cell>
          <cell r="I87" t="str">
            <v>US Govt.</v>
          </cell>
          <cell r="J87"/>
          <cell r="K87"/>
          <cell r="L87"/>
          <cell r="M87">
            <v>45939</v>
          </cell>
          <cell r="N87"/>
          <cell r="O87"/>
          <cell r="P87"/>
          <cell r="Q87"/>
          <cell r="R87">
            <v>4.2450000000000002E-2</v>
          </cell>
          <cell r="S87"/>
          <cell r="T87">
            <v>98.938749999999999</v>
          </cell>
          <cell r="U87">
            <v>500000</v>
          </cell>
          <cell r="V87" t="str">
            <v>USD</v>
          </cell>
          <cell r="W87">
            <v>1</v>
          </cell>
          <cell r="X87"/>
          <cell r="Y87"/>
          <cell r="Z87">
            <v>494693.75</v>
          </cell>
          <cell r="AA87">
            <v>494693.75</v>
          </cell>
          <cell r="AB87">
            <v>0</v>
          </cell>
          <cell r="AC87"/>
          <cell r="AD87">
            <v>4.3382552651651564E-2</v>
          </cell>
        </row>
        <row r="88">
          <cell r="A88" t="str">
            <v>912797QF7</v>
          </cell>
          <cell r="B88" t="str">
            <v>Treasury</v>
          </cell>
          <cell r="C88" t="str">
            <v>Buy</v>
          </cell>
          <cell r="D88">
            <v>45855</v>
          </cell>
          <cell r="E88">
            <v>45855</v>
          </cell>
          <cell r="F88" t="str">
            <v>RBC</v>
          </cell>
          <cell r="G88" t="str">
            <v>Treasury 10/16/2025</v>
          </cell>
          <cell r="H88" t="str">
            <v>912797QF7</v>
          </cell>
          <cell r="I88" t="str">
            <v>US Govt.</v>
          </cell>
          <cell r="J88"/>
          <cell r="K88"/>
          <cell r="L88"/>
          <cell r="M88">
            <v>45946</v>
          </cell>
          <cell r="N88"/>
          <cell r="O88"/>
          <cell r="P88"/>
          <cell r="Q88"/>
          <cell r="R88">
            <v>4.2200000000000001E-2</v>
          </cell>
          <cell r="S88"/>
          <cell r="T88">
            <v>98.933278000000001</v>
          </cell>
          <cell r="U88">
            <v>250000</v>
          </cell>
          <cell r="V88" t="str">
            <v>USD</v>
          </cell>
          <cell r="W88">
            <v>1</v>
          </cell>
          <cell r="X88"/>
          <cell r="Y88"/>
          <cell r="Z88">
            <v>247333.19500000001</v>
          </cell>
          <cell r="AA88">
            <v>247333.19500000001</v>
          </cell>
          <cell r="AB88">
            <v>0</v>
          </cell>
          <cell r="AC88"/>
          <cell r="AD88">
            <v>4.3129165408202809E-2</v>
          </cell>
        </row>
        <row r="89">
          <cell r="A89" t="str">
            <v>912797NA1</v>
          </cell>
          <cell r="B89" t="str">
            <v>Treasury</v>
          </cell>
          <cell r="C89" t="str">
            <v>Buy</v>
          </cell>
          <cell r="D89">
            <v>45867</v>
          </cell>
          <cell r="E89">
            <v>45867</v>
          </cell>
          <cell r="F89" t="str">
            <v>RBC</v>
          </cell>
          <cell r="G89" t="str">
            <v>Treasury 10/30/2025</v>
          </cell>
          <cell r="H89" t="str">
            <v>912797NA1</v>
          </cell>
          <cell r="I89" t="str">
            <v>US Govt.</v>
          </cell>
          <cell r="J89"/>
          <cell r="K89"/>
          <cell r="L89"/>
          <cell r="M89">
            <v>45960</v>
          </cell>
          <cell r="N89"/>
          <cell r="O89"/>
          <cell r="P89"/>
          <cell r="Q89"/>
          <cell r="R89">
            <v>4.2250000000000003E-2</v>
          </cell>
          <cell r="S89"/>
          <cell r="T89">
            <v>98.908541999999997</v>
          </cell>
          <cell r="U89">
            <v>250000</v>
          </cell>
          <cell r="V89" t="str">
            <v>USD</v>
          </cell>
          <cell r="W89">
            <v>1</v>
          </cell>
          <cell r="X89"/>
          <cell r="Y89"/>
          <cell r="Z89">
            <v>247271.35500000001</v>
          </cell>
          <cell r="AA89">
            <v>247271.35500000001</v>
          </cell>
          <cell r="AB89">
            <v>0</v>
          </cell>
          <cell r="AC89"/>
          <cell r="AD89">
            <v>4.3180491301483569E-2</v>
          </cell>
        </row>
        <row r="90">
          <cell r="A90" t="str">
            <v>912797NA1</v>
          </cell>
          <cell r="B90" t="str">
            <v>Treasury</v>
          </cell>
          <cell r="C90" t="str">
            <v>Buy</v>
          </cell>
          <cell r="D90">
            <v>45868</v>
          </cell>
          <cell r="E90">
            <v>45868</v>
          </cell>
          <cell r="F90" t="str">
            <v>RBC</v>
          </cell>
          <cell r="G90" t="str">
            <v>Treasury 10/30/2025</v>
          </cell>
          <cell r="H90" t="str">
            <v>912797NA1</v>
          </cell>
          <cell r="I90" t="str">
            <v>US Govt.</v>
          </cell>
          <cell r="J90"/>
          <cell r="K90"/>
          <cell r="L90"/>
          <cell r="M90">
            <v>45960</v>
          </cell>
          <cell r="N90"/>
          <cell r="O90"/>
          <cell r="P90"/>
          <cell r="Q90"/>
          <cell r="R90">
            <v>4.2250000000000003E-2</v>
          </cell>
          <cell r="S90"/>
          <cell r="T90">
            <v>98.920277999999996</v>
          </cell>
          <cell r="U90">
            <v>250000</v>
          </cell>
          <cell r="V90" t="str">
            <v>USD</v>
          </cell>
          <cell r="W90">
            <v>1</v>
          </cell>
          <cell r="X90"/>
          <cell r="Y90"/>
          <cell r="Z90">
            <v>247300.69500000001</v>
          </cell>
          <cell r="AA90">
            <v>247300.69500000001</v>
          </cell>
          <cell r="AB90">
            <v>0</v>
          </cell>
          <cell r="AC90"/>
          <cell r="AD90">
            <v>4.3185725782129487E-2</v>
          </cell>
        </row>
        <row r="91">
          <cell r="A91" t="str">
            <v>912797PG6</v>
          </cell>
          <cell r="B91" t="str">
            <v>Treasury</v>
          </cell>
          <cell r="C91" t="str">
            <v>Sell</v>
          </cell>
          <cell r="D91">
            <v>45869</v>
          </cell>
          <cell r="E91">
            <v>45869</v>
          </cell>
          <cell r="F91" t="str">
            <v>Matured</v>
          </cell>
          <cell r="G91" t="str">
            <v>Treasury 7/31/25</v>
          </cell>
          <cell r="H91" t="str">
            <v>912797PG6</v>
          </cell>
          <cell r="I91" t="str">
            <v>US Govt.</v>
          </cell>
          <cell r="J91"/>
          <cell r="K91"/>
          <cell r="L91"/>
          <cell r="M91">
            <v>45869</v>
          </cell>
          <cell r="N91"/>
          <cell r="O91"/>
          <cell r="P91"/>
          <cell r="Q91"/>
          <cell r="R91">
            <v>0</v>
          </cell>
          <cell r="S91"/>
          <cell r="T91">
            <v>100</v>
          </cell>
          <cell r="U91">
            <v>-450000</v>
          </cell>
          <cell r="V91" t="str">
            <v>USD</v>
          </cell>
          <cell r="W91">
            <v>1</v>
          </cell>
          <cell r="X91"/>
          <cell r="Y91"/>
          <cell r="Z91">
            <v>-450000</v>
          </cell>
          <cell r="AA91">
            <v>-450000</v>
          </cell>
          <cell r="AB91">
            <v>0</v>
          </cell>
          <cell r="AC91"/>
          <cell r="AD91">
            <v>0</v>
          </cell>
        </row>
        <row r="92">
          <cell r="A92" t="str">
            <v>912797NA1</v>
          </cell>
          <cell r="B92" t="str">
            <v>Treasury</v>
          </cell>
          <cell r="C92" t="str">
            <v>Buy</v>
          </cell>
          <cell r="D92">
            <v>45869</v>
          </cell>
          <cell r="E92">
            <v>45869</v>
          </cell>
          <cell r="F92" t="str">
            <v>RBC</v>
          </cell>
          <cell r="G92" t="str">
            <v>Treasury 10/30/2025</v>
          </cell>
          <cell r="H92" t="str">
            <v>912797NA1</v>
          </cell>
          <cell r="I92" t="str">
            <v>US Govt.</v>
          </cell>
          <cell r="J92"/>
          <cell r="K92"/>
          <cell r="L92"/>
          <cell r="M92">
            <v>45960</v>
          </cell>
          <cell r="N92"/>
          <cell r="O92"/>
          <cell r="P92"/>
          <cell r="Q92"/>
          <cell r="R92">
            <v>4.2299999999999997E-2</v>
          </cell>
          <cell r="S92"/>
          <cell r="T92">
            <v>98.930750000000003</v>
          </cell>
          <cell r="U92">
            <v>500000</v>
          </cell>
          <cell r="V92" t="str">
            <v>USD</v>
          </cell>
          <cell r="W92">
            <v>1</v>
          </cell>
          <cell r="X92"/>
          <cell r="Y92"/>
          <cell r="Z92">
            <v>494653.75</v>
          </cell>
          <cell r="AA92">
            <v>494653.75</v>
          </cell>
          <cell r="AB92">
            <v>0</v>
          </cell>
          <cell r="AC92"/>
          <cell r="AD92">
            <v>4.2994721054879288E-2</v>
          </cell>
        </row>
        <row r="93">
          <cell r="A93" t="str">
            <v>912797NA1</v>
          </cell>
          <cell r="B93" t="str">
            <v>Treasury</v>
          </cell>
          <cell r="C93" t="str">
            <v>Buy</v>
          </cell>
          <cell r="D93">
            <v>45870</v>
          </cell>
          <cell r="E93">
            <v>45870</v>
          </cell>
          <cell r="F93" t="str">
            <v>RBC</v>
          </cell>
          <cell r="G93" t="str">
            <v>Treasury 10/30/2025</v>
          </cell>
          <cell r="H93" t="str">
            <v>912797NA1</v>
          </cell>
          <cell r="I93" t="str">
            <v>US Govt.</v>
          </cell>
          <cell r="J93"/>
          <cell r="K93"/>
          <cell r="L93"/>
          <cell r="M93">
            <v>45960</v>
          </cell>
          <cell r="N93"/>
          <cell r="O93"/>
          <cell r="P93"/>
          <cell r="Q93"/>
          <cell r="R93">
            <v>4.1799999999999997E-2</v>
          </cell>
          <cell r="S93"/>
          <cell r="T93">
            <v>98.954999999999998</v>
          </cell>
          <cell r="U93">
            <v>200000</v>
          </cell>
          <cell r="V93" t="str">
            <v>USD</v>
          </cell>
          <cell r="W93">
            <v>1</v>
          </cell>
          <cell r="X93"/>
          <cell r="Y93"/>
          <cell r="Z93">
            <v>197910</v>
          </cell>
          <cell r="AA93">
            <v>197910</v>
          </cell>
          <cell r="AB93">
            <v>0</v>
          </cell>
          <cell r="AC93"/>
          <cell r="AD93">
            <v>4.2473750478816963E-2</v>
          </cell>
        </row>
        <row r="94">
          <cell r="A94" t="str">
            <v>912797MG9</v>
          </cell>
          <cell r="B94" t="str">
            <v>Treasury</v>
          </cell>
          <cell r="C94" t="str">
            <v>Sell</v>
          </cell>
          <cell r="D94">
            <v>45874</v>
          </cell>
          <cell r="E94">
            <v>45875</v>
          </cell>
          <cell r="F94" t="str">
            <v>RBC</v>
          </cell>
          <cell r="G94" t="str">
            <v>Treasury 8/7/25</v>
          </cell>
          <cell r="H94" t="str">
            <v>912797MG9</v>
          </cell>
          <cell r="I94" t="str">
            <v>US Govt.</v>
          </cell>
          <cell r="J94"/>
          <cell r="K94"/>
          <cell r="L94"/>
          <cell r="M94">
            <v>45876</v>
          </cell>
          <cell r="N94"/>
          <cell r="O94"/>
          <cell r="P94"/>
          <cell r="Q94"/>
          <cell r="R94">
            <v>4.2099999999999999E-2</v>
          </cell>
          <cell r="S94"/>
          <cell r="T94">
            <v>99.988167000000004</v>
          </cell>
          <cell r="U94">
            <v>-500000</v>
          </cell>
          <cell r="V94" t="str">
            <v>USD</v>
          </cell>
          <cell r="W94">
            <v>1</v>
          </cell>
          <cell r="X94"/>
          <cell r="Y94"/>
          <cell r="Z94">
            <v>-499940.83500000002</v>
          </cell>
          <cell r="AA94">
            <v>-499940.83500000002</v>
          </cell>
          <cell r="AB94">
            <v>0</v>
          </cell>
          <cell r="AC94"/>
          <cell r="AD94">
            <v>4.1918074517366975E-2</v>
          </cell>
        </row>
        <row r="95">
          <cell r="A95" t="str">
            <v>912797PN1</v>
          </cell>
          <cell r="B95" t="str">
            <v>Treasury</v>
          </cell>
          <cell r="C95" t="str">
            <v>Sell</v>
          </cell>
          <cell r="D95">
            <v>45874</v>
          </cell>
          <cell r="E95">
            <v>45875</v>
          </cell>
          <cell r="F95" t="str">
            <v>RBC</v>
          </cell>
          <cell r="G95" t="str">
            <v>Treasury 8/14/25</v>
          </cell>
          <cell r="H95" t="str">
            <v>912797PN1</v>
          </cell>
          <cell r="I95" t="str">
            <v>US Govt.</v>
          </cell>
          <cell r="J95"/>
          <cell r="K95"/>
          <cell r="L95"/>
          <cell r="M95">
            <v>45883</v>
          </cell>
          <cell r="N95"/>
          <cell r="O95"/>
          <cell r="P95"/>
          <cell r="Q95"/>
          <cell r="R95">
            <v>4.2450000000000002E-2</v>
          </cell>
          <cell r="S95"/>
          <cell r="T95">
            <v>99.905332999999999</v>
          </cell>
          <cell r="U95">
            <v>-500000</v>
          </cell>
          <cell r="V95" t="str">
            <v>USD</v>
          </cell>
          <cell r="W95">
            <v>1</v>
          </cell>
          <cell r="X95"/>
          <cell r="Y95"/>
          <cell r="Z95">
            <v>-499526.66499999998</v>
          </cell>
          <cell r="AA95">
            <v>-499526.66499999998</v>
          </cell>
          <cell r="AB95">
            <v>0</v>
          </cell>
          <cell r="AC95"/>
          <cell r="AD95">
            <v>4.2157357588954891E-2</v>
          </cell>
        </row>
        <row r="96">
          <cell r="A96" t="str">
            <v>912797NA1</v>
          </cell>
          <cell r="B96" t="str">
            <v>Treasury</v>
          </cell>
          <cell r="C96" t="str">
            <v>Buy</v>
          </cell>
          <cell r="D96">
            <v>45874</v>
          </cell>
          <cell r="E96">
            <v>45875</v>
          </cell>
          <cell r="F96" t="str">
            <v>RBC</v>
          </cell>
          <cell r="G96" t="str">
            <v>Treasury 10/30/2025</v>
          </cell>
          <cell r="H96" t="str">
            <v>912797NA1</v>
          </cell>
          <cell r="I96" t="str">
            <v>US Govt.</v>
          </cell>
          <cell r="J96"/>
          <cell r="K96"/>
          <cell r="L96"/>
          <cell r="M96">
            <v>45960</v>
          </cell>
          <cell r="N96"/>
          <cell r="O96"/>
          <cell r="P96"/>
          <cell r="Q96"/>
          <cell r="R96">
            <v>4.1450000000000001E-2</v>
          </cell>
          <cell r="S96"/>
          <cell r="T96">
            <v>99.021319000000005</v>
          </cell>
          <cell r="U96">
            <v>1000000</v>
          </cell>
          <cell r="V96" t="str">
            <v>USD</v>
          </cell>
          <cell r="W96">
            <v>1</v>
          </cell>
          <cell r="X96"/>
          <cell r="Y96"/>
          <cell r="Z96">
            <v>990213.19</v>
          </cell>
          <cell r="AA96">
            <v>990213.19</v>
          </cell>
          <cell r="AB96">
            <v>0</v>
          </cell>
          <cell r="AC96">
            <v>-4.1095890410958902E-2</v>
          </cell>
          <cell r="AD96">
            <v>4.2079489771391532E-2</v>
          </cell>
        </row>
        <row r="97">
          <cell r="A97" t="str">
            <v>912797QQ3</v>
          </cell>
          <cell r="B97" t="str">
            <v>Treasury</v>
          </cell>
          <cell r="C97" t="str">
            <v>Buy</v>
          </cell>
          <cell r="D97">
            <v>45887</v>
          </cell>
          <cell r="E97">
            <v>45888</v>
          </cell>
          <cell r="F97" t="str">
            <v>RBC</v>
          </cell>
          <cell r="G97" t="str">
            <v>Treasury 11/13/2025</v>
          </cell>
          <cell r="H97" t="str">
            <v>912797QQ3</v>
          </cell>
          <cell r="I97" t="str">
            <v>US Govt.</v>
          </cell>
          <cell r="J97"/>
          <cell r="K97"/>
          <cell r="L97"/>
          <cell r="M97">
            <v>45974</v>
          </cell>
          <cell r="O97"/>
          <cell r="R97">
            <v>4.1250000000000002E-2</v>
          </cell>
          <cell r="S97"/>
          <cell r="T97">
            <v>99.014583000000002</v>
          </cell>
          <cell r="U97">
            <v>500000</v>
          </cell>
          <cell r="V97" t="str">
            <v>USD</v>
          </cell>
          <cell r="W97">
            <v>1</v>
          </cell>
          <cell r="Z97">
            <v>495072.91499999998</v>
          </cell>
          <cell r="AA97">
            <v>495072.91499999998</v>
          </cell>
          <cell r="AB97">
            <v>0</v>
          </cell>
          <cell r="AC97">
            <v>-2.7397260273972603E-3</v>
          </cell>
          <cell r="AD97">
            <v>4.212724512550315E-2</v>
          </cell>
        </row>
        <row r="98">
          <cell r="A98" t="str">
            <v>912797QE0</v>
          </cell>
          <cell r="B98" t="str">
            <v>Treasury</v>
          </cell>
          <cell r="C98" t="str">
            <v>Sell</v>
          </cell>
          <cell r="D98">
            <v>45908</v>
          </cell>
          <cell r="E98">
            <v>45908</v>
          </cell>
          <cell r="F98" t="str">
            <v>RBC</v>
          </cell>
          <cell r="G98" t="str">
            <v>Treasury 10/9/2025</v>
          </cell>
          <cell r="H98" t="str">
            <v>912797QE0</v>
          </cell>
          <cell r="I98" t="str">
            <v>US Govt.</v>
          </cell>
          <cell r="J98"/>
          <cell r="K98"/>
          <cell r="L98"/>
          <cell r="M98">
            <v>45939</v>
          </cell>
          <cell r="N98"/>
          <cell r="O98"/>
          <cell r="P98"/>
          <cell r="Q98"/>
          <cell r="R98">
            <v>4.1700000000000001E-2</v>
          </cell>
          <cell r="S98"/>
          <cell r="T98">
            <v>99.646944000000005</v>
          </cell>
          <cell r="U98">
            <v>-250000</v>
          </cell>
          <cell r="V98" t="str">
            <v>USD</v>
          </cell>
          <cell r="W98">
            <v>1</v>
          </cell>
          <cell r="X98"/>
          <cell r="Y98"/>
          <cell r="Z98">
            <v>-249117.36</v>
          </cell>
          <cell r="AA98">
            <v>-249117.36</v>
          </cell>
          <cell r="AB98">
            <v>0</v>
          </cell>
          <cell r="AC98"/>
          <cell r="AD98">
            <v>4.1213871386180136E-2</v>
          </cell>
        </row>
        <row r="99">
          <cell r="A99" t="str">
            <v>912797QE0</v>
          </cell>
          <cell r="B99" t="str">
            <v>Treasury</v>
          </cell>
          <cell r="C99" t="str">
            <v>Sell</v>
          </cell>
          <cell r="D99">
            <v>45908</v>
          </cell>
          <cell r="E99">
            <v>45908</v>
          </cell>
          <cell r="F99" t="str">
            <v>RBC</v>
          </cell>
          <cell r="G99" t="str">
            <v>Treasury 10/9/2025</v>
          </cell>
          <cell r="H99" t="str">
            <v>912797QE0</v>
          </cell>
          <cell r="I99" t="str">
            <v>US Govt.</v>
          </cell>
          <cell r="J99"/>
          <cell r="K99"/>
          <cell r="L99"/>
          <cell r="M99">
            <v>45939</v>
          </cell>
          <cell r="N99"/>
          <cell r="O99"/>
          <cell r="P99"/>
          <cell r="Q99"/>
          <cell r="R99">
            <v>4.156E-2</v>
          </cell>
          <cell r="S99"/>
          <cell r="T99">
            <v>99.648235999999997</v>
          </cell>
          <cell r="U99">
            <v>-250000</v>
          </cell>
          <cell r="V99" t="str">
            <v>USD</v>
          </cell>
          <cell r="W99">
            <v>1</v>
          </cell>
          <cell r="X99"/>
          <cell r="Y99"/>
          <cell r="Z99">
            <v>-249120.59</v>
          </cell>
          <cell r="AA99">
            <v>-249120.59</v>
          </cell>
          <cell r="AB99">
            <v>0</v>
          </cell>
          <cell r="AC99"/>
          <cell r="AD99">
            <v>4.1069739886451129E-2</v>
          </cell>
        </row>
        <row r="100">
          <cell r="A100" t="str">
            <v>912797QF7</v>
          </cell>
          <cell r="B100" t="str">
            <v>Treasury</v>
          </cell>
          <cell r="C100" t="str">
            <v>Sell</v>
          </cell>
          <cell r="D100">
            <v>45908</v>
          </cell>
          <cell r="E100">
            <v>45908</v>
          </cell>
          <cell r="F100" t="str">
            <v>RBC</v>
          </cell>
          <cell r="G100" t="str">
            <v>Treasury 10/16/2025</v>
          </cell>
          <cell r="H100" t="str">
            <v>912797QF7</v>
          </cell>
          <cell r="I100" t="str">
            <v>US Govt.</v>
          </cell>
          <cell r="J100"/>
          <cell r="K100"/>
          <cell r="L100"/>
          <cell r="M100">
            <v>45946</v>
          </cell>
          <cell r="N100"/>
          <cell r="O100"/>
          <cell r="P100"/>
          <cell r="Q100"/>
          <cell r="R100">
            <v>4.1439999999999998E-2</v>
          </cell>
          <cell r="S100"/>
          <cell r="T100">
            <v>99.570389000000006</v>
          </cell>
          <cell r="U100">
            <v>-250000</v>
          </cell>
          <cell r="V100" t="str">
            <v>USD</v>
          </cell>
          <cell r="W100">
            <v>1</v>
          </cell>
          <cell r="X100"/>
          <cell r="Y100"/>
          <cell r="Z100">
            <v>-248925.9725</v>
          </cell>
          <cell r="AA100">
            <v>-248925.9725</v>
          </cell>
          <cell r="AB100">
            <v>0</v>
          </cell>
          <cell r="AC100"/>
          <cell r="AD100">
            <v>4.1000717146213936E-2</v>
          </cell>
        </row>
        <row r="101">
          <cell r="A101" t="str">
            <v>912797NA1</v>
          </cell>
          <cell r="B101" t="str">
            <v>Treasury</v>
          </cell>
          <cell r="C101" t="str">
            <v>Sell</v>
          </cell>
          <cell r="D101">
            <v>45916</v>
          </cell>
          <cell r="E101">
            <v>45916</v>
          </cell>
          <cell r="F101" t="str">
            <v>RBC</v>
          </cell>
          <cell r="G101" t="str">
            <v>Treasury 10/30/2025</v>
          </cell>
          <cell r="H101" t="str">
            <v>912797NA1</v>
          </cell>
          <cell r="I101" t="str">
            <v>US Govt.</v>
          </cell>
          <cell r="J101"/>
          <cell r="K101"/>
          <cell r="L101"/>
          <cell r="M101">
            <v>45960</v>
          </cell>
          <cell r="N101"/>
          <cell r="O101"/>
          <cell r="P101"/>
          <cell r="Q101"/>
          <cell r="R101">
            <v>4.1000000000000002E-2</v>
          </cell>
          <cell r="S101"/>
          <cell r="T101">
            <v>99.498889000000005</v>
          </cell>
          <cell r="U101">
            <v>-250000</v>
          </cell>
          <cell r="V101" t="str">
            <v>USD</v>
          </cell>
          <cell r="W101">
            <v>1</v>
          </cell>
          <cell r="X101"/>
          <cell r="Y101"/>
          <cell r="Z101">
            <v>-248747.2225</v>
          </cell>
          <cell r="AA101">
            <v>-248747.2225</v>
          </cell>
          <cell r="AB101">
            <v>0</v>
          </cell>
          <cell r="AC101"/>
          <cell r="AD101">
            <v>4.0990658647864074E-2</v>
          </cell>
        </row>
        <row r="102">
          <cell r="A102" t="str">
            <v>912797NA1</v>
          </cell>
          <cell r="B102" t="str">
            <v>Treasury</v>
          </cell>
          <cell r="C102" t="str">
            <v>Sell</v>
          </cell>
          <cell r="D102">
            <v>45917</v>
          </cell>
          <cell r="E102">
            <v>45917</v>
          </cell>
          <cell r="F102" t="str">
            <v>RBC</v>
          </cell>
          <cell r="G102" t="str">
            <v>Treasury 10/30/2025</v>
          </cell>
          <cell r="H102" t="str">
            <v>912797NA1</v>
          </cell>
          <cell r="I102" t="str">
            <v>US Govt.</v>
          </cell>
          <cell r="J102"/>
          <cell r="K102"/>
          <cell r="L102"/>
          <cell r="M102">
            <v>45960</v>
          </cell>
          <cell r="N102"/>
          <cell r="O102"/>
          <cell r="P102"/>
          <cell r="Q102"/>
          <cell r="R102">
            <v>4.0300000000000002E-2</v>
          </cell>
          <cell r="S102"/>
          <cell r="T102">
            <v>99.518638999999993</v>
          </cell>
          <cell r="U102">
            <v>-250000</v>
          </cell>
          <cell r="V102" t="str">
            <v>USD</v>
          </cell>
          <cell r="W102">
            <v>1</v>
          </cell>
          <cell r="X102"/>
          <cell r="Y102"/>
          <cell r="Z102">
            <v>-248796.5975</v>
          </cell>
          <cell r="AA102">
            <v>-248796.5975</v>
          </cell>
          <cell r="AB102">
            <v>0</v>
          </cell>
          <cell r="AC102"/>
          <cell r="AD102">
            <v>4.0281957938469844E-2</v>
          </cell>
        </row>
        <row r="103">
          <cell r="A103" t="str">
            <v>912797NA1</v>
          </cell>
          <cell r="B103" t="str">
            <v>Treasury</v>
          </cell>
          <cell r="C103" t="str">
            <v>Sell</v>
          </cell>
          <cell r="D103">
            <v>45918</v>
          </cell>
          <cell r="E103">
            <v>45918</v>
          </cell>
          <cell r="F103" t="str">
            <v>RBC</v>
          </cell>
          <cell r="G103" t="str">
            <v>Treasury 10/30/2025</v>
          </cell>
          <cell r="H103" t="str">
            <v>912797NA1</v>
          </cell>
          <cell r="I103" t="str">
            <v>US Govt.</v>
          </cell>
          <cell r="J103"/>
          <cell r="K103"/>
          <cell r="L103"/>
          <cell r="M103">
            <v>45960</v>
          </cell>
          <cell r="N103"/>
          <cell r="O103"/>
          <cell r="P103"/>
          <cell r="Q103"/>
          <cell r="R103">
            <v>4.0300000000000002E-2</v>
          </cell>
          <cell r="S103"/>
          <cell r="T103">
            <v>99.529832999999996</v>
          </cell>
          <cell r="U103">
            <v>-250000</v>
          </cell>
          <cell r="V103" t="str">
            <v>USD</v>
          </cell>
          <cell r="W103">
            <v>1</v>
          </cell>
          <cell r="X103"/>
          <cell r="Y103"/>
          <cell r="Z103">
            <v>-248824.58249999999</v>
          </cell>
          <cell r="AA103">
            <v>-248824.58249999999</v>
          </cell>
          <cell r="AB103">
            <v>0</v>
          </cell>
          <cell r="AC103"/>
          <cell r="AD103">
            <v>4.0272964412194627E-2</v>
          </cell>
        </row>
        <row r="104">
          <cell r="A104" t="str">
            <v>912797NA1</v>
          </cell>
          <cell r="B104" t="str">
            <v>Treasury</v>
          </cell>
          <cell r="C104" t="str">
            <v>Sell</v>
          </cell>
          <cell r="D104">
            <v>45922</v>
          </cell>
          <cell r="E104">
            <v>45922</v>
          </cell>
          <cell r="F104" t="str">
            <v>RBC</v>
          </cell>
          <cell r="G104" t="str">
            <v>Treasury 10/30/2025</v>
          </cell>
          <cell r="H104" t="str">
            <v>912797NA1</v>
          </cell>
          <cell r="I104" t="str">
            <v>US Govt.</v>
          </cell>
          <cell r="J104"/>
          <cell r="K104"/>
          <cell r="L104"/>
          <cell r="M104">
            <v>45960</v>
          </cell>
          <cell r="N104"/>
          <cell r="O104"/>
          <cell r="P104"/>
          <cell r="Q104"/>
          <cell r="R104">
            <v>4.0050000000000002E-2</v>
          </cell>
          <cell r="S104"/>
          <cell r="T104">
            <v>99.577250000000006</v>
          </cell>
          <cell r="U104">
            <v>-200000</v>
          </cell>
          <cell r="V104" t="str">
            <v>USD</v>
          </cell>
          <cell r="W104">
            <v>1</v>
          </cell>
          <cell r="X104"/>
          <cell r="Y104"/>
          <cell r="Z104">
            <v>-199154.5</v>
          </cell>
          <cell r="AA104">
            <v>-199154.5</v>
          </cell>
          <cell r="AB104"/>
          <cell r="AC104"/>
          <cell r="AD104">
            <v>3.9987719127458403E-2</v>
          </cell>
        </row>
        <row r="105">
          <cell r="A105" t="str">
            <v>912797NA1</v>
          </cell>
          <cell r="B105" t="str">
            <v>Treasury</v>
          </cell>
          <cell r="C105" t="str">
            <v>Sell</v>
          </cell>
          <cell r="D105">
            <v>45939</v>
          </cell>
          <cell r="E105">
            <v>45939</v>
          </cell>
          <cell r="F105" t="str">
            <v>RBC</v>
          </cell>
          <cell r="G105" t="str">
            <v>Treasury 10/30/2025</v>
          </cell>
          <cell r="H105" t="str">
            <v>912797NA1</v>
          </cell>
          <cell r="I105" t="str">
            <v>US Govt.</v>
          </cell>
          <cell r="J105"/>
          <cell r="K105"/>
          <cell r="L105"/>
          <cell r="M105">
            <v>45960</v>
          </cell>
          <cell r="N105"/>
          <cell r="O105"/>
          <cell r="P105"/>
          <cell r="Q105"/>
          <cell r="R105">
            <v>4.0300000000000002E-2</v>
          </cell>
          <cell r="S105"/>
          <cell r="T105">
            <v>99.764624999999995</v>
          </cell>
          <cell r="U105">
            <v>-250000</v>
          </cell>
          <cell r="V105" t="str">
            <v>USD</v>
          </cell>
          <cell r="W105">
            <v>1</v>
          </cell>
          <cell r="X105"/>
          <cell r="Y105"/>
          <cell r="Z105">
            <v>-249411.5625</v>
          </cell>
          <cell r="AA105">
            <v>-249411.5625</v>
          </cell>
          <cell r="AB105"/>
          <cell r="AC105"/>
          <cell r="AD105">
            <v>4.0109594763788364E-2</v>
          </cell>
        </row>
        <row r="106">
          <cell r="A106" t="str">
            <v>912797NA1</v>
          </cell>
          <cell r="B106" t="str">
            <v>Treasury</v>
          </cell>
          <cell r="C106" t="str">
            <v>Sell</v>
          </cell>
          <cell r="D106">
            <v>45940</v>
          </cell>
          <cell r="E106">
            <v>45940</v>
          </cell>
          <cell r="F106" t="str">
            <v>RBC</v>
          </cell>
          <cell r="G106" t="str">
            <v>Treasury 10/30/2025</v>
          </cell>
          <cell r="H106" t="str">
            <v>912797NA1</v>
          </cell>
          <cell r="I106" t="str">
            <v>US Govt.</v>
          </cell>
          <cell r="J106"/>
          <cell r="K106"/>
          <cell r="L106"/>
          <cell r="M106">
            <v>45960</v>
          </cell>
          <cell r="N106"/>
          <cell r="O106"/>
          <cell r="P106"/>
          <cell r="Q106"/>
          <cell r="R106">
            <v>4.0500000000000001E-2</v>
          </cell>
          <cell r="S106"/>
          <cell r="T106">
            <v>99.775000000000006</v>
          </cell>
          <cell r="U106">
            <v>-250000</v>
          </cell>
          <cell r="V106" t="str">
            <v>USD</v>
          </cell>
          <cell r="W106">
            <v>1</v>
          </cell>
          <cell r="X106"/>
          <cell r="Y106"/>
          <cell r="Z106">
            <v>-249437.5</v>
          </cell>
          <cell r="AA106">
            <v>-249437.5</v>
          </cell>
          <cell r="AB106"/>
          <cell r="AC106"/>
          <cell r="AD106">
            <v>4.0273461777501088E-2</v>
          </cell>
        </row>
        <row r="107">
          <cell r="A107" t="str">
            <v>912797NA1</v>
          </cell>
          <cell r="B107" t="str">
            <v>Treasury</v>
          </cell>
          <cell r="C107" t="str">
            <v>Sell</v>
          </cell>
          <cell r="D107">
            <v>45944</v>
          </cell>
          <cell r="E107">
            <v>45944</v>
          </cell>
          <cell r="F107" t="str">
            <v>RBC</v>
          </cell>
          <cell r="G107" t="str">
            <v>Treasury 10/30/2025</v>
          </cell>
          <cell r="H107" t="str">
            <v>912797NA1</v>
          </cell>
          <cell r="I107" t="str">
            <v>US Govt.</v>
          </cell>
          <cell r="J107"/>
          <cell r="K107"/>
          <cell r="L107"/>
          <cell r="M107">
            <v>45960</v>
          </cell>
          <cell r="N107"/>
          <cell r="O107"/>
          <cell r="P107"/>
          <cell r="Q107"/>
          <cell r="R107">
            <v>4.0300000000000002E-2</v>
          </cell>
          <cell r="S107"/>
          <cell r="T107">
            <v>99.820667</v>
          </cell>
          <cell r="U107">
            <v>-500000</v>
          </cell>
          <cell r="V107" t="str">
            <v>USD</v>
          </cell>
          <cell r="W107">
            <v>1</v>
          </cell>
          <cell r="X107"/>
          <cell r="Y107"/>
          <cell r="Z107">
            <v>-499103.33500000002</v>
          </cell>
          <cell r="AA107">
            <v>-499103.33500000002</v>
          </cell>
          <cell r="AB107"/>
          <cell r="AC107"/>
          <cell r="AD107">
            <v>4.0064918785247088E-2</v>
          </cell>
        </row>
        <row r="108">
          <cell r="A108" t="str">
            <v>912797RJ8</v>
          </cell>
          <cell r="B108" t="str">
            <v>Treasury</v>
          </cell>
          <cell r="C108" t="str">
            <v>Buy</v>
          </cell>
          <cell r="D108">
            <v>45950</v>
          </cell>
          <cell r="E108">
            <v>45950</v>
          </cell>
          <cell r="F108" t="str">
            <v>RBC</v>
          </cell>
          <cell r="G108" t="str">
            <v>Treasury 1/15/2026</v>
          </cell>
          <cell r="H108" t="str">
            <v>912797RJ8</v>
          </cell>
          <cell r="I108" t="str">
            <v>US Govt.</v>
          </cell>
          <cell r="J108"/>
          <cell r="K108"/>
          <cell r="L108"/>
          <cell r="M108">
            <v>46037</v>
          </cell>
          <cell r="O108"/>
          <cell r="R108">
            <v>3.7900000000000003E-2</v>
          </cell>
          <cell r="S108"/>
          <cell r="T108">
            <v>99.084083000000007</v>
          </cell>
          <cell r="U108">
            <v>750000</v>
          </cell>
          <cell r="V108" t="str">
            <v>USD</v>
          </cell>
          <cell r="W108">
            <v>1</v>
          </cell>
          <cell r="Z108">
            <v>743130.62250000006</v>
          </cell>
          <cell r="AA108">
            <v>743130.62250000006</v>
          </cell>
          <cell r="AC108"/>
          <cell r="AD108">
            <v>3.8679803690444589E-2</v>
          </cell>
        </row>
        <row r="109">
          <cell r="A109" t="str">
            <v>912797QQ3</v>
          </cell>
          <cell r="B109" t="str">
            <v>Treasury</v>
          </cell>
          <cell r="C109" t="str">
            <v>Sell</v>
          </cell>
          <cell r="D109">
            <v>45951</v>
          </cell>
          <cell r="E109">
            <v>45951</v>
          </cell>
          <cell r="F109" t="str">
            <v>RBC</v>
          </cell>
          <cell r="G109" t="str">
            <v>Treasury 11/13/2025</v>
          </cell>
          <cell r="H109" t="str">
            <v>912797QQ3</v>
          </cell>
          <cell r="I109" t="str">
            <v>US Govt.</v>
          </cell>
          <cell r="J109"/>
          <cell r="K109"/>
          <cell r="L109"/>
          <cell r="M109">
            <v>45974</v>
          </cell>
          <cell r="N109"/>
          <cell r="O109"/>
          <cell r="P109"/>
          <cell r="Q109"/>
          <cell r="R109">
            <v>3.9600000000000003E-2</v>
          </cell>
          <cell r="S109"/>
          <cell r="T109">
            <v>99.747</v>
          </cell>
          <cell r="U109">
            <v>-300000</v>
          </cell>
          <cell r="V109" t="str">
            <v>USD</v>
          </cell>
          <cell r="W109">
            <v>1</v>
          </cell>
          <cell r="X109"/>
          <cell r="Y109"/>
          <cell r="Z109">
            <v>-299241</v>
          </cell>
          <cell r="AA109">
            <v>-299241</v>
          </cell>
          <cell r="AB109"/>
          <cell r="AC109"/>
          <cell r="AD109">
            <v>4.0300512463306709E-2</v>
          </cell>
        </row>
        <row r="110">
          <cell r="A110" t="str">
            <v>912797RJ8</v>
          </cell>
          <cell r="B110" t="str">
            <v>Treasury</v>
          </cell>
          <cell r="C110" t="str">
            <v>Buy</v>
          </cell>
          <cell r="D110">
            <v>45958</v>
          </cell>
          <cell r="E110">
            <v>45958</v>
          </cell>
          <cell r="F110" t="str">
            <v>RBC</v>
          </cell>
          <cell r="G110" t="str">
            <v>Treasury 1/15/2026</v>
          </cell>
          <cell r="H110" t="str">
            <v>912797RJ8</v>
          </cell>
          <cell r="I110" t="str">
            <v>US Govt.</v>
          </cell>
          <cell r="J110"/>
          <cell r="K110"/>
          <cell r="L110"/>
          <cell r="M110">
            <v>46037</v>
          </cell>
          <cell r="O110"/>
          <cell r="R110">
            <v>3.6999999999999998E-2</v>
          </cell>
          <cell r="S110"/>
          <cell r="T110">
            <v>99.188056000000003</v>
          </cell>
          <cell r="U110">
            <v>1000000</v>
          </cell>
          <cell r="V110" t="str">
            <v>USD</v>
          </cell>
          <cell r="W110">
            <v>1</v>
          </cell>
          <cell r="Z110">
            <v>991880.56</v>
          </cell>
          <cell r="AA110">
            <v>991880.56</v>
          </cell>
          <cell r="AC110"/>
          <cell r="AD110">
            <v>3.7736488100808464E-2</v>
          </cell>
        </row>
        <row r="111">
          <cell r="A111" t="str">
            <v>912797NA1</v>
          </cell>
          <cell r="B111" t="str">
            <v>Treasury</v>
          </cell>
          <cell r="C111" t="str">
            <v>Sell</v>
          </cell>
          <cell r="D111">
            <v>45960</v>
          </cell>
          <cell r="E111">
            <v>45960</v>
          </cell>
          <cell r="F111" t="str">
            <v>RBC</v>
          </cell>
          <cell r="G111" t="str">
            <v>Treasury 10/30/2025</v>
          </cell>
          <cell r="H111" t="str">
            <v>912797NA1</v>
          </cell>
          <cell r="I111" t="str">
            <v>US Govt.</v>
          </cell>
          <cell r="J111"/>
          <cell r="K111"/>
          <cell r="L111"/>
          <cell r="M111">
            <v>45960</v>
          </cell>
          <cell r="N111"/>
          <cell r="O111"/>
          <cell r="P111"/>
          <cell r="Q111"/>
          <cell r="R111">
            <v>0</v>
          </cell>
          <cell r="S111"/>
          <cell r="T111">
            <v>100</v>
          </cell>
          <cell r="U111">
            <v>-250000</v>
          </cell>
          <cell r="V111" t="str">
            <v>USD</v>
          </cell>
          <cell r="W111">
            <v>1</v>
          </cell>
          <cell r="X111"/>
          <cell r="Y111"/>
          <cell r="Z111">
            <v>-250000</v>
          </cell>
          <cell r="AA111">
            <v>-250000</v>
          </cell>
          <cell r="AB111"/>
          <cell r="AC111"/>
          <cell r="AD111">
            <v>0</v>
          </cell>
        </row>
        <row r="112">
          <cell r="A112" t="str">
            <v>912797QQ3</v>
          </cell>
          <cell r="B112" t="str">
            <v>Treasury</v>
          </cell>
          <cell r="C112" t="str">
            <v>Sell</v>
          </cell>
          <cell r="D112">
            <v>45964</v>
          </cell>
          <cell r="E112">
            <v>45964</v>
          </cell>
          <cell r="F112" t="str">
            <v>RBC</v>
          </cell>
          <cell r="G112" t="str">
            <v>Treasury 11/13/2025</v>
          </cell>
          <cell r="H112" t="str">
            <v>912797QQ3</v>
          </cell>
          <cell r="I112" t="str">
            <v>US Govt.</v>
          </cell>
          <cell r="J112"/>
          <cell r="K112"/>
          <cell r="L112"/>
          <cell r="M112">
            <v>45974</v>
          </cell>
          <cell r="N112"/>
          <cell r="O112"/>
          <cell r="P112"/>
          <cell r="Q112"/>
          <cell r="R112">
            <v>3.85E-2</v>
          </cell>
          <cell r="S112"/>
          <cell r="T112">
            <v>99.893056000000001</v>
          </cell>
          <cell r="U112">
            <v>-200000</v>
          </cell>
          <cell r="V112" t="str">
            <v>USD</v>
          </cell>
          <cell r="W112">
            <v>1</v>
          </cell>
          <cell r="X112"/>
          <cell r="Y112"/>
          <cell r="Z112">
            <v>-199786.11199999999</v>
          </cell>
          <cell r="AA112">
            <v>-199786.11199999999</v>
          </cell>
          <cell r="AB112"/>
          <cell r="AC112"/>
          <cell r="AD112">
            <v>3.8213846727572894E-2</v>
          </cell>
        </row>
        <row r="113">
          <cell r="A113" t="str">
            <v>912797RJ8</v>
          </cell>
          <cell r="B113" t="str">
            <v>Treasury</v>
          </cell>
          <cell r="C113" t="str">
            <v>Sell</v>
          </cell>
          <cell r="D113">
            <v>45964</v>
          </cell>
          <cell r="E113">
            <v>45964</v>
          </cell>
          <cell r="F113" t="str">
            <v>RBC</v>
          </cell>
          <cell r="G113" t="str">
            <v>Treasury 1/15/2026</v>
          </cell>
          <cell r="H113" t="str">
            <v>912797RJ8</v>
          </cell>
          <cell r="I113" t="str">
            <v>US Govt.</v>
          </cell>
          <cell r="J113"/>
          <cell r="K113"/>
          <cell r="L113"/>
          <cell r="M113">
            <v>46037</v>
          </cell>
          <cell r="N113"/>
          <cell r="O113"/>
          <cell r="P113"/>
          <cell r="Q113"/>
          <cell r="R113">
            <v>3.7850000000000002E-2</v>
          </cell>
          <cell r="S113"/>
          <cell r="T113">
            <v>99.232485999999994</v>
          </cell>
          <cell r="U113">
            <v>-300000</v>
          </cell>
          <cell r="V113" t="str">
            <v>USD</v>
          </cell>
          <cell r="W113">
            <v>1</v>
          </cell>
          <cell r="X113"/>
          <cell r="Y113"/>
          <cell r="Z113">
            <v>-297697.45799999998</v>
          </cell>
          <cell r="AA113">
            <v>-297697.45799999998</v>
          </cell>
          <cell r="AB113"/>
          <cell r="AC113"/>
          <cell r="AD113">
            <v>3.8334524756236381E-2</v>
          </cell>
        </row>
        <row r="114">
          <cell r="A114" t="str">
            <v>912797RJ8</v>
          </cell>
          <cell r="B114" t="str">
            <v>Treasury</v>
          </cell>
          <cell r="C114" t="str">
            <v>Sell</v>
          </cell>
          <cell r="D114">
            <v>45965</v>
          </cell>
          <cell r="E114">
            <v>45965</v>
          </cell>
          <cell r="F114" t="str">
            <v>RBC</v>
          </cell>
          <cell r="G114" t="str">
            <v>Treasury 1/15/2026</v>
          </cell>
          <cell r="H114" t="str">
            <v>912797RJ8</v>
          </cell>
          <cell r="I114" t="str">
            <v>US Govt.</v>
          </cell>
          <cell r="J114"/>
          <cell r="K114"/>
          <cell r="L114"/>
          <cell r="M114">
            <v>46037</v>
          </cell>
          <cell r="N114"/>
          <cell r="O114"/>
          <cell r="P114"/>
          <cell r="Q114"/>
          <cell r="R114">
            <v>3.7749999999999999E-2</v>
          </cell>
          <cell r="S114"/>
          <cell r="T114">
            <v>99.245000000000005</v>
          </cell>
          <cell r="U114">
            <v>-300000</v>
          </cell>
          <cell r="V114" t="str">
            <v>USD</v>
          </cell>
          <cell r="W114">
            <v>1</v>
          </cell>
          <cell r="X114"/>
          <cell r="Y114"/>
          <cell r="Z114">
            <v>-297735</v>
          </cell>
          <cell r="AA114">
            <v>-297735</v>
          </cell>
          <cell r="AB114"/>
          <cell r="AC114"/>
          <cell r="AD114">
            <v>3.8228304180391567E-2</v>
          </cell>
        </row>
      </sheetData>
      <sheetData sheetId="1"/>
      <sheetData sheetId="2"/>
      <sheetData sheetId="3">
        <row r="1">
          <cell r="B1" t="str">
            <v>CUSIP_ID</v>
          </cell>
          <cell r="C1" t="str">
            <v>ILSName</v>
          </cell>
          <cell r="D1" t="str">
            <v>OccurrenceLimit</v>
          </cell>
          <cell r="E1" t="str">
            <v>OccurrenceRetention</v>
          </cell>
          <cell r="F1" t="str">
            <v>AggregateLimit</v>
          </cell>
          <cell r="G1" t="str">
            <v>AggregateRetention</v>
          </cell>
          <cell r="H1" t="str">
            <v>PrincipalAmount</v>
          </cell>
        </row>
        <row r="2">
          <cell r="B2" t="str">
            <v>03843AAA0</v>
          </cell>
          <cell r="C2" t="str">
            <v>CB-Aquila Re I Ltd. Series 2023-1 Class A-1 Reset 2025</v>
          </cell>
          <cell r="D2"/>
          <cell r="E2">
            <v>1950000000</v>
          </cell>
          <cell r="F2">
            <v>700000000</v>
          </cell>
          <cell r="H2">
            <v>50000000</v>
          </cell>
        </row>
        <row r="3">
          <cell r="B3" t="str">
            <v>03843AAB8</v>
          </cell>
          <cell r="C3" t="str">
            <v>CB-Aquila Re I Ltd. Series 2023-1 Class B-1 Reset 2025</v>
          </cell>
          <cell r="D3"/>
          <cell r="E3">
            <v>1200000000</v>
          </cell>
          <cell r="F3">
            <v>1150000000</v>
          </cell>
          <cell r="H3">
            <v>125000000</v>
          </cell>
        </row>
        <row r="4">
          <cell r="B4" t="str">
            <v>03843AAC6</v>
          </cell>
          <cell r="C4" t="str">
            <v>CB-Aquila Re I Ltd. Series 2023-1 Class C-1 Reset 2025</v>
          </cell>
          <cell r="D4"/>
          <cell r="E4">
            <v>1000000000</v>
          </cell>
          <cell r="F4">
            <v>950000000</v>
          </cell>
          <cell r="H4">
            <v>125000000</v>
          </cell>
        </row>
        <row r="5">
          <cell r="B5" t="str">
            <v>037987AA2</v>
          </cell>
          <cell r="C5" t="str">
            <v>CB-Aquila Re I Ltd. Series 2024-1 Class A-1 Reset 2025</v>
          </cell>
          <cell r="D5"/>
          <cell r="E5">
            <v>1950000000</v>
          </cell>
          <cell r="F5">
            <v>400000000</v>
          </cell>
          <cell r="H5">
            <v>125000000</v>
          </cell>
        </row>
        <row r="6">
          <cell r="B6" t="str">
            <v>037987AB0</v>
          </cell>
          <cell r="C6" t="str">
            <v>CB-Aquila Re I Ltd. Series 2024-1 Class B-1 Reset 2025</v>
          </cell>
          <cell r="D6"/>
          <cell r="E6">
            <v>1200000000</v>
          </cell>
          <cell r="F6">
            <v>750000000</v>
          </cell>
          <cell r="H6">
            <v>100000000</v>
          </cell>
        </row>
        <row r="7">
          <cell r="B7" t="str">
            <v>68302QAA2</v>
          </cell>
          <cell r="C7" t="str">
            <v>CB-123 Lights Re Ltd. Series 2025-1 Class A</v>
          </cell>
          <cell r="D7"/>
          <cell r="E7">
            <v>6500000000</v>
          </cell>
          <cell r="F7">
            <v>5000000000</v>
          </cell>
          <cell r="H7">
            <v>100000000</v>
          </cell>
        </row>
        <row r="8">
          <cell r="B8" t="str">
            <v>79381MAC8</v>
          </cell>
          <cell r="C8" t="str">
            <v>CB-Sakura Re Ltd. Series 2022-1 Class A Reset 2024</v>
          </cell>
          <cell r="D8"/>
          <cell r="F8">
            <v>42106000000</v>
          </cell>
          <cell r="H8">
            <v>150000000</v>
          </cell>
        </row>
        <row r="9">
          <cell r="B9" t="str">
            <v>571253AA1</v>
          </cell>
          <cell r="C9" t="str">
            <v>CB-Marlon Ltd. Series 2024-1 Class A Reset 2025</v>
          </cell>
          <cell r="D9"/>
          <cell r="E9">
            <v>3300000000</v>
          </cell>
          <cell r="F9">
            <v>600000000</v>
          </cell>
          <cell r="H9">
            <v>100000000</v>
          </cell>
        </row>
        <row r="10">
          <cell r="B10" t="str">
            <v>571253AB9</v>
          </cell>
          <cell r="C10" t="str">
            <v>CB-Marlon Ltd. Series 2024-1 Class B Reset 2025</v>
          </cell>
          <cell r="D10"/>
          <cell r="F10">
            <v>420000000</v>
          </cell>
          <cell r="H10">
            <v>50000000</v>
          </cell>
        </row>
        <row r="11">
          <cell r="B11" t="str">
            <v>532242AA2</v>
          </cell>
          <cell r="C11" t="str">
            <v>CB-Lightning Re Ltd. Series 2023-1 Class A Reset 2025</v>
          </cell>
          <cell r="D11"/>
          <cell r="F11">
            <v>16626000000</v>
          </cell>
          <cell r="G11">
            <v>58160000000</v>
          </cell>
          <cell r="H11">
            <v>500000000</v>
          </cell>
        </row>
        <row r="12">
          <cell r="B12" t="str">
            <v>755933AA6</v>
          </cell>
          <cell r="C12" t="str">
            <v>CB-Recoletos Re DAC Series 2024-1 Class A</v>
          </cell>
          <cell r="D12"/>
          <cell r="F12">
            <v>100000000</v>
          </cell>
          <cell r="G12">
            <v>600000000</v>
          </cell>
          <cell r="H12">
            <v>125000000</v>
          </cell>
        </row>
        <row r="13">
          <cell r="B13" t="str">
            <v>85237TAA0</v>
          </cell>
          <cell r="C13" t="str">
            <v>CB-Stabilitas Re Ltd. Series 2023-1 Class A Reset 2025</v>
          </cell>
          <cell r="D13"/>
          <cell r="F13">
            <v>100000000</v>
          </cell>
          <cell r="G13">
            <v>396000000</v>
          </cell>
          <cell r="H13">
            <v>100000000</v>
          </cell>
        </row>
        <row r="14">
          <cell r="B14" t="str">
            <v>13947LAE2</v>
          </cell>
          <cell r="C14" t="str">
            <v>CB-Cape Lookout Re Ltd. Series 2023-1 Class A Reset 2025</v>
          </cell>
          <cell r="D14">
            <v>0</v>
          </cell>
          <cell r="F14">
            <v>350000000</v>
          </cell>
          <cell r="G14">
            <v>3400000000</v>
          </cell>
          <cell r="H14">
            <v>350000000</v>
          </cell>
        </row>
        <row r="15">
          <cell r="B15" t="str">
            <v>13947LAF9</v>
          </cell>
          <cell r="C15" t="str">
            <v>CB-Cape Lookout Re Ltd. Series 2024-1 Class A Reset 2025</v>
          </cell>
          <cell r="D15">
            <v>0</v>
          </cell>
          <cell r="F15">
            <v>450000000</v>
          </cell>
          <cell r="G15">
            <v>2350000000</v>
          </cell>
          <cell r="H15">
            <v>450000000</v>
          </cell>
        </row>
        <row r="16">
          <cell r="B16" t="str">
            <v>04401RAA5</v>
          </cell>
          <cell r="C16" t="str">
            <v>CB-Ashera Re Ltd. Series 2024-1 Class A Reset 2025</v>
          </cell>
          <cell r="D16"/>
          <cell r="E16">
            <v>1000000000</v>
          </cell>
          <cell r="F16">
            <v>650000000</v>
          </cell>
          <cell r="H16">
            <v>105000000</v>
          </cell>
        </row>
        <row r="17">
          <cell r="B17" t="str">
            <v>751443AA0</v>
          </cell>
          <cell r="C17" t="str">
            <v>CB-Ramble Re Ltd. Series 2024-1 Class A Reset 2025</v>
          </cell>
          <cell r="D17"/>
          <cell r="E17">
            <v>300000000</v>
          </cell>
          <cell r="F17">
            <v>200000000</v>
          </cell>
          <cell r="H17">
            <v>100000000</v>
          </cell>
        </row>
        <row r="18">
          <cell r="B18" t="str">
            <v>36354TAN2</v>
          </cell>
          <cell r="C18" t="str">
            <v>CB-Galileo Re Ltd. Series 2023-1 Class A Reset 2025</v>
          </cell>
          <cell r="D18">
            <v>0</v>
          </cell>
          <cell r="E18">
            <v>1510000000</v>
          </cell>
          <cell r="F18">
            <v>420000000</v>
          </cell>
          <cell r="H18">
            <v>200000000</v>
          </cell>
        </row>
        <row r="19">
          <cell r="B19" t="str">
            <v>36354TAP7</v>
          </cell>
          <cell r="C19" t="str">
            <v>CB-Galileo Re Ltd. Series 2023-1 Class B Reset 2025</v>
          </cell>
          <cell r="D19">
            <v>0</v>
          </cell>
          <cell r="E19">
            <v>1510000000</v>
          </cell>
          <cell r="F19">
            <v>420000000</v>
          </cell>
          <cell r="H19">
            <v>175000000</v>
          </cell>
        </row>
        <row r="20">
          <cell r="B20" t="str">
            <v>XS2969300081</v>
          </cell>
          <cell r="C20" t="str">
            <v>CB-MMIFS Re Ltd. Series 2025-1 Class A</v>
          </cell>
          <cell r="D20"/>
          <cell r="E20">
            <v>2350000000</v>
          </cell>
          <cell r="F20">
            <v>150000000</v>
          </cell>
          <cell r="H20">
            <v>150000000</v>
          </cell>
        </row>
        <row r="21">
          <cell r="B21" t="str">
            <v>09785EAN1</v>
          </cell>
          <cell r="C21" t="str">
            <v>CB-Bonanza Re Ltd. Series 2024-1 Class A</v>
          </cell>
          <cell r="D21">
            <v>0</v>
          </cell>
          <cell r="F21">
            <v>100000000</v>
          </cell>
          <cell r="H21">
            <v>70000000</v>
          </cell>
        </row>
        <row r="22">
          <cell r="B22" t="str">
            <v>09785EAP6</v>
          </cell>
          <cell r="C22" t="str">
            <v>CB-Bonanza Re Ltd. Series 2024-1 Class B</v>
          </cell>
          <cell r="D22">
            <v>0</v>
          </cell>
          <cell r="E22">
            <v>1050000000</v>
          </cell>
          <cell r="F22">
            <v>330000000</v>
          </cell>
          <cell r="H22">
            <v>75000000</v>
          </cell>
        </row>
        <row r="23">
          <cell r="B23" t="str">
            <v>09785EAQ4</v>
          </cell>
          <cell r="C23" t="str">
            <v>CB-Bonanza Re Ltd. Series 2024-1 Class C</v>
          </cell>
          <cell r="D23">
            <v>0</v>
          </cell>
          <cell r="E23">
            <v>1050000000</v>
          </cell>
          <cell r="F23">
            <v>200000000</v>
          </cell>
          <cell r="H23">
            <v>200000000</v>
          </cell>
        </row>
        <row r="24">
          <cell r="B24" t="str">
            <v>80001RAB7</v>
          </cell>
          <cell r="C24" t="str">
            <v>CB-Sanders Re II Ltd. Series 2024-3 Class B Reset 2025</v>
          </cell>
          <cell r="D24">
            <v>0</v>
          </cell>
          <cell r="E24">
            <v>4250000000</v>
          </cell>
          <cell r="F24">
            <v>950000000</v>
          </cell>
          <cell r="H24">
            <v>350000000</v>
          </cell>
        </row>
        <row r="25">
          <cell r="B25" t="str">
            <v>80001RAA9</v>
          </cell>
          <cell r="C25" t="str">
            <v>CB-Sanders Re II Ltd. Series 2024-3 Class A Reset 2025</v>
          </cell>
          <cell r="D25">
            <v>0</v>
          </cell>
          <cell r="E25">
            <v>4250000000</v>
          </cell>
          <cell r="F25">
            <v>1999375000</v>
          </cell>
          <cell r="H25">
            <v>300000000</v>
          </cell>
        </row>
        <row r="26">
          <cell r="B26" t="str">
            <v>747977AA4</v>
          </cell>
          <cell r="C26" t="str">
            <v>CB-Queen Street 2023 Re DAC Reset 2025</v>
          </cell>
          <cell r="D26"/>
          <cell r="E26">
            <v>152330000000</v>
          </cell>
          <cell r="F26">
            <v>59765000000</v>
          </cell>
          <cell r="H26">
            <v>300000000</v>
          </cell>
        </row>
        <row r="27">
          <cell r="B27" t="str">
            <v>76091DAA9</v>
          </cell>
          <cell r="C27" t="str">
            <v>CB-Res Re 2025 Ltd. Series 2025-I Class 13</v>
          </cell>
          <cell r="D27">
            <v>0</v>
          </cell>
          <cell r="E27">
            <v>50000000</v>
          </cell>
          <cell r="F27">
            <v>800000000</v>
          </cell>
          <cell r="G27">
            <v>3625000000</v>
          </cell>
          <cell r="H27">
            <v>50000000</v>
          </cell>
        </row>
        <row r="28">
          <cell r="B28" t="str">
            <v>76091DAB7</v>
          </cell>
          <cell r="C28" t="str">
            <v>CB-Res Re 2025 Ltd. Series 2025-I Class 14</v>
          </cell>
          <cell r="D28">
            <v>0</v>
          </cell>
          <cell r="E28">
            <v>50000000</v>
          </cell>
          <cell r="F28">
            <v>1100000000</v>
          </cell>
          <cell r="G28">
            <v>4425000000</v>
          </cell>
          <cell r="H28">
            <v>150000000</v>
          </cell>
        </row>
        <row r="29">
          <cell r="B29" t="str">
            <v>76091DAC5</v>
          </cell>
          <cell r="C29" t="str">
            <v>CB-Res Re 2025 Ltd. Series 2025-I Class 15</v>
          </cell>
          <cell r="D29">
            <v>0</v>
          </cell>
          <cell r="E29">
            <v>50000000</v>
          </cell>
          <cell r="F29">
            <v>450000000</v>
          </cell>
          <cell r="G29">
            <v>5525000000</v>
          </cell>
          <cell r="H29">
            <v>225000000</v>
          </cell>
        </row>
        <row r="30">
          <cell r="B30" t="str">
            <v>27777AAA9</v>
          </cell>
          <cell r="C30" t="str">
            <v>CB-Easton Re Ltd. Series 2024-1 Class A Reset 2025</v>
          </cell>
          <cell r="D30">
            <v>0</v>
          </cell>
          <cell r="E30">
            <v>445000000</v>
          </cell>
          <cell r="F30">
            <v>330000000</v>
          </cell>
          <cell r="H30">
            <v>200000000</v>
          </cell>
        </row>
        <row r="31">
          <cell r="B31" t="str">
            <v>10807LAA5</v>
          </cell>
          <cell r="C31" t="str">
            <v>CB-Bridge Street Re Ltd. Series 2025-1 Class A</v>
          </cell>
          <cell r="D31"/>
          <cell r="F31">
            <v>250000000</v>
          </cell>
          <cell r="G31">
            <v>500000000</v>
          </cell>
          <cell r="H31">
            <v>250000000</v>
          </cell>
        </row>
        <row r="32">
          <cell r="B32" t="str">
            <v>76114NAE2</v>
          </cell>
          <cell r="C32" t="str">
            <v>CB-Res Re 2021 Ltd. Series 2021-II Class 2 Reset 2025</v>
          </cell>
          <cell r="D32">
            <v>0</v>
          </cell>
          <cell r="E32">
            <v>1800000000</v>
          </cell>
          <cell r="F32">
            <v>1400000000</v>
          </cell>
          <cell r="H32">
            <v>175000000</v>
          </cell>
        </row>
        <row r="33">
          <cell r="B33" t="str">
            <v>76114NAF9</v>
          </cell>
          <cell r="C33" t="str">
            <v>CB-Res Re 2021 Ltd. Series 2021-II Class 3 Reset 2025</v>
          </cell>
          <cell r="D33">
            <v>0</v>
          </cell>
          <cell r="E33">
            <v>3200000000</v>
          </cell>
          <cell r="F33">
            <v>1300000000</v>
          </cell>
          <cell r="H33">
            <v>125000000</v>
          </cell>
        </row>
        <row r="34">
          <cell r="B34" t="str">
            <v>76119YAF0</v>
          </cell>
          <cell r="C34" t="str">
            <v>CB-Res Re 2022 Ltd. Series 2022-II Class 3 Reset 2025</v>
          </cell>
          <cell r="D34">
            <v>0</v>
          </cell>
          <cell r="E34">
            <v>3200000000</v>
          </cell>
          <cell r="F34">
            <v>1300000000</v>
          </cell>
          <cell r="H34">
            <v>60000000</v>
          </cell>
        </row>
        <row r="35">
          <cell r="B35" t="str">
            <v>76119YAG8</v>
          </cell>
          <cell r="C35" t="str">
            <v>CB-Res Re 2022 Ltd. Series 2022-II Class 5 Reset 2025</v>
          </cell>
          <cell r="D35">
            <v>0</v>
          </cell>
          <cell r="E35">
            <v>5000000000</v>
          </cell>
          <cell r="F35">
            <v>500000000</v>
          </cell>
          <cell r="H35">
            <v>135000000</v>
          </cell>
        </row>
        <row r="36">
          <cell r="B36" t="str">
            <v>76090WAB6</v>
          </cell>
          <cell r="C36" t="str">
            <v>CB-Res Re 2023 Ltd. Series 2023-II Class 3 Reset 2025</v>
          </cell>
          <cell r="D36">
            <v>0</v>
          </cell>
          <cell r="E36">
            <v>3200000000</v>
          </cell>
          <cell r="F36">
            <v>1300000000</v>
          </cell>
          <cell r="H36">
            <v>150000000</v>
          </cell>
        </row>
        <row r="37">
          <cell r="B37" t="str">
            <v>76090WAC4</v>
          </cell>
          <cell r="C37" t="str">
            <v>CB-Res Re 2023 Ltd. Series 2023-II Class 5 Reset 2025</v>
          </cell>
          <cell r="D37"/>
          <cell r="E37">
            <v>5500000000</v>
          </cell>
          <cell r="F37">
            <v>600000000</v>
          </cell>
          <cell r="H37">
            <v>200000000</v>
          </cell>
        </row>
        <row r="38">
          <cell r="B38" t="str">
            <v>76112AAC6</v>
          </cell>
          <cell r="C38" t="str">
            <v>CB-Res Re 2024 Ltd. Series 2024-II Class 2 Reset 2025</v>
          </cell>
          <cell r="D38">
            <v>0</v>
          </cell>
          <cell r="E38">
            <v>2100000000</v>
          </cell>
          <cell r="F38">
            <v>1100000000</v>
          </cell>
          <cell r="H38">
            <v>75000000</v>
          </cell>
        </row>
        <row r="39">
          <cell r="B39" t="str">
            <v>76112AAD4</v>
          </cell>
          <cell r="C39" t="str">
            <v>CB-Res Re 2024 Ltd. Series 2024-II Class 3 Reset 2025</v>
          </cell>
          <cell r="D39">
            <v>0</v>
          </cell>
          <cell r="E39">
            <v>3200000000</v>
          </cell>
          <cell r="F39">
            <v>1300000000</v>
          </cell>
          <cell r="H39">
            <v>200000000</v>
          </cell>
        </row>
        <row r="40">
          <cell r="B40" t="str">
            <v>76112AAE2</v>
          </cell>
          <cell r="C40" t="str">
            <v>CB-Res Re 2024 Ltd. Series 2024-II Class 4 Reset 2025</v>
          </cell>
          <cell r="D40">
            <v>0</v>
          </cell>
          <cell r="E40">
            <v>4500000000</v>
          </cell>
          <cell r="F40">
            <v>500000000</v>
          </cell>
          <cell r="H40">
            <v>175000000</v>
          </cell>
        </row>
        <row r="41">
          <cell r="B41" t="str">
            <v>05826BAC0</v>
          </cell>
          <cell r="C41" t="str">
            <v>CB-Baldwin Re Ltd. Series 2025-1 Class A</v>
          </cell>
          <cell r="D41"/>
          <cell r="E41">
            <v>500000000</v>
          </cell>
          <cell r="F41">
            <v>500000000</v>
          </cell>
          <cell r="H41">
            <v>250000000</v>
          </cell>
        </row>
        <row r="42">
          <cell r="B42" t="str">
            <v>05826BAB2</v>
          </cell>
          <cell r="C42" t="str">
            <v>CB-Baldwin Re Ltd. Series 2023-1 Class A Reset 2025</v>
          </cell>
          <cell r="D42"/>
          <cell r="E42">
            <v>500000000</v>
          </cell>
          <cell r="F42">
            <v>300000000</v>
          </cell>
          <cell r="H42">
            <v>100000000</v>
          </cell>
        </row>
        <row r="43">
          <cell r="B43" t="str">
            <v>57839MAA6</v>
          </cell>
          <cell r="C43" t="str">
            <v>CB-Mayflower Re Ltd. Series 2023-1 Class A Reset 2025</v>
          </cell>
          <cell r="D43"/>
          <cell r="F43">
            <v>400000000</v>
          </cell>
          <cell r="G43">
            <v>850000000</v>
          </cell>
          <cell r="H43">
            <v>100000000</v>
          </cell>
        </row>
        <row r="44">
          <cell r="B44" t="str">
            <v>57839MAB4</v>
          </cell>
          <cell r="C44" t="str">
            <v>CB-Mayflower Re Ltd. Series 2023-1 Class B Reset 2025</v>
          </cell>
          <cell r="D44"/>
          <cell r="F44">
            <v>300000000</v>
          </cell>
          <cell r="G44">
            <v>550000000</v>
          </cell>
          <cell r="H44">
            <v>150000000</v>
          </cell>
        </row>
        <row r="45">
          <cell r="B45" t="str">
            <v>57839MAC2</v>
          </cell>
          <cell r="C45" t="str">
            <v>CB-Mayflower Re Ltd. Series 2024-1 Class A Reset 2025</v>
          </cell>
          <cell r="D45"/>
          <cell r="F45">
            <v>500000000</v>
          </cell>
          <cell r="G45">
            <v>1250000000</v>
          </cell>
          <cell r="H45">
            <v>100000000</v>
          </cell>
        </row>
        <row r="46">
          <cell r="B46" t="str">
            <v>57839MAD0</v>
          </cell>
          <cell r="C46" t="str">
            <v>CB-Mayflower Re Ltd. Series 2025-1 Class A</v>
          </cell>
          <cell r="D46"/>
          <cell r="F46">
            <v>600000000</v>
          </cell>
          <cell r="G46">
            <v>1750000000</v>
          </cell>
          <cell r="H46">
            <v>225000000</v>
          </cell>
        </row>
        <row r="47">
          <cell r="B47" t="str">
            <v>76119YAB9</v>
          </cell>
          <cell r="C47" t="str">
            <v>CB-Res Re 2022 Ltd. Series 2022-I Class 11 Reset 2025</v>
          </cell>
          <cell r="D47">
            <v>0</v>
          </cell>
          <cell r="E47">
            <v>50000000</v>
          </cell>
          <cell r="F47">
            <v>550000000</v>
          </cell>
          <cell r="G47">
            <v>3075000000</v>
          </cell>
          <cell r="H47">
            <v>35000000</v>
          </cell>
        </row>
        <row r="48">
          <cell r="B48" t="str">
            <v>76119YAC7</v>
          </cell>
          <cell r="C48" t="str">
            <v>CB-Res Re 2022 Ltd. Series 2022-I Class 12 Reset 2025</v>
          </cell>
          <cell r="D48">
            <v>0</v>
          </cell>
          <cell r="E48">
            <v>50000000</v>
          </cell>
          <cell r="F48">
            <v>600000000</v>
          </cell>
          <cell r="G48">
            <v>3625000000</v>
          </cell>
          <cell r="H48">
            <v>60000000</v>
          </cell>
        </row>
        <row r="49">
          <cell r="B49" t="str">
            <v>76119YAD5</v>
          </cell>
          <cell r="C49" t="str">
            <v>CB-Res Re 2022 Ltd. Series 2022-I Class 13 Reset 2025</v>
          </cell>
          <cell r="D49">
            <v>0</v>
          </cell>
          <cell r="E49">
            <v>50000000</v>
          </cell>
          <cell r="F49">
            <v>400000000</v>
          </cell>
          <cell r="G49">
            <v>4225000000</v>
          </cell>
          <cell r="H49">
            <v>155000000</v>
          </cell>
        </row>
        <row r="50">
          <cell r="B50" t="str">
            <v>76119YAE3</v>
          </cell>
          <cell r="C50" t="str">
            <v>CB-Res Re 2022 Ltd. Series 2022-I Class 14 Reset 2025</v>
          </cell>
          <cell r="D50">
            <v>0</v>
          </cell>
          <cell r="E50">
            <v>50000000</v>
          </cell>
          <cell r="F50">
            <v>450000000</v>
          </cell>
          <cell r="G50">
            <v>5525000000</v>
          </cell>
          <cell r="H50">
            <v>180000000</v>
          </cell>
        </row>
        <row r="51">
          <cell r="B51" t="str">
            <v>76133XAA5</v>
          </cell>
          <cell r="C51" t="str">
            <v>CB-Res Re 2023 Ltd. Series 2023-I Class 13 Reset 2025</v>
          </cell>
          <cell r="D51">
            <v>0</v>
          </cell>
          <cell r="E51">
            <v>50000000</v>
          </cell>
          <cell r="F51">
            <v>600000000</v>
          </cell>
          <cell r="G51">
            <v>3625000000</v>
          </cell>
          <cell r="H51">
            <v>125000000</v>
          </cell>
        </row>
        <row r="52">
          <cell r="B52" t="str">
            <v>76133XAB3</v>
          </cell>
          <cell r="C52" t="str">
            <v>CB-Res Re 2023 Ltd. Series 2023-I Class 14 Reset 2025</v>
          </cell>
          <cell r="D52">
            <v>0</v>
          </cell>
          <cell r="E52">
            <v>50000000</v>
          </cell>
          <cell r="F52">
            <v>900000000</v>
          </cell>
          <cell r="G52">
            <v>4625000000</v>
          </cell>
          <cell r="H52">
            <v>275000000</v>
          </cell>
        </row>
        <row r="53">
          <cell r="B53" t="str">
            <v>76091BAB1</v>
          </cell>
          <cell r="C53" t="str">
            <v>CB-Res Re 2024 Ltd. Series 2024-I Class 13 Reset 2025</v>
          </cell>
          <cell r="D53">
            <v>0</v>
          </cell>
          <cell r="E53">
            <v>50000000</v>
          </cell>
          <cell r="F53">
            <v>600000000</v>
          </cell>
          <cell r="G53">
            <v>3625000000</v>
          </cell>
          <cell r="H53">
            <v>50000000</v>
          </cell>
        </row>
        <row r="54">
          <cell r="B54" t="str">
            <v>76091BAC9</v>
          </cell>
          <cell r="C54" t="str">
            <v>CB-Res Re 2024 Ltd. Series 2024-I Class 14 Reset 2025</v>
          </cell>
          <cell r="D54">
            <v>0</v>
          </cell>
          <cell r="E54">
            <v>50000000</v>
          </cell>
          <cell r="F54">
            <v>900000000</v>
          </cell>
          <cell r="G54">
            <v>4625000000</v>
          </cell>
          <cell r="H54">
            <v>75000000</v>
          </cell>
        </row>
        <row r="55">
          <cell r="B55" t="str">
            <v>36779CAM8</v>
          </cell>
          <cell r="C55" t="str">
            <v>CB-Gateway Re Ltd. Series 2025-1 Class AAA</v>
          </cell>
          <cell r="D55"/>
          <cell r="E55">
            <v>1310000000</v>
          </cell>
          <cell r="F55">
            <v>125000000</v>
          </cell>
          <cell r="H55">
            <v>110000000</v>
          </cell>
        </row>
        <row r="56">
          <cell r="B56" t="str">
            <v>36779CAR7</v>
          </cell>
          <cell r="C56" t="str">
            <v>CB-Gateway Re Ltd. Series 2025-1 Class C1</v>
          </cell>
          <cell r="D56">
            <v>200000000</v>
          </cell>
          <cell r="E56">
            <v>100000000</v>
          </cell>
          <cell r="F56">
            <v>200000000</v>
          </cell>
          <cell r="G56">
            <v>200000000</v>
          </cell>
          <cell r="H56">
            <v>50000000</v>
          </cell>
        </row>
        <row r="57">
          <cell r="B57" t="str">
            <v>36779CAP1</v>
          </cell>
          <cell r="C57" t="str">
            <v>CB-Gateway Re Ltd. Series 2025-1 Class AA</v>
          </cell>
          <cell r="D57"/>
          <cell r="E57">
            <v>525000000</v>
          </cell>
          <cell r="F57">
            <v>160000000</v>
          </cell>
          <cell r="H57">
            <v>130000000</v>
          </cell>
        </row>
        <row r="58">
          <cell r="B58" t="str">
            <v>36779CAQ9</v>
          </cell>
          <cell r="C58" t="str">
            <v>CB-Gateway Re Ltd. Series 2025-1 Class A</v>
          </cell>
          <cell r="D58"/>
          <cell r="E58">
            <v>525000000</v>
          </cell>
          <cell r="F58">
            <v>400000000</v>
          </cell>
          <cell r="H58">
            <v>80000000</v>
          </cell>
        </row>
        <row r="59">
          <cell r="B59" t="str">
            <v>36779CAN6</v>
          </cell>
          <cell r="C59" t="str">
            <v>CB-Gateway Re Ltd. Series 2025-1 Class C2</v>
          </cell>
          <cell r="D59">
            <v>200000000</v>
          </cell>
          <cell r="E59">
            <v>100000000</v>
          </cell>
          <cell r="F59">
            <v>200000000</v>
          </cell>
          <cell r="G59">
            <v>200000000</v>
          </cell>
          <cell r="H59">
            <v>150000000</v>
          </cell>
        </row>
        <row r="60">
          <cell r="B60" t="str">
            <v>36779CAS5</v>
          </cell>
          <cell r="C60" t="str">
            <v>CB-Gateway Re Ltd. Series 2025-2 Class A</v>
          </cell>
          <cell r="D60"/>
          <cell r="E60">
            <v>250000000</v>
          </cell>
          <cell r="F60">
            <v>250000000</v>
          </cell>
          <cell r="H60">
            <v>150000000</v>
          </cell>
        </row>
        <row r="61">
          <cell r="B61" t="str">
            <v>59165HAD1</v>
          </cell>
          <cell r="C61" t="str">
            <v>CB-MetroCat Re Ltd. Series 2023-1 Class A</v>
          </cell>
          <cell r="D61">
            <v>0</v>
          </cell>
          <cell r="E61">
            <v>0</v>
          </cell>
          <cell r="F61">
            <v>100000000</v>
          </cell>
          <cell r="H61">
            <v>100000000</v>
          </cell>
        </row>
        <row r="62">
          <cell r="B62" t="str">
            <v>XS2806459314</v>
          </cell>
          <cell r="C62" t="str">
            <v>CB-IBRD CAR Jamaica 2024</v>
          </cell>
          <cell r="D62">
            <v>0</v>
          </cell>
          <cell r="E62">
            <v>0</v>
          </cell>
          <cell r="F62">
            <v>150000000</v>
          </cell>
          <cell r="H62">
            <v>150000000</v>
          </cell>
        </row>
        <row r="63">
          <cell r="B63" t="str">
            <v>XS2599161192</v>
          </cell>
          <cell r="C63" t="str">
            <v>CB-IBRD CAR Chile 2023</v>
          </cell>
          <cell r="D63">
            <v>0</v>
          </cell>
          <cell r="E63">
            <v>0</v>
          </cell>
          <cell r="F63">
            <v>350000000</v>
          </cell>
          <cell r="H63">
            <v>350000000</v>
          </cell>
        </row>
        <row r="64">
          <cell r="B64" t="str">
            <v>37173WAA0</v>
          </cell>
          <cell r="C64" t="str">
            <v>CB-Genesee Street Re Ltd. Series 2025-1 Class A</v>
          </cell>
          <cell r="D64"/>
          <cell r="E64">
            <v>700000000</v>
          </cell>
          <cell r="F64">
            <v>300000000</v>
          </cell>
          <cell r="H64">
            <v>150000000</v>
          </cell>
        </row>
        <row r="65">
          <cell r="B65" t="str">
            <v>799927AA6</v>
          </cell>
          <cell r="C65" t="str">
            <v>CB-Sanders Re III Ltd. Series 2024-1 Class A Reset 2025</v>
          </cell>
          <cell r="D65">
            <v>0</v>
          </cell>
          <cell r="E65">
            <v>4250000000</v>
          </cell>
          <cell r="F65">
            <v>1000000000</v>
          </cell>
          <cell r="H65">
            <v>400000000</v>
          </cell>
        </row>
        <row r="66">
          <cell r="B66" t="str">
            <v>80001QAA1</v>
          </cell>
          <cell r="C66" t="str">
            <v>CB-Sanders Re III Ltd. Series 2023-1 Class A Reset 2025</v>
          </cell>
          <cell r="D66">
            <v>0</v>
          </cell>
          <cell r="E66">
            <v>4250000000</v>
          </cell>
          <cell r="F66">
            <v>750000000</v>
          </cell>
          <cell r="H66">
            <v>100000000</v>
          </cell>
        </row>
        <row r="67">
          <cell r="B67" t="str">
            <v>80001QAB9</v>
          </cell>
          <cell r="C67" t="str">
            <v>CB-Sanders Re III Ltd. Series 2023-1 Class B Reset 2025</v>
          </cell>
          <cell r="D67">
            <v>0</v>
          </cell>
          <cell r="E67">
            <v>50000000</v>
          </cell>
          <cell r="F67">
            <v>500000000</v>
          </cell>
          <cell r="G67">
            <v>4500000000</v>
          </cell>
          <cell r="H67">
            <v>150000000</v>
          </cell>
        </row>
        <row r="68">
          <cell r="B68" t="str">
            <v>80000YAA5</v>
          </cell>
          <cell r="C68" t="str">
            <v>CB-Sanders Re III Ltd. Series 2022-3 Class A Reset 2025</v>
          </cell>
          <cell r="D68">
            <v>0</v>
          </cell>
          <cell r="E68">
            <v>4250000000</v>
          </cell>
          <cell r="F68">
            <v>250000000</v>
          </cell>
          <cell r="H68">
            <v>100000000</v>
          </cell>
        </row>
        <row r="69">
          <cell r="B69" t="str">
            <v>80000XAA7</v>
          </cell>
          <cell r="C69" t="str">
            <v>CB-Sanders Re III Ltd. Series 2022-1 Class A Reset 2025</v>
          </cell>
          <cell r="D69">
            <v>0</v>
          </cell>
          <cell r="E69">
            <v>4250000000</v>
          </cell>
          <cell r="F69">
            <v>750000000</v>
          </cell>
          <cell r="H69">
            <v>200000000</v>
          </cell>
        </row>
        <row r="70">
          <cell r="B70" t="str">
            <v>80001QAB9</v>
          </cell>
          <cell r="C70" t="str">
            <v>CB-Sanders Re III Ltd. Series 2022-1 Class B Reset 2025</v>
          </cell>
          <cell r="D70">
            <v>0</v>
          </cell>
          <cell r="F70">
            <v>500000000</v>
          </cell>
          <cell r="H70">
            <v>175000000</v>
          </cell>
        </row>
        <row r="71">
          <cell r="B71" t="str">
            <v>80000XAC3</v>
          </cell>
          <cell r="C71" t="str">
            <v>CB-Sanders Re III Ltd. Series 2022-1 Class C Reset 2025</v>
          </cell>
          <cell r="D71">
            <v>0</v>
          </cell>
          <cell r="E71">
            <v>50000000</v>
          </cell>
          <cell r="F71">
            <v>500000000</v>
          </cell>
          <cell r="G71">
            <v>4000000000</v>
          </cell>
          <cell r="H71">
            <v>175000000</v>
          </cell>
        </row>
        <row r="72">
          <cell r="B72" t="str">
            <v>80001TAA5</v>
          </cell>
          <cell r="C72" t="str">
            <v>CB-Sanders Re II Ltd. Series 2025-1 Class A-1</v>
          </cell>
          <cell r="D72">
            <v>0</v>
          </cell>
          <cell r="E72">
            <v>4250000000</v>
          </cell>
          <cell r="F72">
            <v>998636875</v>
          </cell>
          <cell r="H72">
            <v>175000000</v>
          </cell>
        </row>
        <row r="73">
          <cell r="B73" t="str">
            <v>80001TAC1</v>
          </cell>
          <cell r="C73" t="str">
            <v>CB-Sanders Re II Ltd. Series 2025-1 Class B-1</v>
          </cell>
          <cell r="D73">
            <v>0</v>
          </cell>
          <cell r="E73">
            <v>4250000000</v>
          </cell>
          <cell r="F73">
            <v>1999375000</v>
          </cell>
          <cell r="H73">
            <v>100000000</v>
          </cell>
        </row>
        <row r="74">
          <cell r="B74" t="str">
            <v>80001TAB3</v>
          </cell>
          <cell r="C74" t="str">
            <v>CB-Sanders Re II Ltd. Series 2025-1 Class A-2</v>
          </cell>
          <cell r="D74">
            <v>0</v>
          </cell>
          <cell r="E74">
            <v>4250000000</v>
          </cell>
          <cell r="F74">
            <v>998636875</v>
          </cell>
          <cell r="H74">
            <v>175000000</v>
          </cell>
        </row>
        <row r="75">
          <cell r="B75" t="str">
            <v>80001TAD9</v>
          </cell>
          <cell r="C75" t="str">
            <v>CB-Sanders Re II Ltd. Series 2025-1 Class B-2</v>
          </cell>
          <cell r="D75">
            <v>0</v>
          </cell>
          <cell r="E75">
            <v>4250000000</v>
          </cell>
          <cell r="F75">
            <v>1999375000</v>
          </cell>
          <cell r="H75">
            <v>300000000</v>
          </cell>
        </row>
        <row r="76">
          <cell r="B76" t="str">
            <v>577092AZ2</v>
          </cell>
          <cell r="C76" t="str">
            <v>CB-Matterhorn Re Ltd. Series 2025-3 Class A</v>
          </cell>
          <cell r="D76">
            <v>0</v>
          </cell>
          <cell r="E76">
            <v>0</v>
          </cell>
          <cell r="F76">
            <v>65000000000</v>
          </cell>
          <cell r="G76">
            <v>45000000000</v>
          </cell>
          <cell r="H76">
            <v>60000000</v>
          </cell>
        </row>
        <row r="77">
          <cell r="B77" t="str">
            <v>577092BA6</v>
          </cell>
          <cell r="C77" t="str">
            <v>CB-Matterhorn Re Ltd. Series 2025-3 Class B</v>
          </cell>
          <cell r="D77">
            <v>0</v>
          </cell>
          <cell r="E77">
            <v>0</v>
          </cell>
          <cell r="F77">
            <v>24000000000</v>
          </cell>
          <cell r="G77">
            <v>21000000000</v>
          </cell>
          <cell r="H77">
            <v>40000000</v>
          </cell>
        </row>
        <row r="78">
          <cell r="B78" t="str">
            <v>04681FAA2</v>
          </cell>
          <cell r="C78" t="str">
            <v>CB-Atela Re Ltd. Series 2024-1 Class A Reset 2025</v>
          </cell>
          <cell r="D78"/>
          <cell r="F78">
            <v>1043000000</v>
          </cell>
          <cell r="G78">
            <v>2508000000</v>
          </cell>
          <cell r="H78">
            <v>60000000</v>
          </cell>
        </row>
        <row r="79">
          <cell r="B79" t="str">
            <v>04681FAB0</v>
          </cell>
          <cell r="C79" t="str">
            <v>CB-Atela Re Ltd. Series 2024-1 Class B Reset 2025</v>
          </cell>
          <cell r="D79"/>
          <cell r="F79">
            <v>1156000000</v>
          </cell>
          <cell r="G79">
            <v>1578000000</v>
          </cell>
          <cell r="H79">
            <v>30000000</v>
          </cell>
        </row>
        <row r="80">
          <cell r="B80" t="str">
            <v>83427GAA3</v>
          </cell>
          <cell r="C80" t="str">
            <v>CB-Solomon Re Ltd. Series 2023-1 Class A Reset 2025</v>
          </cell>
          <cell r="D80"/>
          <cell r="E80">
            <v>110000000</v>
          </cell>
          <cell r="F80">
            <v>175000000</v>
          </cell>
          <cell r="H80">
            <v>75000000</v>
          </cell>
        </row>
        <row r="81">
          <cell r="B81" t="str">
            <v>35087TAD0</v>
          </cell>
          <cell r="C81" t="str">
            <v>CB-Four Lakes Re Ltd. Series 2022-1 Class A Reset 2025</v>
          </cell>
          <cell r="D81"/>
          <cell r="E81">
            <v>2000000000</v>
          </cell>
          <cell r="F81">
            <v>875000000</v>
          </cell>
          <cell r="H81">
            <v>100000000</v>
          </cell>
        </row>
        <row r="82">
          <cell r="B82" t="str">
            <v>35087TAE8</v>
          </cell>
          <cell r="C82" t="str">
            <v>CB-Four Lakes Re Ltd. Series 2023-1 Class A Reset 2025</v>
          </cell>
          <cell r="D82"/>
          <cell r="E82">
            <v>2000000000</v>
          </cell>
          <cell r="F82">
            <v>875000000</v>
          </cell>
          <cell r="H82">
            <v>125000000</v>
          </cell>
        </row>
        <row r="83">
          <cell r="B83" t="str">
            <v>35087TAF5</v>
          </cell>
          <cell r="C83" t="str">
            <v>CB-Four Lakes Re Ltd. Series 2023-1 Class B Reset 2025</v>
          </cell>
          <cell r="D83"/>
          <cell r="E83">
            <v>1200000000</v>
          </cell>
          <cell r="F83">
            <v>600000000</v>
          </cell>
          <cell r="H83">
            <v>50000000</v>
          </cell>
        </row>
        <row r="84">
          <cell r="B84" t="str">
            <v>35087TAG3</v>
          </cell>
          <cell r="C84" t="str">
            <v>CB-Four Lakes Re Ltd. Series 2024-1 Class A</v>
          </cell>
          <cell r="D84"/>
          <cell r="E84">
            <v>1800000000</v>
          </cell>
          <cell r="F84">
            <v>200000000</v>
          </cell>
          <cell r="H84">
            <v>200000000</v>
          </cell>
        </row>
        <row r="85">
          <cell r="B85" t="str">
            <v>35087TAH1</v>
          </cell>
          <cell r="C85" t="str">
            <v>CB-Four Lakes Re Ltd. Series 2024-1 Class B</v>
          </cell>
          <cell r="D85"/>
          <cell r="E85">
            <v>1200000000</v>
          </cell>
          <cell r="F85">
            <v>600000000</v>
          </cell>
          <cell r="H85">
            <v>75000000</v>
          </cell>
        </row>
        <row r="86">
          <cell r="B86" t="str">
            <v>49407QAJ7</v>
          </cell>
          <cell r="C86" t="str">
            <v>CB-Kilimanjaro II Re Ltd. Series 2025-1 Class A-1</v>
          </cell>
          <cell r="D86"/>
          <cell r="E86">
            <v>0</v>
          </cell>
          <cell r="F86">
            <v>1920000000</v>
          </cell>
          <cell r="G86">
            <v>5987000000</v>
          </cell>
          <cell r="H86">
            <v>105000000</v>
          </cell>
        </row>
        <row r="87">
          <cell r="B87" t="str">
            <v>49407QAK4</v>
          </cell>
          <cell r="C87" t="str">
            <v>CB-Kilimanjaro II Re Ltd. Series 2025-1 Class B-1</v>
          </cell>
          <cell r="D87"/>
          <cell r="F87">
            <v>1516000000</v>
          </cell>
          <cell r="G87">
            <v>3700000000</v>
          </cell>
          <cell r="H87">
            <v>120000000</v>
          </cell>
        </row>
        <row r="88">
          <cell r="B88" t="str">
            <v>49407QAL2</v>
          </cell>
          <cell r="C88" t="str">
            <v>CB-Kilimanjaro II Re Ltd. Series 2025-1 Class C-1</v>
          </cell>
          <cell r="D88"/>
          <cell r="E88">
            <v>4495000000</v>
          </cell>
          <cell r="F88">
            <v>2295000000</v>
          </cell>
          <cell r="H88">
            <v>170000000</v>
          </cell>
        </row>
        <row r="89">
          <cell r="B89" t="str">
            <v>49407QAM0</v>
          </cell>
          <cell r="C89" t="str">
            <v>CB-Kilimanjaro II Re Ltd. Series 2025-1 Class D-1</v>
          </cell>
          <cell r="D89"/>
          <cell r="E89">
            <v>2500000000</v>
          </cell>
          <cell r="F89">
            <v>1995000000</v>
          </cell>
          <cell r="H89">
            <v>105000000</v>
          </cell>
        </row>
        <row r="90">
          <cell r="B90" t="str">
            <v>49407QAN8</v>
          </cell>
          <cell r="C90" t="str">
            <v>CB-Kilimanjaro II Re Ltd. Series 2025-2 Class A-2</v>
          </cell>
          <cell r="D90"/>
          <cell r="F90">
            <v>1920000000</v>
          </cell>
          <cell r="G90">
            <v>5987000000</v>
          </cell>
          <cell r="H90">
            <v>105000000</v>
          </cell>
        </row>
        <row r="91">
          <cell r="B91" t="str">
            <v>49407QAP3</v>
          </cell>
          <cell r="C91" t="str">
            <v>CB-Kilimanjaro II Re Ltd. Series 2025-2 Class B-2</v>
          </cell>
          <cell r="D91"/>
          <cell r="F91">
            <v>1516000000</v>
          </cell>
          <cell r="G91">
            <v>3700000000</v>
          </cell>
          <cell r="H91">
            <v>120000000</v>
          </cell>
        </row>
        <row r="92">
          <cell r="B92" t="str">
            <v>49407QAQ1</v>
          </cell>
          <cell r="C92" t="str">
            <v>CB-Kilimanjaro II Re Ltd. Series 2025-2 Class C-2</v>
          </cell>
          <cell r="D92"/>
          <cell r="E92">
            <v>4495000000</v>
          </cell>
          <cell r="F92">
            <v>2295000000</v>
          </cell>
          <cell r="H92">
            <v>170000000</v>
          </cell>
        </row>
        <row r="93">
          <cell r="B93" t="str">
            <v>49407QAR9</v>
          </cell>
          <cell r="C93" t="str">
            <v>CB-Kilimanjaro II Re Ltd. Series 2025-2 Class D-2</v>
          </cell>
          <cell r="D93"/>
          <cell r="E93">
            <v>2500000000</v>
          </cell>
          <cell r="F93">
            <v>1995000000</v>
          </cell>
          <cell r="H93">
            <v>105000000</v>
          </cell>
        </row>
        <row r="94">
          <cell r="B94" t="str">
            <v>49407QAG3</v>
          </cell>
          <cell r="C94" t="str">
            <v>CB-Kilimanjaro II Re Ltd. Series 2024-1 Class A Reset 2025</v>
          </cell>
          <cell r="D94"/>
          <cell r="E94">
            <v>4576000000</v>
          </cell>
          <cell r="F94">
            <v>1507000000</v>
          </cell>
          <cell r="H94">
            <v>75000000</v>
          </cell>
        </row>
        <row r="95">
          <cell r="B95" t="str">
            <v>49407QAH1</v>
          </cell>
          <cell r="C95" t="str">
            <v>CB-Kilimanjaro II Re Ltd. Series 2024-1 Class B Reset 2025</v>
          </cell>
          <cell r="D95"/>
          <cell r="E95">
            <v>4055000000</v>
          </cell>
          <cell r="F95">
            <v>1597000000</v>
          </cell>
          <cell r="H95">
            <v>125000000</v>
          </cell>
        </row>
        <row r="96">
          <cell r="B96" t="str">
            <v>49407PAH3</v>
          </cell>
          <cell r="C96" t="str">
            <v>CB-Kilimanjaro III Re Ltd. Series 2021-2 Class A-2 Reset 2025</v>
          </cell>
          <cell r="D96">
            <v>0</v>
          </cell>
          <cell r="E96">
            <v>2095000000</v>
          </cell>
          <cell r="F96">
            <v>320000000</v>
          </cell>
          <cell r="H96">
            <v>150000000</v>
          </cell>
        </row>
        <row r="97">
          <cell r="B97" t="str">
            <v>49407PAJ9</v>
          </cell>
          <cell r="C97" t="str">
            <v>CB-Kilimanjaro III Re Ltd. Series 2021-2 Class B-2 Reset 2025</v>
          </cell>
          <cell r="D97">
            <v>0</v>
          </cell>
          <cell r="E97">
            <v>0</v>
          </cell>
          <cell r="F97">
            <v>734000000</v>
          </cell>
          <cell r="G97">
            <v>6139000000</v>
          </cell>
          <cell r="H97">
            <v>90000000</v>
          </cell>
        </row>
        <row r="98">
          <cell r="B98" t="str">
            <v>49407PAK6</v>
          </cell>
          <cell r="C98" t="str">
            <v>CB-Kilimanjaro III Re Ltd. Series 2021-2 Class C-2 Reset 2025</v>
          </cell>
          <cell r="D98">
            <v>0</v>
          </cell>
          <cell r="E98">
            <v>0</v>
          </cell>
          <cell r="F98">
            <v>392000000</v>
          </cell>
          <cell r="G98">
            <v>6935000000</v>
          </cell>
          <cell r="H98">
            <v>90000000</v>
          </cell>
        </row>
        <row r="99">
          <cell r="B99" t="str">
            <v>76870YAG7</v>
          </cell>
          <cell r="C99" t="str">
            <v>CB-Riverfront Re Ltd. Series 2025-1 Class B</v>
          </cell>
          <cell r="D99">
            <v>0</v>
          </cell>
          <cell r="E99">
            <v>275000000</v>
          </cell>
          <cell r="F99">
            <v>125000000</v>
          </cell>
          <cell r="H99">
            <v>110000000</v>
          </cell>
        </row>
        <row r="100">
          <cell r="B100" t="str">
            <v>76870YAF9</v>
          </cell>
          <cell r="C100" t="str">
            <v>CB-Riverfront Re Ltd. Series 2025-1 Class A</v>
          </cell>
          <cell r="D100">
            <v>0</v>
          </cell>
          <cell r="E100">
            <v>400000000</v>
          </cell>
          <cell r="F100">
            <v>225000000</v>
          </cell>
          <cell r="H100">
            <v>200000000</v>
          </cell>
        </row>
        <row r="101">
          <cell r="B101" t="str">
            <v>63901CAD3</v>
          </cell>
          <cell r="C101" t="str">
            <v>CB-Nature Coast Re Ltd. Series 2025-1 Class A Reset 2025</v>
          </cell>
          <cell r="D101"/>
          <cell r="E101">
            <v>0</v>
          </cell>
          <cell r="F101">
            <v>185000000</v>
          </cell>
          <cell r="G101">
            <v>433000000</v>
          </cell>
          <cell r="H101">
            <v>200000000</v>
          </cell>
        </row>
        <row r="102">
          <cell r="B102" t="str">
            <v>54180CAA0</v>
          </cell>
          <cell r="C102" t="str">
            <v>CB-Lapis 2025-1 Series 2025-1</v>
          </cell>
          <cell r="D102"/>
          <cell r="F102">
            <v>100000000</v>
          </cell>
          <cell r="G102">
            <v>490000000</v>
          </cell>
          <cell r="H102">
            <v>100000000</v>
          </cell>
        </row>
        <row r="103">
          <cell r="B103" t="str">
            <v>36779CAF3</v>
          </cell>
          <cell r="C103" t="str">
            <v>CB-Gateway Re Ltd. Series 2023-3 Class A Reset 2025</v>
          </cell>
          <cell r="D103">
            <v>57000000</v>
          </cell>
          <cell r="F103">
            <v>51000000</v>
          </cell>
          <cell r="G103">
            <v>57000000</v>
          </cell>
          <cell r="H103">
            <v>50000000</v>
          </cell>
        </row>
        <row r="104">
          <cell r="B104" t="str">
            <v>68252UAA3</v>
          </cell>
          <cell r="C104" t="str">
            <v>CB-1886 Re Ltd. Series 2025-1 Class A</v>
          </cell>
          <cell r="D104"/>
          <cell r="E104">
            <v>200000000</v>
          </cell>
          <cell r="F104">
            <v>240000000</v>
          </cell>
          <cell r="H104">
            <v>125000000</v>
          </cell>
        </row>
        <row r="105">
          <cell r="B105" t="str">
            <v>03851YAA7</v>
          </cell>
          <cell r="C105" t="str">
            <v>CB-Aragonite Re Ltd. Series 2024-1 Class A Reset 2025</v>
          </cell>
          <cell r="D105">
            <v>0</v>
          </cell>
          <cell r="E105">
            <v>0</v>
          </cell>
          <cell r="F105">
            <v>250000000</v>
          </cell>
          <cell r="H105">
            <v>100000000</v>
          </cell>
        </row>
        <row r="106">
          <cell r="B106" t="str">
            <v>04227FAE5</v>
          </cell>
          <cell r="C106" t="str">
            <v>CB-Armor Re II Ltd. Series 2024-1 Class A Reset 2025</v>
          </cell>
          <cell r="D106"/>
          <cell r="E106">
            <v>355000000</v>
          </cell>
          <cell r="F106">
            <v>250000000</v>
          </cell>
          <cell r="H106">
            <v>200000000</v>
          </cell>
        </row>
        <row r="107">
          <cell r="B107" t="str">
            <v>89141WAF9</v>
          </cell>
          <cell r="C107" t="str">
            <v>CB-Torrey Pines Re Ltd. Series 2023-1 Class A Reset 2025</v>
          </cell>
          <cell r="D107">
            <v>0</v>
          </cell>
          <cell r="E107">
            <v>1500000000</v>
          </cell>
          <cell r="F107">
            <v>150000000</v>
          </cell>
          <cell r="H107">
            <v>150000000</v>
          </cell>
        </row>
        <row r="108">
          <cell r="B108" t="str">
            <v>89141WAG7</v>
          </cell>
          <cell r="C108" t="str">
            <v>CB-Torrey Pines Re Ltd. Series 2023-1 Class B Reset 2025</v>
          </cell>
          <cell r="D108">
            <v>0</v>
          </cell>
          <cell r="E108">
            <v>525000000</v>
          </cell>
          <cell r="F108">
            <v>125000000</v>
          </cell>
          <cell r="H108">
            <v>50000000</v>
          </cell>
        </row>
        <row r="109">
          <cell r="B109" t="str">
            <v>89141WAH5</v>
          </cell>
          <cell r="C109" t="str">
            <v>CB-Torrey Pines Re Ltd. Series 2024-1 Class A Reset 2025</v>
          </cell>
          <cell r="D109">
            <v>0</v>
          </cell>
          <cell r="E109">
            <v>900000000</v>
          </cell>
          <cell r="F109">
            <v>400000000</v>
          </cell>
          <cell r="H109">
            <v>215000000</v>
          </cell>
        </row>
        <row r="110">
          <cell r="B110" t="str">
            <v>89141WAJ1</v>
          </cell>
          <cell r="C110" t="str">
            <v>CB-Torrey Pines Re Ltd. Series 2024-1 Class B Reset 2025</v>
          </cell>
          <cell r="D110">
            <v>0</v>
          </cell>
          <cell r="E110">
            <v>650000000</v>
          </cell>
          <cell r="F110">
            <v>250000000</v>
          </cell>
          <cell r="H110">
            <v>130000000</v>
          </cell>
        </row>
        <row r="111">
          <cell r="B111" t="str">
            <v>89141WAK8</v>
          </cell>
          <cell r="C111" t="str">
            <v>CB-Torrey Pines Re Ltd. Series 2024-1 Class C Reset 2025</v>
          </cell>
          <cell r="D111">
            <v>0</v>
          </cell>
          <cell r="E111">
            <v>325000000</v>
          </cell>
          <cell r="F111">
            <v>200000000</v>
          </cell>
          <cell r="H111">
            <v>75000000</v>
          </cell>
        </row>
        <row r="112">
          <cell r="B112" t="str">
            <v>89141WAL6</v>
          </cell>
          <cell r="C112" t="str">
            <v>CB-Torrey Pines Re Ltd. Series 2025-1 Class A</v>
          </cell>
          <cell r="D112">
            <v>0</v>
          </cell>
          <cell r="E112">
            <v>1300000000</v>
          </cell>
          <cell r="F112">
            <v>200000000</v>
          </cell>
          <cell r="H112">
            <v>150000000</v>
          </cell>
        </row>
        <row r="113">
          <cell r="B113" t="str">
            <v>89141WAM4</v>
          </cell>
          <cell r="C113" t="str">
            <v>CB-Torrey Pines Re Ltd. Series 2025-1 Class B</v>
          </cell>
          <cell r="D113">
            <v>0</v>
          </cell>
          <cell r="E113">
            <v>650000000</v>
          </cell>
          <cell r="F113">
            <v>650000000</v>
          </cell>
          <cell r="H113">
            <v>200000000</v>
          </cell>
        </row>
        <row r="114">
          <cell r="B114" t="str">
            <v>89141WAN2</v>
          </cell>
          <cell r="C114" t="str">
            <v>CB-Torrey Pines Re Ltd. Series 2025-1 Class C</v>
          </cell>
          <cell r="D114">
            <v>0</v>
          </cell>
          <cell r="E114">
            <v>325000000</v>
          </cell>
          <cell r="F114">
            <v>325000000</v>
          </cell>
          <cell r="H114">
            <v>175000000</v>
          </cell>
        </row>
        <row r="115">
          <cell r="B115" t="str">
            <v>31771QAB0</v>
          </cell>
          <cell r="C115" t="str">
            <v>CB-Finca Re Ltd. Series 2025-1 Class A</v>
          </cell>
          <cell r="D115"/>
          <cell r="F115">
            <v>125000000</v>
          </cell>
          <cell r="G115">
            <v>310000000</v>
          </cell>
          <cell r="H115">
            <v>125000000</v>
          </cell>
        </row>
        <row r="116">
          <cell r="B116" t="str">
            <v>XS2799645515</v>
          </cell>
          <cell r="C116" t="str">
            <v>CB-IBRD CAR Mexico 2024 Class A</v>
          </cell>
          <cell r="D116">
            <v>0</v>
          </cell>
          <cell r="E116">
            <v>0</v>
          </cell>
          <cell r="F116">
            <v>225000000</v>
          </cell>
          <cell r="H116">
            <v>225000000</v>
          </cell>
        </row>
        <row r="117">
          <cell r="B117" t="str">
            <v>XS2799645606</v>
          </cell>
          <cell r="C117" t="str">
            <v>CB-IBRD CAR Mexico 2024 Class B</v>
          </cell>
          <cell r="D117">
            <v>0</v>
          </cell>
          <cell r="E117">
            <v>0</v>
          </cell>
          <cell r="F117">
            <v>70000000</v>
          </cell>
          <cell r="H117">
            <v>70000000</v>
          </cell>
        </row>
        <row r="118">
          <cell r="B118" t="str">
            <v>XS2799645788</v>
          </cell>
          <cell r="C118" t="str">
            <v>CB-IBRD CAR Mexico 2024 Class C</v>
          </cell>
          <cell r="D118">
            <v>0</v>
          </cell>
          <cell r="E118">
            <v>0</v>
          </cell>
          <cell r="F118">
            <v>125000000</v>
          </cell>
          <cell r="H118">
            <v>125000000</v>
          </cell>
        </row>
        <row r="119">
          <cell r="B119" t="str">
            <v>XS2809694198</v>
          </cell>
          <cell r="C119" t="str">
            <v>CB-IBRD CAR Mexico 2024 Class D</v>
          </cell>
          <cell r="D119">
            <v>0</v>
          </cell>
          <cell r="E119">
            <v>0</v>
          </cell>
          <cell r="F119">
            <v>175000000</v>
          </cell>
          <cell r="H119">
            <v>175000000</v>
          </cell>
        </row>
        <row r="120">
          <cell r="B120" t="str">
            <v>88577CAC5</v>
          </cell>
          <cell r="C120" t="str">
            <v>CB-3264 Re Ltd. Series 2024-1 Class A Reset 2025</v>
          </cell>
          <cell r="D120"/>
          <cell r="E120">
            <v>697000000</v>
          </cell>
          <cell r="F120">
            <v>77000000</v>
          </cell>
          <cell r="H120">
            <v>80000000</v>
          </cell>
        </row>
        <row r="121">
          <cell r="B121" t="str">
            <v>88577CAD3</v>
          </cell>
          <cell r="C121" t="str">
            <v>CB-3264 Re Ltd. Series 2024-1 Class B Reset 2025</v>
          </cell>
          <cell r="D121"/>
          <cell r="E121">
            <v>174000000</v>
          </cell>
          <cell r="F121">
            <v>80000000</v>
          </cell>
          <cell r="H121">
            <v>60000000</v>
          </cell>
        </row>
        <row r="122">
          <cell r="B122" t="str">
            <v>88577CAG6</v>
          </cell>
          <cell r="C122" t="str">
            <v>CB-3264 Re Ltd. Series 2025-2 Class A</v>
          </cell>
          <cell r="D122">
            <v>0</v>
          </cell>
          <cell r="F122">
            <v>10000000000</v>
          </cell>
          <cell r="H122">
            <v>150000000</v>
          </cell>
        </row>
        <row r="123">
          <cell r="B123" t="str">
            <v>31969UAA5</v>
          </cell>
          <cell r="C123" t="str">
            <v>CB-First Coast Re IV Ltd. Series 2023-1 Class A Reset 2025</v>
          </cell>
          <cell r="D123"/>
          <cell r="E123">
            <v>100000000</v>
          </cell>
          <cell r="F123">
            <v>100000000</v>
          </cell>
          <cell r="H123">
            <v>100000000</v>
          </cell>
        </row>
        <row r="124">
          <cell r="B124" t="str">
            <v>54307MAA6</v>
          </cell>
          <cell r="C124" t="str">
            <v>CB-Longleaf Pine Re Ltd. Series 2024-1 Class A Reset 2025</v>
          </cell>
          <cell r="D124">
            <v>0</v>
          </cell>
          <cell r="F124">
            <v>145000000</v>
          </cell>
          <cell r="G124">
            <v>175000000</v>
          </cell>
          <cell r="H124">
            <v>145000000</v>
          </cell>
        </row>
        <row r="125">
          <cell r="B125" t="str">
            <v>92335TAA7</v>
          </cell>
          <cell r="C125" t="str">
            <v>CB-Veraison Re Ltd. Series 2023-1 Class A Reset 2025</v>
          </cell>
          <cell r="D125"/>
          <cell r="E125">
            <v>1225000000</v>
          </cell>
          <cell r="F125">
            <v>100000000</v>
          </cell>
          <cell r="H125">
            <v>75000000</v>
          </cell>
        </row>
        <row r="126">
          <cell r="B126" t="str">
            <v>92335TAB5</v>
          </cell>
          <cell r="C126" t="str">
            <v>CB-Veraison Re Ltd. Series 2023-1 Class B Reset 2025</v>
          </cell>
          <cell r="D126"/>
          <cell r="E126">
            <v>325000000</v>
          </cell>
          <cell r="F126">
            <v>100000000</v>
          </cell>
          <cell r="H126">
            <v>75000000</v>
          </cell>
        </row>
        <row r="127">
          <cell r="B127" t="str">
            <v>92335TAC3</v>
          </cell>
          <cell r="C127" t="str">
            <v>CB-Veraison Re Ltd. Series 2024-1 Class A Reset 2025</v>
          </cell>
          <cell r="D127"/>
          <cell r="E127">
            <v>1000000000</v>
          </cell>
          <cell r="F127">
            <v>225000000</v>
          </cell>
          <cell r="H127">
            <v>175000000</v>
          </cell>
        </row>
        <row r="128">
          <cell r="B128" t="str">
            <v>92335TAD1</v>
          </cell>
          <cell r="C128" t="str">
            <v>CB-Veraison Re Ltd. Series 2025-1 Class A</v>
          </cell>
          <cell r="D128"/>
          <cell r="E128">
            <v>700000000</v>
          </cell>
          <cell r="F128">
            <v>300000000</v>
          </cell>
          <cell r="H128">
            <v>300000000</v>
          </cell>
        </row>
        <row r="129">
          <cell r="B129" t="str">
            <v>92335TAE9</v>
          </cell>
          <cell r="C129" t="str">
            <v>CB-Veraison Re Ltd. Series 2025-1 Class B</v>
          </cell>
          <cell r="D129"/>
          <cell r="E129">
            <v>425000000</v>
          </cell>
          <cell r="F129">
            <v>150000000</v>
          </cell>
          <cell r="H129">
            <v>150000000</v>
          </cell>
        </row>
        <row r="130">
          <cell r="B130" t="str">
            <v>XS3019877813</v>
          </cell>
          <cell r="C130" t="str">
            <v>CB-Vision 2039 Series 2025-1 Class A</v>
          </cell>
          <cell r="D130"/>
          <cell r="F130">
            <v>600000000</v>
          </cell>
          <cell r="G130">
            <v>800000000</v>
          </cell>
          <cell r="H130">
            <v>140000000</v>
          </cell>
        </row>
        <row r="131">
          <cell r="B131" t="str">
            <v>74528TAA2</v>
          </cell>
          <cell r="C131" t="str">
            <v>CB-Puerto Rico Parametric Re Ltd. Series 2024-1 Class A</v>
          </cell>
          <cell r="D131">
            <v>0</v>
          </cell>
          <cell r="E131">
            <v>0</v>
          </cell>
          <cell r="F131">
            <v>85000000</v>
          </cell>
          <cell r="H131">
            <v>85000000</v>
          </cell>
        </row>
        <row r="132">
          <cell r="B132" t="str">
            <v>092168AB9</v>
          </cell>
          <cell r="C132" t="str">
            <v>CB-Black Kite Re Ltd. Series 2025-1 Class A</v>
          </cell>
          <cell r="D132"/>
          <cell r="F132">
            <v>50000000</v>
          </cell>
          <cell r="H132">
            <v>50000000</v>
          </cell>
        </row>
        <row r="133">
          <cell r="B133" t="str">
            <v>177510AQ7</v>
          </cell>
          <cell r="C133" t="str">
            <v>CB-Citrus Re Ltd. Series 2025-1 Class A</v>
          </cell>
          <cell r="D133"/>
          <cell r="E133">
            <v>700000000</v>
          </cell>
          <cell r="F133">
            <v>200000000</v>
          </cell>
          <cell r="H133">
            <v>100000000</v>
          </cell>
        </row>
        <row r="134">
          <cell r="B134" t="str">
            <v>177510AR5</v>
          </cell>
          <cell r="C134" t="str">
            <v>CB-Citrus Re Ltd. Series 2025-1 Class B</v>
          </cell>
          <cell r="D134"/>
          <cell r="E134">
            <v>290000000</v>
          </cell>
          <cell r="F134">
            <v>205000000</v>
          </cell>
          <cell r="H134">
            <v>100000000</v>
          </cell>
        </row>
        <row r="135">
          <cell r="B135" t="str">
            <v>177510AL8</v>
          </cell>
          <cell r="C135" t="str">
            <v>CB-Citrus Re Ltd. Series 2023-1 Class A Reset 2025</v>
          </cell>
          <cell r="D135">
            <v>0</v>
          </cell>
          <cell r="E135">
            <v>300000000</v>
          </cell>
          <cell r="F135">
            <v>250000000</v>
          </cell>
          <cell r="H135">
            <v>120000000</v>
          </cell>
        </row>
        <row r="136">
          <cell r="B136" t="str">
            <v>177510AM6</v>
          </cell>
          <cell r="C136" t="str">
            <v>CB-Citrus Re Ltd. Series 2023-1 Class B Reset 2025</v>
          </cell>
          <cell r="D136">
            <v>0</v>
          </cell>
          <cell r="E136">
            <v>345000000</v>
          </cell>
          <cell r="F136">
            <v>115000000</v>
          </cell>
          <cell r="H136">
            <v>115000000</v>
          </cell>
        </row>
        <row r="137">
          <cell r="B137" t="str">
            <v>177510AN4</v>
          </cell>
          <cell r="C137" t="str">
            <v>CB-Citrus Re Ltd. Series 2024-1 Class A Reset 2025</v>
          </cell>
          <cell r="D137"/>
          <cell r="E137">
            <v>700000000</v>
          </cell>
          <cell r="F137">
            <v>100000000</v>
          </cell>
          <cell r="H137">
            <v>50000000</v>
          </cell>
        </row>
        <row r="138">
          <cell r="B138" t="str">
            <v>177510AP9</v>
          </cell>
          <cell r="C138" t="str">
            <v>CB-Citrus Re Ltd. Series 2024-1 Class B Reset 2025</v>
          </cell>
          <cell r="D138"/>
          <cell r="E138">
            <v>560000000</v>
          </cell>
          <cell r="F138">
            <v>140000000</v>
          </cell>
          <cell r="H138">
            <v>50000000</v>
          </cell>
        </row>
        <row r="139">
          <cell r="B139" t="str">
            <v>096003AA6</v>
          </cell>
          <cell r="C139" t="str">
            <v>CB-Blue Ridge Re Ltd. Series 2023-1 Class A Reset 2025</v>
          </cell>
          <cell r="D139">
            <v>0</v>
          </cell>
          <cell r="E139">
            <v>1000000000</v>
          </cell>
          <cell r="F139">
            <v>600000000</v>
          </cell>
          <cell r="H139">
            <v>200000000</v>
          </cell>
        </row>
        <row r="140">
          <cell r="B140" t="str">
            <v>096003AB4</v>
          </cell>
          <cell r="C140" t="str">
            <v>CB-Blue Ridge Re Ltd. Series 2023-1 Class B Reset 2025</v>
          </cell>
          <cell r="D140">
            <v>0</v>
          </cell>
          <cell r="E140">
            <v>500000000</v>
          </cell>
          <cell r="F140">
            <v>500000000</v>
          </cell>
          <cell r="H140">
            <v>200000000</v>
          </cell>
        </row>
        <row r="141">
          <cell r="B141" t="str">
            <v>04227FAF2</v>
          </cell>
          <cell r="C141" t="str">
            <v>CB-Armor Re II Ltd. Series 2024-2 Class A</v>
          </cell>
          <cell r="D141"/>
          <cell r="E141">
            <v>50000000</v>
          </cell>
          <cell r="F141">
            <v>200000000</v>
          </cell>
          <cell r="H141">
            <v>200000000</v>
          </cell>
        </row>
        <row r="142">
          <cell r="B142" t="str">
            <v>13947LAG7</v>
          </cell>
          <cell r="C142" t="str">
            <v>CB-Cape Lookout Re Ltd. Series 2025-1 Class A</v>
          </cell>
          <cell r="D142">
            <v>0</v>
          </cell>
          <cell r="F142">
            <v>600000000</v>
          </cell>
          <cell r="G142">
            <v>2800000000</v>
          </cell>
          <cell r="H142">
            <v>600000000</v>
          </cell>
        </row>
        <row r="143">
          <cell r="B143" t="str">
            <v>07304LAA9</v>
          </cell>
          <cell r="C143" t="str">
            <v>CB-Bayou Re Ltd. Series 2023-1 Class A Reset 2025</v>
          </cell>
          <cell r="D143">
            <v>0</v>
          </cell>
          <cell r="E143">
            <v>800000000</v>
          </cell>
          <cell r="F143">
            <v>250000000</v>
          </cell>
          <cell r="H143">
            <v>120000000</v>
          </cell>
        </row>
        <row r="144">
          <cell r="B144" t="str">
            <v>07304LAB7</v>
          </cell>
          <cell r="C144" t="str">
            <v>CB-Bayou Re Ltd. Series 2023-1 Class B Reset 2025</v>
          </cell>
          <cell r="D144">
            <v>0</v>
          </cell>
          <cell r="E144">
            <v>490000000</v>
          </cell>
          <cell r="F144">
            <v>310000000</v>
          </cell>
          <cell r="H144">
            <v>75000000</v>
          </cell>
        </row>
        <row r="145">
          <cell r="B145" t="str">
            <v>74639NAD5</v>
          </cell>
          <cell r="C145" t="str">
            <v>CB-Purple Re Ltd. Series 2025-1 Class A</v>
          </cell>
          <cell r="D145"/>
          <cell r="E145">
            <v>607000000</v>
          </cell>
          <cell r="F145">
            <v>257000000</v>
          </cell>
          <cell r="H145">
            <v>125000000</v>
          </cell>
        </row>
        <row r="146">
          <cell r="B146" t="str">
            <v>74639NAE3</v>
          </cell>
          <cell r="C146" t="str">
            <v>CB-Purple Re Ltd. Series 2025-1 Class B</v>
          </cell>
          <cell r="D146"/>
          <cell r="E146">
            <v>607000000</v>
          </cell>
          <cell r="F146">
            <v>250000000</v>
          </cell>
          <cell r="H146">
            <v>125000000</v>
          </cell>
        </row>
        <row r="147">
          <cell r="B147" t="str">
            <v>74639NAC7</v>
          </cell>
          <cell r="C147" t="str">
            <v>CB-Purple Re Ltd. Series 2024-1 Class A Reset 2025</v>
          </cell>
          <cell r="D147"/>
          <cell r="E147">
            <v>607000000</v>
          </cell>
          <cell r="F147">
            <v>300000000</v>
          </cell>
          <cell r="H147">
            <v>210000000</v>
          </cell>
        </row>
        <row r="148">
          <cell r="B148" t="str">
            <v>74639NAB9</v>
          </cell>
          <cell r="C148" t="str">
            <v>CB-Purple Re Ltd. Series 2023-2 Class A Reset 2025</v>
          </cell>
          <cell r="D148"/>
          <cell r="E148">
            <v>607000000</v>
          </cell>
          <cell r="F148">
            <v>100000000</v>
          </cell>
          <cell r="H148">
            <v>100000000</v>
          </cell>
        </row>
        <row r="149">
          <cell r="B149" t="str">
            <v>74639NAA1</v>
          </cell>
          <cell r="C149" t="str">
            <v>CB-Purple Re Ltd. Series 2023-1 Class A Reset 2025</v>
          </cell>
          <cell r="D149">
            <v>0</v>
          </cell>
          <cell r="E149">
            <v>607000000</v>
          </cell>
          <cell r="F149">
            <v>100000000</v>
          </cell>
          <cell r="H149">
            <v>100000000</v>
          </cell>
        </row>
        <row r="150">
          <cell r="B150" t="str">
            <v>62983QAN3</v>
          </cell>
          <cell r="C150" t="str">
            <v>CB-Nakama Re Ltd. Series 2023-1 Class 1 Reset 2025</v>
          </cell>
          <cell r="D150">
            <v>0</v>
          </cell>
          <cell r="E150">
            <v>0</v>
          </cell>
          <cell r="F150">
            <v>75000000</v>
          </cell>
          <cell r="H150">
            <v>75000000</v>
          </cell>
        </row>
        <row r="151">
          <cell r="B151" t="str">
            <v>62983QAP8</v>
          </cell>
          <cell r="C151" t="str">
            <v>CB-Nakama Re Ltd. Series 2023-1 Class 2 Reset 2025</v>
          </cell>
          <cell r="D151">
            <v>0</v>
          </cell>
          <cell r="E151">
            <v>0</v>
          </cell>
          <cell r="F151">
            <v>150000000</v>
          </cell>
          <cell r="H151">
            <v>150000000</v>
          </cell>
        </row>
        <row r="152">
          <cell r="B152" t="str">
            <v>62984JAC2</v>
          </cell>
          <cell r="C152" t="str">
            <v>CB-Nakama Re Pte. Ltd. Series 2024-1 Class 1 Reset 2025</v>
          </cell>
          <cell r="D152">
            <v>0</v>
          </cell>
          <cell r="E152">
            <v>0</v>
          </cell>
          <cell r="F152">
            <v>150000000</v>
          </cell>
          <cell r="H152">
            <v>150000000</v>
          </cell>
        </row>
        <row r="153">
          <cell r="B153" t="str">
            <v>62984JAD0</v>
          </cell>
          <cell r="C153" t="str">
            <v>CB-Nakama Re Pte. Ltd. Series 2025-1 Class 1</v>
          </cell>
          <cell r="D153">
            <v>0</v>
          </cell>
          <cell r="E153">
            <v>0</v>
          </cell>
          <cell r="F153">
            <v>100000000</v>
          </cell>
          <cell r="H153">
            <v>100000000</v>
          </cell>
        </row>
        <row r="154">
          <cell r="B154" t="str">
            <v>62984JAA6</v>
          </cell>
          <cell r="C154" t="str">
            <v>CB-Nakama Re Pte. Ltd. Series 2021-1 Class 1 Reset 2023</v>
          </cell>
          <cell r="D154">
            <v>0</v>
          </cell>
          <cell r="E154">
            <v>0</v>
          </cell>
          <cell r="F154">
            <v>550000000</v>
          </cell>
          <cell r="H154">
            <v>550000000</v>
          </cell>
        </row>
        <row r="155">
          <cell r="B155" t="str">
            <v>62984JAB4</v>
          </cell>
          <cell r="C155" t="str">
            <v>CB-Nakama Re Pte. Ltd. Series 2021-1 Class 2 Reset 2023</v>
          </cell>
          <cell r="D155">
            <v>0</v>
          </cell>
          <cell r="E155">
            <v>0</v>
          </cell>
          <cell r="F155">
            <v>225000000</v>
          </cell>
          <cell r="H155">
            <v>225000000</v>
          </cell>
        </row>
        <row r="156">
          <cell r="B156" t="str">
            <v>049207AB9</v>
          </cell>
          <cell r="C156" t="str">
            <v>CB-Atlas Capital DAC Series 2024-1 Class A Reset 2025</v>
          </cell>
          <cell r="D156"/>
          <cell r="E156">
            <v>70000000</v>
          </cell>
          <cell r="F156">
            <v>300000000</v>
          </cell>
          <cell r="G156">
            <v>1580000000</v>
          </cell>
          <cell r="H156">
            <v>175000000</v>
          </cell>
        </row>
        <row r="157">
          <cell r="B157" t="str">
            <v>XS2411652642</v>
          </cell>
          <cell r="C157" t="str">
            <v>CB-Hexagon III Re Pte. Ltd. Series 2021-1 Class A Reset 2025</v>
          </cell>
          <cell r="D157">
            <v>0</v>
          </cell>
          <cell r="E157">
            <v>482000000</v>
          </cell>
          <cell r="F157">
            <v>318000000</v>
          </cell>
          <cell r="H157">
            <v>100000000</v>
          </cell>
        </row>
        <row r="158">
          <cell r="B158" t="str">
            <v>XS2411653293</v>
          </cell>
          <cell r="C158" t="str">
            <v>CB-Hexagon III Re Pte. Ltd. Series 2021-1 Class B Reset 2025</v>
          </cell>
          <cell r="D158">
            <v>0</v>
          </cell>
          <cell r="E158">
            <v>0</v>
          </cell>
          <cell r="F158">
            <v>100000000</v>
          </cell>
          <cell r="H158">
            <v>41776653</v>
          </cell>
        </row>
        <row r="159">
          <cell r="B159" t="str">
            <v>428270AA0</v>
          </cell>
          <cell r="C159" t="str">
            <v>CB-Hexagon IV Re Ltd. Series 2023-1 Class A Reset 2025</v>
          </cell>
          <cell r="D159">
            <v>0</v>
          </cell>
          <cell r="E159">
            <v>100000000</v>
          </cell>
          <cell r="F159">
            <v>382000000</v>
          </cell>
          <cell r="H159">
            <v>120000000</v>
          </cell>
        </row>
        <row r="160">
          <cell r="B160" t="str">
            <v>428270AB8</v>
          </cell>
          <cell r="C160" t="str">
            <v>CB-Hexagon IV Re Ltd. Series 2023-1 Class B Reset 2025</v>
          </cell>
          <cell r="D160">
            <v>0</v>
          </cell>
          <cell r="E160">
            <v>0</v>
          </cell>
          <cell r="F160">
            <v>100000000</v>
          </cell>
          <cell r="H160">
            <v>25000000</v>
          </cell>
        </row>
        <row r="161">
          <cell r="B161" t="str">
            <v>09610NAA0</v>
          </cell>
          <cell r="C161" t="str">
            <v>CB-Bluebonnet Re Ltd. Series 2025-1 Class A</v>
          </cell>
          <cell r="D161"/>
          <cell r="F161">
            <v>1427000000</v>
          </cell>
          <cell r="G161">
            <v>4800000000</v>
          </cell>
          <cell r="H161">
            <v>250000000</v>
          </cell>
        </row>
        <row r="162">
          <cell r="B162" t="str">
            <v>09610NAB8</v>
          </cell>
          <cell r="C162" t="str">
            <v>CB-Bluebonnet Re Ltd. Series 2025-1 Class B</v>
          </cell>
          <cell r="D162"/>
          <cell r="F162">
            <v>800000000</v>
          </cell>
          <cell r="G162">
            <v>3000000000</v>
          </cell>
          <cell r="H162">
            <v>200000000</v>
          </cell>
        </row>
        <row r="163">
          <cell r="B163" t="str">
            <v>09610NAC6</v>
          </cell>
          <cell r="C163" t="str">
            <v>CB-Bluebonnet Re Ltd. Series 2025-1 Class C</v>
          </cell>
          <cell r="D163"/>
          <cell r="F163">
            <v>1000000000</v>
          </cell>
          <cell r="G163">
            <v>2000000000</v>
          </cell>
          <cell r="H163">
            <v>100000000</v>
          </cell>
        </row>
        <row r="164">
          <cell r="B164" t="str">
            <v>09610NAD4</v>
          </cell>
          <cell r="C164" t="str">
            <v>CB-Bluebonnet Re Ltd. Series 2025-2 Class A</v>
          </cell>
          <cell r="D164"/>
          <cell r="E164">
            <v>180000000</v>
          </cell>
          <cell r="F164">
            <v>320000000</v>
          </cell>
          <cell r="H164">
            <v>200000000</v>
          </cell>
        </row>
        <row r="165">
          <cell r="B165" t="str">
            <v>42815KAC6</v>
          </cell>
          <cell r="C165" t="str">
            <v>CB-Hestia Re Ltd. Series 2025-1 Class A</v>
          </cell>
          <cell r="D165">
            <v>0</v>
          </cell>
          <cell r="E165">
            <v>605000000</v>
          </cell>
          <cell r="F165">
            <v>200000000</v>
          </cell>
          <cell r="H165">
            <v>200000000</v>
          </cell>
        </row>
        <row r="166">
          <cell r="B166" t="str">
            <v>42815KAD4</v>
          </cell>
          <cell r="C166" t="str">
            <v>CB-Hestia Re Ltd. Series 2025-1 Class B</v>
          </cell>
          <cell r="D166">
            <v>0</v>
          </cell>
          <cell r="E166">
            <v>405000000</v>
          </cell>
          <cell r="F166">
            <v>200000000</v>
          </cell>
          <cell r="H166">
            <v>100000000</v>
          </cell>
        </row>
        <row r="167">
          <cell r="B167" t="str">
            <v>42815KAB8</v>
          </cell>
          <cell r="C167" t="str">
            <v>CB-Hestia Re Ltd. Series 2023-1 Class A Reset 2025</v>
          </cell>
          <cell r="D167"/>
          <cell r="E167">
            <v>405000000</v>
          </cell>
          <cell r="F167">
            <v>200000000</v>
          </cell>
          <cell r="H167">
            <v>100000000</v>
          </cell>
        </row>
        <row r="168">
          <cell r="B168" t="str">
            <v>44914CAD8</v>
          </cell>
          <cell r="C168" t="str">
            <v>CB-Hypatia Ltd. Series 2025-1 Class A</v>
          </cell>
          <cell r="D168"/>
          <cell r="F168">
            <v>20000000000</v>
          </cell>
          <cell r="G168">
            <v>80000000000</v>
          </cell>
          <cell r="H168">
            <v>150000000</v>
          </cell>
        </row>
        <row r="169">
          <cell r="B169" t="str">
            <v>36779CAT3</v>
          </cell>
          <cell r="C169" t="str">
            <v>CB-Gateway Re Ltd. Series 2025-3 Class A</v>
          </cell>
          <cell r="D169"/>
          <cell r="E169">
            <v>225000000</v>
          </cell>
          <cell r="F169">
            <v>160000000</v>
          </cell>
          <cell r="H169">
            <v>100000000</v>
          </cell>
        </row>
        <row r="170">
          <cell r="B170" t="str">
            <v>45870GAA4</v>
          </cell>
          <cell r="C170" t="str">
            <v>CB-Integrity Re III Ltd. Series 2025-1 Class A-1 Reset 2025</v>
          </cell>
          <cell r="D170">
            <v>0</v>
          </cell>
          <cell r="E170">
            <v>517100000</v>
          </cell>
          <cell r="F170">
            <v>268800000</v>
          </cell>
          <cell r="H170">
            <v>50000000</v>
          </cell>
        </row>
        <row r="171">
          <cell r="B171" t="str">
            <v>45870GAC0</v>
          </cell>
          <cell r="C171" t="str">
            <v>CB-Integrity Re III Ltd. Series 2025-1 Class B-1 Reset 2025</v>
          </cell>
          <cell r="D171">
            <v>0</v>
          </cell>
          <cell r="E171">
            <v>517100000</v>
          </cell>
          <cell r="F171">
            <v>290100000</v>
          </cell>
          <cell r="H171">
            <v>50000000</v>
          </cell>
        </row>
        <row r="172">
          <cell r="B172" t="str">
            <v>45870GAE6</v>
          </cell>
          <cell r="C172" t="str">
            <v>CB-Integrity Re III Ltd. Series 2025-1 Class C Reset 2025</v>
          </cell>
          <cell r="D172">
            <v>0</v>
          </cell>
          <cell r="E172">
            <v>517100000</v>
          </cell>
          <cell r="F172">
            <v>285300000</v>
          </cell>
          <cell r="H172">
            <v>165000000</v>
          </cell>
        </row>
        <row r="173">
          <cell r="B173" t="str">
            <v>45870GAF3</v>
          </cell>
          <cell r="C173" t="str">
            <v>CB-Integrity Re III Ltd. Series 2025-1 Class D Reset 2025</v>
          </cell>
          <cell r="D173">
            <v>0</v>
          </cell>
          <cell r="E173">
            <v>353200000</v>
          </cell>
          <cell r="F173">
            <v>163900000</v>
          </cell>
          <cell r="H173">
            <v>100000000</v>
          </cell>
        </row>
        <row r="174">
          <cell r="B174" t="str">
            <v>45870GAB2</v>
          </cell>
          <cell r="C174" t="str">
            <v>CB-Integrity Re III Ltd. Series 2025-1 Class A-2 Reset 2025</v>
          </cell>
          <cell r="D174">
            <v>0</v>
          </cell>
          <cell r="E174">
            <v>517100000</v>
          </cell>
          <cell r="F174">
            <v>268800000</v>
          </cell>
          <cell r="H174">
            <v>100000000</v>
          </cell>
        </row>
        <row r="175">
          <cell r="B175" t="str">
            <v>45870GAD8</v>
          </cell>
          <cell r="C175" t="str">
            <v>CB-Integrity Re III Ltd. Series 2025-1 Class B-2 Reset 2025</v>
          </cell>
          <cell r="D175">
            <v>0</v>
          </cell>
          <cell r="E175">
            <v>517100000</v>
          </cell>
          <cell r="F175">
            <v>290100000</v>
          </cell>
          <cell r="H175">
            <v>100000000</v>
          </cell>
        </row>
        <row r="176">
          <cell r="B176" t="str">
            <v>45833UAJ0</v>
          </cell>
          <cell r="C176" t="str">
            <v>CB-Integrity Re Ltd. Series 2024-1 Class A Reset 2025</v>
          </cell>
          <cell r="D176">
            <v>60000000</v>
          </cell>
          <cell r="E176">
            <v>25000000</v>
          </cell>
          <cell r="F176">
            <v>120000000</v>
          </cell>
          <cell r="G176">
            <v>120000000</v>
          </cell>
          <cell r="H176">
            <v>120000000</v>
          </cell>
        </row>
        <row r="177">
          <cell r="B177" t="str">
            <v>45833UAK7</v>
          </cell>
          <cell r="C177" t="str">
            <v>CB-Integrity Re Ltd. Series 2024-1 Class B Reset 2025</v>
          </cell>
          <cell r="D177">
            <v>0</v>
          </cell>
          <cell r="E177">
            <v>545600000</v>
          </cell>
          <cell r="F177">
            <v>110200000</v>
          </cell>
          <cell r="H177">
            <v>50000000</v>
          </cell>
        </row>
        <row r="178">
          <cell r="B178" t="str">
            <v>45833UAL5</v>
          </cell>
          <cell r="C178" t="str">
            <v>CB-Integrity Re Ltd. Series 2024-1 Class C Reset 2025</v>
          </cell>
          <cell r="D178">
            <v>0</v>
          </cell>
          <cell r="E178">
            <v>60000000</v>
          </cell>
          <cell r="F178">
            <v>138700000</v>
          </cell>
          <cell r="H178">
            <v>60000000</v>
          </cell>
        </row>
        <row r="179">
          <cell r="B179" t="str">
            <v>45833UAM3</v>
          </cell>
          <cell r="C179" t="str">
            <v>CB-Integrity Re Ltd. Series 2024-1 Class D Reset 2025</v>
          </cell>
          <cell r="D179">
            <v>0</v>
          </cell>
          <cell r="E179">
            <v>353200000</v>
          </cell>
          <cell r="F179">
            <v>192400000</v>
          </cell>
          <cell r="H179">
            <v>75000000</v>
          </cell>
        </row>
        <row r="180">
          <cell r="B180" t="str">
            <v>675951AA5</v>
          </cell>
          <cell r="C180" t="str">
            <v>CB-Ocelot Re Ltd. Series 2023-1 Class A Reset 2025</v>
          </cell>
          <cell r="D180"/>
          <cell r="F180">
            <v>200000000</v>
          </cell>
          <cell r="G180">
            <v>575000000</v>
          </cell>
          <cell r="H180">
            <v>125000000</v>
          </cell>
        </row>
        <row r="181">
          <cell r="B181" t="str">
            <v>675951AB3</v>
          </cell>
          <cell r="C181" t="str">
            <v>CB-Ocelot Re Ltd. Series 2025-1 Class A</v>
          </cell>
          <cell r="D181"/>
          <cell r="F181">
            <v>200000000</v>
          </cell>
          <cell r="G181">
            <v>800000000</v>
          </cell>
          <cell r="H181">
            <v>150000000</v>
          </cell>
        </row>
        <row r="182">
          <cell r="B182" t="str">
            <v>675951AC1</v>
          </cell>
          <cell r="C182" t="str">
            <v>CB-Ocelot Re Ltd. Series 2025-1 Class B</v>
          </cell>
          <cell r="D182">
            <v>50000000</v>
          </cell>
          <cell r="E182">
            <v>110000000</v>
          </cell>
          <cell r="F182">
            <v>50000000</v>
          </cell>
          <cell r="G182">
            <v>50000000</v>
          </cell>
          <cell r="H182">
            <v>50000000</v>
          </cell>
        </row>
        <row r="183">
          <cell r="B183" t="str">
            <v>07304LAC5</v>
          </cell>
          <cell r="C183" t="str">
            <v>CB-Bayou Re Ltd. Series 2024-1 Class A Reset 2025</v>
          </cell>
          <cell r="D183"/>
          <cell r="E183">
            <v>1330000000</v>
          </cell>
          <cell r="F183">
            <v>445000000</v>
          </cell>
          <cell r="H183">
            <v>200000000</v>
          </cell>
        </row>
        <row r="184">
          <cell r="B184" t="str">
            <v>07304LAD3</v>
          </cell>
          <cell r="C184" t="str">
            <v>CB-Bayou Re Ltd. Series 2024-1 Class B Reset 2025</v>
          </cell>
          <cell r="D184"/>
          <cell r="E184">
            <v>490000000</v>
          </cell>
          <cell r="F184">
            <v>310000000</v>
          </cell>
          <cell r="H184">
            <v>75000000</v>
          </cell>
        </row>
        <row r="185">
          <cell r="B185" t="str">
            <v>07304LAE1</v>
          </cell>
          <cell r="C185" t="str">
            <v>CB-Bayou Re Ltd. Series 2025-1 Class A</v>
          </cell>
          <cell r="D185"/>
          <cell r="E185">
            <v>1050000000</v>
          </cell>
          <cell r="F185">
            <v>280000000</v>
          </cell>
          <cell r="H185">
            <v>280000000</v>
          </cell>
        </row>
        <row r="186">
          <cell r="B186" t="str">
            <v>54143LAB4</v>
          </cell>
          <cell r="C186" t="str">
            <v>CB-Logistics Re Ltd. Series 2024-1 Class A</v>
          </cell>
          <cell r="D186">
            <v>0</v>
          </cell>
          <cell r="F186">
            <v>95000000</v>
          </cell>
          <cell r="H186">
            <v>95000000</v>
          </cell>
        </row>
        <row r="187">
          <cell r="B187" t="str">
            <v>547915AA6</v>
          </cell>
          <cell r="C187" t="str">
            <v>CB-Lower Ferry Re Ltd. Series 2023-1 Class A Reset 2025</v>
          </cell>
          <cell r="D187"/>
          <cell r="E187">
            <v>600000000</v>
          </cell>
          <cell r="F187">
            <v>200000000</v>
          </cell>
          <cell r="H187">
            <v>65000000</v>
          </cell>
        </row>
        <row r="188">
          <cell r="B188" t="str">
            <v>547915AB4</v>
          </cell>
          <cell r="C188" t="str">
            <v>CB-Lower Ferry Re Ltd. Series 2023-1 Class B Reset 2025</v>
          </cell>
          <cell r="D188"/>
          <cell r="E188">
            <v>300000000</v>
          </cell>
          <cell r="F188">
            <v>300000000</v>
          </cell>
          <cell r="H188">
            <v>125000000</v>
          </cell>
        </row>
        <row r="189">
          <cell r="B189" t="str">
            <v>54930CAA3</v>
          </cell>
          <cell r="C189" t="str">
            <v>CB-Luca Re Ltd. Series 2025-1 Class A</v>
          </cell>
          <cell r="D189"/>
          <cell r="E189">
            <v>1600000000</v>
          </cell>
          <cell r="F189">
            <v>150000000</v>
          </cell>
          <cell r="H189">
            <v>150000000</v>
          </cell>
        </row>
        <row r="190">
          <cell r="B190" t="str">
            <v>577092AN9</v>
          </cell>
          <cell r="C190" t="str">
            <v>CB-Matterhorn Re Ltd. Series 2021-1 Class A Reset 2025</v>
          </cell>
          <cell r="D190">
            <v>0</v>
          </cell>
          <cell r="E190">
            <v>0</v>
          </cell>
          <cell r="F190">
            <v>10000000000</v>
          </cell>
          <cell r="H190">
            <v>150000000</v>
          </cell>
        </row>
        <row r="191">
          <cell r="B191" t="str">
            <v>577092AW9</v>
          </cell>
          <cell r="C191" t="str">
            <v>CB-Matterhorn Re Ltd. Series 2025-1 Class A</v>
          </cell>
          <cell r="D191">
            <v>0</v>
          </cell>
          <cell r="E191">
            <v>0</v>
          </cell>
          <cell r="F191">
            <v>19000000000</v>
          </cell>
          <cell r="G191">
            <v>29000000000</v>
          </cell>
          <cell r="H191">
            <v>87500000</v>
          </cell>
        </row>
        <row r="192">
          <cell r="B192" t="str">
            <v>577092AX7</v>
          </cell>
          <cell r="C192" t="str">
            <v>CB-Matterhorn Re Ltd. Series 2025-1 Class B</v>
          </cell>
          <cell r="D192">
            <v>0</v>
          </cell>
          <cell r="E192">
            <v>0</v>
          </cell>
          <cell r="F192">
            <v>40000000000</v>
          </cell>
          <cell r="G192">
            <v>80000000000</v>
          </cell>
          <cell r="H192">
            <v>122500000</v>
          </cell>
        </row>
        <row r="193">
          <cell r="B193" t="str">
            <v>577092AY5</v>
          </cell>
          <cell r="C193" t="str">
            <v>CB-Matterhorn Re Ltd. Series 2025-2 Class A</v>
          </cell>
          <cell r="D193">
            <v>0</v>
          </cell>
          <cell r="E193">
            <v>0</v>
          </cell>
          <cell r="F193">
            <v>38500000000</v>
          </cell>
          <cell r="G193">
            <v>75000000000</v>
          </cell>
          <cell r="H193">
            <v>65000000</v>
          </cell>
        </row>
        <row r="194">
          <cell r="B194" t="str">
            <v>49835JAB2</v>
          </cell>
          <cell r="C194" t="str">
            <v>CB-Kizuna Re III Pte. Ltd. Series 2024-1 Class A Reset 2025</v>
          </cell>
          <cell r="D194">
            <v>0</v>
          </cell>
          <cell r="E194">
            <v>0</v>
          </cell>
          <cell r="F194">
            <v>100000000</v>
          </cell>
          <cell r="H194">
            <v>100000000</v>
          </cell>
        </row>
        <row r="195">
          <cell r="B195" t="str">
            <v>49835JAA4</v>
          </cell>
          <cell r="C195" t="str">
            <v>CB-Kizuna Re III Pte. Ltd. Series 2021-1 Class A Reset 2023</v>
          </cell>
          <cell r="D195">
            <v>0</v>
          </cell>
          <cell r="E195">
            <v>0</v>
          </cell>
          <cell r="F195">
            <v>150000000</v>
          </cell>
          <cell r="G195">
            <v>0</v>
          </cell>
          <cell r="H195">
            <v>150000000</v>
          </cell>
        </row>
        <row r="196">
          <cell r="B196" t="str">
            <v>89009PAA6</v>
          </cell>
          <cell r="C196" t="str">
            <v>CB-Tomoni Re Pte. Ltd. Series 2022-1 Class A-1 Reset 2025</v>
          </cell>
          <cell r="D196"/>
          <cell r="F196">
            <v>100000000</v>
          </cell>
          <cell r="H196">
            <v>100000000</v>
          </cell>
        </row>
        <row r="197">
          <cell r="B197" t="str">
            <v>89009PAB4</v>
          </cell>
          <cell r="C197" t="str">
            <v>CB-Tomoni Re Pte. Ltd. Series 2022-1 Class B-1 Reset 2025</v>
          </cell>
          <cell r="D197"/>
          <cell r="F197">
            <v>100000000</v>
          </cell>
          <cell r="H197">
            <v>120000000</v>
          </cell>
        </row>
        <row r="198">
          <cell r="B198" t="str">
            <v>89009PAE8</v>
          </cell>
          <cell r="C198" t="str">
            <v>CB-Tomoni Re Pte. Ltd. Series 2024-1 Class A Reset 2025</v>
          </cell>
          <cell r="D198"/>
          <cell r="F198">
            <v>100000000</v>
          </cell>
          <cell r="H198">
            <v>100000000</v>
          </cell>
        </row>
        <row r="199">
          <cell r="B199" t="str">
            <v>89009PAF5</v>
          </cell>
          <cell r="C199" t="str">
            <v>CB-Tomoni Re Pte. Ltd. Series 2024-1 Class B Reset 2025</v>
          </cell>
          <cell r="D199"/>
          <cell r="F199">
            <v>100000000</v>
          </cell>
          <cell r="H199">
            <v>100000000</v>
          </cell>
        </row>
        <row r="200">
          <cell r="B200" t="str">
            <v>63901CAA9</v>
          </cell>
          <cell r="C200" t="str">
            <v>CB-Nature Coast Re Ltd. Series 2023-1 Class A Reset 2025</v>
          </cell>
          <cell r="D200"/>
          <cell r="E200">
            <v>0</v>
          </cell>
          <cell r="F200">
            <v>164000000</v>
          </cell>
          <cell r="H200">
            <v>150000000</v>
          </cell>
        </row>
        <row r="201">
          <cell r="B201" t="str">
            <v>63901CAB7</v>
          </cell>
          <cell r="C201" t="str">
            <v>CB-Nature Coast Re Ltd. Series 2023-1 Class B Reset 2025</v>
          </cell>
          <cell r="D201"/>
          <cell r="E201">
            <v>0</v>
          </cell>
          <cell r="F201">
            <v>251000000</v>
          </cell>
          <cell r="H201">
            <v>45000000</v>
          </cell>
        </row>
        <row r="202">
          <cell r="B202" t="str">
            <v>63901CAC5</v>
          </cell>
          <cell r="C202" t="str">
            <v>CB-Nature Coast Re Ltd. Series 2024-1 Class A Reset 2025</v>
          </cell>
          <cell r="D202"/>
          <cell r="E202">
            <v>0</v>
          </cell>
          <cell r="F202">
            <v>270000000</v>
          </cell>
          <cell r="H202">
            <v>50000000</v>
          </cell>
        </row>
        <row r="203">
          <cell r="B203" t="str">
            <v>63901CAE1</v>
          </cell>
          <cell r="C203" t="str">
            <v>CB-Nature Coast Re Ltd. Series 2025-2 Class A</v>
          </cell>
          <cell r="D203"/>
          <cell r="E203">
            <v>600000000</v>
          </cell>
          <cell r="F203">
            <v>800000000</v>
          </cell>
          <cell r="H203">
            <v>150000000</v>
          </cell>
        </row>
        <row r="204">
          <cell r="B204" t="str">
            <v>159873AA6</v>
          </cell>
          <cell r="C204" t="str">
            <v>CB-Charles River Re Ltd. Series 2024-1 Class A Reset 2025</v>
          </cell>
          <cell r="D204"/>
          <cell r="E204">
            <v>130000000</v>
          </cell>
          <cell r="F204">
            <v>125000000</v>
          </cell>
          <cell r="H204">
            <v>125000000</v>
          </cell>
        </row>
        <row r="205">
          <cell r="B205" t="str">
            <v>367927AA8</v>
          </cell>
          <cell r="C205" t="str">
            <v>CB-Gateway Re II Ltd. Series 2023-1 Class A Reset 2025</v>
          </cell>
          <cell r="D205"/>
          <cell r="E205">
            <v>82000000</v>
          </cell>
          <cell r="F205">
            <v>125000000</v>
          </cell>
          <cell r="H205">
            <v>125000000</v>
          </cell>
        </row>
        <row r="206">
          <cell r="B206" t="str">
            <v>36779CAC0</v>
          </cell>
          <cell r="C206" t="str">
            <v>CB-Gateway Re Ltd. Series 2023-1 Class A Reset 2025</v>
          </cell>
          <cell r="D206"/>
          <cell r="E206">
            <v>528000000</v>
          </cell>
          <cell r="F206">
            <v>400000000</v>
          </cell>
          <cell r="H206">
            <v>300000000</v>
          </cell>
        </row>
        <row r="207">
          <cell r="B207" t="str">
            <v>36779CAD8</v>
          </cell>
          <cell r="C207" t="str">
            <v>CB-Gateway Re Ltd. Series 2023-1 Class B Reset 2025</v>
          </cell>
          <cell r="D207"/>
          <cell r="E207">
            <v>393000000</v>
          </cell>
          <cell r="F207">
            <v>135000000</v>
          </cell>
          <cell r="H207">
            <v>55000000</v>
          </cell>
        </row>
        <row r="208">
          <cell r="B208" t="str">
            <v>36779CAG1</v>
          </cell>
          <cell r="C208" t="str">
            <v>CB-Gateway Re Ltd. Series 2024-1 Class AA Reset 2025</v>
          </cell>
          <cell r="D208"/>
          <cell r="E208">
            <v>928000000</v>
          </cell>
          <cell r="F208">
            <v>132000000</v>
          </cell>
          <cell r="H208">
            <v>100000000</v>
          </cell>
        </row>
        <row r="209">
          <cell r="B209" t="str">
            <v>574591AA1</v>
          </cell>
          <cell r="C209" t="str">
            <v>CB-Maschpark Re Ltd. Series 2024-1 Class A</v>
          </cell>
          <cell r="D209"/>
          <cell r="F209">
            <v>100000000</v>
          </cell>
          <cell r="H209">
            <v>100000000</v>
          </cell>
        </row>
        <row r="210">
          <cell r="B210" t="str">
            <v>62865LAD9</v>
          </cell>
          <cell r="C210" t="str">
            <v>CB-Mystic Re IV Ltd. Series 2023-1 Class A Reset 2025</v>
          </cell>
          <cell r="D210">
            <v>0</v>
          </cell>
          <cell r="E210">
            <v>2500000000</v>
          </cell>
          <cell r="F210">
            <v>1300000000</v>
          </cell>
          <cell r="H210">
            <v>150000000</v>
          </cell>
        </row>
        <row r="211">
          <cell r="B211" t="str">
            <v>39526JAA9</v>
          </cell>
          <cell r="C211" t="str">
            <v>CB-Greengrove Re Ltd. Series 2025-1 Class A</v>
          </cell>
          <cell r="D211"/>
          <cell r="E211">
            <v>150000000</v>
          </cell>
          <cell r="F211">
            <v>100000000</v>
          </cell>
          <cell r="H211">
            <v>100000000</v>
          </cell>
        </row>
        <row r="212">
          <cell r="B212" t="str">
            <v>XS3075449036</v>
          </cell>
          <cell r="C212" t="str">
            <v>CB-Lion Re DAC Series 2025-1 Class A</v>
          </cell>
          <cell r="D212"/>
          <cell r="F212">
            <v>200000000</v>
          </cell>
          <cell r="H212">
            <v>125000000</v>
          </cell>
        </row>
        <row r="213">
          <cell r="B213" t="str">
            <v>XS3075450471</v>
          </cell>
          <cell r="C213" t="str">
            <v>CB-Lion Re DAC Series 2025-1 Class B</v>
          </cell>
          <cell r="D213"/>
          <cell r="E213">
            <v>400000000</v>
          </cell>
          <cell r="F213">
            <v>100000000</v>
          </cell>
          <cell r="H213">
            <v>75000000</v>
          </cell>
        </row>
        <row r="214">
          <cell r="B214" t="str">
            <v>53625HAA4</v>
          </cell>
          <cell r="C214" t="str">
            <v>CB-Liongate Re DAC</v>
          </cell>
          <cell r="D214">
            <v>0</v>
          </cell>
          <cell r="E214">
            <v>0</v>
          </cell>
          <cell r="F214">
            <v>100000000</v>
          </cell>
          <cell r="H214">
            <v>100000000</v>
          </cell>
        </row>
        <row r="215">
          <cell r="B215" t="str">
            <v>16140YAC6</v>
          </cell>
          <cell r="C215" t="str">
            <v>CB-Chartwell Re Ltd. Series 2025-1 Class C</v>
          </cell>
          <cell r="D215"/>
          <cell r="F215">
            <v>60000000</v>
          </cell>
          <cell r="H215">
            <v>60000000</v>
          </cell>
        </row>
        <row r="216">
          <cell r="B216" t="str">
            <v>16140YAB8</v>
          </cell>
          <cell r="C216" t="str">
            <v>CB-Chartwell Re Ltd. Series 2025-1 Class B</v>
          </cell>
          <cell r="D216"/>
          <cell r="F216">
            <v>100000000</v>
          </cell>
          <cell r="H216">
            <v>100000000</v>
          </cell>
        </row>
        <row r="217">
          <cell r="B217" t="str">
            <v>16140YAA0</v>
          </cell>
          <cell r="C217" t="str">
            <v>CB-Chartwell Re Ltd. Series 2025-1 Class A</v>
          </cell>
          <cell r="D217"/>
          <cell r="F217">
            <v>170000000</v>
          </cell>
          <cell r="H217">
            <v>170000000</v>
          </cell>
        </row>
        <row r="218">
          <cell r="B218" t="str">
            <v>44914CAC0</v>
          </cell>
          <cell r="C218" t="str">
            <v>CB-Hypatia Ltd. Series 2023-1 Class A Reset 2025</v>
          </cell>
          <cell r="D218">
            <v>0</v>
          </cell>
          <cell r="E218">
            <v>0</v>
          </cell>
          <cell r="F218">
            <v>500000000</v>
          </cell>
          <cell r="G218">
            <v>4125000000</v>
          </cell>
          <cell r="H218">
            <v>150000000</v>
          </cell>
        </row>
        <row r="219">
          <cell r="B219" t="str">
            <v>203235AB2</v>
          </cell>
          <cell r="C219" t="str">
            <v>CB-Commonwealth Re Ltd. Series 2023-1 Class A Reset 2025</v>
          </cell>
          <cell r="D219"/>
          <cell r="E219">
            <v>1600000000</v>
          </cell>
          <cell r="F219">
            <v>150000000</v>
          </cell>
          <cell r="H219">
            <v>150000000</v>
          </cell>
        </row>
        <row r="220">
          <cell r="B220" t="str">
            <v>30014LAM6</v>
          </cell>
          <cell r="C220" t="str">
            <v>CB-Everglades Re II Ltd. Series 2024-1 Class A Reset 2025</v>
          </cell>
          <cell r="D220"/>
          <cell r="F220">
            <v>1454000000</v>
          </cell>
          <cell r="G220">
            <v>9847000000</v>
          </cell>
          <cell r="H220">
            <v>450000000</v>
          </cell>
        </row>
        <row r="221">
          <cell r="B221" t="str">
            <v>30014LAN4</v>
          </cell>
          <cell r="C221" t="str">
            <v>CB-Everglades Re II Ltd. Series 2024-1 Class B Reset 2025</v>
          </cell>
          <cell r="D221">
            <v>0</v>
          </cell>
          <cell r="E221">
            <v>0</v>
          </cell>
          <cell r="F221">
            <v>1217000000</v>
          </cell>
          <cell r="G221">
            <v>8630000000</v>
          </cell>
          <cell r="H221">
            <v>425000000</v>
          </cell>
        </row>
        <row r="222">
          <cell r="B222" t="str">
            <v>30014LAP9</v>
          </cell>
          <cell r="C222" t="str">
            <v>CB-Everglades Re II Ltd. Series 2024-1 Class C Reset 2025</v>
          </cell>
          <cell r="D222"/>
          <cell r="F222">
            <v>1430000000</v>
          </cell>
          <cell r="G222">
            <v>7200000000</v>
          </cell>
          <cell r="H222">
            <v>225000000</v>
          </cell>
        </row>
        <row r="223">
          <cell r="B223" t="str">
            <v>30014LAT1</v>
          </cell>
          <cell r="C223" t="str">
            <v>CB-Everglades Re II Ltd. Series 2025-1 Class A</v>
          </cell>
          <cell r="D223"/>
          <cell r="F223">
            <v>1200000000</v>
          </cell>
          <cell r="G223">
            <v>9600000000</v>
          </cell>
          <cell r="H223">
            <v>450000000</v>
          </cell>
        </row>
        <row r="224">
          <cell r="B224" t="str">
            <v>30014LAU8</v>
          </cell>
          <cell r="C224" t="str">
            <v>CB-Everglades Re II Ltd. Series 2025-1 Class B</v>
          </cell>
          <cell r="D224">
            <v>0</v>
          </cell>
          <cell r="E224">
            <v>0</v>
          </cell>
          <cell r="F224">
            <v>1200000000</v>
          </cell>
          <cell r="G224">
            <v>8400000000</v>
          </cell>
          <cell r="H224">
            <v>475000000</v>
          </cell>
        </row>
        <row r="225">
          <cell r="B225" t="str">
            <v>30014LAV6</v>
          </cell>
          <cell r="C225" t="str">
            <v>CB-Everglades Re II Ltd. Series 2025-1 Class C</v>
          </cell>
          <cell r="D225"/>
          <cell r="F225">
            <v>1200000000</v>
          </cell>
          <cell r="G225">
            <v>7200000000</v>
          </cell>
          <cell r="H225">
            <v>375000000</v>
          </cell>
        </row>
        <row r="226">
          <cell r="B226" t="str">
            <v>30014LAW4</v>
          </cell>
          <cell r="C226" t="str">
            <v>CB-Everglades Re II Ltd. Series 2025-1 Class D</v>
          </cell>
          <cell r="D226"/>
          <cell r="F226">
            <v>711000000</v>
          </cell>
          <cell r="G226">
            <v>6489000000</v>
          </cell>
          <cell r="H226">
            <v>225000000</v>
          </cell>
        </row>
        <row r="227">
          <cell r="B227" t="str">
            <v>33774EAA2</v>
          </cell>
          <cell r="C227" t="str">
            <v>CB-Fish Pond Re Ltd. Series 2024-1 Class A Reset 2025</v>
          </cell>
          <cell r="D227">
            <v>0</v>
          </cell>
          <cell r="E227">
            <v>1025000000</v>
          </cell>
          <cell r="F227">
            <v>400000000</v>
          </cell>
          <cell r="H227">
            <v>255000000</v>
          </cell>
        </row>
        <row r="228">
          <cell r="B228" t="str">
            <v>62426LAA7</v>
          </cell>
          <cell r="C228" t="str">
            <v>CB-Mountain Re Ltd. Series 2023-1 Class A Reset 2025</v>
          </cell>
          <cell r="D228"/>
          <cell r="E228">
            <v>75000000</v>
          </cell>
          <cell r="F228">
            <v>110000000</v>
          </cell>
          <cell r="H228">
            <v>110000000</v>
          </cell>
        </row>
        <row r="229">
          <cell r="B229" t="str">
            <v>62865LAE7</v>
          </cell>
          <cell r="C229" t="str">
            <v>CB-Mystic Re IV Ltd. Series 2024-1 Class A Reset 2025</v>
          </cell>
          <cell r="D229">
            <v>0</v>
          </cell>
          <cell r="E229">
            <v>796000000</v>
          </cell>
          <cell r="F229">
            <v>511000000</v>
          </cell>
          <cell r="H229">
            <v>300000000</v>
          </cell>
        </row>
        <row r="230">
          <cell r="B230" t="str">
            <v>666842AF6</v>
          </cell>
          <cell r="C230" t="str">
            <v>CB-Northshore Re II Ltd. Series 2025-1 Class A</v>
          </cell>
          <cell r="D230"/>
          <cell r="E230">
            <v>665000000</v>
          </cell>
          <cell r="F230">
            <v>200000000</v>
          </cell>
          <cell r="H230">
            <v>200000000</v>
          </cell>
        </row>
        <row r="231">
          <cell r="B231" t="str">
            <v>67550LAA4</v>
          </cell>
          <cell r="C231" t="str">
            <v>CB-Oceanside Re Ltd. Series 2025-1 Class A</v>
          </cell>
          <cell r="D231"/>
          <cell r="E231">
            <v>50000000</v>
          </cell>
          <cell r="F231">
            <v>100000000</v>
          </cell>
          <cell r="H231">
            <v>75000000</v>
          </cell>
        </row>
        <row r="232">
          <cell r="B232" t="str">
            <v>69664FAA6</v>
          </cell>
          <cell r="C232" t="str">
            <v>CB-Palm Re Ltd. Series 2024-1 Class A Reset 2025</v>
          </cell>
          <cell r="D232"/>
          <cell r="E232">
            <v>745000000</v>
          </cell>
          <cell r="F232">
            <v>300000000</v>
          </cell>
          <cell r="H232">
            <v>150000000</v>
          </cell>
        </row>
        <row r="233">
          <cell r="B233" t="str">
            <v>975660AA9</v>
          </cell>
          <cell r="C233" t="str">
            <v>CB-Winston Re Ltd. Series 2024-1 Class A Reset 2025</v>
          </cell>
          <cell r="D233">
            <v>0</v>
          </cell>
          <cell r="E233">
            <v>800000000</v>
          </cell>
          <cell r="F233">
            <v>250000000</v>
          </cell>
          <cell r="H233">
            <v>250000000</v>
          </cell>
        </row>
        <row r="234">
          <cell r="B234" t="str">
            <v>975660AB7</v>
          </cell>
          <cell r="C234" t="str">
            <v>CB-Winston Re Ltd. Series 2024-1 Class B Reset 2025</v>
          </cell>
          <cell r="D234">
            <v>0</v>
          </cell>
          <cell r="E234">
            <v>600000000</v>
          </cell>
          <cell r="F234">
            <v>200000000</v>
          </cell>
          <cell r="H234">
            <v>150000000</v>
          </cell>
        </row>
        <row r="235">
          <cell r="B235" t="str">
            <v>975660AC5</v>
          </cell>
          <cell r="C235" t="str">
            <v>CB-Winston Re Ltd. Series 2025-1 Class A</v>
          </cell>
          <cell r="D235">
            <v>0</v>
          </cell>
          <cell r="E235">
            <v>925000000</v>
          </cell>
          <cell r="F235">
            <v>200000000</v>
          </cell>
          <cell r="H235">
            <v>175000000</v>
          </cell>
        </row>
        <row r="236">
          <cell r="B236" t="str">
            <v>69664FAB4</v>
          </cell>
          <cell r="C236" t="str">
            <v>CB-Palm Re Ltd. Series 2025-1 Class A</v>
          </cell>
          <cell r="D236"/>
          <cell r="E236">
            <v>1045000000</v>
          </cell>
          <cell r="F236">
            <v>400000000</v>
          </cell>
          <cell r="H236">
            <v>250000000</v>
          </cell>
        </row>
        <row r="237">
          <cell r="B237" t="str">
            <v>00485YAD1</v>
          </cell>
          <cell r="C237" t="str">
            <v>CB-Acorn Re Ltd. Series 2023-1 Class A</v>
          </cell>
          <cell r="D237">
            <v>0</v>
          </cell>
          <cell r="E237">
            <v>0</v>
          </cell>
          <cell r="F237">
            <v>150000000</v>
          </cell>
          <cell r="H237">
            <v>150000000</v>
          </cell>
        </row>
        <row r="238">
          <cell r="B238" t="str">
            <v>00485YAE9</v>
          </cell>
          <cell r="C238" t="str">
            <v>CB-Acorn Re Ltd. Series 2024-1 Class A</v>
          </cell>
          <cell r="D238">
            <v>0</v>
          </cell>
          <cell r="E238">
            <v>0</v>
          </cell>
          <cell r="F238">
            <v>225000000</v>
          </cell>
          <cell r="H238">
            <v>225000000</v>
          </cell>
        </row>
        <row r="239">
          <cell r="B239" t="str">
            <v>00485YAF6</v>
          </cell>
          <cell r="C239" t="str">
            <v>CB-Acorn Re Ltd. Series 2024-1 Class B</v>
          </cell>
          <cell r="D239">
            <v>0</v>
          </cell>
          <cell r="E239">
            <v>0</v>
          </cell>
          <cell r="F239">
            <v>225000000</v>
          </cell>
          <cell r="H239">
            <v>225000000</v>
          </cell>
        </row>
        <row r="240">
          <cell r="B240" t="str">
            <v>91734PAF3</v>
          </cell>
          <cell r="C240" t="str">
            <v>CB-Ursa Re II Ltd. Series 2022-2 Class AA Reset 2024</v>
          </cell>
          <cell r="D240">
            <v>0</v>
          </cell>
          <cell r="E240">
            <v>0</v>
          </cell>
          <cell r="F240">
            <v>1000000000</v>
          </cell>
          <cell r="G240">
            <v>8184000000</v>
          </cell>
          <cell r="H240">
            <v>185000000</v>
          </cell>
        </row>
        <row r="241">
          <cell r="B241" t="str">
            <v>91734PAG1</v>
          </cell>
          <cell r="C241" t="str">
            <v>CB-Ursa Re II Ltd. Series 2022-2 Class C Reset 2024</v>
          </cell>
          <cell r="D241">
            <v>0</v>
          </cell>
          <cell r="E241">
            <v>0</v>
          </cell>
          <cell r="F241">
            <v>500000000</v>
          </cell>
          <cell r="G241">
            <v>4222000000</v>
          </cell>
          <cell r="H241">
            <v>120000000</v>
          </cell>
        </row>
        <row r="242">
          <cell r="B242" t="str">
            <v>91734PAH9</v>
          </cell>
          <cell r="C242" t="str">
            <v>CB-Ursa Re II Ltd. Series 2025-1 Class G</v>
          </cell>
          <cell r="D242"/>
          <cell r="F242">
            <v>400000000</v>
          </cell>
          <cell r="G242">
            <v>1700000000</v>
          </cell>
          <cell r="H242">
            <v>400000000</v>
          </cell>
        </row>
        <row r="243">
          <cell r="B243" t="str">
            <v>90323WAN0</v>
          </cell>
          <cell r="C243" t="str">
            <v>CB-Ursa Re Ltd. Series 2023-2 Class E Reset 2024</v>
          </cell>
          <cell r="D243">
            <v>0</v>
          </cell>
          <cell r="E243">
            <v>0</v>
          </cell>
          <cell r="F243">
            <v>500000000</v>
          </cell>
          <cell r="G243">
            <v>2776000000</v>
          </cell>
          <cell r="H243">
            <v>230000000</v>
          </cell>
        </row>
        <row r="244">
          <cell r="B244" t="str">
            <v>90323WAP5</v>
          </cell>
          <cell r="C244" t="str">
            <v>CB-Ursa Re Ltd. Series 2023-3 Class AA Reset 2024</v>
          </cell>
          <cell r="D244">
            <v>0</v>
          </cell>
          <cell r="E244">
            <v>0</v>
          </cell>
          <cell r="F244">
            <v>1000000000</v>
          </cell>
          <cell r="G244">
            <v>8184000000</v>
          </cell>
          <cell r="H244">
            <v>300000000</v>
          </cell>
        </row>
        <row r="245">
          <cell r="B245" t="str">
            <v>90323WAQ3</v>
          </cell>
          <cell r="C245" t="str">
            <v>CB-Ursa Re Ltd. Series 2023-3 Class D Reset 2024</v>
          </cell>
          <cell r="D245">
            <v>0</v>
          </cell>
          <cell r="E245">
            <v>0</v>
          </cell>
          <cell r="F245">
            <v>500000000</v>
          </cell>
          <cell r="G245">
            <v>3567000000</v>
          </cell>
          <cell r="H245">
            <v>350000000</v>
          </cell>
        </row>
        <row r="246">
          <cell r="B246" t="str">
            <v>90323WAL4</v>
          </cell>
          <cell r="C246" t="str">
            <v>CB-Ursa Re Ltd. Series 2023-1 Class AA Reset 2024</v>
          </cell>
          <cell r="D246">
            <v>0</v>
          </cell>
          <cell r="E246">
            <v>0</v>
          </cell>
          <cell r="F246">
            <v>1000000000</v>
          </cell>
          <cell r="G246">
            <v>8184000000</v>
          </cell>
          <cell r="H246">
            <v>125000000</v>
          </cell>
        </row>
        <row r="247">
          <cell r="B247" t="str">
            <v>90323WAM2</v>
          </cell>
          <cell r="C247" t="str">
            <v>CB-Ursa Re Ltd. Series 2023-1 Class C Reset 2024</v>
          </cell>
          <cell r="D247">
            <v>0</v>
          </cell>
          <cell r="E247">
            <v>0</v>
          </cell>
          <cell r="F247">
            <v>500000000</v>
          </cell>
          <cell r="G247">
            <v>4222000000</v>
          </cell>
          <cell r="H247">
            <v>75000000</v>
          </cell>
        </row>
        <row r="248">
          <cell r="B248" t="str">
            <v>90323WAR1</v>
          </cell>
          <cell r="C248" t="str">
            <v>CB-Ursa Re Ltd. Series 2025-1 Class F</v>
          </cell>
          <cell r="D248">
            <v>0</v>
          </cell>
          <cell r="E248">
            <v>0</v>
          </cell>
          <cell r="F248">
            <v>500000000</v>
          </cell>
          <cell r="G248">
            <v>2100000000</v>
          </cell>
          <cell r="H248">
            <v>400000000</v>
          </cell>
        </row>
        <row r="249">
          <cell r="B249" t="str">
            <v>613752AB0</v>
          </cell>
          <cell r="C249" t="str">
            <v>CB-Montoya Re Ltd. Series 2022-2 Class A Reset 2025</v>
          </cell>
          <cell r="D249">
            <v>0</v>
          </cell>
          <cell r="F249">
            <v>87000000</v>
          </cell>
          <cell r="G249">
            <v>178000000</v>
          </cell>
          <cell r="H249">
            <v>110000000</v>
          </cell>
        </row>
        <row r="250">
          <cell r="B250" t="str">
            <v>XS2630523749</v>
          </cell>
          <cell r="C250" t="str">
            <v>CB-Totara Re Pte. Ltd. Series 2023-1 Class A Reset 2025</v>
          </cell>
          <cell r="D250"/>
          <cell r="E250">
            <v>2172000000</v>
          </cell>
          <cell r="F250">
            <v>272000000</v>
          </cell>
          <cell r="H250">
            <v>225000000</v>
          </cell>
        </row>
        <row r="251">
          <cell r="B251" t="str">
            <v>33975CAM7</v>
          </cell>
          <cell r="C251" t="str">
            <v>CB-FloodSmart Re Ltd. Series 2023-1 Class A Reset 2025</v>
          </cell>
          <cell r="D251">
            <v>0</v>
          </cell>
          <cell r="E251">
            <v>8000000000</v>
          </cell>
          <cell r="F251">
            <v>2465000000</v>
          </cell>
          <cell r="H251">
            <v>225000000</v>
          </cell>
        </row>
        <row r="252">
          <cell r="B252" t="str">
            <v>33975CAN5</v>
          </cell>
          <cell r="C252" t="str">
            <v>CB-FloodSmart Re Ltd. Series 2023-1 Class B Reset 2025</v>
          </cell>
          <cell r="D252">
            <v>0</v>
          </cell>
          <cell r="E252">
            <v>7000000000</v>
          </cell>
          <cell r="F252">
            <v>1516000000</v>
          </cell>
          <cell r="H252">
            <v>50000000</v>
          </cell>
        </row>
        <row r="253">
          <cell r="B253" t="str">
            <v>33975CAP0</v>
          </cell>
          <cell r="C253" t="str">
            <v>CB-FloodSmart Re Ltd. Series 2024-1 Class A Reset 2025</v>
          </cell>
          <cell r="D253">
            <v>0</v>
          </cell>
          <cell r="E253">
            <v>9000000000</v>
          </cell>
          <cell r="F253">
            <v>2000000000</v>
          </cell>
          <cell r="H253">
            <v>475000000</v>
          </cell>
        </row>
        <row r="254">
          <cell r="B254" t="str">
            <v>33975CAQ8</v>
          </cell>
          <cell r="C254" t="str">
            <v>CB-FloodSmart Re Ltd. Series 2024-1 Class B Reset 2025</v>
          </cell>
          <cell r="D254">
            <v>0</v>
          </cell>
          <cell r="E254">
            <v>8000000000</v>
          </cell>
          <cell r="F254">
            <v>1000000000</v>
          </cell>
          <cell r="H254">
            <v>100000000</v>
          </cell>
        </row>
        <row r="255">
          <cell r="B255" t="str">
            <v>349939AA6</v>
          </cell>
          <cell r="C255" t="str">
            <v>CB-Foundation Re IV Ltd. Series 2023-1 Class A Reset 2025</v>
          </cell>
          <cell r="D255"/>
          <cell r="E255">
            <v>1191000000</v>
          </cell>
          <cell r="F255">
            <v>301000000</v>
          </cell>
          <cell r="H255">
            <v>200000000</v>
          </cell>
        </row>
        <row r="256">
          <cell r="B256" t="str">
            <v>XS2865536135</v>
          </cell>
          <cell r="C256" t="str">
            <v>CB-Quercus Re DAC Reset 2025</v>
          </cell>
          <cell r="D256"/>
          <cell r="E256">
            <v>0</v>
          </cell>
          <cell r="F256">
            <v>150000000</v>
          </cell>
          <cell r="H256">
            <v>150000000</v>
          </cell>
        </row>
        <row r="257">
          <cell r="B257" t="str">
            <v>785628AA6</v>
          </cell>
          <cell r="C257" t="str">
            <v>CB-Sabine Re Ltd. Series 2024-1 Class A Reset 2025</v>
          </cell>
          <cell r="D257"/>
          <cell r="E257">
            <v>190000000</v>
          </cell>
          <cell r="F257">
            <v>100000000</v>
          </cell>
          <cell r="H257">
            <v>100000000</v>
          </cell>
        </row>
        <row r="258">
          <cell r="B258" t="str">
            <v>79381MAD6</v>
          </cell>
          <cell r="C258" t="str">
            <v>CB-Sakura Re Ltd. Series 2025-1 Class A</v>
          </cell>
          <cell r="D258"/>
          <cell r="F258">
            <v>150000000</v>
          </cell>
          <cell r="H258">
            <v>150000000</v>
          </cell>
        </row>
        <row r="259">
          <cell r="B259" t="str">
            <v>83423TAA9</v>
          </cell>
          <cell r="C259" t="str">
            <v>CB-Solis Re Ltd. Series 2025-1 Class A</v>
          </cell>
          <cell r="D259"/>
          <cell r="E259">
            <v>250000000</v>
          </cell>
          <cell r="F259">
            <v>200000000</v>
          </cell>
          <cell r="H259">
            <v>150000000</v>
          </cell>
        </row>
        <row r="260">
          <cell r="B260" t="str">
            <v>87609TAA6</v>
          </cell>
          <cell r="C260" t="str">
            <v>CB-Taranis Re DAC Class A Reset 2025</v>
          </cell>
          <cell r="D260">
            <v>0</v>
          </cell>
          <cell r="E260">
            <v>300000000</v>
          </cell>
          <cell r="F260">
            <v>300000000</v>
          </cell>
          <cell r="H260">
            <v>110000000</v>
          </cell>
        </row>
        <row r="261">
          <cell r="B261" t="str">
            <v>87609TAB4</v>
          </cell>
          <cell r="C261" t="str">
            <v>CB-Taranis Re DAC Class B Reset 2025</v>
          </cell>
          <cell r="D261">
            <v>90000000</v>
          </cell>
          <cell r="E261">
            <v>75000000</v>
          </cell>
          <cell r="F261">
            <v>90000000</v>
          </cell>
          <cell r="G261">
            <v>90000000</v>
          </cell>
          <cell r="H261">
            <v>50000000</v>
          </cell>
        </row>
        <row r="262">
          <cell r="B262" t="str">
            <v>982533AC5</v>
          </cell>
          <cell r="C262" t="str">
            <v>CB-Wrigley Re Ltd. Series 2023-1 Class B Reset 2025</v>
          </cell>
          <cell r="D262"/>
          <cell r="F262">
            <v>150000000</v>
          </cell>
          <cell r="G262">
            <v>750000000</v>
          </cell>
          <cell r="H262">
            <v>150000000</v>
          </cell>
        </row>
        <row r="263">
          <cell r="B263" t="str">
            <v>982533AB7</v>
          </cell>
          <cell r="C263" t="str">
            <v>CB-Wrigley Re Ltd. Series 2023-1 Class A Reset 2025</v>
          </cell>
          <cell r="D263"/>
          <cell r="F263">
            <v>300000000</v>
          </cell>
          <cell r="H263">
            <v>100000000</v>
          </cell>
        </row>
        <row r="264">
          <cell r="B264" t="str">
            <v>98740RAB5</v>
          </cell>
          <cell r="C264" t="str">
            <v>CB-Yosemite Re Ltd. Series 2025-1 Class A</v>
          </cell>
          <cell r="D264"/>
          <cell r="E264">
            <v>280000000</v>
          </cell>
          <cell r="F264">
            <v>110000000</v>
          </cell>
          <cell r="H264">
            <v>95000000</v>
          </cell>
        </row>
        <row r="265">
          <cell r="B265" t="str">
            <v>613752AC8</v>
          </cell>
          <cell r="C265" t="str">
            <v>CB-Montoya Re Ltd. Series 2024-1 Class A Reset 2025</v>
          </cell>
          <cell r="D265">
            <v>0</v>
          </cell>
          <cell r="F265">
            <v>36000000</v>
          </cell>
          <cell r="G265">
            <v>142000000</v>
          </cell>
          <cell r="H265">
            <v>100000000</v>
          </cell>
        </row>
        <row r="266">
          <cell r="B266" t="str">
            <v>54180TAA3</v>
          </cell>
          <cell r="C266" t="str">
            <v>CB-Fuchsia Series 2023-1 Class A Reset 2025</v>
          </cell>
          <cell r="D266"/>
          <cell r="E266">
            <v>600000000</v>
          </cell>
          <cell r="F266">
            <v>300000000</v>
          </cell>
          <cell r="H266">
            <v>100000000</v>
          </cell>
        </row>
        <row r="267">
          <cell r="B267" t="str">
            <v>541917AA8</v>
          </cell>
          <cell r="C267" t="str">
            <v>CB-Fuchsia 2 Series 2024-1 Class A Reset 2025</v>
          </cell>
          <cell r="D267">
            <v>0</v>
          </cell>
          <cell r="E267">
            <v>900000000</v>
          </cell>
          <cell r="F267">
            <v>300000000</v>
          </cell>
          <cell r="H267">
            <v>200000000</v>
          </cell>
        </row>
        <row r="268">
          <cell r="B268" t="str">
            <v>613752AD6</v>
          </cell>
          <cell r="C268" t="str">
            <v>CB-Montoya Re Ltd. Series 2025-1 Class A Reset 2025</v>
          </cell>
          <cell r="D268"/>
          <cell r="F268">
            <v>85000000</v>
          </cell>
          <cell r="G268">
            <v>189000000</v>
          </cell>
          <cell r="H268">
            <v>85000000</v>
          </cell>
        </row>
        <row r="269">
          <cell r="B269" t="str">
            <v>613752AE4</v>
          </cell>
          <cell r="C269" t="str">
            <v>CB-Montoya Re Ltd. Series 2025-1 Class B Reset 2025</v>
          </cell>
          <cell r="D269">
            <v>5000000</v>
          </cell>
          <cell r="E269">
            <v>25000000</v>
          </cell>
          <cell r="F269">
            <v>5000000</v>
          </cell>
          <cell r="G269">
            <v>5000000</v>
          </cell>
          <cell r="H269">
            <v>30000000</v>
          </cell>
        </row>
        <row r="270">
          <cell r="B270" t="str">
            <v>62865LAF4</v>
          </cell>
          <cell r="C270" t="str">
            <v>CB-Mystic Re IV Ltd. Series 2025-1 Class A</v>
          </cell>
          <cell r="D270">
            <v>0</v>
          </cell>
          <cell r="E270">
            <v>2500000000</v>
          </cell>
          <cell r="F270">
            <v>1300000000</v>
          </cell>
          <cell r="H270">
            <v>125000000</v>
          </cell>
        </row>
        <row r="271">
          <cell r="B271" t="str">
            <v>62865LAG2</v>
          </cell>
          <cell r="C271" t="str">
            <v>CB-Mystic Re IV Ltd. Series 2025-1 Class B</v>
          </cell>
          <cell r="D271">
            <v>0</v>
          </cell>
          <cell r="E271">
            <v>1000000000</v>
          </cell>
          <cell r="F271">
            <v>750000000</v>
          </cell>
          <cell r="H271">
            <v>100000000</v>
          </cell>
        </row>
        <row r="272">
          <cell r="B272" t="str">
            <v>62865LAH0</v>
          </cell>
          <cell r="C272" t="str">
            <v>CB-Mystic Re IV Ltd. Series 2025-1 Class C</v>
          </cell>
          <cell r="D272">
            <v>0</v>
          </cell>
          <cell r="E272">
            <v>0</v>
          </cell>
          <cell r="F272">
            <v>500000000</v>
          </cell>
          <cell r="G272">
            <v>2400000000</v>
          </cell>
          <cell r="H272">
            <v>100000000</v>
          </cell>
        </row>
        <row r="273">
          <cell r="B273" t="str">
            <v>011395AJ9</v>
          </cell>
          <cell r="C273" t="str">
            <v>CB-Alamo Re Ltd. Series 2023-1 Class A Reset 2025</v>
          </cell>
          <cell r="D273"/>
          <cell r="F273">
            <v>1000000000</v>
          </cell>
          <cell r="G273">
            <v>3800000000</v>
          </cell>
          <cell r="H273">
            <v>500000000</v>
          </cell>
        </row>
        <row r="274">
          <cell r="B274" t="str">
            <v>011395AN0</v>
          </cell>
          <cell r="C274" t="str">
            <v>CB-Alamo Re Ltd. Series 2024-1 Class A Reset 2025</v>
          </cell>
          <cell r="D274"/>
          <cell r="F274">
            <v>1427000000</v>
          </cell>
          <cell r="G274">
            <v>4800000000</v>
          </cell>
          <cell r="H274">
            <v>500000000</v>
          </cell>
        </row>
        <row r="275">
          <cell r="B275" t="str">
            <v>011395AP5</v>
          </cell>
          <cell r="C275" t="str">
            <v>CB-Alamo Re Ltd. Series 2024-1 Class B Reset 2025</v>
          </cell>
          <cell r="D275"/>
          <cell r="F275">
            <v>1000000000</v>
          </cell>
          <cell r="G275">
            <v>3800000000</v>
          </cell>
          <cell r="H275">
            <v>500000000</v>
          </cell>
        </row>
        <row r="276">
          <cell r="B276" t="str">
            <v>011395AQ3</v>
          </cell>
          <cell r="C276" t="str">
            <v>CB-Alamo Re Ltd. Series 2024-1 Class C Reset 2025</v>
          </cell>
          <cell r="D276"/>
          <cell r="F276">
            <v>1800000000</v>
          </cell>
          <cell r="G276">
            <v>2000000000</v>
          </cell>
          <cell r="H276">
            <v>400000000</v>
          </cell>
        </row>
        <row r="277">
          <cell r="B277" t="str">
            <v>89055TAA1</v>
          </cell>
          <cell r="C277" t="str">
            <v>CB-Topanga Re Ltd. Series 2021-1 Class A Reset 2025</v>
          </cell>
          <cell r="D277"/>
          <cell r="E277">
            <v>600000000</v>
          </cell>
          <cell r="F277">
            <v>767000000</v>
          </cell>
          <cell r="H277">
            <v>100000000</v>
          </cell>
        </row>
        <row r="278">
          <cell r="B278" t="str">
            <v>799925AA0</v>
          </cell>
          <cell r="C278" t="str">
            <v>CB-Sanders Re III Ltd. Series 2023-2 Class A Reset 2025</v>
          </cell>
          <cell r="D278">
            <v>0</v>
          </cell>
          <cell r="E278">
            <v>30000000</v>
          </cell>
          <cell r="F278">
            <v>300000000</v>
          </cell>
          <cell r="H278">
            <v>300000000</v>
          </cell>
        </row>
        <row r="279">
          <cell r="B279" t="str">
            <v>608800AJ7</v>
          </cell>
          <cell r="C279" t="str">
            <v>CB-Mona Lisa Re Ltd. Series 2025-1 Class A</v>
          </cell>
          <cell r="D279">
            <v>0</v>
          </cell>
          <cell r="E279">
            <v>0</v>
          </cell>
          <cell r="F279">
            <v>200000000</v>
          </cell>
          <cell r="G279">
            <v>1200000000</v>
          </cell>
          <cell r="H279">
            <v>175000000</v>
          </cell>
        </row>
        <row r="280">
          <cell r="B280" t="str">
            <v>608800AK4</v>
          </cell>
          <cell r="C280" t="str">
            <v>CB-Mona Lisa Re Ltd. Series 2025-1 Class B</v>
          </cell>
          <cell r="D280">
            <v>0</v>
          </cell>
          <cell r="E280">
            <v>0</v>
          </cell>
          <cell r="F280">
            <v>200000000</v>
          </cell>
          <cell r="G280">
            <v>1000000000</v>
          </cell>
          <cell r="H280">
            <v>175000000</v>
          </cell>
        </row>
        <row r="281">
          <cell r="B281" t="str">
            <v>608800AH1</v>
          </cell>
          <cell r="C281" t="str">
            <v>CB-Mona Lisa Re Ltd. Series 2024-1 Class A Reset 2025</v>
          </cell>
          <cell r="D281">
            <v>0</v>
          </cell>
          <cell r="E281">
            <v>0</v>
          </cell>
          <cell r="F281">
            <v>150000000</v>
          </cell>
          <cell r="G281">
            <v>940000000</v>
          </cell>
          <cell r="H281">
            <v>150000000</v>
          </cell>
        </row>
        <row r="282">
          <cell r="B282" t="str">
            <v>608800AF5</v>
          </cell>
          <cell r="C282" t="str">
            <v>CB-Mona Lisa Re Ltd. Series 2023-1 Class A Reset 2025</v>
          </cell>
          <cell r="D282">
            <v>0</v>
          </cell>
          <cell r="E282">
            <v>0</v>
          </cell>
          <cell r="F282">
            <v>240000000</v>
          </cell>
          <cell r="G282">
            <v>959000000</v>
          </cell>
          <cell r="H282">
            <v>85000000</v>
          </cell>
        </row>
        <row r="283">
          <cell r="B283" t="str">
            <v>608800AG3</v>
          </cell>
          <cell r="C283" t="str">
            <v>CB-Mona Lisa Re Ltd. Series 2023-1 Class B Reset 2025</v>
          </cell>
          <cell r="D283">
            <v>0</v>
          </cell>
          <cell r="E283">
            <v>1249000000</v>
          </cell>
          <cell r="F283">
            <v>208000000</v>
          </cell>
          <cell r="H283">
            <v>100000000</v>
          </cell>
        </row>
        <row r="284">
          <cell r="B284">
            <v>272383405</v>
          </cell>
          <cell r="C284" t="str">
            <v>CB-King Max Re DAC Reset 2025</v>
          </cell>
          <cell r="D284"/>
          <cell r="E284">
            <v>900000000</v>
          </cell>
          <cell r="F284">
            <v>250000000</v>
          </cell>
          <cell r="H284">
            <v>175000000</v>
          </cell>
        </row>
        <row r="285">
          <cell r="B285" t="str">
            <v>XS2931270180</v>
          </cell>
          <cell r="C285" t="str">
            <v>CB-Orange Capital Re DAC Series 2024-1 Class A</v>
          </cell>
          <cell r="D285"/>
          <cell r="E285">
            <v>375000000</v>
          </cell>
          <cell r="F285">
            <v>75000000</v>
          </cell>
          <cell r="H285">
            <v>75000000</v>
          </cell>
        </row>
        <row r="286">
          <cell r="B286" t="str">
            <v>XS2722275190</v>
          </cell>
          <cell r="C286" t="str">
            <v>CB-Orange Capital Re DAC Series 2023-1 Class A Reset 2025</v>
          </cell>
          <cell r="D286"/>
          <cell r="E286">
            <v>275000000</v>
          </cell>
          <cell r="F286">
            <v>75000000</v>
          </cell>
          <cell r="H286">
            <v>75000000</v>
          </cell>
        </row>
        <row r="287">
          <cell r="B287" t="str">
            <v>539694AA7</v>
          </cell>
          <cell r="C287" t="str">
            <v>CB-Locke Tavern Re Ltd. Series 2023-1 Class A Reset 2025</v>
          </cell>
          <cell r="D287"/>
          <cell r="E287">
            <v>1100000000</v>
          </cell>
          <cell r="F287">
            <v>450000000</v>
          </cell>
          <cell r="H287">
            <v>175000000</v>
          </cell>
        </row>
        <row r="288">
          <cell r="B288" t="str">
            <v>42703VAG8</v>
          </cell>
          <cell r="C288" t="str">
            <v>CB-Herbie Re Ltd. Series 2024-1 Class A Reset 2025</v>
          </cell>
          <cell r="D288">
            <v>0</v>
          </cell>
          <cell r="E288">
            <v>0</v>
          </cell>
          <cell r="F288">
            <v>47163000000</v>
          </cell>
          <cell r="G288">
            <v>102823000000</v>
          </cell>
          <cell r="H288">
            <v>100000000</v>
          </cell>
        </row>
        <row r="289">
          <cell r="B289" t="str">
            <v>42703VAH6</v>
          </cell>
          <cell r="C289" t="str">
            <v>CB-Herbie Re Ltd. Series 2024-1 Class B Reset 2025</v>
          </cell>
          <cell r="D289">
            <v>0</v>
          </cell>
          <cell r="E289">
            <v>0</v>
          </cell>
          <cell r="F289">
            <v>44649000000</v>
          </cell>
          <cell r="G289">
            <v>77130000000</v>
          </cell>
          <cell r="H289">
            <v>50000000</v>
          </cell>
        </row>
        <row r="290">
          <cell r="B290" t="str">
            <v>42703VAJ2</v>
          </cell>
          <cell r="C290" t="str">
            <v>CB-Herbie Re Ltd. Series 2024-2 Class A</v>
          </cell>
          <cell r="D290">
            <v>0</v>
          </cell>
          <cell r="E290">
            <v>0</v>
          </cell>
          <cell r="F290">
            <v>40000000000</v>
          </cell>
          <cell r="G290">
            <v>110000000000</v>
          </cell>
          <cell r="H290">
            <v>150000000</v>
          </cell>
        </row>
        <row r="291">
          <cell r="B291" t="str">
            <v>42703VAK9</v>
          </cell>
          <cell r="C291" t="str">
            <v>CB-Herbie Re Ltd. Series 2024-2 Class B</v>
          </cell>
          <cell r="D291">
            <v>0</v>
          </cell>
          <cell r="E291">
            <v>0</v>
          </cell>
          <cell r="F291">
            <v>43000000000</v>
          </cell>
          <cell r="G291">
            <v>78000000000</v>
          </cell>
          <cell r="H291">
            <v>150000000</v>
          </cell>
        </row>
        <row r="292">
          <cell r="B292" t="str">
            <v>42703VAL7</v>
          </cell>
          <cell r="C292" t="str">
            <v>CB-Herbie Re Ltd. Series 2024-2 Class C</v>
          </cell>
          <cell r="D292">
            <v>0</v>
          </cell>
          <cell r="E292">
            <v>0</v>
          </cell>
          <cell r="F292">
            <v>40000000000</v>
          </cell>
          <cell r="G292">
            <v>38000000000</v>
          </cell>
          <cell r="H292">
            <v>75000000</v>
          </cell>
        </row>
        <row r="293">
          <cell r="B293" t="str">
            <v>42703VAF0</v>
          </cell>
          <cell r="C293" t="str">
            <v>CB-Herbie Re Ltd. Series 2022-1 Class A Reset 2025</v>
          </cell>
          <cell r="D293">
            <v>0</v>
          </cell>
          <cell r="E293">
            <v>0</v>
          </cell>
          <cell r="F293">
            <v>7671000000</v>
          </cell>
          <cell r="G293">
            <v>11833000000</v>
          </cell>
          <cell r="H293">
            <v>80000000</v>
          </cell>
        </row>
        <row r="294">
          <cell r="B294" t="str">
            <v>54279PAA3</v>
          </cell>
          <cell r="C294" t="str">
            <v>CB-Long Point Re IV Ltd. Series 2022-1 Class A Reset 2025</v>
          </cell>
          <cell r="D294">
            <v>0</v>
          </cell>
          <cell r="E294">
            <v>2887000000</v>
          </cell>
          <cell r="F294">
            <v>575000000</v>
          </cell>
          <cell r="H294">
            <v>575000000</v>
          </cell>
        </row>
        <row r="295">
          <cell r="B295" t="str">
            <v>86944RAE8</v>
          </cell>
          <cell r="C295" t="str">
            <v>CB-Sutter Re Ltd. Series 2023-1 Class B Reset 2025</v>
          </cell>
          <cell r="D295">
            <v>0</v>
          </cell>
          <cell r="E295">
            <v>0</v>
          </cell>
          <cell r="F295">
            <v>500000000</v>
          </cell>
          <cell r="G295">
            <v>5479000000</v>
          </cell>
          <cell r="H295">
            <v>225000000</v>
          </cell>
        </row>
        <row r="296">
          <cell r="B296" t="str">
            <v>86944RAF5</v>
          </cell>
          <cell r="C296" t="str">
            <v>CB-Sutter Re Ltd. Series 2023-1 Class E Reset 2025</v>
          </cell>
          <cell r="D296">
            <v>0</v>
          </cell>
          <cell r="E296">
            <v>0</v>
          </cell>
          <cell r="F296">
            <v>500000000</v>
          </cell>
          <cell r="G296">
            <v>2920000000</v>
          </cell>
          <cell r="H296">
            <v>200000000</v>
          </cell>
        </row>
        <row r="297">
          <cell r="B297" t="str">
            <v>XS2845137541</v>
          </cell>
          <cell r="C297" t="str">
            <v>CB-Windmill III Re DAC Series 2024-1 Class A Reset 2025</v>
          </cell>
          <cell r="D297">
            <v>0</v>
          </cell>
          <cell r="E297">
            <v>525000000</v>
          </cell>
          <cell r="F297">
            <v>150000000</v>
          </cell>
          <cell r="H297">
            <v>100000000</v>
          </cell>
        </row>
        <row r="298">
          <cell r="B298" t="str">
            <v>888329AC3</v>
          </cell>
          <cell r="C298" t="str">
            <v>CB-Titania Re Ltd. Series 2023-1 Class A Reset 2025</v>
          </cell>
          <cell r="D298"/>
          <cell r="F298">
            <v>250000000</v>
          </cell>
          <cell r="G298">
            <v>2920000000</v>
          </cell>
          <cell r="H298">
            <v>75000000</v>
          </cell>
        </row>
        <row r="299">
          <cell r="B299" t="str">
            <v>888329AD1</v>
          </cell>
          <cell r="C299" t="str">
            <v>CB-Titania Re Ltd. Series 2023-1 Class B Reset 2025</v>
          </cell>
          <cell r="D299"/>
          <cell r="E299">
            <v>1800000000</v>
          </cell>
          <cell r="F299">
            <v>312000000</v>
          </cell>
          <cell r="H299">
            <v>50000000</v>
          </cell>
        </row>
        <row r="300">
          <cell r="B300" t="str">
            <v>888329AE9</v>
          </cell>
          <cell r="C300" t="str">
            <v>CB-Titania Re Ltd. Series 2024-1 Class A</v>
          </cell>
          <cell r="D300"/>
          <cell r="F300">
            <v>1225000000</v>
          </cell>
          <cell r="G300">
            <v>3065000000</v>
          </cell>
          <cell r="H300">
            <v>175000000</v>
          </cell>
        </row>
        <row r="301">
          <cell r="B301" t="str">
            <v>888329AF6</v>
          </cell>
          <cell r="C301" t="str">
            <v>CB-Titania Re Ltd. Series 2024-1 Class B</v>
          </cell>
          <cell r="D301"/>
          <cell r="F301">
            <v>520000000</v>
          </cell>
          <cell r="G301">
            <v>2550000000</v>
          </cell>
          <cell r="H301">
            <v>150000000</v>
          </cell>
        </row>
        <row r="302">
          <cell r="B302" t="str">
            <v>888329AG4</v>
          </cell>
          <cell r="C302" t="str">
            <v>CB-Titania Re Ltd. Series 2025-1 Class A</v>
          </cell>
          <cell r="D302"/>
          <cell r="F302">
            <v>300000000</v>
          </cell>
          <cell r="G302">
            <v>2500000000</v>
          </cell>
          <cell r="H302">
            <v>75000000</v>
          </cell>
        </row>
        <row r="303">
          <cell r="B303" t="str">
            <v>888329AH2</v>
          </cell>
          <cell r="C303" t="str">
            <v>CB-Titania Re Ltd. Series 2025-1 Class B</v>
          </cell>
          <cell r="D303"/>
          <cell r="F303">
            <v>300000000</v>
          </cell>
          <cell r="G303">
            <v>1300000000</v>
          </cell>
          <cell r="H303">
            <v>75000000</v>
          </cell>
        </row>
        <row r="304">
          <cell r="B304" t="str">
            <v>48878QAD2</v>
          </cell>
          <cell r="C304" t="str">
            <v>CB-Kendall Re Ltd. Series 2024-1 Class A Reset 2025</v>
          </cell>
          <cell r="D304"/>
          <cell r="F304">
            <v>150000000</v>
          </cell>
          <cell r="G304">
            <v>403000000</v>
          </cell>
          <cell r="H304">
            <v>225000000</v>
          </cell>
        </row>
        <row r="305">
          <cell r="B305" t="str">
            <v>48878QAE0</v>
          </cell>
          <cell r="C305" t="str">
            <v>CB-Kendall Re Ltd. Series 2024-1 Class B Reset 2025</v>
          </cell>
          <cell r="D305"/>
          <cell r="F305">
            <v>150000000</v>
          </cell>
          <cell r="G305">
            <v>259000000</v>
          </cell>
          <cell r="H305">
            <v>75000000</v>
          </cell>
        </row>
        <row r="306">
          <cell r="B306" t="str">
            <v>80001AAA6</v>
          </cell>
          <cell r="C306" t="str">
            <v>CB-Sanders Re II Ltd. Series 2025-2 Class A</v>
          </cell>
          <cell r="D306">
            <v>0</v>
          </cell>
          <cell r="E306">
            <v>95500000</v>
          </cell>
          <cell r="F306">
            <v>300000000</v>
          </cell>
          <cell r="H306">
            <v>150000000</v>
          </cell>
        </row>
        <row r="307">
          <cell r="B307" t="str">
            <v>429932AA4</v>
          </cell>
          <cell r="C307" t="str">
            <v>CB-High Point Re Ltd. Series 2023-1 Class A Reset 2025</v>
          </cell>
          <cell r="D307"/>
          <cell r="E307">
            <v>800000000</v>
          </cell>
          <cell r="F307">
            <v>600000000</v>
          </cell>
          <cell r="H307">
            <v>325000000</v>
          </cell>
        </row>
        <row r="308">
          <cell r="B308" t="str">
            <v>XS2788028178</v>
          </cell>
          <cell r="C308" t="str">
            <v>CB-Azzurro Re II DAC Series 2024-1 Class A Reset 2025</v>
          </cell>
          <cell r="D308">
            <v>0</v>
          </cell>
          <cell r="E308">
            <v>250000000</v>
          </cell>
          <cell r="F308">
            <v>100000000</v>
          </cell>
          <cell r="H308">
            <v>100000000</v>
          </cell>
        </row>
        <row r="309">
          <cell r="B309" t="str">
            <v>09785EAK7</v>
          </cell>
          <cell r="C309" t="str">
            <v>CB-Bonanza Re Ltd. Series 2023-1 Class A Reset 2025</v>
          </cell>
          <cell r="D309">
            <v>0</v>
          </cell>
          <cell r="E309">
            <v>1050000000</v>
          </cell>
          <cell r="F309">
            <v>140000000</v>
          </cell>
          <cell r="H309">
            <v>70000000</v>
          </cell>
        </row>
        <row r="310">
          <cell r="B310" t="str">
            <v>09605UAA1</v>
          </cell>
          <cell r="C310" t="str">
            <v>CB-Blue Sky Re DAC Series 2023-1 Reset 2025</v>
          </cell>
          <cell r="D310"/>
          <cell r="E310">
            <v>1600000000</v>
          </cell>
          <cell r="F310">
            <v>800000000</v>
          </cell>
          <cell r="H310">
            <v>250000000</v>
          </cell>
        </row>
        <row r="311">
          <cell r="B311" t="str">
            <v>XS2641776773</v>
          </cell>
          <cell r="C311" t="str">
            <v>CB-Eiffel Re Ltd. Series 2023-1 Class A Reset 2025</v>
          </cell>
          <cell r="D311">
            <v>0</v>
          </cell>
          <cell r="E311">
            <v>3400000000</v>
          </cell>
          <cell r="F311">
            <v>600000000</v>
          </cell>
          <cell r="H311">
            <v>150000000</v>
          </cell>
        </row>
        <row r="312">
          <cell r="B312" t="str">
            <v>049207AA1</v>
          </cell>
          <cell r="C312" t="str">
            <v>CB-Atlas Capital DAC Series 2023-1 Class A Reset 2025</v>
          </cell>
          <cell r="D312"/>
          <cell r="F312">
            <v>137000000</v>
          </cell>
          <cell r="H312">
            <v>75000000</v>
          </cell>
        </row>
        <row r="313">
          <cell r="B313" t="str">
            <v>049207AC7</v>
          </cell>
          <cell r="C313" t="str">
            <v>CB-Atlas Capital DAC Series 2025-1 Class A</v>
          </cell>
          <cell r="D313">
            <v>0</v>
          </cell>
          <cell r="E313">
            <v>0</v>
          </cell>
          <cell r="F313">
            <v>273900000</v>
          </cell>
          <cell r="H313">
            <v>240000000</v>
          </cell>
        </row>
        <row r="314">
          <cell r="B314" t="str">
            <v>203235AC0</v>
          </cell>
          <cell r="C314" t="str">
            <v>CB-Commonwealth Re Ltd. Series 2025-1 Class A</v>
          </cell>
          <cell r="D314"/>
          <cell r="E314">
            <v>1100000000</v>
          </cell>
          <cell r="F314">
            <v>150000000</v>
          </cell>
          <cell r="H314">
            <v>200000000</v>
          </cell>
        </row>
        <row r="315">
          <cell r="B315" t="str">
            <v>31969UAC1</v>
          </cell>
          <cell r="C315" t="str">
            <v>CB-First Coast Re IV Ltd. Series 2025-1 Class B</v>
          </cell>
          <cell r="D315"/>
          <cell r="E315">
            <v>100000000</v>
          </cell>
          <cell r="F315">
            <v>150000000</v>
          </cell>
          <cell r="H315">
            <v>150000000</v>
          </cell>
        </row>
        <row r="316">
          <cell r="B316" t="str">
            <v>31969UAB3</v>
          </cell>
          <cell r="C316" t="str">
            <v>CB-First Coast Re IV Ltd. Series 2025-1 Class A</v>
          </cell>
          <cell r="D316"/>
          <cell r="E316">
            <v>40000000</v>
          </cell>
          <cell r="F316">
            <v>60000000</v>
          </cell>
          <cell r="H316">
            <v>100000000</v>
          </cell>
        </row>
        <row r="317">
          <cell r="B317" t="str">
            <v>88577CAF8</v>
          </cell>
          <cell r="C317" t="str">
            <v>CB-3264 Re Ltd. Series 2025-1 Class B</v>
          </cell>
          <cell r="D317">
            <v>0</v>
          </cell>
          <cell r="E317">
            <v>65000000000</v>
          </cell>
          <cell r="F317">
            <v>10000000000</v>
          </cell>
          <cell r="H317">
            <v>100000000</v>
          </cell>
        </row>
        <row r="318">
          <cell r="B318" t="str">
            <v>88577CAE1</v>
          </cell>
          <cell r="C318" t="str">
            <v>CB-3264 Re Ltd. Series 2025-1 Class A</v>
          </cell>
          <cell r="D318">
            <v>0</v>
          </cell>
          <cell r="F318">
            <v>30000000000</v>
          </cell>
          <cell r="G318">
            <v>85000000000</v>
          </cell>
          <cell r="H318">
            <v>100000000</v>
          </cell>
        </row>
        <row r="319">
          <cell r="B319" t="str">
            <v>90215BAB3</v>
          </cell>
          <cell r="C319" t="str">
            <v>CB-2001 CAT Re Ltd. Series 2023-1 Class A Reset 2025</v>
          </cell>
          <cell r="D319">
            <v>0</v>
          </cell>
          <cell r="E319">
            <v>290000000</v>
          </cell>
          <cell r="F319">
            <v>275000000</v>
          </cell>
          <cell r="H319">
            <v>275000000</v>
          </cell>
        </row>
        <row r="320">
          <cell r="B320" t="str">
            <v>42703VAM5</v>
          </cell>
          <cell r="C320" t="str">
            <v>CB-Herbie Re Ltd. Series 2025-1 Class A</v>
          </cell>
          <cell r="D320"/>
          <cell r="F320">
            <v>30000000000</v>
          </cell>
          <cell r="G320">
            <v>60000000000</v>
          </cell>
          <cell r="H320">
            <v>90000000</v>
          </cell>
        </row>
        <row r="321">
          <cell r="B321" t="str">
            <v>76091JAA6</v>
          </cell>
          <cell r="C321" t="str">
            <v>CB-Res Re 2025 Ltd. Series 2025-II Class 2</v>
          </cell>
          <cell r="D321">
            <v>0</v>
          </cell>
          <cell r="E321">
            <v>2250000000</v>
          </cell>
          <cell r="F321">
            <v>950000000</v>
          </cell>
          <cell r="H321">
            <v>200000000</v>
          </cell>
        </row>
        <row r="322">
          <cell r="B322" t="str">
            <v>35087TAF5</v>
          </cell>
          <cell r="C322" t="str">
            <v>CB-Four Lakes Re Ltd. Series 2023-1 Class B Reset 2025_V12</v>
          </cell>
          <cell r="D322"/>
          <cell r="E322">
            <v>1200000000</v>
          </cell>
          <cell r="F322">
            <v>600000000</v>
          </cell>
          <cell r="H322">
            <v>50000000</v>
          </cell>
        </row>
        <row r="323">
          <cell r="B323" t="str">
            <v>35087TAH1</v>
          </cell>
          <cell r="C323" t="str">
            <v>CB-Four Lakes Re Ltd. Series 2024-1 Class B_V12</v>
          </cell>
          <cell r="D323"/>
          <cell r="E323">
            <v>1200000000</v>
          </cell>
          <cell r="F323">
            <v>600000000</v>
          </cell>
          <cell r="H323">
            <v>75000000</v>
          </cell>
        </row>
        <row r="324">
          <cell r="B324" t="str">
            <v>42703VAM5</v>
          </cell>
          <cell r="C324" t="str">
            <v>CB-Herbie Re Ltd. Series 2025-1 Class A LMF USSCS</v>
          </cell>
          <cell r="D324"/>
          <cell r="F324">
            <v>30000000000</v>
          </cell>
          <cell r="G324">
            <v>60000000000</v>
          </cell>
          <cell r="H324">
            <v>90000000</v>
          </cell>
        </row>
        <row r="325">
          <cell r="B325" t="str">
            <v>33975CAP0</v>
          </cell>
          <cell r="C325" t="str">
            <v>CB-FloodSmart Re Ltd. Series 2024-1 Class A Reset 2025_wLMF</v>
          </cell>
          <cell r="D325">
            <v>0</v>
          </cell>
          <cell r="E325">
            <v>9000000000</v>
          </cell>
          <cell r="F325">
            <v>2000000000</v>
          </cell>
          <cell r="H325">
            <v>475000000</v>
          </cell>
        </row>
        <row r="326">
          <cell r="B326" t="str">
            <v>574591AA1_1</v>
          </cell>
          <cell r="C326" t="str">
            <v>CB-Maschpark Re Ltd. Series 2024-1 Class A</v>
          </cell>
          <cell r="D326"/>
          <cell r="F326">
            <v>100000000</v>
          </cell>
          <cell r="H326">
            <v>100000000</v>
          </cell>
        </row>
        <row r="327">
          <cell r="B327" t="str">
            <v>574591AA1_2</v>
          </cell>
          <cell r="C327" t="str">
            <v>CB-Maschpark Re Ltd. Series 2024-1 Class A</v>
          </cell>
          <cell r="D327"/>
          <cell r="F327">
            <v>100000000</v>
          </cell>
          <cell r="H327">
            <v>100000000</v>
          </cell>
        </row>
        <row r="328">
          <cell r="B328" t="str">
            <v>349939AA6_1</v>
          </cell>
          <cell r="C328" t="str">
            <v>CB-Foundation Re IV Ltd. Series 2023-1 Class A Reset 2025</v>
          </cell>
          <cell r="D328"/>
          <cell r="E328">
            <v>1191000000</v>
          </cell>
          <cell r="F328">
            <v>301000000</v>
          </cell>
          <cell r="H328">
            <v>200000000</v>
          </cell>
        </row>
        <row r="329">
          <cell r="B329" t="str">
            <v>349939AA6_2</v>
          </cell>
          <cell r="C329" t="str">
            <v>CB-Foundation Re IV Ltd. Series 2023-1 Class A Reset 2025</v>
          </cell>
          <cell r="D329"/>
          <cell r="E329">
            <v>1191000000</v>
          </cell>
          <cell r="F329">
            <v>301000000</v>
          </cell>
          <cell r="H329">
            <v>200000000</v>
          </cell>
        </row>
        <row r="330">
          <cell r="B330" t="str">
            <v>975660AC5_1</v>
          </cell>
          <cell r="C330" t="str">
            <v>CB-Winston Re Ltd. Series 2025-1 Class A</v>
          </cell>
          <cell r="D330">
            <v>0</v>
          </cell>
          <cell r="E330">
            <v>925000000</v>
          </cell>
          <cell r="F330">
            <v>200000000</v>
          </cell>
          <cell r="H330">
            <v>175000000</v>
          </cell>
        </row>
        <row r="331">
          <cell r="B331" t="str">
            <v>975660AC5_2</v>
          </cell>
          <cell r="C331" t="str">
            <v>CB-Winston Re Ltd. Series 2025-1 Class A</v>
          </cell>
          <cell r="D331">
            <v>0</v>
          </cell>
          <cell r="E331">
            <v>925000000</v>
          </cell>
          <cell r="F331">
            <v>200000000</v>
          </cell>
          <cell r="H331">
            <v>175000000</v>
          </cell>
        </row>
        <row r="332">
          <cell r="B332" t="str">
            <v>30014LAM6_1</v>
          </cell>
          <cell r="C332" t="str">
            <v>CB-Everglades Re II Ltd. Series 2024-1 Class A Reset 2025</v>
          </cell>
          <cell r="D332"/>
          <cell r="F332">
            <v>1454000000</v>
          </cell>
          <cell r="G332">
            <v>9847000000</v>
          </cell>
          <cell r="H332">
            <v>450000000</v>
          </cell>
        </row>
        <row r="333">
          <cell r="B333" t="str">
            <v>30014LAM6_2</v>
          </cell>
          <cell r="C333" t="str">
            <v>CB-Everglades Re II Ltd. Series 2024-1 Class A Reset 2025</v>
          </cell>
          <cell r="D333"/>
          <cell r="F333">
            <v>1454000000</v>
          </cell>
          <cell r="G333">
            <v>9847000000</v>
          </cell>
          <cell r="H333">
            <v>450000000</v>
          </cell>
        </row>
        <row r="334">
          <cell r="B334" t="str">
            <v>04227FAF2_1</v>
          </cell>
          <cell r="C334" t="str">
            <v>CB-Armor Re II Ltd. Series 2024-2 Class A</v>
          </cell>
          <cell r="D334"/>
          <cell r="E334">
            <v>50000000</v>
          </cell>
          <cell r="F334">
            <v>200000000</v>
          </cell>
          <cell r="H334">
            <v>200000000</v>
          </cell>
        </row>
        <row r="335">
          <cell r="B335" t="str">
            <v>04227FAF2_2</v>
          </cell>
          <cell r="C335" t="str">
            <v>CB-Armor Re II Ltd. Series 2024-2 Class A</v>
          </cell>
          <cell r="D335"/>
          <cell r="E335">
            <v>50000000</v>
          </cell>
          <cell r="F335">
            <v>200000000</v>
          </cell>
          <cell r="H335">
            <v>200000000</v>
          </cell>
        </row>
        <row r="336">
          <cell r="B336" t="str">
            <v>58320RAA9</v>
          </cell>
          <cell r="C336" t="str">
            <v>CB-Meadows Ltd. Series 2025-1 Class A</v>
          </cell>
          <cell r="D336">
            <v>0</v>
          </cell>
          <cell r="E336">
            <v>40000000000</v>
          </cell>
          <cell r="F336">
            <v>10000000000</v>
          </cell>
          <cell r="G336">
            <v>0</v>
          </cell>
          <cell r="H336">
            <v>55000000</v>
          </cell>
        </row>
        <row r="337">
          <cell r="B337" t="str">
            <v>58320RAC5</v>
          </cell>
          <cell r="C337" t="str">
            <v>CB-Meadows Ltd. Series 2025-1 Class C</v>
          </cell>
          <cell r="D337">
            <v>30000000000</v>
          </cell>
          <cell r="E337">
            <v>0</v>
          </cell>
          <cell r="F337">
            <v>10000000000</v>
          </cell>
          <cell r="G337">
            <v>30000000000</v>
          </cell>
          <cell r="H337">
            <v>30000000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AFDE-76B3-4DC1-B488-3235887FB94E}">
  <sheetPr codeName="Sheet1"/>
  <dimension ref="A1:DS329"/>
  <sheetViews>
    <sheetView topLeftCell="A306" workbookViewId="0">
      <selection activeCell="A329" sqref="A329"/>
    </sheetView>
  </sheetViews>
  <sheetFormatPr defaultRowHeight="14.4" x14ac:dyDescent="0.3"/>
  <cols>
    <col min="1" max="1" width="14.5546875" bestFit="1" customWidth="1"/>
    <col min="2" max="2" width="9.77734375" bestFit="1" customWidth="1"/>
    <col min="3" max="3" width="8.33203125" bestFit="1" customWidth="1"/>
    <col min="4" max="4" width="52.33203125" bestFit="1" customWidth="1"/>
    <col min="5" max="5" width="15.5546875" bestFit="1" customWidth="1"/>
    <col min="6" max="6" width="7.44140625" bestFit="1" customWidth="1"/>
    <col min="7" max="7" width="13.6640625" bestFit="1" customWidth="1"/>
    <col min="8" max="8" width="14.5546875" bestFit="1" customWidth="1"/>
    <col min="9" max="9" width="14.109375" bestFit="1" customWidth="1"/>
    <col min="10" max="10" width="22.109375" bestFit="1" customWidth="1"/>
    <col min="11" max="11" width="138.33203125" bestFit="1" customWidth="1"/>
    <col min="12" max="12" width="26.44140625" bestFit="1" customWidth="1"/>
    <col min="13" max="13" width="31.88671875" bestFit="1" customWidth="1"/>
    <col min="14" max="14" width="11.5546875" bestFit="1" customWidth="1"/>
    <col min="15" max="15" width="6.6640625" bestFit="1" customWidth="1"/>
    <col min="16" max="16" width="18.21875" bestFit="1" customWidth="1"/>
    <col min="17" max="17" width="21.44140625" bestFit="1" customWidth="1"/>
    <col min="18" max="18" width="19.6640625" bestFit="1" customWidth="1"/>
    <col min="19" max="19" width="20.21875" bestFit="1" customWidth="1"/>
    <col min="20" max="20" width="18.6640625" bestFit="1" customWidth="1"/>
    <col min="21" max="21" width="21" bestFit="1" customWidth="1"/>
    <col min="22" max="22" width="10.77734375" bestFit="1" customWidth="1"/>
    <col min="23" max="23" width="5.5546875" bestFit="1" customWidth="1"/>
    <col min="24" max="24" width="8.44140625" bestFit="1" customWidth="1"/>
    <col min="25" max="25" width="12.5546875" bestFit="1" customWidth="1"/>
    <col min="26" max="26" width="6.44140625" bestFit="1" customWidth="1"/>
    <col min="27" max="27" width="15.88671875" bestFit="1" customWidth="1"/>
    <col min="28" max="28" width="13.109375" bestFit="1" customWidth="1"/>
    <col min="29" max="29" width="12.6640625" bestFit="1" customWidth="1"/>
    <col min="30" max="30" width="17.5546875" bestFit="1" customWidth="1"/>
    <col min="31" max="31" width="23.44140625" bestFit="1" customWidth="1"/>
    <col min="32" max="32" width="116.44140625" bestFit="1" customWidth="1"/>
    <col min="33" max="33" width="112.6640625" bestFit="1" customWidth="1"/>
    <col min="34" max="34" width="9.5546875" bestFit="1" customWidth="1"/>
    <col min="35" max="35" width="16.109375" bestFit="1" customWidth="1"/>
    <col min="36" max="36" width="55.5546875" bestFit="1" customWidth="1"/>
    <col min="37" max="37" width="25.88671875" bestFit="1" customWidth="1"/>
    <col min="38" max="38" width="21.109375" bestFit="1" customWidth="1"/>
    <col min="39" max="39" width="15.6640625" bestFit="1" customWidth="1"/>
    <col min="40" max="40" width="12.77734375" bestFit="1" customWidth="1"/>
    <col min="41" max="41" width="18.5546875" bestFit="1" customWidth="1"/>
    <col min="42" max="42" width="21" bestFit="1" customWidth="1"/>
    <col min="43" max="43" width="21.6640625" bestFit="1" customWidth="1"/>
    <col min="44" max="44" width="22.21875" bestFit="1" customWidth="1"/>
    <col min="45" max="45" width="14.21875" bestFit="1" customWidth="1"/>
    <col min="46" max="46" width="11.109375" bestFit="1" customWidth="1"/>
    <col min="47" max="47" width="16.5546875" bestFit="1" customWidth="1"/>
    <col min="48" max="48" width="10.5546875" bestFit="1" customWidth="1"/>
    <col min="49" max="49" width="11.44140625" bestFit="1" customWidth="1"/>
    <col min="50" max="50" width="19" bestFit="1" customWidth="1"/>
    <col min="51" max="51" width="16.109375" bestFit="1" customWidth="1"/>
    <col min="52" max="52" width="14" bestFit="1" customWidth="1"/>
    <col min="53" max="53" width="29" bestFit="1" customWidth="1"/>
    <col min="54" max="54" width="9.77734375" bestFit="1" customWidth="1"/>
    <col min="55" max="55" width="17.44140625" bestFit="1" customWidth="1"/>
    <col min="56" max="56" width="16.109375" bestFit="1" customWidth="1"/>
    <col min="57" max="57" width="20.109375" bestFit="1" customWidth="1"/>
    <col min="58" max="58" width="10.21875" bestFit="1" customWidth="1"/>
    <col min="59" max="59" width="27.6640625" bestFit="1" customWidth="1"/>
    <col min="60" max="60" width="13.109375" bestFit="1" customWidth="1"/>
    <col min="61" max="61" width="11.44140625" bestFit="1" customWidth="1"/>
    <col min="62" max="62" width="10.6640625" bestFit="1" customWidth="1"/>
    <col min="63" max="63" width="14.77734375" bestFit="1" customWidth="1"/>
    <col min="64" max="64" width="6.6640625" bestFit="1" customWidth="1"/>
    <col min="65" max="65" width="10.21875" bestFit="1" customWidth="1"/>
    <col min="66" max="66" width="11.109375" bestFit="1" customWidth="1"/>
    <col min="67" max="67" width="8.33203125" bestFit="1" customWidth="1"/>
    <col min="68" max="68" width="5.33203125" bestFit="1" customWidth="1"/>
    <col min="69" max="69" width="9.33203125" bestFit="1" customWidth="1"/>
    <col min="70" max="70" width="5.88671875" bestFit="1" customWidth="1"/>
    <col min="71" max="71" width="14.33203125" bestFit="1" customWidth="1"/>
    <col min="72" max="72" width="10.77734375" bestFit="1" customWidth="1"/>
    <col min="73" max="73" width="20" bestFit="1" customWidth="1"/>
    <col min="74" max="74" width="13.44140625" bestFit="1" customWidth="1"/>
    <col min="75" max="75" width="15.88671875" bestFit="1" customWidth="1"/>
    <col min="76" max="76" width="21.88671875" bestFit="1" customWidth="1"/>
    <col min="77" max="77" width="11.5546875" bestFit="1" customWidth="1"/>
    <col min="78" max="78" width="9.5546875" bestFit="1" customWidth="1"/>
    <col min="79" max="79" width="15.109375" bestFit="1" customWidth="1"/>
    <col min="80" max="80" width="12.33203125" bestFit="1" customWidth="1"/>
    <col min="81" max="81" width="11.5546875" bestFit="1" customWidth="1"/>
    <col min="82" max="82" width="7.6640625" bestFit="1" customWidth="1"/>
    <col min="83" max="83" width="8.5546875" bestFit="1" customWidth="1"/>
    <col min="84" max="84" width="29.88671875" bestFit="1" customWidth="1"/>
    <col min="85" max="85" width="17.5546875" bestFit="1" customWidth="1"/>
    <col min="86" max="86" width="13.77734375" bestFit="1" customWidth="1"/>
    <col min="87" max="87" width="14.77734375" bestFit="1" customWidth="1"/>
    <col min="88" max="88" width="9.44140625" bestFit="1" customWidth="1"/>
    <col min="89" max="89" width="17" bestFit="1" customWidth="1"/>
    <col min="90" max="90" width="20.6640625" bestFit="1" customWidth="1"/>
    <col min="91" max="91" width="23.33203125" bestFit="1" customWidth="1"/>
    <col min="92" max="92" width="27" bestFit="1" customWidth="1"/>
    <col min="93" max="93" width="15.109375" bestFit="1" customWidth="1"/>
    <col min="94" max="94" width="10" bestFit="1" customWidth="1"/>
    <col min="95" max="95" width="24.44140625" bestFit="1" customWidth="1"/>
    <col min="96" max="96" width="28.109375" bestFit="1" customWidth="1"/>
    <col min="97" max="97" width="14.21875" bestFit="1" customWidth="1"/>
    <col min="98" max="98" width="22.6640625" bestFit="1" customWidth="1"/>
    <col min="99" max="99" width="24.6640625" bestFit="1" customWidth="1"/>
    <col min="100" max="100" width="29.5546875" bestFit="1" customWidth="1"/>
    <col min="101" max="101" width="5.77734375" bestFit="1" customWidth="1"/>
    <col min="102" max="102" width="13.109375" bestFit="1" customWidth="1"/>
    <col min="103" max="103" width="19.77734375" bestFit="1" customWidth="1"/>
    <col min="104" max="104" width="56.5546875" bestFit="1" customWidth="1"/>
    <col min="105" max="105" width="16.88671875" bestFit="1" customWidth="1"/>
    <col min="106" max="106" width="12.88671875" bestFit="1" customWidth="1"/>
    <col min="107" max="107" width="17.44140625" bestFit="1" customWidth="1"/>
    <col min="108" max="108" width="20.44140625" bestFit="1" customWidth="1"/>
    <col min="109" max="109" width="10.33203125" bestFit="1" customWidth="1"/>
    <col min="110" max="110" width="11.5546875" bestFit="1" customWidth="1"/>
    <col min="111" max="111" width="13.88671875" bestFit="1" customWidth="1"/>
    <col min="112" max="112" width="5.77734375" bestFit="1" customWidth="1"/>
    <col min="113" max="113" width="6.21875" bestFit="1" customWidth="1"/>
    <col min="114" max="114" width="8.44140625" bestFit="1" customWidth="1"/>
    <col min="115" max="115" width="18" bestFit="1" customWidth="1"/>
    <col min="116" max="116" width="22.33203125" bestFit="1" customWidth="1"/>
    <col min="117" max="117" width="17.77734375" bestFit="1" customWidth="1"/>
    <col min="118" max="118" width="7.5546875" bestFit="1" customWidth="1"/>
    <col min="119" max="119" width="22.6640625" bestFit="1" customWidth="1"/>
    <col min="120" max="120" width="16.21875" bestFit="1" customWidth="1"/>
    <col min="121" max="121" width="11.6640625" bestFit="1" customWidth="1"/>
    <col min="122" max="122" width="11.33203125" bestFit="1" customWidth="1"/>
    <col min="123" max="123" width="24.44140625" bestFit="1" customWidth="1"/>
  </cols>
  <sheetData>
    <row r="1" spans="1:1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</row>
    <row r="2" spans="1:123" x14ac:dyDescent="0.3">
      <c r="A2">
        <v>1</v>
      </c>
      <c r="B2" t="s">
        <v>123</v>
      </c>
      <c r="C2" t="s">
        <v>123</v>
      </c>
      <c r="D2" t="s">
        <v>124</v>
      </c>
      <c r="E2" t="s">
        <v>123</v>
      </c>
      <c r="F2" t="s">
        <v>125</v>
      </c>
      <c r="G2" t="s">
        <v>126</v>
      </c>
      <c r="H2" t="s">
        <v>127</v>
      </c>
      <c r="I2" t="s">
        <v>128</v>
      </c>
      <c r="J2" t="s">
        <v>123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123</v>
      </c>
      <c r="Q2" t="s">
        <v>123</v>
      </c>
      <c r="R2" t="s">
        <v>123</v>
      </c>
      <c r="S2" t="s">
        <v>123</v>
      </c>
      <c r="T2" s="1">
        <v>46181</v>
      </c>
      <c r="U2" t="s">
        <v>123</v>
      </c>
      <c r="V2" t="s">
        <v>123</v>
      </c>
      <c r="W2" t="s">
        <v>123</v>
      </c>
      <c r="X2" t="s">
        <v>123</v>
      </c>
      <c r="Y2" t="s">
        <v>123</v>
      </c>
      <c r="Z2" t="s">
        <v>123</v>
      </c>
      <c r="AA2" t="s">
        <v>123</v>
      </c>
      <c r="AB2" t="s">
        <v>134</v>
      </c>
      <c r="AC2" t="s">
        <v>135</v>
      </c>
      <c r="AD2" t="s">
        <v>123</v>
      </c>
      <c r="AE2" t="s">
        <v>123</v>
      </c>
      <c r="AF2" t="s">
        <v>136</v>
      </c>
      <c r="AG2" t="s">
        <v>137</v>
      </c>
      <c r="AH2" t="s">
        <v>123</v>
      </c>
      <c r="AI2" t="s">
        <v>128</v>
      </c>
      <c r="AJ2" t="s">
        <v>138</v>
      </c>
      <c r="AK2" t="s">
        <v>139</v>
      </c>
      <c r="AL2" t="s">
        <v>123</v>
      </c>
      <c r="AM2" t="s">
        <v>123</v>
      </c>
      <c r="AN2" t="s">
        <v>123</v>
      </c>
      <c r="AO2" t="s">
        <v>123</v>
      </c>
      <c r="AP2">
        <v>250</v>
      </c>
      <c r="AQ2">
        <v>50</v>
      </c>
      <c r="AR2">
        <v>10</v>
      </c>
      <c r="AS2" t="s">
        <v>123</v>
      </c>
      <c r="AT2" t="s">
        <v>123</v>
      </c>
      <c r="AU2" t="s">
        <v>123</v>
      </c>
      <c r="AV2" t="s">
        <v>123</v>
      </c>
      <c r="AW2" t="s">
        <v>123</v>
      </c>
      <c r="AX2" t="s">
        <v>123</v>
      </c>
      <c r="AY2" t="s">
        <v>123</v>
      </c>
      <c r="AZ2" t="s">
        <v>123</v>
      </c>
      <c r="BA2" t="s">
        <v>140</v>
      </c>
      <c r="BB2" t="s">
        <v>123</v>
      </c>
      <c r="BC2" t="s">
        <v>123</v>
      </c>
      <c r="BD2" t="s">
        <v>123</v>
      </c>
      <c r="BE2" t="s">
        <v>123</v>
      </c>
      <c r="BF2" t="s">
        <v>123</v>
      </c>
      <c r="BG2" t="s">
        <v>141</v>
      </c>
      <c r="BH2" t="s">
        <v>123</v>
      </c>
      <c r="BI2" t="s">
        <v>123</v>
      </c>
      <c r="BJ2" t="s">
        <v>123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123</v>
      </c>
      <c r="BQ2" t="s">
        <v>123</v>
      </c>
      <c r="BR2" t="s">
        <v>123</v>
      </c>
      <c r="BS2" t="s">
        <v>123</v>
      </c>
      <c r="BT2" t="s">
        <v>123</v>
      </c>
      <c r="BU2" t="s">
        <v>123</v>
      </c>
      <c r="BV2" t="s">
        <v>123</v>
      </c>
      <c r="BW2" t="s">
        <v>123</v>
      </c>
      <c r="BX2" t="s">
        <v>123</v>
      </c>
      <c r="BY2" s="1">
        <v>45965.242011342591</v>
      </c>
      <c r="BZ2">
        <v>1483</v>
      </c>
      <c r="CA2" t="s">
        <v>123</v>
      </c>
      <c r="CB2" t="s">
        <v>123</v>
      </c>
      <c r="CC2">
        <v>0</v>
      </c>
      <c r="CD2" t="s">
        <v>123</v>
      </c>
      <c r="CE2" t="s">
        <v>123</v>
      </c>
      <c r="CF2" t="s">
        <v>123</v>
      </c>
      <c r="CG2" t="s">
        <v>123</v>
      </c>
      <c r="CH2" t="s">
        <v>123</v>
      </c>
      <c r="CI2" t="s">
        <v>123</v>
      </c>
      <c r="CJ2" t="s">
        <v>123</v>
      </c>
      <c r="CK2">
        <v>3.7000000000000002E-3</v>
      </c>
      <c r="CL2">
        <v>4.5999999999999999E-3</v>
      </c>
      <c r="CM2">
        <v>4.1000000000000003E-3</v>
      </c>
      <c r="CN2">
        <v>5.1999999999999998E-3</v>
      </c>
      <c r="CO2" t="s">
        <v>123</v>
      </c>
      <c r="CP2" t="s">
        <v>123</v>
      </c>
      <c r="CQ2">
        <v>3.3999999999999998E-3</v>
      </c>
      <c r="CR2">
        <v>4.1999999999999997E-3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142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  <c r="DN2" t="s">
        <v>123</v>
      </c>
      <c r="DO2" t="s">
        <v>123</v>
      </c>
      <c r="DP2" t="s">
        <v>123</v>
      </c>
      <c r="DQ2" t="s">
        <v>123</v>
      </c>
      <c r="DR2" t="s">
        <v>123</v>
      </c>
      <c r="DS2" t="s">
        <v>123</v>
      </c>
    </row>
    <row r="3" spans="1:123" x14ac:dyDescent="0.3">
      <c r="A3">
        <v>2</v>
      </c>
      <c r="B3" t="s">
        <v>123</v>
      </c>
      <c r="C3" t="s">
        <v>123</v>
      </c>
      <c r="D3" t="s">
        <v>143</v>
      </c>
      <c r="E3" t="s">
        <v>123</v>
      </c>
      <c r="F3" t="s">
        <v>125</v>
      </c>
      <c r="G3" t="s">
        <v>126</v>
      </c>
      <c r="H3" t="s">
        <v>127</v>
      </c>
      <c r="I3" t="s">
        <v>128</v>
      </c>
      <c r="J3" t="s">
        <v>123</v>
      </c>
      <c r="K3" t="s">
        <v>129</v>
      </c>
      <c r="L3" t="s">
        <v>130</v>
      </c>
      <c r="M3" t="s">
        <v>131</v>
      </c>
      <c r="N3" t="s">
        <v>144</v>
      </c>
      <c r="O3" t="s">
        <v>133</v>
      </c>
      <c r="P3" t="s">
        <v>123</v>
      </c>
      <c r="Q3" t="s">
        <v>123</v>
      </c>
      <c r="R3" t="s">
        <v>123</v>
      </c>
      <c r="S3" t="s">
        <v>123</v>
      </c>
      <c r="T3" s="1">
        <v>46181</v>
      </c>
      <c r="U3" t="s">
        <v>123</v>
      </c>
      <c r="V3" t="s">
        <v>123</v>
      </c>
      <c r="W3" t="s">
        <v>123</v>
      </c>
      <c r="X3" t="s">
        <v>123</v>
      </c>
      <c r="Y3" t="s">
        <v>123</v>
      </c>
      <c r="Z3" t="s">
        <v>123</v>
      </c>
      <c r="AA3" t="s">
        <v>123</v>
      </c>
      <c r="AB3" t="s">
        <v>145</v>
      </c>
      <c r="AC3" t="s">
        <v>135</v>
      </c>
      <c r="AD3" t="s">
        <v>123</v>
      </c>
      <c r="AE3" t="s">
        <v>123</v>
      </c>
      <c r="AF3" t="s">
        <v>136</v>
      </c>
      <c r="AG3" t="s">
        <v>137</v>
      </c>
      <c r="AH3" t="s">
        <v>123</v>
      </c>
      <c r="AI3" t="s">
        <v>128</v>
      </c>
      <c r="AJ3" t="s">
        <v>138</v>
      </c>
      <c r="AK3" t="s">
        <v>139</v>
      </c>
      <c r="AL3" t="s">
        <v>123</v>
      </c>
      <c r="AM3" t="s">
        <v>123</v>
      </c>
      <c r="AN3" t="s">
        <v>123</v>
      </c>
      <c r="AO3" t="s">
        <v>123</v>
      </c>
      <c r="AP3">
        <v>250</v>
      </c>
      <c r="AQ3">
        <v>50</v>
      </c>
      <c r="AR3">
        <v>10</v>
      </c>
      <c r="AS3" t="s">
        <v>123</v>
      </c>
      <c r="AT3" t="s">
        <v>123</v>
      </c>
      <c r="AU3" t="s">
        <v>123</v>
      </c>
      <c r="AV3" t="s">
        <v>123</v>
      </c>
      <c r="AW3" t="s">
        <v>123</v>
      </c>
      <c r="AX3" t="s">
        <v>123</v>
      </c>
      <c r="AY3" t="s">
        <v>123</v>
      </c>
      <c r="AZ3" t="s">
        <v>123</v>
      </c>
      <c r="BA3" t="s">
        <v>140</v>
      </c>
      <c r="BB3" t="s">
        <v>123</v>
      </c>
      <c r="BC3" t="s">
        <v>123</v>
      </c>
      <c r="BD3" t="s">
        <v>123</v>
      </c>
      <c r="BE3" t="s">
        <v>123</v>
      </c>
      <c r="BF3" t="s">
        <v>123</v>
      </c>
      <c r="BG3" t="s">
        <v>141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123</v>
      </c>
      <c r="BT3" t="s">
        <v>123</v>
      </c>
      <c r="BU3" t="s">
        <v>123</v>
      </c>
      <c r="BV3" t="s">
        <v>123</v>
      </c>
      <c r="BW3" t="s">
        <v>123</v>
      </c>
      <c r="BX3" t="s">
        <v>123</v>
      </c>
      <c r="BY3" s="1">
        <v>45965.242049421293</v>
      </c>
      <c r="BZ3">
        <v>1483</v>
      </c>
      <c r="CA3" t="s">
        <v>123</v>
      </c>
      <c r="CB3" t="s">
        <v>123</v>
      </c>
      <c r="CC3">
        <v>0</v>
      </c>
      <c r="CD3" t="s">
        <v>123</v>
      </c>
      <c r="CE3" t="s">
        <v>123</v>
      </c>
      <c r="CF3" t="s">
        <v>123</v>
      </c>
      <c r="CG3" t="s">
        <v>123</v>
      </c>
      <c r="CH3" t="s">
        <v>123</v>
      </c>
      <c r="CI3" t="s">
        <v>123</v>
      </c>
      <c r="CJ3" t="s">
        <v>123</v>
      </c>
      <c r="CK3">
        <v>1.03E-2</v>
      </c>
      <c r="CL3">
        <v>1.2999999999999999E-2</v>
      </c>
      <c r="CM3">
        <v>1.2699999999999999E-2</v>
      </c>
      <c r="CN3">
        <v>1.5699999999999999E-2</v>
      </c>
      <c r="CO3" t="s">
        <v>123</v>
      </c>
      <c r="CP3" t="s">
        <v>123</v>
      </c>
      <c r="CQ3">
        <v>8.5000000000000006E-3</v>
      </c>
      <c r="CR3">
        <v>1.0800000000000001E-2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142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  <c r="DN3" t="s">
        <v>123</v>
      </c>
      <c r="DO3" t="s">
        <v>123</v>
      </c>
      <c r="DP3" t="s">
        <v>123</v>
      </c>
      <c r="DQ3" t="s">
        <v>123</v>
      </c>
      <c r="DR3" t="s">
        <v>123</v>
      </c>
      <c r="DS3" t="s">
        <v>123</v>
      </c>
    </row>
    <row r="4" spans="1:123" x14ac:dyDescent="0.3">
      <c r="A4">
        <v>3</v>
      </c>
      <c r="B4" t="s">
        <v>123</v>
      </c>
      <c r="C4" t="s">
        <v>123</v>
      </c>
      <c r="D4" t="s">
        <v>146</v>
      </c>
      <c r="E4" t="s">
        <v>123</v>
      </c>
      <c r="F4" t="s">
        <v>125</v>
      </c>
      <c r="G4" t="s">
        <v>126</v>
      </c>
      <c r="H4" t="s">
        <v>127</v>
      </c>
      <c r="I4" t="s">
        <v>128</v>
      </c>
      <c r="J4" t="s">
        <v>123</v>
      </c>
      <c r="K4" t="s">
        <v>129</v>
      </c>
      <c r="L4" t="s">
        <v>130</v>
      </c>
      <c r="M4" t="s">
        <v>131</v>
      </c>
      <c r="N4" t="s">
        <v>147</v>
      </c>
      <c r="O4" t="s">
        <v>133</v>
      </c>
      <c r="P4" t="s">
        <v>123</v>
      </c>
      <c r="Q4" t="s">
        <v>123</v>
      </c>
      <c r="R4" t="s">
        <v>123</v>
      </c>
      <c r="S4" t="s">
        <v>123</v>
      </c>
      <c r="T4" s="1">
        <v>46181</v>
      </c>
      <c r="U4" t="s">
        <v>123</v>
      </c>
      <c r="V4" t="s">
        <v>123</v>
      </c>
      <c r="W4" t="s">
        <v>123</v>
      </c>
      <c r="X4" t="s">
        <v>123</v>
      </c>
      <c r="Y4" t="s">
        <v>123</v>
      </c>
      <c r="Z4" t="s">
        <v>123</v>
      </c>
      <c r="AA4" t="s">
        <v>123</v>
      </c>
      <c r="AB4" t="s">
        <v>148</v>
      </c>
      <c r="AC4" t="s">
        <v>135</v>
      </c>
      <c r="AD4" t="s">
        <v>123</v>
      </c>
      <c r="AE4" t="s">
        <v>123</v>
      </c>
      <c r="AF4" t="s">
        <v>136</v>
      </c>
      <c r="AG4" t="s">
        <v>137</v>
      </c>
      <c r="AH4" t="s">
        <v>123</v>
      </c>
      <c r="AI4" t="s">
        <v>128</v>
      </c>
      <c r="AJ4" t="s">
        <v>138</v>
      </c>
      <c r="AK4" t="s">
        <v>139</v>
      </c>
      <c r="AL4" t="s">
        <v>123</v>
      </c>
      <c r="AM4" t="s">
        <v>123</v>
      </c>
      <c r="AN4" t="s">
        <v>123</v>
      </c>
      <c r="AO4" t="s">
        <v>123</v>
      </c>
      <c r="AP4">
        <v>250</v>
      </c>
      <c r="AQ4">
        <v>50</v>
      </c>
      <c r="AR4">
        <v>10</v>
      </c>
      <c r="AS4" t="s">
        <v>123</v>
      </c>
      <c r="AT4" t="s">
        <v>123</v>
      </c>
      <c r="AU4" t="s">
        <v>123</v>
      </c>
      <c r="AV4" t="s">
        <v>123</v>
      </c>
      <c r="AW4" t="s">
        <v>123</v>
      </c>
      <c r="AX4" t="s">
        <v>123</v>
      </c>
      <c r="AY4" t="s">
        <v>123</v>
      </c>
      <c r="AZ4" t="s">
        <v>123</v>
      </c>
      <c r="BA4" t="s">
        <v>140</v>
      </c>
      <c r="BB4" t="s">
        <v>123</v>
      </c>
      <c r="BC4" t="s">
        <v>123</v>
      </c>
      <c r="BD4" t="s">
        <v>123</v>
      </c>
      <c r="BE4" t="s">
        <v>123</v>
      </c>
      <c r="BF4" t="s">
        <v>123</v>
      </c>
      <c r="BG4" t="s">
        <v>141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s="1">
        <v>45965.242113460648</v>
      </c>
      <c r="BZ4">
        <v>1483</v>
      </c>
      <c r="CA4" t="s">
        <v>123</v>
      </c>
      <c r="CB4" t="s">
        <v>123</v>
      </c>
      <c r="CC4">
        <v>0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>
        <v>1.5699999999999999E-2</v>
      </c>
      <c r="CL4">
        <v>1.9300000000000001E-2</v>
      </c>
      <c r="CM4">
        <v>1.9300000000000001E-2</v>
      </c>
      <c r="CN4">
        <v>2.3699999999999999E-2</v>
      </c>
      <c r="CO4" t="s">
        <v>123</v>
      </c>
      <c r="CP4" t="s">
        <v>123</v>
      </c>
      <c r="CQ4">
        <v>1.2699999999999999E-2</v>
      </c>
      <c r="CR4">
        <v>1.5699999999999999E-2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142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  <c r="DN4" t="s">
        <v>123</v>
      </c>
      <c r="DO4" t="s">
        <v>123</v>
      </c>
      <c r="DP4" t="s">
        <v>123</v>
      </c>
      <c r="DQ4" t="s">
        <v>123</v>
      </c>
      <c r="DR4" t="s">
        <v>123</v>
      </c>
      <c r="DS4" t="s">
        <v>123</v>
      </c>
    </row>
    <row r="5" spans="1:123" x14ac:dyDescent="0.3">
      <c r="A5">
        <v>4</v>
      </c>
      <c r="B5" t="s">
        <v>123</v>
      </c>
      <c r="C5" t="s">
        <v>123</v>
      </c>
      <c r="D5" t="s">
        <v>149</v>
      </c>
      <c r="E5" t="s">
        <v>123</v>
      </c>
      <c r="F5" t="s">
        <v>125</v>
      </c>
      <c r="G5" t="s">
        <v>126</v>
      </c>
      <c r="H5" t="s">
        <v>127</v>
      </c>
      <c r="I5" t="s">
        <v>128</v>
      </c>
      <c r="J5" t="s">
        <v>123</v>
      </c>
      <c r="K5" t="s">
        <v>129</v>
      </c>
      <c r="L5" t="s">
        <v>130</v>
      </c>
      <c r="M5" t="s">
        <v>131</v>
      </c>
      <c r="N5" t="s">
        <v>132</v>
      </c>
      <c r="O5" t="s">
        <v>150</v>
      </c>
      <c r="P5" t="s">
        <v>123</v>
      </c>
      <c r="Q5" t="s">
        <v>123</v>
      </c>
      <c r="R5" t="s">
        <v>123</v>
      </c>
      <c r="S5" t="s">
        <v>123</v>
      </c>
      <c r="T5" s="1">
        <v>46545</v>
      </c>
      <c r="U5" t="s">
        <v>123</v>
      </c>
      <c r="V5" t="s">
        <v>123</v>
      </c>
      <c r="W5" t="s">
        <v>123</v>
      </c>
      <c r="X5" t="s">
        <v>123</v>
      </c>
      <c r="Y5" t="s">
        <v>123</v>
      </c>
      <c r="Z5" t="s">
        <v>123</v>
      </c>
      <c r="AA5" t="s">
        <v>123</v>
      </c>
      <c r="AB5" t="s">
        <v>151</v>
      </c>
      <c r="AC5" t="s">
        <v>135</v>
      </c>
      <c r="AD5" t="s">
        <v>123</v>
      </c>
      <c r="AE5" t="s">
        <v>123</v>
      </c>
      <c r="AF5" t="s">
        <v>136</v>
      </c>
      <c r="AG5" t="s">
        <v>137</v>
      </c>
      <c r="AH5" t="s">
        <v>123</v>
      </c>
      <c r="AI5" t="s">
        <v>128</v>
      </c>
      <c r="AJ5" t="s">
        <v>138</v>
      </c>
      <c r="AK5" t="s">
        <v>139</v>
      </c>
      <c r="AL5" t="s">
        <v>123</v>
      </c>
      <c r="AM5" t="s">
        <v>123</v>
      </c>
      <c r="AN5" t="s">
        <v>123</v>
      </c>
      <c r="AO5" t="s">
        <v>123</v>
      </c>
      <c r="AP5">
        <v>250</v>
      </c>
      <c r="AQ5">
        <v>50</v>
      </c>
      <c r="AR5">
        <v>10</v>
      </c>
      <c r="AS5" t="s">
        <v>123</v>
      </c>
      <c r="AT5" t="s">
        <v>123</v>
      </c>
      <c r="AU5" t="s">
        <v>123</v>
      </c>
      <c r="AV5" t="s">
        <v>123</v>
      </c>
      <c r="AW5" t="s">
        <v>123</v>
      </c>
      <c r="AX5" t="s">
        <v>123</v>
      </c>
      <c r="AY5" t="s">
        <v>123</v>
      </c>
      <c r="AZ5" t="s">
        <v>123</v>
      </c>
      <c r="BA5" t="s">
        <v>140</v>
      </c>
      <c r="BB5" t="s">
        <v>123</v>
      </c>
      <c r="BC5" t="s">
        <v>123</v>
      </c>
      <c r="BD5" t="s">
        <v>123</v>
      </c>
      <c r="BE5" t="s">
        <v>123</v>
      </c>
      <c r="BF5" t="s">
        <v>123</v>
      </c>
      <c r="BG5" t="s">
        <v>141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s="1">
        <v>45965.242177430555</v>
      </c>
      <c r="BZ5">
        <v>1483</v>
      </c>
      <c r="CA5" t="s">
        <v>123</v>
      </c>
      <c r="CB5" t="s">
        <v>123</v>
      </c>
      <c r="CC5">
        <v>0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>
        <v>1.01E-2</v>
      </c>
      <c r="CL5">
        <v>1.2699999999999999E-2</v>
      </c>
      <c r="CM5">
        <v>1.21E-2</v>
      </c>
      <c r="CN5">
        <v>1.52E-2</v>
      </c>
      <c r="CO5" t="s">
        <v>123</v>
      </c>
      <c r="CP5" t="s">
        <v>123</v>
      </c>
      <c r="CQ5">
        <v>7.7000000000000002E-3</v>
      </c>
      <c r="CR5">
        <v>9.9000000000000008E-3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152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  <c r="DN5" t="s">
        <v>123</v>
      </c>
      <c r="DO5" t="s">
        <v>123</v>
      </c>
      <c r="DP5" t="s">
        <v>123</v>
      </c>
      <c r="DQ5" t="s">
        <v>123</v>
      </c>
      <c r="DR5" t="s">
        <v>123</v>
      </c>
      <c r="DS5" t="s">
        <v>123</v>
      </c>
    </row>
    <row r="6" spans="1:123" x14ac:dyDescent="0.3">
      <c r="A6">
        <v>5</v>
      </c>
      <c r="B6" t="s">
        <v>123</v>
      </c>
      <c r="C6" t="s">
        <v>123</v>
      </c>
      <c r="D6" t="s">
        <v>153</v>
      </c>
      <c r="E6" t="s">
        <v>123</v>
      </c>
      <c r="F6" t="s">
        <v>125</v>
      </c>
      <c r="G6" t="s">
        <v>126</v>
      </c>
      <c r="H6" t="s">
        <v>127</v>
      </c>
      <c r="I6" t="s">
        <v>128</v>
      </c>
      <c r="J6" t="s">
        <v>123</v>
      </c>
      <c r="K6" t="s">
        <v>129</v>
      </c>
      <c r="L6" t="s">
        <v>130</v>
      </c>
      <c r="M6" t="s">
        <v>131</v>
      </c>
      <c r="N6" t="s">
        <v>144</v>
      </c>
      <c r="O6" t="s">
        <v>150</v>
      </c>
      <c r="P6" t="s">
        <v>123</v>
      </c>
      <c r="Q6" t="s">
        <v>123</v>
      </c>
      <c r="R6" t="s">
        <v>123</v>
      </c>
      <c r="S6" t="s">
        <v>123</v>
      </c>
      <c r="T6" s="1">
        <v>46545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154</v>
      </c>
      <c r="AC6" t="s">
        <v>135</v>
      </c>
      <c r="AD6" t="s">
        <v>123</v>
      </c>
      <c r="AE6" t="s">
        <v>123</v>
      </c>
      <c r="AF6" t="s">
        <v>136</v>
      </c>
      <c r="AG6" t="s">
        <v>137</v>
      </c>
      <c r="AH6" t="s">
        <v>123</v>
      </c>
      <c r="AI6" t="s">
        <v>128</v>
      </c>
      <c r="AJ6" t="s">
        <v>138</v>
      </c>
      <c r="AK6" t="s">
        <v>139</v>
      </c>
      <c r="AL6" t="s">
        <v>123</v>
      </c>
      <c r="AM6" t="s">
        <v>123</v>
      </c>
      <c r="AN6" t="s">
        <v>123</v>
      </c>
      <c r="AO6" t="s">
        <v>123</v>
      </c>
      <c r="AP6">
        <v>250</v>
      </c>
      <c r="AQ6">
        <v>50</v>
      </c>
      <c r="AR6">
        <v>10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140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141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s="1">
        <v>45965.242214467595</v>
      </c>
      <c r="BZ6">
        <v>1483</v>
      </c>
      <c r="CA6" t="s">
        <v>123</v>
      </c>
      <c r="CB6" t="s">
        <v>123</v>
      </c>
      <c r="CC6">
        <v>0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>
        <v>2.4400000000000002E-2</v>
      </c>
      <c r="CL6">
        <v>2.98E-2</v>
      </c>
      <c r="CM6">
        <v>3.09E-2</v>
      </c>
      <c r="CN6">
        <v>3.7400000000000003E-2</v>
      </c>
      <c r="CO6" t="s">
        <v>123</v>
      </c>
      <c r="CP6" t="s">
        <v>123</v>
      </c>
      <c r="CQ6">
        <v>1.9E-2</v>
      </c>
      <c r="CR6">
        <v>2.3199999999999998E-2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152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</row>
    <row r="7" spans="1:123" x14ac:dyDescent="0.3">
      <c r="A7">
        <v>6</v>
      </c>
      <c r="B7" t="s">
        <v>123</v>
      </c>
      <c r="C7" t="s">
        <v>123</v>
      </c>
      <c r="D7" t="s">
        <v>155</v>
      </c>
      <c r="E7" t="s">
        <v>123</v>
      </c>
      <c r="F7" t="s">
        <v>125</v>
      </c>
      <c r="G7" t="s">
        <v>126</v>
      </c>
      <c r="H7" t="s">
        <v>127</v>
      </c>
      <c r="I7" t="s">
        <v>128</v>
      </c>
      <c r="J7" t="s">
        <v>123</v>
      </c>
      <c r="K7" t="s">
        <v>156</v>
      </c>
      <c r="L7" t="s">
        <v>130</v>
      </c>
      <c r="M7" t="s">
        <v>157</v>
      </c>
      <c r="N7" t="s">
        <v>158</v>
      </c>
      <c r="O7" t="s">
        <v>159</v>
      </c>
      <c r="P7" t="s">
        <v>123</v>
      </c>
      <c r="Q7" t="s">
        <v>123</v>
      </c>
      <c r="R7" t="s">
        <v>123</v>
      </c>
      <c r="S7" t="s">
        <v>123</v>
      </c>
      <c r="T7" s="1">
        <v>47010</v>
      </c>
      <c r="U7" t="s">
        <v>123</v>
      </c>
      <c r="V7" t="s">
        <v>123</v>
      </c>
      <c r="W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160</v>
      </c>
      <c r="AC7" t="s">
        <v>135</v>
      </c>
      <c r="AD7" t="s">
        <v>123</v>
      </c>
      <c r="AE7" t="s">
        <v>123</v>
      </c>
      <c r="AF7" t="s">
        <v>161</v>
      </c>
      <c r="AG7" t="s">
        <v>162</v>
      </c>
      <c r="AH7" t="s">
        <v>123</v>
      </c>
      <c r="AI7" t="s">
        <v>128</v>
      </c>
      <c r="AJ7" t="s">
        <v>138</v>
      </c>
      <c r="AK7" t="s">
        <v>163</v>
      </c>
      <c r="AL7" t="s">
        <v>123</v>
      </c>
      <c r="AM7" t="s">
        <v>123</v>
      </c>
      <c r="AN7" t="s">
        <v>123</v>
      </c>
      <c r="AO7" t="s">
        <v>123</v>
      </c>
      <c r="AP7">
        <v>250</v>
      </c>
      <c r="AQ7">
        <v>50</v>
      </c>
      <c r="AR7">
        <v>10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140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141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s="1">
        <v>45965.242274652781</v>
      </c>
      <c r="BZ7">
        <v>1452</v>
      </c>
      <c r="CA7" t="s">
        <v>123</v>
      </c>
      <c r="CB7" t="s">
        <v>123</v>
      </c>
      <c r="CC7">
        <v>0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>
        <v>2.0199999999999999E-2</v>
      </c>
      <c r="CL7">
        <v>0</v>
      </c>
      <c r="CM7">
        <v>2.76E-2</v>
      </c>
      <c r="CN7">
        <v>0</v>
      </c>
      <c r="CO7" t="s">
        <v>123</v>
      </c>
      <c r="CP7" t="s">
        <v>123</v>
      </c>
      <c r="CQ7">
        <v>1.44E-2</v>
      </c>
      <c r="CR7">
        <v>0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152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  <c r="DN7" t="s">
        <v>123</v>
      </c>
      <c r="DO7" t="s">
        <v>123</v>
      </c>
      <c r="DP7" t="s">
        <v>123</v>
      </c>
      <c r="DQ7" t="s">
        <v>123</v>
      </c>
      <c r="DR7" t="s">
        <v>123</v>
      </c>
      <c r="DS7" t="s">
        <v>123</v>
      </c>
    </row>
    <row r="8" spans="1:123" x14ac:dyDescent="0.3">
      <c r="A8">
        <v>7</v>
      </c>
      <c r="B8" t="s">
        <v>123</v>
      </c>
      <c r="C8" t="s">
        <v>123</v>
      </c>
      <c r="D8" t="s">
        <v>164</v>
      </c>
      <c r="E8" t="s">
        <v>123</v>
      </c>
      <c r="F8" t="s">
        <v>125</v>
      </c>
      <c r="G8" t="s">
        <v>126</v>
      </c>
      <c r="H8" t="s">
        <v>127</v>
      </c>
      <c r="I8" t="s">
        <v>128</v>
      </c>
      <c r="J8" t="s">
        <v>123</v>
      </c>
      <c r="K8" t="s">
        <v>165</v>
      </c>
      <c r="L8" t="s">
        <v>130</v>
      </c>
      <c r="M8" t="s">
        <v>166</v>
      </c>
      <c r="N8" t="s">
        <v>158</v>
      </c>
      <c r="O8" t="s">
        <v>167</v>
      </c>
      <c r="P8" t="s">
        <v>123</v>
      </c>
      <c r="Q8" t="s">
        <v>123</v>
      </c>
      <c r="R8" t="s">
        <v>123</v>
      </c>
      <c r="S8" t="s">
        <v>123</v>
      </c>
      <c r="T8" s="1">
        <v>46027</v>
      </c>
      <c r="U8" t="s">
        <v>123</v>
      </c>
      <c r="V8" t="s">
        <v>123</v>
      </c>
      <c r="W8" t="s">
        <v>123</v>
      </c>
      <c r="X8" t="s">
        <v>123</v>
      </c>
      <c r="Y8" t="s">
        <v>123</v>
      </c>
      <c r="Z8" t="s">
        <v>123</v>
      </c>
      <c r="AA8" t="s">
        <v>123</v>
      </c>
      <c r="AB8" t="s">
        <v>168</v>
      </c>
      <c r="AC8" t="s">
        <v>135</v>
      </c>
      <c r="AD8" t="s">
        <v>123</v>
      </c>
      <c r="AE8" t="s">
        <v>123</v>
      </c>
      <c r="AF8" t="s">
        <v>169</v>
      </c>
      <c r="AG8" t="s">
        <v>170</v>
      </c>
      <c r="AH8" t="s">
        <v>123</v>
      </c>
      <c r="AI8" t="s">
        <v>128</v>
      </c>
      <c r="AJ8" t="s">
        <v>171</v>
      </c>
      <c r="AK8" t="s">
        <v>163</v>
      </c>
      <c r="AL8" t="s">
        <v>123</v>
      </c>
      <c r="AM8" t="s">
        <v>123</v>
      </c>
      <c r="AN8" t="s">
        <v>123</v>
      </c>
      <c r="AO8" t="s">
        <v>123</v>
      </c>
      <c r="AP8">
        <v>250</v>
      </c>
      <c r="AQ8">
        <v>50</v>
      </c>
      <c r="AR8">
        <v>10</v>
      </c>
      <c r="AS8" t="s">
        <v>123</v>
      </c>
      <c r="AT8" t="s">
        <v>123</v>
      </c>
      <c r="AU8" t="s">
        <v>123</v>
      </c>
      <c r="AV8" t="s">
        <v>123</v>
      </c>
      <c r="AW8" t="s">
        <v>123</v>
      </c>
      <c r="AX8" t="s">
        <v>123</v>
      </c>
      <c r="AY8" t="s">
        <v>123</v>
      </c>
      <c r="AZ8" t="s">
        <v>123</v>
      </c>
      <c r="BA8" t="s">
        <v>140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141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s="1">
        <v>45965.242321956015</v>
      </c>
      <c r="BZ8">
        <v>1576</v>
      </c>
      <c r="CA8" t="s">
        <v>123</v>
      </c>
      <c r="CB8" t="s">
        <v>123</v>
      </c>
      <c r="CC8">
        <v>0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>
        <v>2.9600000000000001E-2</v>
      </c>
      <c r="CL8">
        <v>3.2199999999999999E-2</v>
      </c>
      <c r="CM8">
        <v>3.73E-2</v>
      </c>
      <c r="CN8">
        <v>4.0500000000000001E-2</v>
      </c>
      <c r="CO8" t="s">
        <v>123</v>
      </c>
      <c r="CP8" t="s">
        <v>123</v>
      </c>
      <c r="CQ8">
        <v>2.2599999999999999E-2</v>
      </c>
      <c r="CR8">
        <v>2.47E-2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152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  <c r="DN8" t="s">
        <v>123</v>
      </c>
      <c r="DO8" t="s">
        <v>123</v>
      </c>
      <c r="DP8" t="s">
        <v>123</v>
      </c>
      <c r="DQ8" t="s">
        <v>123</v>
      </c>
      <c r="DR8" t="s">
        <v>123</v>
      </c>
      <c r="DS8" t="s">
        <v>123</v>
      </c>
    </row>
    <row r="9" spans="1:123" x14ac:dyDescent="0.3">
      <c r="A9">
        <v>8</v>
      </c>
      <c r="B9" t="s">
        <v>123</v>
      </c>
      <c r="C9" t="s">
        <v>123</v>
      </c>
      <c r="D9" t="s">
        <v>172</v>
      </c>
      <c r="E9" t="s">
        <v>123</v>
      </c>
      <c r="F9" t="s">
        <v>125</v>
      </c>
      <c r="G9" t="s">
        <v>126</v>
      </c>
      <c r="H9" t="s">
        <v>127</v>
      </c>
      <c r="I9" t="s">
        <v>128</v>
      </c>
      <c r="J9" t="s">
        <v>123</v>
      </c>
      <c r="K9" t="s">
        <v>173</v>
      </c>
      <c r="L9" t="s">
        <v>130</v>
      </c>
      <c r="M9" t="s">
        <v>174</v>
      </c>
      <c r="N9" t="s">
        <v>158</v>
      </c>
      <c r="O9" t="s">
        <v>150</v>
      </c>
      <c r="P9" t="s">
        <v>123</v>
      </c>
      <c r="Q9" t="s">
        <v>123</v>
      </c>
      <c r="R9" t="s">
        <v>123</v>
      </c>
      <c r="S9" t="s">
        <v>123</v>
      </c>
      <c r="T9" s="1">
        <v>46545</v>
      </c>
      <c r="U9" t="s">
        <v>123</v>
      </c>
      <c r="V9" t="s">
        <v>123</v>
      </c>
      <c r="W9" t="s">
        <v>123</v>
      </c>
      <c r="X9" t="s">
        <v>123</v>
      </c>
      <c r="Y9" t="s">
        <v>123</v>
      </c>
      <c r="Z9" t="s">
        <v>123</v>
      </c>
      <c r="AA9" t="s">
        <v>123</v>
      </c>
      <c r="AB9" t="s">
        <v>175</v>
      </c>
      <c r="AC9" t="s">
        <v>135</v>
      </c>
      <c r="AD9" t="s">
        <v>123</v>
      </c>
      <c r="AE9" t="s">
        <v>123</v>
      </c>
      <c r="AF9" t="s">
        <v>176</v>
      </c>
      <c r="AG9" t="s">
        <v>177</v>
      </c>
      <c r="AH9" t="s">
        <v>123</v>
      </c>
      <c r="AI9" t="s">
        <v>128</v>
      </c>
      <c r="AJ9" t="s">
        <v>138</v>
      </c>
      <c r="AK9" t="s">
        <v>163</v>
      </c>
      <c r="AL9" t="s">
        <v>123</v>
      </c>
      <c r="AM9" t="s">
        <v>123</v>
      </c>
      <c r="AN9" t="s">
        <v>123</v>
      </c>
      <c r="AO9" t="s">
        <v>123</v>
      </c>
      <c r="AP9">
        <v>250</v>
      </c>
      <c r="AQ9">
        <v>50</v>
      </c>
      <c r="AR9">
        <v>10</v>
      </c>
      <c r="AS9" t="s">
        <v>123</v>
      </c>
      <c r="AT9" t="s">
        <v>123</v>
      </c>
      <c r="AU9" t="s">
        <v>123</v>
      </c>
      <c r="AV9" t="s">
        <v>123</v>
      </c>
      <c r="AW9" t="s">
        <v>123</v>
      </c>
      <c r="AX9" t="s">
        <v>123</v>
      </c>
      <c r="AY9" t="s">
        <v>123</v>
      </c>
      <c r="AZ9" t="s">
        <v>123</v>
      </c>
      <c r="BA9" t="s">
        <v>140</v>
      </c>
      <c r="BB9" t="s">
        <v>123</v>
      </c>
      <c r="BC9" t="s">
        <v>123</v>
      </c>
      <c r="BD9" t="s">
        <v>123</v>
      </c>
      <c r="BE9" t="s">
        <v>123</v>
      </c>
      <c r="BF9" t="s">
        <v>123</v>
      </c>
      <c r="BG9" t="s">
        <v>141</v>
      </c>
      <c r="BH9" t="s">
        <v>123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123</v>
      </c>
      <c r="BX9" t="s">
        <v>123</v>
      </c>
      <c r="BY9" s="1">
        <v>45965.242438460649</v>
      </c>
      <c r="BZ9">
        <v>1446</v>
      </c>
      <c r="CA9" t="s">
        <v>123</v>
      </c>
      <c r="CB9" t="s">
        <v>123</v>
      </c>
      <c r="CC9">
        <v>0</v>
      </c>
      <c r="CD9" t="s">
        <v>123</v>
      </c>
      <c r="CE9" t="s">
        <v>123</v>
      </c>
      <c r="CF9" t="s">
        <v>123</v>
      </c>
      <c r="CG9" t="s">
        <v>123</v>
      </c>
      <c r="CH9" t="s">
        <v>123</v>
      </c>
      <c r="CI9" t="s">
        <v>123</v>
      </c>
      <c r="CJ9" t="s">
        <v>123</v>
      </c>
      <c r="CK9">
        <v>6.4999999999999997E-3</v>
      </c>
      <c r="CL9">
        <v>7.6E-3</v>
      </c>
      <c r="CM9">
        <v>7.4999999999999997E-3</v>
      </c>
      <c r="CN9">
        <v>8.6999999999999994E-3</v>
      </c>
      <c r="CO9" t="s">
        <v>123</v>
      </c>
      <c r="CP9" t="s">
        <v>123</v>
      </c>
      <c r="CQ9">
        <v>5.5999999999999999E-3</v>
      </c>
      <c r="CR9">
        <v>6.7000000000000002E-3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178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  <c r="DN9" t="s">
        <v>123</v>
      </c>
      <c r="DO9" t="s">
        <v>123</v>
      </c>
      <c r="DP9" t="s">
        <v>123</v>
      </c>
      <c r="DQ9" t="s">
        <v>123</v>
      </c>
      <c r="DR9" t="s">
        <v>123</v>
      </c>
      <c r="DS9" t="s">
        <v>123</v>
      </c>
    </row>
    <row r="10" spans="1:123" x14ac:dyDescent="0.3">
      <c r="A10">
        <v>9</v>
      </c>
      <c r="B10" t="s">
        <v>123</v>
      </c>
      <c r="C10" t="s">
        <v>123</v>
      </c>
      <c r="D10" t="s">
        <v>179</v>
      </c>
      <c r="E10" t="s">
        <v>123</v>
      </c>
      <c r="F10" t="s">
        <v>125</v>
      </c>
      <c r="G10" t="s">
        <v>126</v>
      </c>
      <c r="H10" t="s">
        <v>127</v>
      </c>
      <c r="I10" t="s">
        <v>128</v>
      </c>
      <c r="J10" t="s">
        <v>123</v>
      </c>
      <c r="K10" t="s">
        <v>173</v>
      </c>
      <c r="L10" t="s">
        <v>130</v>
      </c>
      <c r="M10" t="s">
        <v>174</v>
      </c>
      <c r="N10" t="s">
        <v>180</v>
      </c>
      <c r="O10" t="s">
        <v>150</v>
      </c>
      <c r="P10" t="s">
        <v>123</v>
      </c>
      <c r="Q10" t="s">
        <v>123</v>
      </c>
      <c r="R10" t="s">
        <v>123</v>
      </c>
      <c r="S10" t="s">
        <v>123</v>
      </c>
      <c r="T10" s="1">
        <v>46545</v>
      </c>
      <c r="U10" t="s">
        <v>123</v>
      </c>
      <c r="V10" t="s">
        <v>123</v>
      </c>
      <c r="W10" t="s">
        <v>123</v>
      </c>
      <c r="X10" t="s">
        <v>123</v>
      </c>
      <c r="Y10" t="s">
        <v>123</v>
      </c>
      <c r="Z10" t="s">
        <v>123</v>
      </c>
      <c r="AA10" t="s">
        <v>123</v>
      </c>
      <c r="AB10" t="s">
        <v>181</v>
      </c>
      <c r="AC10" t="s">
        <v>135</v>
      </c>
      <c r="AD10" t="s">
        <v>123</v>
      </c>
      <c r="AE10" t="s">
        <v>123</v>
      </c>
      <c r="AF10" t="s">
        <v>176</v>
      </c>
      <c r="AG10" t="s">
        <v>177</v>
      </c>
      <c r="AH10" t="s">
        <v>123</v>
      </c>
      <c r="AI10" t="s">
        <v>128</v>
      </c>
      <c r="AJ10" t="s">
        <v>171</v>
      </c>
      <c r="AK10" t="s">
        <v>163</v>
      </c>
      <c r="AL10" t="s">
        <v>123</v>
      </c>
      <c r="AM10" t="s">
        <v>123</v>
      </c>
      <c r="AN10" t="s">
        <v>123</v>
      </c>
      <c r="AO10" t="s">
        <v>123</v>
      </c>
      <c r="AP10">
        <v>250</v>
      </c>
      <c r="AQ10">
        <v>50</v>
      </c>
      <c r="AR10">
        <v>10</v>
      </c>
      <c r="AS10" t="s">
        <v>123</v>
      </c>
      <c r="AT10" t="s">
        <v>123</v>
      </c>
      <c r="AU10" t="s">
        <v>123</v>
      </c>
      <c r="AV10" t="s">
        <v>123</v>
      </c>
      <c r="AW10" t="s">
        <v>123</v>
      </c>
      <c r="AX10" t="s">
        <v>123</v>
      </c>
      <c r="AY10" t="s">
        <v>123</v>
      </c>
      <c r="AZ10" t="s">
        <v>123</v>
      </c>
      <c r="BA10" t="s">
        <v>140</v>
      </c>
      <c r="BB10" t="s">
        <v>123</v>
      </c>
      <c r="BC10" t="s">
        <v>123</v>
      </c>
      <c r="BD10" t="s">
        <v>123</v>
      </c>
      <c r="BE10" t="s">
        <v>123</v>
      </c>
      <c r="BF10" t="s">
        <v>123</v>
      </c>
      <c r="BG10" t="s">
        <v>141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123</v>
      </c>
      <c r="BX10" t="s">
        <v>123</v>
      </c>
      <c r="BY10" s="1">
        <v>45965.242464120369</v>
      </c>
      <c r="BZ10">
        <v>1446</v>
      </c>
      <c r="CA10" t="s">
        <v>123</v>
      </c>
      <c r="CB10" t="s">
        <v>123</v>
      </c>
      <c r="CC10">
        <v>0</v>
      </c>
      <c r="CD10" t="s">
        <v>123</v>
      </c>
      <c r="CE10" t="s">
        <v>123</v>
      </c>
      <c r="CF10" t="s">
        <v>123</v>
      </c>
      <c r="CG10" t="s">
        <v>123</v>
      </c>
      <c r="CH10" t="s">
        <v>123</v>
      </c>
      <c r="CI10" t="s">
        <v>123</v>
      </c>
      <c r="CJ10" t="s">
        <v>123</v>
      </c>
      <c r="CK10">
        <v>9.1999999999999998E-3</v>
      </c>
      <c r="CL10">
        <v>1.14E-2</v>
      </c>
      <c r="CM10">
        <v>1.43E-2</v>
      </c>
      <c r="CN10">
        <v>1.7299999999999999E-2</v>
      </c>
      <c r="CO10" t="s">
        <v>123</v>
      </c>
      <c r="CP10" t="s">
        <v>123</v>
      </c>
      <c r="CQ10">
        <v>7.0000000000000001E-3</v>
      </c>
      <c r="CR10">
        <v>8.0999999999999996E-3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178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  <c r="DN10" t="s">
        <v>123</v>
      </c>
      <c r="DO10" t="s">
        <v>123</v>
      </c>
      <c r="DP10" t="s">
        <v>123</v>
      </c>
      <c r="DQ10" t="s">
        <v>123</v>
      </c>
      <c r="DR10" t="s">
        <v>123</v>
      </c>
      <c r="DS10" t="s">
        <v>123</v>
      </c>
    </row>
    <row r="11" spans="1:123" x14ac:dyDescent="0.3">
      <c r="A11">
        <v>10</v>
      </c>
      <c r="B11" t="s">
        <v>123</v>
      </c>
      <c r="C11" t="s">
        <v>123</v>
      </c>
      <c r="D11" t="s">
        <v>182</v>
      </c>
      <c r="E11" t="s">
        <v>123</v>
      </c>
      <c r="F11" t="s">
        <v>125</v>
      </c>
      <c r="G11" t="s">
        <v>126</v>
      </c>
      <c r="H11" t="s">
        <v>127</v>
      </c>
      <c r="I11" t="s">
        <v>128</v>
      </c>
      <c r="J11" t="s">
        <v>123</v>
      </c>
      <c r="K11" t="s">
        <v>183</v>
      </c>
      <c r="L11" t="s">
        <v>130</v>
      </c>
      <c r="M11" t="s">
        <v>184</v>
      </c>
      <c r="N11" t="s">
        <v>158</v>
      </c>
      <c r="O11" t="s">
        <v>133</v>
      </c>
      <c r="P11" t="s">
        <v>123</v>
      </c>
      <c r="Q11" t="s">
        <v>123</v>
      </c>
      <c r="R11" t="s">
        <v>123</v>
      </c>
      <c r="S11" t="s">
        <v>123</v>
      </c>
      <c r="T11" s="1">
        <v>46112</v>
      </c>
      <c r="U11" t="s">
        <v>123</v>
      </c>
      <c r="V11" t="s">
        <v>123</v>
      </c>
      <c r="W11" t="s">
        <v>123</v>
      </c>
      <c r="X11" t="s">
        <v>123</v>
      </c>
      <c r="Y11" t="s">
        <v>123</v>
      </c>
      <c r="Z11" t="s">
        <v>123</v>
      </c>
      <c r="AA11" t="s">
        <v>123</v>
      </c>
      <c r="AB11" t="s">
        <v>185</v>
      </c>
      <c r="AC11" t="s">
        <v>135</v>
      </c>
      <c r="AD11" t="s">
        <v>123</v>
      </c>
      <c r="AE11" t="s">
        <v>123</v>
      </c>
      <c r="AF11" t="s">
        <v>176</v>
      </c>
      <c r="AG11" t="s">
        <v>177</v>
      </c>
      <c r="AH11" t="s">
        <v>123</v>
      </c>
      <c r="AI11" t="s">
        <v>128</v>
      </c>
      <c r="AJ11" t="s">
        <v>186</v>
      </c>
      <c r="AK11" t="s">
        <v>163</v>
      </c>
      <c r="AL11" t="s">
        <v>123</v>
      </c>
      <c r="AM11" t="s">
        <v>123</v>
      </c>
      <c r="AN11" t="s">
        <v>123</v>
      </c>
      <c r="AO11" t="s">
        <v>123</v>
      </c>
      <c r="AP11">
        <v>250</v>
      </c>
      <c r="AQ11">
        <v>50</v>
      </c>
      <c r="AR11">
        <v>10</v>
      </c>
      <c r="AS11" t="s">
        <v>123</v>
      </c>
      <c r="AT11" t="s">
        <v>123</v>
      </c>
      <c r="AU11" t="s">
        <v>123</v>
      </c>
      <c r="AV11" t="s">
        <v>123</v>
      </c>
      <c r="AW11" t="s">
        <v>123</v>
      </c>
      <c r="AX11" t="s">
        <v>123</v>
      </c>
      <c r="AY11" t="s">
        <v>123</v>
      </c>
      <c r="AZ11" t="s">
        <v>123</v>
      </c>
      <c r="BA11" t="s">
        <v>140</v>
      </c>
      <c r="BB11" t="s">
        <v>123</v>
      </c>
      <c r="BC11" t="s">
        <v>123</v>
      </c>
      <c r="BD11" t="s">
        <v>123</v>
      </c>
      <c r="BE11" t="s">
        <v>123</v>
      </c>
      <c r="BF11" t="s">
        <v>123</v>
      </c>
      <c r="BG11" t="s">
        <v>141</v>
      </c>
      <c r="BH11" t="s">
        <v>123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s="1">
        <v>45965.242491168981</v>
      </c>
      <c r="BZ11">
        <v>1468</v>
      </c>
      <c r="CA11" t="s">
        <v>123</v>
      </c>
      <c r="CB11" t="s">
        <v>123</v>
      </c>
      <c r="CC11">
        <v>0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>
        <v>1.7999999999999999E-2</v>
      </c>
      <c r="CL11">
        <v>2.0400000000000001E-2</v>
      </c>
      <c r="CM11">
        <v>2.18E-2</v>
      </c>
      <c r="CN11">
        <v>2.46E-2</v>
      </c>
      <c r="CO11" t="s">
        <v>123</v>
      </c>
      <c r="CP11" t="s">
        <v>123</v>
      </c>
      <c r="CQ11">
        <v>1.52E-2</v>
      </c>
      <c r="CR11">
        <v>1.7100000000000001E-2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187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  <c r="DN11" t="s">
        <v>123</v>
      </c>
      <c r="DO11" t="s">
        <v>123</v>
      </c>
      <c r="DP11" t="s">
        <v>123</v>
      </c>
      <c r="DQ11" t="s">
        <v>123</v>
      </c>
      <c r="DR11" t="s">
        <v>123</v>
      </c>
      <c r="DS11" t="s">
        <v>123</v>
      </c>
    </row>
    <row r="12" spans="1:123" x14ac:dyDescent="0.3">
      <c r="A12">
        <v>11</v>
      </c>
      <c r="B12" t="s">
        <v>123</v>
      </c>
      <c r="C12" t="s">
        <v>123</v>
      </c>
      <c r="D12" t="s">
        <v>188</v>
      </c>
      <c r="E12" t="s">
        <v>123</v>
      </c>
      <c r="F12" t="s">
        <v>125</v>
      </c>
      <c r="G12" t="s">
        <v>126</v>
      </c>
      <c r="H12" t="s">
        <v>127</v>
      </c>
      <c r="I12" t="s">
        <v>128</v>
      </c>
      <c r="J12" t="s">
        <v>123</v>
      </c>
      <c r="K12" t="s">
        <v>189</v>
      </c>
      <c r="L12" t="s">
        <v>130</v>
      </c>
      <c r="M12" t="s">
        <v>190</v>
      </c>
      <c r="N12" t="s">
        <v>158</v>
      </c>
      <c r="O12" t="s">
        <v>150</v>
      </c>
      <c r="P12" t="s">
        <v>123</v>
      </c>
      <c r="Q12" t="s">
        <v>123</v>
      </c>
      <c r="R12" t="s">
        <v>123</v>
      </c>
      <c r="S12" t="s">
        <v>123</v>
      </c>
      <c r="T12" s="1">
        <v>46759</v>
      </c>
      <c r="U12" t="s">
        <v>123</v>
      </c>
      <c r="V12" t="s">
        <v>123</v>
      </c>
      <c r="W12" t="s">
        <v>123</v>
      </c>
      <c r="X12" t="s">
        <v>123</v>
      </c>
      <c r="Y12" t="s">
        <v>123</v>
      </c>
      <c r="Z12" t="s">
        <v>123</v>
      </c>
      <c r="AA12" t="s">
        <v>123</v>
      </c>
      <c r="AB12" t="s">
        <v>191</v>
      </c>
      <c r="AC12" t="s">
        <v>135</v>
      </c>
      <c r="AD12" t="s">
        <v>123</v>
      </c>
      <c r="AE12" t="s">
        <v>123</v>
      </c>
      <c r="AF12" t="s">
        <v>192</v>
      </c>
      <c r="AG12" t="s">
        <v>137</v>
      </c>
      <c r="AH12" t="s">
        <v>123</v>
      </c>
      <c r="AI12" t="s">
        <v>128</v>
      </c>
      <c r="AJ12" t="s">
        <v>186</v>
      </c>
      <c r="AK12" t="s">
        <v>163</v>
      </c>
      <c r="AL12" t="s">
        <v>123</v>
      </c>
      <c r="AM12" t="s">
        <v>123</v>
      </c>
      <c r="AN12" t="s">
        <v>123</v>
      </c>
      <c r="AO12" t="s">
        <v>123</v>
      </c>
      <c r="AP12">
        <v>250</v>
      </c>
      <c r="AQ12">
        <v>50</v>
      </c>
      <c r="AR12">
        <v>10</v>
      </c>
      <c r="AS12" t="s">
        <v>123</v>
      </c>
      <c r="AT12" t="s">
        <v>123</v>
      </c>
      <c r="AU12" t="s">
        <v>123</v>
      </c>
      <c r="AV12" t="s">
        <v>123</v>
      </c>
      <c r="AW12" t="s">
        <v>123</v>
      </c>
      <c r="AX12" t="s">
        <v>123</v>
      </c>
      <c r="AY12" t="s">
        <v>123</v>
      </c>
      <c r="AZ12" t="s">
        <v>123</v>
      </c>
      <c r="BA12" t="s">
        <v>140</v>
      </c>
      <c r="BB12" t="s">
        <v>123</v>
      </c>
      <c r="BC12" t="s">
        <v>123</v>
      </c>
      <c r="BD12" t="s">
        <v>123</v>
      </c>
      <c r="BE12" t="s">
        <v>123</v>
      </c>
      <c r="BF12" t="s">
        <v>123</v>
      </c>
      <c r="BG12" t="s">
        <v>141</v>
      </c>
      <c r="BH12" t="s">
        <v>123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123</v>
      </c>
      <c r="BX12" t="s">
        <v>123</v>
      </c>
      <c r="BY12" s="1">
        <v>45965.24251640046</v>
      </c>
      <c r="BZ12">
        <v>1572</v>
      </c>
      <c r="CA12" t="s">
        <v>123</v>
      </c>
      <c r="CB12" t="s">
        <v>123</v>
      </c>
      <c r="CC12">
        <v>0</v>
      </c>
      <c r="CD12" t="s">
        <v>123</v>
      </c>
      <c r="CE12" t="s">
        <v>123</v>
      </c>
      <c r="CF12" t="s">
        <v>123</v>
      </c>
      <c r="CG12" t="s">
        <v>123</v>
      </c>
      <c r="CH12" t="s">
        <v>123</v>
      </c>
      <c r="CI12" t="s">
        <v>123</v>
      </c>
      <c r="CJ12" t="s">
        <v>123</v>
      </c>
      <c r="CK12">
        <v>2.0400000000000001E-2</v>
      </c>
      <c r="CL12">
        <v>2.3400000000000001E-2</v>
      </c>
      <c r="CM12">
        <v>2.3599999999999999E-2</v>
      </c>
      <c r="CN12">
        <v>2.76E-2</v>
      </c>
      <c r="CO12" t="s">
        <v>123</v>
      </c>
      <c r="CP12" t="s">
        <v>123</v>
      </c>
      <c r="CQ12">
        <v>1.7399999999999999E-2</v>
      </c>
      <c r="CR12">
        <v>1.9400000000000001E-2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187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  <c r="DN12" t="s">
        <v>123</v>
      </c>
      <c r="DO12" t="s">
        <v>123</v>
      </c>
      <c r="DP12" t="s">
        <v>123</v>
      </c>
      <c r="DQ12" t="s">
        <v>123</v>
      </c>
      <c r="DR12" t="s">
        <v>123</v>
      </c>
      <c r="DS12" t="s">
        <v>123</v>
      </c>
    </row>
    <row r="13" spans="1:123" x14ac:dyDescent="0.3">
      <c r="A13">
        <v>12</v>
      </c>
      <c r="B13" t="s">
        <v>123</v>
      </c>
      <c r="C13" t="s">
        <v>123</v>
      </c>
      <c r="D13" t="s">
        <v>193</v>
      </c>
      <c r="E13" t="s">
        <v>123</v>
      </c>
      <c r="F13" t="s">
        <v>125</v>
      </c>
      <c r="G13" t="s">
        <v>126</v>
      </c>
      <c r="H13" t="s">
        <v>127</v>
      </c>
      <c r="I13" t="s">
        <v>128</v>
      </c>
      <c r="J13" t="s">
        <v>123</v>
      </c>
      <c r="K13" t="s">
        <v>194</v>
      </c>
      <c r="L13" t="s">
        <v>130</v>
      </c>
      <c r="M13" t="s">
        <v>195</v>
      </c>
      <c r="N13" t="s">
        <v>158</v>
      </c>
      <c r="O13" t="s">
        <v>133</v>
      </c>
      <c r="P13" t="s">
        <v>123</v>
      </c>
      <c r="Q13" t="s">
        <v>123</v>
      </c>
      <c r="R13" t="s">
        <v>123</v>
      </c>
      <c r="S13" t="s">
        <v>123</v>
      </c>
      <c r="T13" s="1">
        <v>46178</v>
      </c>
      <c r="U13" t="s">
        <v>123</v>
      </c>
      <c r="V13" t="s">
        <v>123</v>
      </c>
      <c r="W13" t="s">
        <v>123</v>
      </c>
      <c r="X13" t="s">
        <v>123</v>
      </c>
      <c r="Y13" t="s">
        <v>123</v>
      </c>
      <c r="Z13" t="s">
        <v>123</v>
      </c>
      <c r="AA13" t="s">
        <v>123</v>
      </c>
      <c r="AB13" t="s">
        <v>196</v>
      </c>
      <c r="AC13" t="s">
        <v>135</v>
      </c>
      <c r="AD13" t="s">
        <v>123</v>
      </c>
      <c r="AE13" t="s">
        <v>123</v>
      </c>
      <c r="AF13" t="s">
        <v>197</v>
      </c>
      <c r="AG13" t="s">
        <v>137</v>
      </c>
      <c r="AH13" t="s">
        <v>123</v>
      </c>
      <c r="AI13" t="s">
        <v>128</v>
      </c>
      <c r="AJ13" t="s">
        <v>186</v>
      </c>
      <c r="AK13" t="s">
        <v>163</v>
      </c>
      <c r="AL13" t="s">
        <v>123</v>
      </c>
      <c r="AM13" t="s">
        <v>123</v>
      </c>
      <c r="AN13" t="s">
        <v>123</v>
      </c>
      <c r="AO13" t="s">
        <v>123</v>
      </c>
      <c r="AP13">
        <v>250</v>
      </c>
      <c r="AQ13">
        <v>50</v>
      </c>
      <c r="AR13">
        <v>10</v>
      </c>
      <c r="AS13" t="s">
        <v>123</v>
      </c>
      <c r="AT13" t="s">
        <v>123</v>
      </c>
      <c r="AU13" t="s">
        <v>123</v>
      </c>
      <c r="AV13" t="s">
        <v>123</v>
      </c>
      <c r="AW13" t="s">
        <v>123</v>
      </c>
      <c r="AX13" t="s">
        <v>123</v>
      </c>
      <c r="AY13" t="s">
        <v>123</v>
      </c>
      <c r="AZ13" t="s">
        <v>123</v>
      </c>
      <c r="BA13" t="s">
        <v>140</v>
      </c>
      <c r="BB13" t="s">
        <v>123</v>
      </c>
      <c r="BC13" t="s">
        <v>123</v>
      </c>
      <c r="BD13" t="s">
        <v>123</v>
      </c>
      <c r="BE13" t="s">
        <v>123</v>
      </c>
      <c r="BF13" t="s">
        <v>123</v>
      </c>
      <c r="BG13" t="s">
        <v>141</v>
      </c>
      <c r="BH13" t="s">
        <v>123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123</v>
      </c>
      <c r="BX13" t="s">
        <v>123</v>
      </c>
      <c r="BY13" s="1">
        <v>45965.242584340274</v>
      </c>
      <c r="BZ13">
        <v>1580</v>
      </c>
      <c r="CA13" t="s">
        <v>123</v>
      </c>
      <c r="CB13" t="s">
        <v>123</v>
      </c>
      <c r="CC13">
        <v>0</v>
      </c>
      <c r="CD13" t="s">
        <v>123</v>
      </c>
      <c r="CE13" t="s">
        <v>123</v>
      </c>
      <c r="CF13" t="s">
        <v>123</v>
      </c>
      <c r="CG13" t="s">
        <v>123</v>
      </c>
      <c r="CH13" t="s">
        <v>123</v>
      </c>
      <c r="CI13" t="s">
        <v>123</v>
      </c>
      <c r="CJ13" t="s">
        <v>123</v>
      </c>
      <c r="CK13">
        <v>2.7E-2</v>
      </c>
      <c r="CL13">
        <v>2.9700000000000001E-2</v>
      </c>
      <c r="CM13">
        <v>3.8600000000000002E-2</v>
      </c>
      <c r="CN13">
        <v>4.24E-2</v>
      </c>
      <c r="CO13" t="s">
        <v>123</v>
      </c>
      <c r="CP13" t="s">
        <v>123</v>
      </c>
      <c r="CQ13">
        <v>1.84E-2</v>
      </c>
      <c r="CR13">
        <v>2.0199999999999999E-2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152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  <c r="DN13" t="s">
        <v>123</v>
      </c>
      <c r="DO13" t="s">
        <v>123</v>
      </c>
      <c r="DP13" t="s">
        <v>123</v>
      </c>
      <c r="DQ13" t="s">
        <v>123</v>
      </c>
      <c r="DR13" t="s">
        <v>123</v>
      </c>
      <c r="DS13" t="s">
        <v>123</v>
      </c>
    </row>
    <row r="14" spans="1:123" x14ac:dyDescent="0.3">
      <c r="A14">
        <v>13</v>
      </c>
      <c r="B14" t="s">
        <v>123</v>
      </c>
      <c r="C14" t="s">
        <v>123</v>
      </c>
      <c r="D14" t="s">
        <v>198</v>
      </c>
      <c r="E14" t="s">
        <v>123</v>
      </c>
      <c r="F14" t="s">
        <v>125</v>
      </c>
      <c r="G14" t="s">
        <v>126</v>
      </c>
      <c r="H14" t="s">
        <v>127</v>
      </c>
      <c r="I14" t="s">
        <v>199</v>
      </c>
      <c r="J14" t="s">
        <v>123</v>
      </c>
      <c r="K14" t="s">
        <v>200</v>
      </c>
      <c r="L14" t="s">
        <v>130</v>
      </c>
      <c r="M14" t="s">
        <v>201</v>
      </c>
      <c r="N14" t="s">
        <v>158</v>
      </c>
      <c r="O14" t="s">
        <v>133</v>
      </c>
      <c r="P14" t="s">
        <v>123</v>
      </c>
      <c r="Q14" t="s">
        <v>123</v>
      </c>
      <c r="R14" t="s">
        <v>123</v>
      </c>
      <c r="S14" t="s">
        <v>123</v>
      </c>
      <c r="T14" s="1">
        <v>46140</v>
      </c>
      <c r="U14" t="s">
        <v>123</v>
      </c>
      <c r="V14" t="s">
        <v>123</v>
      </c>
      <c r="W14" t="s">
        <v>123</v>
      </c>
      <c r="X14" t="s">
        <v>123</v>
      </c>
      <c r="Y14" t="s">
        <v>123</v>
      </c>
      <c r="Z14" t="s">
        <v>123</v>
      </c>
      <c r="AA14" t="s">
        <v>123</v>
      </c>
      <c r="AB14" t="s">
        <v>202</v>
      </c>
      <c r="AC14" t="s">
        <v>135</v>
      </c>
      <c r="AD14" t="s">
        <v>123</v>
      </c>
      <c r="AE14" t="s">
        <v>123</v>
      </c>
      <c r="AF14" t="s">
        <v>203</v>
      </c>
      <c r="AG14" t="s">
        <v>204</v>
      </c>
      <c r="AH14" t="s">
        <v>123</v>
      </c>
      <c r="AI14" t="s">
        <v>199</v>
      </c>
      <c r="AJ14" t="s">
        <v>186</v>
      </c>
      <c r="AK14" t="s">
        <v>139</v>
      </c>
      <c r="AL14" t="s">
        <v>123</v>
      </c>
      <c r="AM14" t="s">
        <v>123</v>
      </c>
      <c r="AN14" t="s">
        <v>123</v>
      </c>
      <c r="AO14" t="s">
        <v>123</v>
      </c>
      <c r="AP14">
        <v>250</v>
      </c>
      <c r="AQ14">
        <v>50</v>
      </c>
      <c r="AR14">
        <v>10</v>
      </c>
      <c r="AS14" t="s">
        <v>123</v>
      </c>
      <c r="AT14" t="s">
        <v>123</v>
      </c>
      <c r="AU14" t="s">
        <v>123</v>
      </c>
      <c r="AV14" t="s">
        <v>123</v>
      </c>
      <c r="AW14" t="s">
        <v>123</v>
      </c>
      <c r="AX14" t="s">
        <v>123</v>
      </c>
      <c r="AY14" t="s">
        <v>123</v>
      </c>
      <c r="AZ14" t="s">
        <v>123</v>
      </c>
      <c r="BA14" t="s">
        <v>140</v>
      </c>
      <c r="BB14" t="s">
        <v>123</v>
      </c>
      <c r="BC14" t="s">
        <v>123</v>
      </c>
      <c r="BD14" t="s">
        <v>123</v>
      </c>
      <c r="BE14" t="s">
        <v>123</v>
      </c>
      <c r="BF14" t="s">
        <v>123</v>
      </c>
      <c r="BG14" t="s">
        <v>141</v>
      </c>
      <c r="BH14" t="s">
        <v>123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123</v>
      </c>
      <c r="BX14" t="s">
        <v>123</v>
      </c>
      <c r="BY14" s="1">
        <v>45965.242661608798</v>
      </c>
      <c r="BZ14">
        <v>1459</v>
      </c>
      <c r="CA14" t="s">
        <v>123</v>
      </c>
      <c r="CB14" t="s">
        <v>123</v>
      </c>
      <c r="CC14">
        <v>0</v>
      </c>
      <c r="CD14" t="s">
        <v>123</v>
      </c>
      <c r="CE14" t="s">
        <v>123</v>
      </c>
      <c r="CF14" t="s">
        <v>123</v>
      </c>
      <c r="CG14" t="s">
        <v>123</v>
      </c>
      <c r="CH14" t="s">
        <v>123</v>
      </c>
      <c r="CI14" t="s">
        <v>123</v>
      </c>
      <c r="CJ14" t="s">
        <v>123</v>
      </c>
      <c r="CK14">
        <v>1.37E-2</v>
      </c>
      <c r="CL14">
        <v>1.4800000000000001E-2</v>
      </c>
      <c r="CM14">
        <v>1.55E-2</v>
      </c>
      <c r="CN14">
        <v>1.67E-2</v>
      </c>
      <c r="CO14" t="s">
        <v>123</v>
      </c>
      <c r="CP14" t="s">
        <v>123</v>
      </c>
      <c r="CQ14">
        <v>1.2200000000000001E-2</v>
      </c>
      <c r="CR14">
        <v>1.3100000000000001E-2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205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  <c r="DN14" t="s">
        <v>123</v>
      </c>
      <c r="DO14" t="s">
        <v>123</v>
      </c>
      <c r="DP14" t="s">
        <v>123</v>
      </c>
      <c r="DQ14" t="s">
        <v>123</v>
      </c>
      <c r="DR14" t="s">
        <v>123</v>
      </c>
      <c r="DS14" t="s">
        <v>123</v>
      </c>
    </row>
    <row r="15" spans="1:123" x14ac:dyDescent="0.3">
      <c r="A15">
        <v>14</v>
      </c>
      <c r="B15" t="s">
        <v>123</v>
      </c>
      <c r="C15" t="s">
        <v>123</v>
      </c>
      <c r="D15" t="s">
        <v>206</v>
      </c>
      <c r="E15" t="s">
        <v>123</v>
      </c>
      <c r="F15" t="s">
        <v>125</v>
      </c>
      <c r="G15" t="s">
        <v>126</v>
      </c>
      <c r="H15" t="s">
        <v>127</v>
      </c>
      <c r="I15" t="s">
        <v>199</v>
      </c>
      <c r="J15" t="s">
        <v>123</v>
      </c>
      <c r="K15" t="s">
        <v>200</v>
      </c>
      <c r="L15" t="s">
        <v>130</v>
      </c>
      <c r="M15" t="s">
        <v>201</v>
      </c>
      <c r="N15" t="s">
        <v>158</v>
      </c>
      <c r="O15" t="s">
        <v>150</v>
      </c>
      <c r="P15" t="s">
        <v>123</v>
      </c>
      <c r="Q15" t="s">
        <v>123</v>
      </c>
      <c r="R15" t="s">
        <v>123</v>
      </c>
      <c r="S15" t="s">
        <v>123</v>
      </c>
      <c r="T15" s="1">
        <v>46482</v>
      </c>
      <c r="U15" t="s">
        <v>123</v>
      </c>
      <c r="V15" t="s">
        <v>123</v>
      </c>
      <c r="W15" t="s">
        <v>123</v>
      </c>
      <c r="X15" t="s">
        <v>123</v>
      </c>
      <c r="Y15" t="s">
        <v>123</v>
      </c>
      <c r="Z15" t="s">
        <v>123</v>
      </c>
      <c r="AA15" t="s">
        <v>123</v>
      </c>
      <c r="AB15" t="s">
        <v>207</v>
      </c>
      <c r="AC15" t="s">
        <v>135</v>
      </c>
      <c r="AD15" t="s">
        <v>123</v>
      </c>
      <c r="AE15" t="s">
        <v>123</v>
      </c>
      <c r="AF15" t="s">
        <v>203</v>
      </c>
      <c r="AG15" t="s">
        <v>204</v>
      </c>
      <c r="AH15" t="s">
        <v>123</v>
      </c>
      <c r="AI15" t="s">
        <v>199</v>
      </c>
      <c r="AJ15" t="s">
        <v>186</v>
      </c>
      <c r="AK15" t="s">
        <v>139</v>
      </c>
      <c r="AL15" t="s">
        <v>123</v>
      </c>
      <c r="AM15" t="s">
        <v>123</v>
      </c>
      <c r="AN15" t="s">
        <v>123</v>
      </c>
      <c r="AO15" t="s">
        <v>123</v>
      </c>
      <c r="AP15">
        <v>250</v>
      </c>
      <c r="AQ15">
        <v>50</v>
      </c>
      <c r="AR15">
        <v>10</v>
      </c>
      <c r="AS15" t="s">
        <v>123</v>
      </c>
      <c r="AT15" t="s">
        <v>123</v>
      </c>
      <c r="AU15" t="s">
        <v>123</v>
      </c>
      <c r="AV15" t="s">
        <v>123</v>
      </c>
      <c r="AW15" t="s">
        <v>123</v>
      </c>
      <c r="AX15" t="s">
        <v>123</v>
      </c>
      <c r="AY15" t="s">
        <v>123</v>
      </c>
      <c r="AZ15" t="s">
        <v>123</v>
      </c>
      <c r="BA15" t="s">
        <v>140</v>
      </c>
      <c r="BB15" t="s">
        <v>123</v>
      </c>
      <c r="BC15" t="s">
        <v>123</v>
      </c>
      <c r="BD15" t="s">
        <v>123</v>
      </c>
      <c r="BE15" t="s">
        <v>123</v>
      </c>
      <c r="BF15" t="s">
        <v>123</v>
      </c>
      <c r="BG15" t="s">
        <v>141</v>
      </c>
      <c r="BH15" t="s">
        <v>123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123</v>
      </c>
      <c r="BX15" t="s">
        <v>123</v>
      </c>
      <c r="BY15" s="1">
        <v>45965.242687268517</v>
      </c>
      <c r="BZ15">
        <v>1459</v>
      </c>
      <c r="CA15" t="s">
        <v>123</v>
      </c>
      <c r="CB15" t="s">
        <v>123</v>
      </c>
      <c r="CC15">
        <v>0</v>
      </c>
      <c r="CD15" t="s">
        <v>123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>
        <v>2.5600000000000001E-2</v>
      </c>
      <c r="CL15">
        <v>2.8799999999999999E-2</v>
      </c>
      <c r="CM15">
        <v>2.93E-2</v>
      </c>
      <c r="CN15">
        <v>3.2399999999999998E-2</v>
      </c>
      <c r="CO15" t="s">
        <v>123</v>
      </c>
      <c r="CP15" t="s">
        <v>123</v>
      </c>
      <c r="CQ15">
        <v>2.2599999999999999E-2</v>
      </c>
      <c r="CR15">
        <v>2.5399999999999999E-2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205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  <c r="DN15" t="s">
        <v>123</v>
      </c>
      <c r="DO15" t="s">
        <v>123</v>
      </c>
      <c r="DP15" t="s">
        <v>123</v>
      </c>
      <c r="DQ15" t="s">
        <v>123</v>
      </c>
      <c r="DR15" t="s">
        <v>123</v>
      </c>
      <c r="DS15" t="s">
        <v>123</v>
      </c>
    </row>
    <row r="16" spans="1:123" x14ac:dyDescent="0.3">
      <c r="A16">
        <v>15</v>
      </c>
      <c r="B16" t="s">
        <v>123</v>
      </c>
      <c r="C16" t="s">
        <v>123</v>
      </c>
      <c r="D16" t="s">
        <v>208</v>
      </c>
      <c r="E16" t="s">
        <v>123</v>
      </c>
      <c r="F16" t="s">
        <v>125</v>
      </c>
      <c r="G16" t="s">
        <v>126</v>
      </c>
      <c r="H16" t="s">
        <v>127</v>
      </c>
      <c r="I16" t="s">
        <v>199</v>
      </c>
      <c r="J16" t="s">
        <v>123</v>
      </c>
      <c r="K16" t="s">
        <v>209</v>
      </c>
      <c r="L16" t="s">
        <v>130</v>
      </c>
      <c r="M16" t="s">
        <v>210</v>
      </c>
      <c r="N16" t="s">
        <v>158</v>
      </c>
      <c r="O16" t="s">
        <v>150</v>
      </c>
      <c r="P16" t="s">
        <v>123</v>
      </c>
      <c r="Q16" t="s">
        <v>123</v>
      </c>
      <c r="R16" t="s">
        <v>123</v>
      </c>
      <c r="S16" t="s">
        <v>123</v>
      </c>
      <c r="T16" s="1">
        <v>46484</v>
      </c>
      <c r="U16" t="s">
        <v>123</v>
      </c>
      <c r="V16" t="s">
        <v>123</v>
      </c>
      <c r="W16" t="s">
        <v>123</v>
      </c>
      <c r="X16" t="s">
        <v>123</v>
      </c>
      <c r="Y16" t="s">
        <v>123</v>
      </c>
      <c r="Z16" t="s">
        <v>123</v>
      </c>
      <c r="AA16" t="s">
        <v>123</v>
      </c>
      <c r="AB16" t="s">
        <v>211</v>
      </c>
      <c r="AC16" t="s">
        <v>135</v>
      </c>
      <c r="AD16" t="s">
        <v>123</v>
      </c>
      <c r="AE16" t="s">
        <v>123</v>
      </c>
      <c r="AF16" t="s">
        <v>212</v>
      </c>
      <c r="AG16" t="s">
        <v>213</v>
      </c>
      <c r="AH16" t="s">
        <v>123</v>
      </c>
      <c r="AI16" t="s">
        <v>199</v>
      </c>
      <c r="AJ16" t="s">
        <v>138</v>
      </c>
      <c r="AK16" t="s">
        <v>139</v>
      </c>
      <c r="AL16" t="s">
        <v>123</v>
      </c>
      <c r="AM16" t="s">
        <v>123</v>
      </c>
      <c r="AN16" t="s">
        <v>123</v>
      </c>
      <c r="AO16" t="s">
        <v>123</v>
      </c>
      <c r="AP16">
        <v>250</v>
      </c>
      <c r="AQ16">
        <v>50</v>
      </c>
      <c r="AR16">
        <v>10</v>
      </c>
      <c r="AS16" t="s">
        <v>123</v>
      </c>
      <c r="AT16" t="s">
        <v>123</v>
      </c>
      <c r="AU16" t="s">
        <v>123</v>
      </c>
      <c r="AV16" t="s">
        <v>123</v>
      </c>
      <c r="AW16" t="s">
        <v>123</v>
      </c>
      <c r="AX16" t="s">
        <v>123</v>
      </c>
      <c r="AY16" t="s">
        <v>123</v>
      </c>
      <c r="AZ16" t="s">
        <v>123</v>
      </c>
      <c r="BA16" t="s">
        <v>140</v>
      </c>
      <c r="BB16" t="s">
        <v>123</v>
      </c>
      <c r="BC16" t="s">
        <v>123</v>
      </c>
      <c r="BD16" t="s">
        <v>123</v>
      </c>
      <c r="BE16" t="s">
        <v>123</v>
      </c>
      <c r="BF16" t="s">
        <v>123</v>
      </c>
      <c r="BG16" t="s">
        <v>141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s="1">
        <v>45965.242712997686</v>
      </c>
      <c r="BZ16">
        <v>1486</v>
      </c>
      <c r="CA16" t="s">
        <v>123</v>
      </c>
      <c r="CB16" t="s">
        <v>123</v>
      </c>
      <c r="CC16">
        <v>0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>
        <v>1.6799999999999999E-2</v>
      </c>
      <c r="CL16">
        <v>1.8100000000000002E-2</v>
      </c>
      <c r="CM16">
        <v>2.47E-2</v>
      </c>
      <c r="CN16">
        <v>2.7099999999999999E-2</v>
      </c>
      <c r="CO16" t="s">
        <v>123</v>
      </c>
      <c r="CP16" t="s">
        <v>123</v>
      </c>
      <c r="CQ16">
        <v>1.14E-2</v>
      </c>
      <c r="CR16">
        <v>1.21E-2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214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  <c r="DN16" t="s">
        <v>123</v>
      </c>
      <c r="DO16" t="s">
        <v>123</v>
      </c>
      <c r="DP16" t="s">
        <v>123</v>
      </c>
      <c r="DQ16" t="s">
        <v>123</v>
      </c>
      <c r="DR16" t="s">
        <v>123</v>
      </c>
      <c r="DS16" t="s">
        <v>123</v>
      </c>
    </row>
    <row r="17" spans="1:123" x14ac:dyDescent="0.3">
      <c r="A17">
        <v>16</v>
      </c>
      <c r="B17" t="s">
        <v>123</v>
      </c>
      <c r="C17" t="s">
        <v>123</v>
      </c>
      <c r="D17" t="s">
        <v>215</v>
      </c>
      <c r="E17" t="s">
        <v>123</v>
      </c>
      <c r="F17" t="s">
        <v>125</v>
      </c>
      <c r="G17" t="s">
        <v>126</v>
      </c>
      <c r="H17" t="s">
        <v>127</v>
      </c>
      <c r="I17" t="s">
        <v>128</v>
      </c>
      <c r="J17" t="s">
        <v>123</v>
      </c>
      <c r="K17" t="s">
        <v>216</v>
      </c>
      <c r="L17" t="s">
        <v>130</v>
      </c>
      <c r="M17" t="s">
        <v>217</v>
      </c>
      <c r="N17" t="s">
        <v>158</v>
      </c>
      <c r="O17" t="s">
        <v>150</v>
      </c>
      <c r="P17" t="s">
        <v>123</v>
      </c>
      <c r="Q17" t="s">
        <v>123</v>
      </c>
      <c r="R17" t="s">
        <v>123</v>
      </c>
      <c r="S17" t="s">
        <v>123</v>
      </c>
      <c r="T17" s="1">
        <v>46451</v>
      </c>
      <c r="U17" t="s">
        <v>123</v>
      </c>
      <c r="V17" t="s">
        <v>123</v>
      </c>
      <c r="W17" t="s">
        <v>123</v>
      </c>
      <c r="X17" t="s">
        <v>123</v>
      </c>
      <c r="Y17" t="s">
        <v>123</v>
      </c>
      <c r="Z17" t="s">
        <v>123</v>
      </c>
      <c r="AA17" t="s">
        <v>123</v>
      </c>
      <c r="AB17" t="s">
        <v>218</v>
      </c>
      <c r="AC17" t="s">
        <v>135</v>
      </c>
      <c r="AD17" t="s">
        <v>123</v>
      </c>
      <c r="AE17" t="s">
        <v>123</v>
      </c>
      <c r="AF17" t="s">
        <v>219</v>
      </c>
      <c r="AG17" t="s">
        <v>220</v>
      </c>
      <c r="AH17" t="s">
        <v>123</v>
      </c>
      <c r="AI17" t="s">
        <v>128</v>
      </c>
      <c r="AJ17" t="s">
        <v>138</v>
      </c>
      <c r="AK17" t="s">
        <v>163</v>
      </c>
      <c r="AL17" t="s">
        <v>123</v>
      </c>
      <c r="AM17" t="s">
        <v>123</v>
      </c>
      <c r="AN17" t="s">
        <v>123</v>
      </c>
      <c r="AO17" t="s">
        <v>123</v>
      </c>
      <c r="AP17">
        <v>250</v>
      </c>
      <c r="AQ17">
        <v>50</v>
      </c>
      <c r="AR17">
        <v>10</v>
      </c>
      <c r="AS17" t="s">
        <v>123</v>
      </c>
      <c r="AT17" t="s">
        <v>123</v>
      </c>
      <c r="AU17" t="s">
        <v>123</v>
      </c>
      <c r="AV17" t="s">
        <v>123</v>
      </c>
      <c r="AW17" t="s">
        <v>123</v>
      </c>
      <c r="AX17" t="s">
        <v>123</v>
      </c>
      <c r="AY17" t="s">
        <v>123</v>
      </c>
      <c r="AZ17" t="s">
        <v>123</v>
      </c>
      <c r="BA17" t="s">
        <v>221</v>
      </c>
      <c r="BB17" t="s">
        <v>123</v>
      </c>
      <c r="BC17" t="s">
        <v>123</v>
      </c>
      <c r="BD17" t="s">
        <v>123</v>
      </c>
      <c r="BE17" t="s">
        <v>123</v>
      </c>
      <c r="BF17" t="s">
        <v>123</v>
      </c>
      <c r="BG17" t="s">
        <v>141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s="1">
        <v>45965.242782673609</v>
      </c>
      <c r="BZ17">
        <v>1504</v>
      </c>
      <c r="CA17" t="s">
        <v>123</v>
      </c>
      <c r="CB17" t="s">
        <v>123</v>
      </c>
      <c r="CC17">
        <v>0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>
        <v>3.1899999999999998E-2</v>
      </c>
      <c r="CL17">
        <v>3.2800000000000003E-2</v>
      </c>
      <c r="CM17">
        <v>4.1300000000000003E-2</v>
      </c>
      <c r="CN17">
        <v>4.2200000000000001E-2</v>
      </c>
      <c r="CO17" t="s">
        <v>123</v>
      </c>
      <c r="CP17" t="s">
        <v>123</v>
      </c>
      <c r="CQ17">
        <v>2.4500000000000001E-2</v>
      </c>
      <c r="CR17">
        <v>2.5100000000000001E-2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222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  <c r="DN17" t="s">
        <v>123</v>
      </c>
      <c r="DO17" t="s">
        <v>123</v>
      </c>
      <c r="DP17" t="s">
        <v>123</v>
      </c>
      <c r="DQ17" t="s">
        <v>123</v>
      </c>
      <c r="DR17" t="s">
        <v>123</v>
      </c>
      <c r="DS17" t="s">
        <v>123</v>
      </c>
    </row>
    <row r="18" spans="1:123" x14ac:dyDescent="0.3">
      <c r="A18">
        <v>17</v>
      </c>
      <c r="B18" t="s">
        <v>123</v>
      </c>
      <c r="C18" t="s">
        <v>123</v>
      </c>
      <c r="D18" t="s">
        <v>223</v>
      </c>
      <c r="E18" t="s">
        <v>123</v>
      </c>
      <c r="F18" t="s">
        <v>125</v>
      </c>
      <c r="G18" t="s">
        <v>126</v>
      </c>
      <c r="H18" t="s">
        <v>127</v>
      </c>
      <c r="I18" t="s">
        <v>128</v>
      </c>
      <c r="J18" t="s">
        <v>123</v>
      </c>
      <c r="K18" t="s">
        <v>224</v>
      </c>
      <c r="L18" t="s">
        <v>130</v>
      </c>
      <c r="M18" t="s">
        <v>225</v>
      </c>
      <c r="N18" t="s">
        <v>158</v>
      </c>
      <c r="O18" t="s">
        <v>133</v>
      </c>
      <c r="P18" t="s">
        <v>123</v>
      </c>
      <c r="Q18" t="s">
        <v>123</v>
      </c>
      <c r="R18" t="s">
        <v>123</v>
      </c>
      <c r="S18" t="s">
        <v>123</v>
      </c>
      <c r="T18" s="1">
        <v>46759</v>
      </c>
      <c r="U18" t="s">
        <v>123</v>
      </c>
      <c r="V18" t="s">
        <v>123</v>
      </c>
      <c r="W18" t="s">
        <v>123</v>
      </c>
      <c r="X18" t="s">
        <v>123</v>
      </c>
      <c r="Y18" t="s">
        <v>123</v>
      </c>
      <c r="Z18" t="s">
        <v>123</v>
      </c>
      <c r="AA18" t="s">
        <v>123</v>
      </c>
      <c r="AB18" t="s">
        <v>226</v>
      </c>
      <c r="AC18" t="s">
        <v>135</v>
      </c>
      <c r="AD18" t="s">
        <v>123</v>
      </c>
      <c r="AE18" t="s">
        <v>123</v>
      </c>
      <c r="AF18" t="s">
        <v>227</v>
      </c>
      <c r="AG18" t="s">
        <v>228</v>
      </c>
      <c r="AH18" t="s">
        <v>123</v>
      </c>
      <c r="AI18" t="s">
        <v>128</v>
      </c>
      <c r="AJ18" t="s">
        <v>138</v>
      </c>
      <c r="AK18" t="s">
        <v>163</v>
      </c>
      <c r="AL18" t="s">
        <v>123</v>
      </c>
      <c r="AM18" t="s">
        <v>123</v>
      </c>
      <c r="AN18" t="s">
        <v>123</v>
      </c>
      <c r="AO18" t="s">
        <v>123</v>
      </c>
      <c r="AP18">
        <v>250</v>
      </c>
      <c r="AQ18">
        <v>50</v>
      </c>
      <c r="AR18">
        <v>10</v>
      </c>
      <c r="AS18" t="s">
        <v>123</v>
      </c>
      <c r="AT18" t="s">
        <v>123</v>
      </c>
      <c r="AU18" t="s">
        <v>123</v>
      </c>
      <c r="AV18" t="s">
        <v>123</v>
      </c>
      <c r="AW18" t="s">
        <v>123</v>
      </c>
      <c r="AX18" t="s">
        <v>123</v>
      </c>
      <c r="AY18" t="s">
        <v>123</v>
      </c>
      <c r="AZ18" t="s">
        <v>123</v>
      </c>
      <c r="BA18" t="s">
        <v>140</v>
      </c>
      <c r="BB18" t="s">
        <v>123</v>
      </c>
      <c r="BC18" t="s">
        <v>123</v>
      </c>
      <c r="BD18" t="s">
        <v>123</v>
      </c>
      <c r="BE18" t="s">
        <v>123</v>
      </c>
      <c r="BF18" t="s">
        <v>123</v>
      </c>
      <c r="BG18" t="s">
        <v>141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123</v>
      </c>
      <c r="BY18" s="1">
        <v>45965.242875231481</v>
      </c>
      <c r="BZ18">
        <v>1516</v>
      </c>
      <c r="CA18" t="s">
        <v>123</v>
      </c>
      <c r="CB18" t="s">
        <v>123</v>
      </c>
      <c r="CC18">
        <v>0</v>
      </c>
      <c r="CD18" t="s">
        <v>123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>
        <v>2.1000000000000001E-2</v>
      </c>
      <c r="CL18">
        <v>2.29E-2</v>
      </c>
      <c r="CM18">
        <v>2.5999999999999999E-2</v>
      </c>
      <c r="CN18">
        <v>2.8400000000000002E-2</v>
      </c>
      <c r="CO18" t="s">
        <v>123</v>
      </c>
      <c r="CP18" t="s">
        <v>123</v>
      </c>
      <c r="CQ18">
        <v>1.6199999999999999E-2</v>
      </c>
      <c r="CR18">
        <v>1.78E-2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187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  <c r="DN18" t="s">
        <v>123</v>
      </c>
      <c r="DO18" t="s">
        <v>123</v>
      </c>
      <c r="DP18" t="s">
        <v>123</v>
      </c>
      <c r="DQ18" t="s">
        <v>123</v>
      </c>
      <c r="DR18" t="s">
        <v>123</v>
      </c>
      <c r="DS18" t="s">
        <v>123</v>
      </c>
    </row>
    <row r="19" spans="1:123" x14ac:dyDescent="0.3">
      <c r="A19">
        <v>18</v>
      </c>
      <c r="B19" t="s">
        <v>123</v>
      </c>
      <c r="C19" t="s">
        <v>123</v>
      </c>
      <c r="D19" t="s">
        <v>229</v>
      </c>
      <c r="E19" t="s">
        <v>123</v>
      </c>
      <c r="F19" t="s">
        <v>125</v>
      </c>
      <c r="G19" t="s">
        <v>126</v>
      </c>
      <c r="H19" t="s">
        <v>127</v>
      </c>
      <c r="I19" t="s">
        <v>128</v>
      </c>
      <c r="J19" t="s">
        <v>123</v>
      </c>
      <c r="K19" t="s">
        <v>224</v>
      </c>
      <c r="L19" t="s">
        <v>130</v>
      </c>
      <c r="M19" t="s">
        <v>225</v>
      </c>
      <c r="N19" t="s">
        <v>180</v>
      </c>
      <c r="O19" t="s">
        <v>133</v>
      </c>
      <c r="P19" t="s">
        <v>123</v>
      </c>
      <c r="Q19" t="s">
        <v>123</v>
      </c>
      <c r="R19" t="s">
        <v>123</v>
      </c>
      <c r="S19" t="s">
        <v>123</v>
      </c>
      <c r="T19" s="1">
        <v>46030</v>
      </c>
      <c r="U19" t="s">
        <v>123</v>
      </c>
      <c r="V19" t="s">
        <v>123</v>
      </c>
      <c r="W19" t="s">
        <v>123</v>
      </c>
      <c r="X19" t="s">
        <v>123</v>
      </c>
      <c r="Y19" t="s">
        <v>123</v>
      </c>
      <c r="Z19" t="s">
        <v>123</v>
      </c>
      <c r="AA19" t="s">
        <v>123</v>
      </c>
      <c r="AB19" t="s">
        <v>230</v>
      </c>
      <c r="AC19" t="s">
        <v>135</v>
      </c>
      <c r="AD19" t="s">
        <v>123</v>
      </c>
      <c r="AE19" t="s">
        <v>123</v>
      </c>
      <c r="AF19" t="s">
        <v>227</v>
      </c>
      <c r="AG19" t="s">
        <v>228</v>
      </c>
      <c r="AH19" t="s">
        <v>123</v>
      </c>
      <c r="AI19" t="s">
        <v>128</v>
      </c>
      <c r="AJ19" t="s">
        <v>138</v>
      </c>
      <c r="AK19" t="s">
        <v>163</v>
      </c>
      <c r="AL19" t="s">
        <v>123</v>
      </c>
      <c r="AM19" t="s">
        <v>123</v>
      </c>
      <c r="AN19" t="s">
        <v>123</v>
      </c>
      <c r="AO19" t="s">
        <v>123</v>
      </c>
      <c r="AP19">
        <v>250</v>
      </c>
      <c r="AQ19">
        <v>50</v>
      </c>
      <c r="AR19">
        <v>10</v>
      </c>
      <c r="AS19" t="s">
        <v>123</v>
      </c>
      <c r="AT19" t="s">
        <v>123</v>
      </c>
      <c r="AU19" t="s">
        <v>123</v>
      </c>
      <c r="AV19" t="s">
        <v>123</v>
      </c>
      <c r="AW19" t="s">
        <v>123</v>
      </c>
      <c r="AX19" t="s">
        <v>123</v>
      </c>
      <c r="AY19" t="s">
        <v>123</v>
      </c>
      <c r="AZ19" t="s">
        <v>123</v>
      </c>
      <c r="BA19" t="s">
        <v>140</v>
      </c>
      <c r="BB19" t="s">
        <v>123</v>
      </c>
      <c r="BC19" t="s">
        <v>123</v>
      </c>
      <c r="BD19" t="s">
        <v>123</v>
      </c>
      <c r="BE19" t="s">
        <v>123</v>
      </c>
      <c r="BF19" t="s">
        <v>123</v>
      </c>
      <c r="BG19" t="s">
        <v>141</v>
      </c>
      <c r="BH19" t="s">
        <v>123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123</v>
      </c>
      <c r="BX19" t="s">
        <v>123</v>
      </c>
      <c r="BY19" s="1">
        <v>45965.242993715277</v>
      </c>
      <c r="BZ19">
        <v>1516</v>
      </c>
      <c r="CA19" t="s">
        <v>123</v>
      </c>
      <c r="CB19" t="s">
        <v>123</v>
      </c>
      <c r="CC19">
        <v>0</v>
      </c>
      <c r="CD19" t="s">
        <v>123</v>
      </c>
      <c r="CE19" t="s">
        <v>123</v>
      </c>
      <c r="CF19" t="s">
        <v>123</v>
      </c>
      <c r="CG19" t="s">
        <v>123</v>
      </c>
      <c r="CH19" t="s">
        <v>123</v>
      </c>
      <c r="CI19" t="s">
        <v>123</v>
      </c>
      <c r="CJ19" t="s">
        <v>123</v>
      </c>
      <c r="CK19">
        <v>2.1000000000000001E-2</v>
      </c>
      <c r="CL19">
        <v>2.29E-2</v>
      </c>
      <c r="CM19">
        <v>2.5999999999999999E-2</v>
      </c>
      <c r="CN19">
        <v>2.8400000000000002E-2</v>
      </c>
      <c r="CO19" t="s">
        <v>123</v>
      </c>
      <c r="CP19" t="s">
        <v>123</v>
      </c>
      <c r="CQ19">
        <v>1.6199999999999999E-2</v>
      </c>
      <c r="CR19">
        <v>1.78E-2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187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  <c r="DN19" t="s">
        <v>123</v>
      </c>
      <c r="DO19" t="s">
        <v>123</v>
      </c>
      <c r="DP19" t="s">
        <v>123</v>
      </c>
      <c r="DQ19" t="s">
        <v>123</v>
      </c>
      <c r="DR19" t="s">
        <v>123</v>
      </c>
      <c r="DS19" t="s">
        <v>123</v>
      </c>
    </row>
    <row r="20" spans="1:123" x14ac:dyDescent="0.3">
      <c r="A20">
        <v>19</v>
      </c>
      <c r="B20" t="s">
        <v>123</v>
      </c>
      <c r="C20" t="s">
        <v>123</v>
      </c>
      <c r="D20" t="s">
        <v>231</v>
      </c>
      <c r="E20" t="s">
        <v>123</v>
      </c>
      <c r="F20" t="s">
        <v>125</v>
      </c>
      <c r="G20" t="s">
        <v>126</v>
      </c>
      <c r="H20" t="s">
        <v>127</v>
      </c>
      <c r="I20" t="s">
        <v>199</v>
      </c>
      <c r="J20" t="s">
        <v>123</v>
      </c>
      <c r="K20" t="s">
        <v>232</v>
      </c>
      <c r="L20" t="s">
        <v>130</v>
      </c>
      <c r="M20" t="s">
        <v>233</v>
      </c>
      <c r="N20" t="s">
        <v>158</v>
      </c>
      <c r="O20" t="s">
        <v>159</v>
      </c>
      <c r="P20" t="s">
        <v>123</v>
      </c>
      <c r="Q20" t="s">
        <v>123</v>
      </c>
      <c r="R20" t="s">
        <v>123</v>
      </c>
      <c r="S20" t="s">
        <v>123</v>
      </c>
      <c r="T20" s="1">
        <v>46762</v>
      </c>
      <c r="U20" t="s">
        <v>123</v>
      </c>
      <c r="V20" t="s">
        <v>123</v>
      </c>
      <c r="W20" t="s">
        <v>123</v>
      </c>
      <c r="X20" t="s">
        <v>123</v>
      </c>
      <c r="Y20" t="s">
        <v>123</v>
      </c>
      <c r="Z20" t="s">
        <v>123</v>
      </c>
      <c r="AA20" t="s">
        <v>123</v>
      </c>
      <c r="AB20" t="s">
        <v>234</v>
      </c>
      <c r="AC20" t="s">
        <v>135</v>
      </c>
      <c r="AD20" t="s">
        <v>123</v>
      </c>
      <c r="AE20" t="s">
        <v>123</v>
      </c>
      <c r="AF20" t="s">
        <v>235</v>
      </c>
      <c r="AG20" t="s">
        <v>236</v>
      </c>
      <c r="AH20" t="s">
        <v>123</v>
      </c>
      <c r="AI20" t="s">
        <v>199</v>
      </c>
      <c r="AJ20" t="s">
        <v>138</v>
      </c>
      <c r="AK20" t="s">
        <v>139</v>
      </c>
      <c r="AL20" t="s">
        <v>123</v>
      </c>
      <c r="AM20" t="s">
        <v>123</v>
      </c>
      <c r="AN20" t="s">
        <v>123</v>
      </c>
      <c r="AO20" t="s">
        <v>123</v>
      </c>
      <c r="AP20">
        <v>250</v>
      </c>
      <c r="AQ20">
        <v>50</v>
      </c>
      <c r="AR20">
        <v>10</v>
      </c>
      <c r="AS20" t="s">
        <v>123</v>
      </c>
      <c r="AT20" t="s">
        <v>123</v>
      </c>
      <c r="AU20" t="s">
        <v>123</v>
      </c>
      <c r="AV20" t="s">
        <v>123</v>
      </c>
      <c r="AW20" t="s">
        <v>123</v>
      </c>
      <c r="AX20" t="s">
        <v>123</v>
      </c>
      <c r="AY20" t="s">
        <v>123</v>
      </c>
      <c r="AZ20" t="s">
        <v>123</v>
      </c>
      <c r="BA20" t="s">
        <v>237</v>
      </c>
      <c r="BB20" t="s">
        <v>123</v>
      </c>
      <c r="BC20" t="s">
        <v>123</v>
      </c>
      <c r="BD20" t="s">
        <v>123</v>
      </c>
      <c r="BE20" t="s">
        <v>123</v>
      </c>
      <c r="BF20" t="s">
        <v>123</v>
      </c>
      <c r="BG20" t="s">
        <v>238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s="1">
        <v>45965.243086030096</v>
      </c>
      <c r="BZ20">
        <v>1560</v>
      </c>
      <c r="CA20" t="s">
        <v>123</v>
      </c>
      <c r="CB20" t="s">
        <v>123</v>
      </c>
      <c r="CC20">
        <v>0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>
        <v>4.1999999999999997E-3</v>
      </c>
      <c r="CL20">
        <v>4.4000000000000003E-3</v>
      </c>
      <c r="CM20">
        <v>4.4999999999999997E-3</v>
      </c>
      <c r="CN20">
        <v>4.5999999999999999E-3</v>
      </c>
      <c r="CO20" t="s">
        <v>123</v>
      </c>
      <c r="CP20" t="s">
        <v>123</v>
      </c>
      <c r="CQ20">
        <v>3.8999999999999998E-3</v>
      </c>
      <c r="CR20">
        <v>4.1000000000000003E-3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239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  <c r="DN20" t="s">
        <v>123</v>
      </c>
      <c r="DO20" t="s">
        <v>123</v>
      </c>
      <c r="DP20" t="s">
        <v>123</v>
      </c>
      <c r="DQ20" t="s">
        <v>123</v>
      </c>
      <c r="DR20" t="s">
        <v>123</v>
      </c>
      <c r="DS20" t="s">
        <v>123</v>
      </c>
    </row>
    <row r="21" spans="1:123" x14ac:dyDescent="0.3">
      <c r="A21">
        <v>20</v>
      </c>
      <c r="B21" t="s">
        <v>123</v>
      </c>
      <c r="C21" t="s">
        <v>123</v>
      </c>
      <c r="D21" t="s">
        <v>240</v>
      </c>
      <c r="E21" t="s">
        <v>123</v>
      </c>
      <c r="F21" t="s">
        <v>125</v>
      </c>
      <c r="G21" t="s">
        <v>126</v>
      </c>
      <c r="H21" t="s">
        <v>127</v>
      </c>
      <c r="I21" t="s">
        <v>128</v>
      </c>
      <c r="J21" t="s">
        <v>123</v>
      </c>
      <c r="K21" t="s">
        <v>241</v>
      </c>
      <c r="L21" t="s">
        <v>130</v>
      </c>
      <c r="M21" t="s">
        <v>242</v>
      </c>
      <c r="N21" t="s">
        <v>158</v>
      </c>
      <c r="O21" t="s">
        <v>150</v>
      </c>
      <c r="P21" t="s">
        <v>123</v>
      </c>
      <c r="Q21" t="s">
        <v>123</v>
      </c>
      <c r="R21" t="s">
        <v>123</v>
      </c>
      <c r="S21" t="s">
        <v>123</v>
      </c>
      <c r="T21" s="1">
        <v>46030</v>
      </c>
      <c r="U21" t="s">
        <v>123</v>
      </c>
      <c r="V21" t="s">
        <v>123</v>
      </c>
      <c r="W21" t="s">
        <v>123</v>
      </c>
      <c r="X21" t="s">
        <v>123</v>
      </c>
      <c r="Y21" t="s">
        <v>123</v>
      </c>
      <c r="Z21" t="s">
        <v>123</v>
      </c>
      <c r="AA21" t="s">
        <v>123</v>
      </c>
      <c r="AB21" t="s">
        <v>243</v>
      </c>
      <c r="AC21" t="s">
        <v>135</v>
      </c>
      <c r="AD21" t="s">
        <v>123</v>
      </c>
      <c r="AE21" t="s">
        <v>123</v>
      </c>
      <c r="AF21" t="s">
        <v>136</v>
      </c>
      <c r="AG21" t="s">
        <v>137</v>
      </c>
      <c r="AH21" t="s">
        <v>123</v>
      </c>
      <c r="AI21" t="s">
        <v>128</v>
      </c>
      <c r="AJ21" t="s">
        <v>186</v>
      </c>
      <c r="AK21" t="s">
        <v>139</v>
      </c>
      <c r="AL21" t="s">
        <v>123</v>
      </c>
      <c r="AM21" t="s">
        <v>123</v>
      </c>
      <c r="AN21" t="s">
        <v>123</v>
      </c>
      <c r="AO21" t="s">
        <v>123</v>
      </c>
      <c r="AP21">
        <v>250</v>
      </c>
      <c r="AQ21">
        <v>50</v>
      </c>
      <c r="AR21">
        <v>10</v>
      </c>
      <c r="AS21" t="s">
        <v>123</v>
      </c>
      <c r="AT21" t="s">
        <v>123</v>
      </c>
      <c r="AU21" t="s">
        <v>123</v>
      </c>
      <c r="AV21" t="s">
        <v>123</v>
      </c>
      <c r="AW21" t="s">
        <v>123</v>
      </c>
      <c r="AX21" t="s">
        <v>123</v>
      </c>
      <c r="AY21" t="s">
        <v>123</v>
      </c>
      <c r="AZ21" t="s">
        <v>123</v>
      </c>
      <c r="BA21" t="s">
        <v>140</v>
      </c>
      <c r="BB21" t="s">
        <v>123</v>
      </c>
      <c r="BC21" t="s">
        <v>123</v>
      </c>
      <c r="BD21" t="s">
        <v>123</v>
      </c>
      <c r="BE21" t="s">
        <v>123</v>
      </c>
      <c r="BF21" t="s">
        <v>123</v>
      </c>
      <c r="BG21" t="s">
        <v>141</v>
      </c>
      <c r="BH21" t="s">
        <v>123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123</v>
      </c>
      <c r="BX21" t="s">
        <v>123</v>
      </c>
      <c r="BY21" s="1">
        <v>45965.243152314812</v>
      </c>
      <c r="BZ21">
        <v>1498</v>
      </c>
      <c r="CA21" t="s">
        <v>123</v>
      </c>
      <c r="CB21" t="s">
        <v>123</v>
      </c>
      <c r="CC21">
        <v>0</v>
      </c>
      <c r="CD21" t="s">
        <v>123</v>
      </c>
      <c r="CE21" t="s">
        <v>123</v>
      </c>
      <c r="CF21" t="s">
        <v>123</v>
      </c>
      <c r="CG21" t="s">
        <v>123</v>
      </c>
      <c r="CH21" t="s">
        <v>123</v>
      </c>
      <c r="CI21" t="s">
        <v>123</v>
      </c>
      <c r="CJ21" t="s">
        <v>123</v>
      </c>
      <c r="CK21">
        <v>4.0899999999999999E-2</v>
      </c>
      <c r="CL21">
        <v>4.7E-2</v>
      </c>
      <c r="CM21">
        <v>6.0299999999999999E-2</v>
      </c>
      <c r="CN21">
        <v>6.8199999999999997E-2</v>
      </c>
      <c r="CO21" t="s">
        <v>123</v>
      </c>
      <c r="CP21" t="s">
        <v>123</v>
      </c>
      <c r="CQ21">
        <v>2.6700000000000002E-2</v>
      </c>
      <c r="CR21">
        <v>3.1E-2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244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  <c r="DN21" t="s">
        <v>123</v>
      </c>
      <c r="DO21" t="s">
        <v>123</v>
      </c>
      <c r="DP21" t="s">
        <v>123</v>
      </c>
      <c r="DQ21" t="s">
        <v>123</v>
      </c>
      <c r="DR21" t="s">
        <v>123</v>
      </c>
      <c r="DS21" t="s">
        <v>123</v>
      </c>
    </row>
    <row r="22" spans="1:123" x14ac:dyDescent="0.3">
      <c r="A22">
        <v>21</v>
      </c>
      <c r="B22" t="s">
        <v>123</v>
      </c>
      <c r="C22" t="s">
        <v>123</v>
      </c>
      <c r="D22" t="s">
        <v>245</v>
      </c>
      <c r="E22" t="s">
        <v>123</v>
      </c>
      <c r="F22" t="s">
        <v>125</v>
      </c>
      <c r="G22" t="s">
        <v>126</v>
      </c>
      <c r="H22" t="s">
        <v>127</v>
      </c>
      <c r="I22" t="s">
        <v>128</v>
      </c>
      <c r="J22" t="s">
        <v>123</v>
      </c>
      <c r="K22" t="s">
        <v>241</v>
      </c>
      <c r="L22" t="s">
        <v>130</v>
      </c>
      <c r="M22" t="s">
        <v>242</v>
      </c>
      <c r="N22" t="s">
        <v>180</v>
      </c>
      <c r="O22" t="s">
        <v>150</v>
      </c>
      <c r="P22" t="s">
        <v>123</v>
      </c>
      <c r="Q22" t="s">
        <v>123</v>
      </c>
      <c r="R22" t="s">
        <v>123</v>
      </c>
      <c r="S22" t="s">
        <v>123</v>
      </c>
      <c r="T22" s="1">
        <v>46740</v>
      </c>
      <c r="U22" t="s">
        <v>123</v>
      </c>
      <c r="V22" t="s">
        <v>123</v>
      </c>
      <c r="W22" t="s">
        <v>123</v>
      </c>
      <c r="X22" t="s">
        <v>123</v>
      </c>
      <c r="Y22" t="s">
        <v>123</v>
      </c>
      <c r="Z22" t="s">
        <v>123</v>
      </c>
      <c r="AA22" t="s">
        <v>123</v>
      </c>
      <c r="AB22" t="s">
        <v>246</v>
      </c>
      <c r="AC22" t="s">
        <v>135</v>
      </c>
      <c r="AD22" t="s">
        <v>123</v>
      </c>
      <c r="AE22" t="s">
        <v>123</v>
      </c>
      <c r="AF22" t="s">
        <v>136</v>
      </c>
      <c r="AG22" t="s">
        <v>137</v>
      </c>
      <c r="AH22" t="s">
        <v>123</v>
      </c>
      <c r="AI22" t="s">
        <v>128</v>
      </c>
      <c r="AJ22" t="s">
        <v>138</v>
      </c>
      <c r="AK22" t="s">
        <v>139</v>
      </c>
      <c r="AL22" t="s">
        <v>123</v>
      </c>
      <c r="AM22" t="s">
        <v>123</v>
      </c>
      <c r="AN22" t="s">
        <v>123</v>
      </c>
      <c r="AO22" t="s">
        <v>123</v>
      </c>
      <c r="AP22">
        <v>250</v>
      </c>
      <c r="AQ22">
        <v>50</v>
      </c>
      <c r="AR22">
        <v>10</v>
      </c>
      <c r="AS22" t="s">
        <v>123</v>
      </c>
      <c r="AT22" t="s">
        <v>123</v>
      </c>
      <c r="AU22" t="s">
        <v>123</v>
      </c>
      <c r="AV22" t="s">
        <v>123</v>
      </c>
      <c r="AW22" t="s">
        <v>123</v>
      </c>
      <c r="AX22" t="s">
        <v>123</v>
      </c>
      <c r="AY22" t="s">
        <v>123</v>
      </c>
      <c r="AZ22" t="s">
        <v>123</v>
      </c>
      <c r="BA22" t="s">
        <v>140</v>
      </c>
      <c r="BB22" t="s">
        <v>123</v>
      </c>
      <c r="BC22" t="s">
        <v>123</v>
      </c>
      <c r="BD22" t="s">
        <v>123</v>
      </c>
      <c r="BE22" t="s">
        <v>123</v>
      </c>
      <c r="BF22" t="s">
        <v>123</v>
      </c>
      <c r="BG22" t="s">
        <v>141</v>
      </c>
      <c r="BH22" t="s">
        <v>123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123</v>
      </c>
      <c r="BX22" t="s">
        <v>123</v>
      </c>
      <c r="BY22" s="1">
        <v>45965.24321458333</v>
      </c>
      <c r="BZ22">
        <v>1498</v>
      </c>
      <c r="CA22" t="s">
        <v>123</v>
      </c>
      <c r="CB22" t="s">
        <v>123</v>
      </c>
      <c r="CC22">
        <v>0</v>
      </c>
      <c r="CD22" t="s">
        <v>123</v>
      </c>
      <c r="CE22" t="s">
        <v>123</v>
      </c>
      <c r="CF22" t="s">
        <v>123</v>
      </c>
      <c r="CG22" t="s">
        <v>123</v>
      </c>
      <c r="CH22" t="s">
        <v>123</v>
      </c>
      <c r="CI22" t="s">
        <v>123</v>
      </c>
      <c r="CJ22" t="s">
        <v>123</v>
      </c>
      <c r="CK22">
        <v>7.6E-3</v>
      </c>
      <c r="CL22">
        <v>8.3999999999999995E-3</v>
      </c>
      <c r="CM22">
        <v>9.2999999999999992E-3</v>
      </c>
      <c r="CN22">
        <v>1.03E-2</v>
      </c>
      <c r="CO22" t="s">
        <v>123</v>
      </c>
      <c r="CP22" t="s">
        <v>123</v>
      </c>
      <c r="CQ22">
        <v>6.4999999999999997E-3</v>
      </c>
      <c r="CR22">
        <v>7.1999999999999998E-3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244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  <c r="DN22" t="s">
        <v>123</v>
      </c>
      <c r="DO22" t="s">
        <v>123</v>
      </c>
      <c r="DP22" t="s">
        <v>123</v>
      </c>
      <c r="DQ22" t="s">
        <v>123</v>
      </c>
      <c r="DR22" t="s">
        <v>123</v>
      </c>
      <c r="DS22" t="s">
        <v>123</v>
      </c>
    </row>
    <row r="23" spans="1:123" x14ac:dyDescent="0.3">
      <c r="A23">
        <v>22</v>
      </c>
      <c r="B23" t="s">
        <v>123</v>
      </c>
      <c r="C23" t="s">
        <v>123</v>
      </c>
      <c r="D23" t="s">
        <v>247</v>
      </c>
      <c r="E23" t="s">
        <v>123</v>
      </c>
      <c r="F23" t="s">
        <v>125</v>
      </c>
      <c r="G23" t="s">
        <v>126</v>
      </c>
      <c r="H23" t="s">
        <v>127</v>
      </c>
      <c r="I23" t="s">
        <v>128</v>
      </c>
      <c r="J23" t="s">
        <v>123</v>
      </c>
      <c r="K23" t="s">
        <v>241</v>
      </c>
      <c r="L23" t="s">
        <v>130</v>
      </c>
      <c r="M23" t="s">
        <v>242</v>
      </c>
      <c r="N23" t="s">
        <v>248</v>
      </c>
      <c r="O23" t="s">
        <v>150</v>
      </c>
      <c r="P23" t="s">
        <v>123</v>
      </c>
      <c r="Q23" t="s">
        <v>123</v>
      </c>
      <c r="R23" t="s">
        <v>123</v>
      </c>
      <c r="S23" t="s">
        <v>123</v>
      </c>
      <c r="T23" s="1">
        <v>46740</v>
      </c>
      <c r="U23" t="s">
        <v>123</v>
      </c>
      <c r="V23" t="s">
        <v>123</v>
      </c>
      <c r="W23" t="s">
        <v>123</v>
      </c>
      <c r="X23" t="s">
        <v>123</v>
      </c>
      <c r="Y23" t="s">
        <v>123</v>
      </c>
      <c r="Z23" t="s">
        <v>123</v>
      </c>
      <c r="AA23" t="s">
        <v>123</v>
      </c>
      <c r="AB23" t="s">
        <v>249</v>
      </c>
      <c r="AC23" t="s">
        <v>135</v>
      </c>
      <c r="AD23" t="s">
        <v>123</v>
      </c>
      <c r="AE23" t="s">
        <v>123</v>
      </c>
      <c r="AF23" t="s">
        <v>136</v>
      </c>
      <c r="AG23" t="s">
        <v>137</v>
      </c>
      <c r="AH23" t="s">
        <v>123</v>
      </c>
      <c r="AI23" t="s">
        <v>128</v>
      </c>
      <c r="AJ23" t="s">
        <v>138</v>
      </c>
      <c r="AK23" t="s">
        <v>139</v>
      </c>
      <c r="AL23" t="s">
        <v>123</v>
      </c>
      <c r="AM23" t="s">
        <v>123</v>
      </c>
      <c r="AN23" t="s">
        <v>123</v>
      </c>
      <c r="AO23" t="s">
        <v>123</v>
      </c>
      <c r="AP23">
        <v>250</v>
      </c>
      <c r="AQ23">
        <v>50</v>
      </c>
      <c r="AR23">
        <v>10</v>
      </c>
      <c r="AS23" t="s">
        <v>123</v>
      </c>
      <c r="AT23" t="s">
        <v>123</v>
      </c>
      <c r="AU23" t="s">
        <v>123</v>
      </c>
      <c r="AV23" t="s">
        <v>123</v>
      </c>
      <c r="AW23" t="s">
        <v>123</v>
      </c>
      <c r="AX23" t="s">
        <v>123</v>
      </c>
      <c r="AY23" t="s">
        <v>123</v>
      </c>
      <c r="AZ23" t="s">
        <v>123</v>
      </c>
      <c r="BA23" t="s">
        <v>140</v>
      </c>
      <c r="BB23" t="s">
        <v>123</v>
      </c>
      <c r="BC23" t="s">
        <v>123</v>
      </c>
      <c r="BD23" t="s">
        <v>123</v>
      </c>
      <c r="BE23" t="s">
        <v>123</v>
      </c>
      <c r="BF23" t="s">
        <v>123</v>
      </c>
      <c r="BG23" t="s">
        <v>141</v>
      </c>
      <c r="BH23" t="s">
        <v>123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123</v>
      </c>
      <c r="BX23" t="s">
        <v>123</v>
      </c>
      <c r="BY23" s="1">
        <v>45965.243246064812</v>
      </c>
      <c r="BZ23">
        <v>1498</v>
      </c>
      <c r="CA23" t="s">
        <v>123</v>
      </c>
      <c r="CB23" t="s">
        <v>123</v>
      </c>
      <c r="CC23">
        <v>0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>
        <v>1.8200000000000001E-2</v>
      </c>
      <c r="CL23">
        <v>2.0299999999999999E-2</v>
      </c>
      <c r="CM23">
        <v>2.0899999999999998E-2</v>
      </c>
      <c r="CN23">
        <v>2.3400000000000001E-2</v>
      </c>
      <c r="CO23" t="s">
        <v>123</v>
      </c>
      <c r="CP23" t="s">
        <v>123</v>
      </c>
      <c r="CQ23">
        <v>1.5900000000000001E-2</v>
      </c>
      <c r="CR23">
        <v>1.7600000000000001E-2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244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  <c r="DN23" t="s">
        <v>123</v>
      </c>
      <c r="DO23" t="s">
        <v>123</v>
      </c>
      <c r="DP23" t="s">
        <v>123</v>
      </c>
      <c r="DQ23" t="s">
        <v>123</v>
      </c>
      <c r="DR23" t="s">
        <v>123</v>
      </c>
      <c r="DS23" t="s">
        <v>123</v>
      </c>
    </row>
    <row r="24" spans="1:123" x14ac:dyDescent="0.3">
      <c r="A24">
        <v>23</v>
      </c>
      <c r="B24" t="s">
        <v>123</v>
      </c>
      <c r="C24" t="s">
        <v>123</v>
      </c>
      <c r="D24" t="s">
        <v>250</v>
      </c>
      <c r="E24" t="s">
        <v>123</v>
      </c>
      <c r="F24" t="s">
        <v>125</v>
      </c>
      <c r="G24" t="s">
        <v>126</v>
      </c>
      <c r="H24" t="s">
        <v>127</v>
      </c>
      <c r="I24" t="s">
        <v>128</v>
      </c>
      <c r="J24" t="s">
        <v>123</v>
      </c>
      <c r="K24" t="s">
        <v>251</v>
      </c>
      <c r="L24" t="s">
        <v>130</v>
      </c>
      <c r="M24" t="s">
        <v>252</v>
      </c>
      <c r="N24" t="s">
        <v>180</v>
      </c>
      <c r="O24" t="s">
        <v>253</v>
      </c>
      <c r="P24" t="s">
        <v>123</v>
      </c>
      <c r="Q24" t="s">
        <v>123</v>
      </c>
      <c r="R24" t="s">
        <v>123</v>
      </c>
      <c r="S24" t="s">
        <v>123</v>
      </c>
      <c r="T24" s="1">
        <v>47215</v>
      </c>
      <c r="U24" t="s">
        <v>123</v>
      </c>
      <c r="V24" t="s">
        <v>123</v>
      </c>
      <c r="W24" t="s">
        <v>123</v>
      </c>
      <c r="X24" t="s">
        <v>123</v>
      </c>
      <c r="Y24" t="s">
        <v>123</v>
      </c>
      <c r="Z24" t="s">
        <v>123</v>
      </c>
      <c r="AA24" t="s">
        <v>123</v>
      </c>
      <c r="AB24" t="s">
        <v>254</v>
      </c>
      <c r="AC24" t="s">
        <v>135</v>
      </c>
      <c r="AD24" t="s">
        <v>123</v>
      </c>
      <c r="AE24" t="s">
        <v>123</v>
      </c>
      <c r="AF24" t="s">
        <v>255</v>
      </c>
      <c r="AG24" t="s">
        <v>256</v>
      </c>
      <c r="AH24" t="s">
        <v>123</v>
      </c>
      <c r="AI24" t="s">
        <v>128</v>
      </c>
      <c r="AJ24" t="s">
        <v>138</v>
      </c>
      <c r="AK24" t="s">
        <v>139</v>
      </c>
      <c r="AL24" t="s">
        <v>123</v>
      </c>
      <c r="AM24" t="s">
        <v>123</v>
      </c>
      <c r="AN24" t="s">
        <v>123</v>
      </c>
      <c r="AO24" t="s">
        <v>123</v>
      </c>
      <c r="AP24">
        <v>250</v>
      </c>
      <c r="AQ24">
        <v>50</v>
      </c>
      <c r="AR24">
        <v>10</v>
      </c>
      <c r="AS24" t="s">
        <v>123</v>
      </c>
      <c r="AT24" t="s">
        <v>123</v>
      </c>
      <c r="AU24" t="s">
        <v>123</v>
      </c>
      <c r="AV24" t="s">
        <v>123</v>
      </c>
      <c r="AW24" t="s">
        <v>123</v>
      </c>
      <c r="AX24" t="s">
        <v>123</v>
      </c>
      <c r="AY24" t="s">
        <v>123</v>
      </c>
      <c r="AZ24" t="s">
        <v>123</v>
      </c>
      <c r="BA24" t="s">
        <v>140</v>
      </c>
      <c r="BB24" t="s">
        <v>123</v>
      </c>
      <c r="BC24" t="s">
        <v>123</v>
      </c>
      <c r="BD24" t="s">
        <v>123</v>
      </c>
      <c r="BE24" t="s">
        <v>123</v>
      </c>
      <c r="BF24" t="s">
        <v>123</v>
      </c>
      <c r="BG24" t="s">
        <v>141</v>
      </c>
      <c r="BH24" t="s">
        <v>123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123</v>
      </c>
      <c r="BX24" t="s">
        <v>123</v>
      </c>
      <c r="BY24" s="1">
        <v>45965.243273148146</v>
      </c>
      <c r="BZ24">
        <v>1465</v>
      </c>
      <c r="CA24" t="s">
        <v>123</v>
      </c>
      <c r="CB24" t="s">
        <v>123</v>
      </c>
      <c r="CC24">
        <v>0</v>
      </c>
      <c r="CD24" t="s">
        <v>123</v>
      </c>
      <c r="CE24" t="s">
        <v>123</v>
      </c>
      <c r="CF24" t="s">
        <v>123</v>
      </c>
      <c r="CG24" t="s">
        <v>123</v>
      </c>
      <c r="CH24" t="s">
        <v>123</v>
      </c>
      <c r="CI24" t="s">
        <v>123</v>
      </c>
      <c r="CJ24" t="s">
        <v>123</v>
      </c>
      <c r="CK24">
        <v>1.7500000000000002E-2</v>
      </c>
      <c r="CL24">
        <v>1.95E-2</v>
      </c>
      <c r="CM24">
        <v>2.12E-2</v>
      </c>
      <c r="CN24">
        <v>2.3800000000000002E-2</v>
      </c>
      <c r="CO24" t="s">
        <v>123</v>
      </c>
      <c r="CP24" t="s">
        <v>123</v>
      </c>
      <c r="CQ24">
        <v>1.4800000000000001E-2</v>
      </c>
      <c r="CR24">
        <v>1.6199999999999999E-2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257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  <c r="DN24" t="s">
        <v>123</v>
      </c>
      <c r="DO24" t="s">
        <v>123</v>
      </c>
      <c r="DP24" t="s">
        <v>123</v>
      </c>
      <c r="DQ24" t="s">
        <v>123</v>
      </c>
      <c r="DR24" t="s">
        <v>123</v>
      </c>
      <c r="DS24" t="s">
        <v>123</v>
      </c>
    </row>
    <row r="25" spans="1:123" x14ac:dyDescent="0.3">
      <c r="A25">
        <v>24</v>
      </c>
      <c r="B25" t="s">
        <v>123</v>
      </c>
      <c r="C25" t="s">
        <v>123</v>
      </c>
      <c r="D25" t="s">
        <v>258</v>
      </c>
      <c r="E25" t="s">
        <v>123</v>
      </c>
      <c r="F25" t="s">
        <v>125</v>
      </c>
      <c r="G25" t="s">
        <v>126</v>
      </c>
      <c r="H25" t="s">
        <v>127</v>
      </c>
      <c r="I25" t="s">
        <v>128</v>
      </c>
      <c r="J25" t="s">
        <v>123</v>
      </c>
      <c r="K25" t="s">
        <v>251</v>
      </c>
      <c r="L25" t="s">
        <v>130</v>
      </c>
      <c r="M25" t="s">
        <v>252</v>
      </c>
      <c r="N25" t="s">
        <v>158</v>
      </c>
      <c r="O25" t="s">
        <v>253</v>
      </c>
      <c r="P25" t="s">
        <v>123</v>
      </c>
      <c r="Q25" t="s">
        <v>123</v>
      </c>
      <c r="R25" t="s">
        <v>123</v>
      </c>
      <c r="S25" t="s">
        <v>123</v>
      </c>
      <c r="T25" s="1">
        <v>47215</v>
      </c>
      <c r="U25" t="s">
        <v>123</v>
      </c>
      <c r="V25" t="s">
        <v>123</v>
      </c>
      <c r="W25" t="s">
        <v>123</v>
      </c>
      <c r="X25" t="s">
        <v>123</v>
      </c>
      <c r="Y25" t="s">
        <v>123</v>
      </c>
      <c r="Z25" t="s">
        <v>123</v>
      </c>
      <c r="AA25" t="s">
        <v>123</v>
      </c>
      <c r="AB25" t="s">
        <v>259</v>
      </c>
      <c r="AC25" t="s">
        <v>135</v>
      </c>
      <c r="AD25" t="s">
        <v>123</v>
      </c>
      <c r="AE25" t="s">
        <v>123</v>
      </c>
      <c r="AF25" t="s">
        <v>255</v>
      </c>
      <c r="AG25" t="s">
        <v>256</v>
      </c>
      <c r="AH25" t="s">
        <v>123</v>
      </c>
      <c r="AI25" t="s">
        <v>128</v>
      </c>
      <c r="AJ25" t="s">
        <v>138</v>
      </c>
      <c r="AK25" t="s">
        <v>139</v>
      </c>
      <c r="AL25" t="s">
        <v>123</v>
      </c>
      <c r="AM25" t="s">
        <v>123</v>
      </c>
      <c r="AN25" t="s">
        <v>123</v>
      </c>
      <c r="AO25" t="s">
        <v>123</v>
      </c>
      <c r="AP25">
        <v>250</v>
      </c>
      <c r="AQ25">
        <v>50</v>
      </c>
      <c r="AR25">
        <v>10</v>
      </c>
      <c r="AS25" t="s">
        <v>123</v>
      </c>
      <c r="AT25" t="s">
        <v>123</v>
      </c>
      <c r="AU25" t="s">
        <v>123</v>
      </c>
      <c r="AV25" t="s">
        <v>123</v>
      </c>
      <c r="AW25" t="s">
        <v>123</v>
      </c>
      <c r="AX25" t="s">
        <v>123</v>
      </c>
      <c r="AY25" t="s">
        <v>123</v>
      </c>
      <c r="AZ25" t="s">
        <v>123</v>
      </c>
      <c r="BA25" t="s">
        <v>140</v>
      </c>
      <c r="BB25" t="s">
        <v>123</v>
      </c>
      <c r="BC25" t="s">
        <v>123</v>
      </c>
      <c r="BD25" t="s">
        <v>123</v>
      </c>
      <c r="BE25" t="s">
        <v>123</v>
      </c>
      <c r="BF25" t="s">
        <v>123</v>
      </c>
      <c r="BG25" t="s">
        <v>141</v>
      </c>
      <c r="BH25" t="s">
        <v>123</v>
      </c>
      <c r="BI25" t="s">
        <v>123</v>
      </c>
      <c r="BJ25" t="s">
        <v>123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123</v>
      </c>
      <c r="BQ25" t="s">
        <v>123</v>
      </c>
      <c r="BR25" t="s">
        <v>123</v>
      </c>
      <c r="BS25" t="s">
        <v>123</v>
      </c>
      <c r="BT25" t="s">
        <v>123</v>
      </c>
      <c r="BU25" t="s">
        <v>123</v>
      </c>
      <c r="BV25" t="s">
        <v>123</v>
      </c>
      <c r="BW25" t="s">
        <v>123</v>
      </c>
      <c r="BX25" t="s">
        <v>123</v>
      </c>
      <c r="BY25" s="1">
        <v>45965.243357175925</v>
      </c>
      <c r="BZ25">
        <v>1465</v>
      </c>
      <c r="CA25" t="s">
        <v>123</v>
      </c>
      <c r="CB25" t="s">
        <v>123</v>
      </c>
      <c r="CC25">
        <v>0</v>
      </c>
      <c r="CD25" t="s">
        <v>123</v>
      </c>
      <c r="CE25" t="s">
        <v>123</v>
      </c>
      <c r="CF25" t="s">
        <v>123</v>
      </c>
      <c r="CG25" t="s">
        <v>123</v>
      </c>
      <c r="CH25" t="s">
        <v>123</v>
      </c>
      <c r="CI25" t="s">
        <v>123</v>
      </c>
      <c r="CJ25" t="s">
        <v>123</v>
      </c>
      <c r="CK25">
        <v>8.8400000000000006E-3</v>
      </c>
      <c r="CL25">
        <v>9.4400000000000005E-3</v>
      </c>
      <c r="CM25">
        <v>1.1900000000000001E-2</v>
      </c>
      <c r="CN25">
        <v>1.29E-2</v>
      </c>
      <c r="CO25" t="s">
        <v>123</v>
      </c>
      <c r="CP25" t="s">
        <v>123</v>
      </c>
      <c r="CQ25">
        <v>6.7000000000000002E-3</v>
      </c>
      <c r="CR25">
        <v>7.1000000000000004E-3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257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  <c r="DN25" t="s">
        <v>123</v>
      </c>
      <c r="DO25" t="s">
        <v>123</v>
      </c>
      <c r="DP25" t="s">
        <v>123</v>
      </c>
      <c r="DQ25" t="s">
        <v>123</v>
      </c>
      <c r="DR25" t="s">
        <v>123</v>
      </c>
      <c r="DS25" t="s">
        <v>123</v>
      </c>
    </row>
    <row r="26" spans="1:123" x14ac:dyDescent="0.3">
      <c r="A26">
        <v>25</v>
      </c>
      <c r="B26" t="s">
        <v>123</v>
      </c>
      <c r="C26" t="s">
        <v>123</v>
      </c>
      <c r="D26" t="s">
        <v>260</v>
      </c>
      <c r="E26" t="s">
        <v>123</v>
      </c>
      <c r="F26" t="s">
        <v>125</v>
      </c>
      <c r="G26" t="s">
        <v>126</v>
      </c>
      <c r="H26" t="s">
        <v>127</v>
      </c>
      <c r="I26" t="s">
        <v>128</v>
      </c>
      <c r="J26" t="s">
        <v>123</v>
      </c>
      <c r="K26" t="s">
        <v>261</v>
      </c>
      <c r="L26" t="s">
        <v>130</v>
      </c>
      <c r="M26" t="s">
        <v>262</v>
      </c>
      <c r="N26" t="s">
        <v>123</v>
      </c>
      <c r="O26" t="s">
        <v>123</v>
      </c>
      <c r="P26" t="s">
        <v>123</v>
      </c>
      <c r="Q26" t="s">
        <v>123</v>
      </c>
      <c r="R26" t="s">
        <v>123</v>
      </c>
      <c r="S26" t="s">
        <v>123</v>
      </c>
      <c r="T26" s="1">
        <v>45999</v>
      </c>
      <c r="U26" t="s">
        <v>123</v>
      </c>
      <c r="V26" t="s">
        <v>123</v>
      </c>
      <c r="W26" t="s">
        <v>123</v>
      </c>
      <c r="X26" t="s">
        <v>123</v>
      </c>
      <c r="Y26" t="s">
        <v>123</v>
      </c>
      <c r="Z26" t="s">
        <v>123</v>
      </c>
      <c r="AA26" t="s">
        <v>123</v>
      </c>
      <c r="AB26" t="s">
        <v>263</v>
      </c>
      <c r="AC26" t="s">
        <v>135</v>
      </c>
      <c r="AD26" t="s">
        <v>123</v>
      </c>
      <c r="AE26" t="s">
        <v>123</v>
      </c>
      <c r="AF26" t="s">
        <v>264</v>
      </c>
      <c r="AG26" t="s">
        <v>265</v>
      </c>
      <c r="AH26" t="s">
        <v>123</v>
      </c>
      <c r="AI26" t="s">
        <v>128</v>
      </c>
      <c r="AJ26" t="s">
        <v>138</v>
      </c>
      <c r="AK26" t="s">
        <v>163</v>
      </c>
      <c r="AL26" t="s">
        <v>123</v>
      </c>
      <c r="AM26" t="s">
        <v>123</v>
      </c>
      <c r="AN26" t="s">
        <v>123</v>
      </c>
      <c r="AO26" t="s">
        <v>123</v>
      </c>
      <c r="AP26">
        <v>250</v>
      </c>
      <c r="AQ26">
        <v>50</v>
      </c>
      <c r="AR26">
        <v>10</v>
      </c>
      <c r="AS26" t="s">
        <v>123</v>
      </c>
      <c r="AT26" t="s">
        <v>123</v>
      </c>
      <c r="AU26" t="s">
        <v>123</v>
      </c>
      <c r="AV26" t="s">
        <v>123</v>
      </c>
      <c r="AW26" t="s">
        <v>123</v>
      </c>
      <c r="AX26" t="s">
        <v>123</v>
      </c>
      <c r="AY26" t="s">
        <v>123</v>
      </c>
      <c r="AZ26" t="s">
        <v>123</v>
      </c>
      <c r="BA26" t="s">
        <v>140</v>
      </c>
      <c r="BB26" t="s">
        <v>123</v>
      </c>
      <c r="BC26" t="s">
        <v>123</v>
      </c>
      <c r="BD26" t="s">
        <v>123</v>
      </c>
      <c r="BE26" t="s">
        <v>123</v>
      </c>
      <c r="BF26" t="s">
        <v>123</v>
      </c>
      <c r="BG26" t="s">
        <v>141</v>
      </c>
      <c r="BH26" t="s">
        <v>123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123</v>
      </c>
      <c r="BX26" t="s">
        <v>123</v>
      </c>
      <c r="BY26" s="1">
        <v>45965.243444525462</v>
      </c>
      <c r="BZ26">
        <v>1444</v>
      </c>
      <c r="CA26" t="s">
        <v>123</v>
      </c>
      <c r="CB26" t="s">
        <v>123</v>
      </c>
      <c r="CC26">
        <v>0</v>
      </c>
      <c r="CD26" t="s">
        <v>123</v>
      </c>
      <c r="CE26" t="s">
        <v>123</v>
      </c>
      <c r="CF26" t="s">
        <v>123</v>
      </c>
      <c r="CG26" t="s">
        <v>123</v>
      </c>
      <c r="CH26" t="s">
        <v>123</v>
      </c>
      <c r="CI26" t="s">
        <v>123</v>
      </c>
      <c r="CJ26" t="s">
        <v>123</v>
      </c>
      <c r="CK26">
        <v>1.72E-2</v>
      </c>
      <c r="CL26">
        <v>1.95E-2</v>
      </c>
      <c r="CM26">
        <v>2.2599999999999999E-2</v>
      </c>
      <c r="CN26">
        <v>2.5499999999999998E-2</v>
      </c>
      <c r="CO26" t="s">
        <v>123</v>
      </c>
      <c r="CP26" t="s">
        <v>123</v>
      </c>
      <c r="CQ26">
        <v>1.2999999999999999E-2</v>
      </c>
      <c r="CR26">
        <v>1.4999999999999999E-2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266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  <c r="DN26" t="s">
        <v>123</v>
      </c>
      <c r="DO26" t="s">
        <v>123</v>
      </c>
      <c r="DP26" t="s">
        <v>123</v>
      </c>
      <c r="DQ26" t="s">
        <v>123</v>
      </c>
      <c r="DR26" t="s">
        <v>123</v>
      </c>
      <c r="DS26" t="s">
        <v>123</v>
      </c>
    </row>
    <row r="27" spans="1:123" x14ac:dyDescent="0.3">
      <c r="A27">
        <v>26</v>
      </c>
      <c r="B27" t="s">
        <v>123</v>
      </c>
      <c r="C27" t="s">
        <v>123</v>
      </c>
      <c r="D27" t="s">
        <v>267</v>
      </c>
      <c r="E27" t="s">
        <v>123</v>
      </c>
      <c r="F27" t="s">
        <v>125</v>
      </c>
      <c r="G27" t="s">
        <v>126</v>
      </c>
      <c r="H27" t="s">
        <v>127</v>
      </c>
      <c r="I27" t="s">
        <v>128</v>
      </c>
      <c r="J27" t="s">
        <v>123</v>
      </c>
      <c r="K27" t="s">
        <v>268</v>
      </c>
      <c r="L27" t="s">
        <v>130</v>
      </c>
      <c r="M27" t="s">
        <v>269</v>
      </c>
      <c r="N27">
        <v>13</v>
      </c>
      <c r="O27" t="s">
        <v>270</v>
      </c>
      <c r="P27" t="s">
        <v>123</v>
      </c>
      <c r="Q27" t="s">
        <v>123</v>
      </c>
      <c r="R27" t="s">
        <v>123</v>
      </c>
      <c r="S27" t="s">
        <v>123</v>
      </c>
      <c r="T27" s="1">
        <v>47275</v>
      </c>
      <c r="U27" t="s">
        <v>123</v>
      </c>
      <c r="V27" t="s">
        <v>123</v>
      </c>
      <c r="W27" t="s">
        <v>123</v>
      </c>
      <c r="X27" t="s">
        <v>123</v>
      </c>
      <c r="Y27" t="s">
        <v>123</v>
      </c>
      <c r="Z27" t="s">
        <v>123</v>
      </c>
      <c r="AA27" t="s">
        <v>123</v>
      </c>
      <c r="AB27" t="s">
        <v>271</v>
      </c>
      <c r="AC27" t="s">
        <v>135</v>
      </c>
      <c r="AD27" t="s">
        <v>123</v>
      </c>
      <c r="AE27" t="s">
        <v>123</v>
      </c>
      <c r="AF27" t="s">
        <v>136</v>
      </c>
      <c r="AG27" t="s">
        <v>137</v>
      </c>
      <c r="AH27" t="s">
        <v>123</v>
      </c>
      <c r="AI27" t="s">
        <v>128</v>
      </c>
      <c r="AJ27" t="s">
        <v>186</v>
      </c>
      <c r="AK27" t="s">
        <v>139</v>
      </c>
      <c r="AL27" t="s">
        <v>123</v>
      </c>
      <c r="AM27" t="s">
        <v>123</v>
      </c>
      <c r="AN27" t="s">
        <v>123</v>
      </c>
      <c r="AO27" t="s">
        <v>123</v>
      </c>
      <c r="AP27">
        <v>250</v>
      </c>
      <c r="AQ27">
        <v>50</v>
      </c>
      <c r="AR27">
        <v>10</v>
      </c>
      <c r="AS27" t="s">
        <v>123</v>
      </c>
      <c r="AT27" t="s">
        <v>123</v>
      </c>
      <c r="AU27" t="s">
        <v>123</v>
      </c>
      <c r="AV27" t="s">
        <v>123</v>
      </c>
      <c r="AW27" t="s">
        <v>123</v>
      </c>
      <c r="AX27" t="s">
        <v>123</v>
      </c>
      <c r="AY27" t="s">
        <v>123</v>
      </c>
      <c r="AZ27" t="s">
        <v>123</v>
      </c>
      <c r="BA27" t="s">
        <v>140</v>
      </c>
      <c r="BB27" t="s">
        <v>123</v>
      </c>
      <c r="BC27" t="s">
        <v>123</v>
      </c>
      <c r="BD27" t="s">
        <v>123</v>
      </c>
      <c r="BE27" t="s">
        <v>123</v>
      </c>
      <c r="BF27" t="s">
        <v>123</v>
      </c>
      <c r="BG27" t="s">
        <v>141</v>
      </c>
      <c r="BH27" t="s">
        <v>123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123</v>
      </c>
      <c r="BX27" t="s">
        <v>123</v>
      </c>
      <c r="BY27" s="1">
        <v>45965.243505752318</v>
      </c>
      <c r="BZ27">
        <v>1477</v>
      </c>
      <c r="CA27" t="s">
        <v>123</v>
      </c>
      <c r="CB27" t="s">
        <v>123</v>
      </c>
      <c r="CC27">
        <v>0</v>
      </c>
      <c r="CD27" t="s">
        <v>123</v>
      </c>
      <c r="CE27" t="s">
        <v>123</v>
      </c>
      <c r="CF27" t="s">
        <v>123</v>
      </c>
      <c r="CG27" t="s">
        <v>123</v>
      </c>
      <c r="CH27" t="s">
        <v>123</v>
      </c>
      <c r="CI27" t="s">
        <v>123</v>
      </c>
      <c r="CJ27" t="s">
        <v>123</v>
      </c>
      <c r="CK27">
        <v>2.2499999999999999E-2</v>
      </c>
      <c r="CL27">
        <v>2.7199999999999998E-2</v>
      </c>
      <c r="CM27">
        <v>3.3799999999999997E-2</v>
      </c>
      <c r="CN27">
        <v>4.1200000000000001E-2</v>
      </c>
      <c r="CO27" t="s">
        <v>123</v>
      </c>
      <c r="CP27" t="s">
        <v>123</v>
      </c>
      <c r="CQ27">
        <v>1.44E-2</v>
      </c>
      <c r="CR27">
        <v>1.7000000000000001E-2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272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  <c r="DN27" t="s">
        <v>123</v>
      </c>
      <c r="DO27" t="s">
        <v>123</v>
      </c>
      <c r="DP27" t="s">
        <v>123</v>
      </c>
      <c r="DQ27" t="s">
        <v>123</v>
      </c>
      <c r="DR27" t="s">
        <v>123</v>
      </c>
      <c r="DS27" t="s">
        <v>123</v>
      </c>
    </row>
    <row r="28" spans="1:123" x14ac:dyDescent="0.3">
      <c r="A28">
        <v>27</v>
      </c>
      <c r="B28" t="s">
        <v>123</v>
      </c>
      <c r="C28" t="s">
        <v>123</v>
      </c>
      <c r="D28" t="s">
        <v>273</v>
      </c>
      <c r="E28" t="s">
        <v>123</v>
      </c>
      <c r="F28" t="s">
        <v>125</v>
      </c>
      <c r="G28" t="s">
        <v>126</v>
      </c>
      <c r="H28" t="s">
        <v>127</v>
      </c>
      <c r="I28" t="s">
        <v>128</v>
      </c>
      <c r="J28" t="s">
        <v>123</v>
      </c>
      <c r="K28" t="s">
        <v>268</v>
      </c>
      <c r="L28" t="s">
        <v>130</v>
      </c>
      <c r="M28" t="s">
        <v>269</v>
      </c>
      <c r="N28">
        <v>14</v>
      </c>
      <c r="O28" t="s">
        <v>270</v>
      </c>
      <c r="P28" t="s">
        <v>123</v>
      </c>
      <c r="Q28" t="s">
        <v>123</v>
      </c>
      <c r="R28" t="s">
        <v>123</v>
      </c>
      <c r="S28" t="s">
        <v>123</v>
      </c>
      <c r="T28" s="1">
        <v>47275</v>
      </c>
      <c r="U28" t="s">
        <v>123</v>
      </c>
      <c r="V28" t="s">
        <v>123</v>
      </c>
      <c r="W28" t="s">
        <v>123</v>
      </c>
      <c r="X28" t="s">
        <v>123</v>
      </c>
      <c r="Y28" t="s">
        <v>123</v>
      </c>
      <c r="Z28" t="s">
        <v>123</v>
      </c>
      <c r="AA28" t="s">
        <v>123</v>
      </c>
      <c r="AB28" t="s">
        <v>274</v>
      </c>
      <c r="AC28" t="s">
        <v>135</v>
      </c>
      <c r="AD28" t="s">
        <v>123</v>
      </c>
      <c r="AE28" t="s">
        <v>123</v>
      </c>
      <c r="AF28" t="s">
        <v>136</v>
      </c>
      <c r="AG28" t="s">
        <v>137</v>
      </c>
      <c r="AH28" t="s">
        <v>123</v>
      </c>
      <c r="AI28" t="s">
        <v>128</v>
      </c>
      <c r="AJ28" t="s">
        <v>186</v>
      </c>
      <c r="AK28" t="s">
        <v>139</v>
      </c>
      <c r="AL28" t="s">
        <v>123</v>
      </c>
      <c r="AM28" t="s">
        <v>123</v>
      </c>
      <c r="AN28" t="s">
        <v>123</v>
      </c>
      <c r="AO28" t="s">
        <v>123</v>
      </c>
      <c r="AP28">
        <v>250</v>
      </c>
      <c r="AQ28">
        <v>50</v>
      </c>
      <c r="AR28">
        <v>10</v>
      </c>
      <c r="AS28" t="s">
        <v>123</v>
      </c>
      <c r="AT28" t="s">
        <v>123</v>
      </c>
      <c r="AU28" t="s">
        <v>123</v>
      </c>
      <c r="AV28" t="s">
        <v>123</v>
      </c>
      <c r="AW28" t="s">
        <v>123</v>
      </c>
      <c r="AX28" t="s">
        <v>123</v>
      </c>
      <c r="AY28" t="s">
        <v>123</v>
      </c>
      <c r="AZ28" t="s">
        <v>123</v>
      </c>
      <c r="BA28" t="s">
        <v>140</v>
      </c>
      <c r="BB28" t="s">
        <v>123</v>
      </c>
      <c r="BC28" t="s">
        <v>123</v>
      </c>
      <c r="BD28" t="s">
        <v>123</v>
      </c>
      <c r="BE28" t="s">
        <v>123</v>
      </c>
      <c r="BF28" t="s">
        <v>123</v>
      </c>
      <c r="BG28" t="s">
        <v>141</v>
      </c>
      <c r="BH28" t="s">
        <v>123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123</v>
      </c>
      <c r="BX28" t="s">
        <v>123</v>
      </c>
      <c r="BY28" s="1">
        <v>45965.2435744213</v>
      </c>
      <c r="BZ28">
        <v>1477</v>
      </c>
      <c r="CA28" t="s">
        <v>123</v>
      </c>
      <c r="CB28" t="s">
        <v>123</v>
      </c>
      <c r="CC28">
        <v>0</v>
      </c>
      <c r="CD28" t="s">
        <v>123</v>
      </c>
      <c r="CE28" t="s">
        <v>123</v>
      </c>
      <c r="CF28" t="s">
        <v>123</v>
      </c>
      <c r="CG28" t="s">
        <v>123</v>
      </c>
      <c r="CH28" t="s">
        <v>123</v>
      </c>
      <c r="CI28" t="s">
        <v>123</v>
      </c>
      <c r="CJ28" t="s">
        <v>123</v>
      </c>
      <c r="CK28">
        <v>9.9000000000000008E-3</v>
      </c>
      <c r="CL28">
        <v>1.2E-2</v>
      </c>
      <c r="CM28">
        <v>1.44E-2</v>
      </c>
      <c r="CN28">
        <v>1.7000000000000001E-2</v>
      </c>
      <c r="CO28" t="s">
        <v>123</v>
      </c>
      <c r="CP28" t="s">
        <v>123</v>
      </c>
      <c r="CQ28">
        <v>6.8999999999999999E-3</v>
      </c>
      <c r="CR28">
        <v>8.6E-3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272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  <c r="DN28" t="s">
        <v>123</v>
      </c>
      <c r="DO28" t="s">
        <v>123</v>
      </c>
      <c r="DP28" t="s">
        <v>123</v>
      </c>
      <c r="DQ28" t="s">
        <v>123</v>
      </c>
      <c r="DR28" t="s">
        <v>123</v>
      </c>
      <c r="DS28" t="s">
        <v>123</v>
      </c>
    </row>
    <row r="29" spans="1:123" x14ac:dyDescent="0.3">
      <c r="A29">
        <v>28</v>
      </c>
      <c r="B29" t="s">
        <v>123</v>
      </c>
      <c r="C29" t="s">
        <v>123</v>
      </c>
      <c r="D29" t="s">
        <v>275</v>
      </c>
      <c r="E29" t="s">
        <v>123</v>
      </c>
      <c r="F29" t="s">
        <v>125</v>
      </c>
      <c r="G29" t="s">
        <v>126</v>
      </c>
      <c r="H29" t="s">
        <v>127</v>
      </c>
      <c r="I29" t="s">
        <v>128</v>
      </c>
      <c r="J29" t="s">
        <v>123</v>
      </c>
      <c r="K29" t="s">
        <v>268</v>
      </c>
      <c r="L29" t="s">
        <v>130</v>
      </c>
      <c r="M29" t="s">
        <v>269</v>
      </c>
      <c r="N29">
        <v>15</v>
      </c>
      <c r="O29" t="s">
        <v>270</v>
      </c>
      <c r="P29" t="s">
        <v>123</v>
      </c>
      <c r="Q29" t="s">
        <v>123</v>
      </c>
      <c r="R29" t="s">
        <v>123</v>
      </c>
      <c r="S29" t="s">
        <v>123</v>
      </c>
      <c r="T29" s="1">
        <v>47275</v>
      </c>
      <c r="U29" t="s">
        <v>123</v>
      </c>
      <c r="V29" t="s">
        <v>123</v>
      </c>
      <c r="W29" t="s">
        <v>123</v>
      </c>
      <c r="X29" t="s">
        <v>123</v>
      </c>
      <c r="Y29" t="s">
        <v>123</v>
      </c>
      <c r="Z29" t="s">
        <v>123</v>
      </c>
      <c r="AA29" t="s">
        <v>123</v>
      </c>
      <c r="AB29" t="s">
        <v>276</v>
      </c>
      <c r="AC29" t="s">
        <v>135</v>
      </c>
      <c r="AD29" t="s">
        <v>123</v>
      </c>
      <c r="AE29" t="s">
        <v>123</v>
      </c>
      <c r="AF29" t="s">
        <v>136</v>
      </c>
      <c r="AG29" t="s">
        <v>137</v>
      </c>
      <c r="AH29" t="s">
        <v>123</v>
      </c>
      <c r="AI29" t="s">
        <v>128</v>
      </c>
      <c r="AJ29" t="s">
        <v>186</v>
      </c>
      <c r="AK29" t="s">
        <v>139</v>
      </c>
      <c r="AL29" t="s">
        <v>123</v>
      </c>
      <c r="AM29" t="s">
        <v>123</v>
      </c>
      <c r="AN29" t="s">
        <v>123</v>
      </c>
      <c r="AO29" t="s">
        <v>123</v>
      </c>
      <c r="AP29">
        <v>250</v>
      </c>
      <c r="AQ29">
        <v>50</v>
      </c>
      <c r="AR29">
        <v>10</v>
      </c>
      <c r="AS29" t="s">
        <v>123</v>
      </c>
      <c r="AT29" t="s">
        <v>123</v>
      </c>
      <c r="AU29" t="s">
        <v>123</v>
      </c>
      <c r="AV29" t="s">
        <v>123</v>
      </c>
      <c r="AW29" t="s">
        <v>123</v>
      </c>
      <c r="AX29" t="s">
        <v>123</v>
      </c>
      <c r="AY29" t="s">
        <v>123</v>
      </c>
      <c r="AZ29" t="s">
        <v>123</v>
      </c>
      <c r="BA29" t="s">
        <v>140</v>
      </c>
      <c r="BB29" t="s">
        <v>123</v>
      </c>
      <c r="BC29" t="s">
        <v>123</v>
      </c>
      <c r="BD29" t="s">
        <v>123</v>
      </c>
      <c r="BE29" t="s">
        <v>123</v>
      </c>
      <c r="BF29" t="s">
        <v>123</v>
      </c>
      <c r="BG29" t="s">
        <v>141</v>
      </c>
      <c r="BH29" t="s">
        <v>123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123</v>
      </c>
      <c r="BX29" t="s">
        <v>123</v>
      </c>
      <c r="BY29" s="1">
        <v>45965.243635648148</v>
      </c>
      <c r="BZ29">
        <v>1477</v>
      </c>
      <c r="CA29" t="s">
        <v>123</v>
      </c>
      <c r="CB29" t="s">
        <v>123</v>
      </c>
      <c r="CC29">
        <v>0</v>
      </c>
      <c r="CD29" t="s">
        <v>123</v>
      </c>
      <c r="CE29" t="s">
        <v>123</v>
      </c>
      <c r="CF29" t="s">
        <v>123</v>
      </c>
      <c r="CG29" t="s">
        <v>123</v>
      </c>
      <c r="CH29" t="s">
        <v>123</v>
      </c>
      <c r="CI29" t="s">
        <v>123</v>
      </c>
      <c r="CJ29" t="s">
        <v>123</v>
      </c>
      <c r="CK29">
        <v>6.1000000000000004E-3</v>
      </c>
      <c r="CL29">
        <v>7.7999999999999996E-3</v>
      </c>
      <c r="CM29">
        <v>6.8999999999999999E-3</v>
      </c>
      <c r="CN29">
        <v>8.6E-3</v>
      </c>
      <c r="CO29" t="s">
        <v>123</v>
      </c>
      <c r="CP29" t="s">
        <v>123</v>
      </c>
      <c r="CQ29">
        <v>5.1000000000000004E-3</v>
      </c>
      <c r="CR29">
        <v>6.7999999999999996E-3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272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  <c r="DN29" t="s">
        <v>123</v>
      </c>
      <c r="DO29" t="s">
        <v>123</v>
      </c>
      <c r="DP29" t="s">
        <v>123</v>
      </c>
      <c r="DQ29" t="s">
        <v>123</v>
      </c>
      <c r="DR29" t="s">
        <v>123</v>
      </c>
      <c r="DS29" t="s">
        <v>123</v>
      </c>
    </row>
    <row r="30" spans="1:123" x14ac:dyDescent="0.3">
      <c r="A30">
        <v>29</v>
      </c>
      <c r="B30" t="s">
        <v>123</v>
      </c>
      <c r="C30" t="s">
        <v>123</v>
      </c>
      <c r="D30" t="s">
        <v>277</v>
      </c>
      <c r="E30" t="s">
        <v>123</v>
      </c>
      <c r="F30" t="s">
        <v>125</v>
      </c>
      <c r="G30" t="s">
        <v>126</v>
      </c>
      <c r="H30" t="s">
        <v>127</v>
      </c>
      <c r="I30" t="s">
        <v>128</v>
      </c>
      <c r="J30" t="s">
        <v>123</v>
      </c>
      <c r="K30" t="s">
        <v>278</v>
      </c>
      <c r="L30" t="s">
        <v>130</v>
      </c>
      <c r="M30" t="s">
        <v>279</v>
      </c>
      <c r="N30" t="s">
        <v>158</v>
      </c>
      <c r="O30" t="s">
        <v>150</v>
      </c>
      <c r="P30" t="s">
        <v>123</v>
      </c>
      <c r="Q30" t="s">
        <v>123</v>
      </c>
      <c r="R30" t="s">
        <v>123</v>
      </c>
      <c r="S30" t="s">
        <v>123</v>
      </c>
      <c r="T30" s="1">
        <v>46395</v>
      </c>
      <c r="U30" t="s">
        <v>123</v>
      </c>
      <c r="V30" t="s">
        <v>123</v>
      </c>
      <c r="W30" t="s">
        <v>123</v>
      </c>
      <c r="X30" t="s">
        <v>123</v>
      </c>
      <c r="Y30" t="s">
        <v>123</v>
      </c>
      <c r="Z30" t="s">
        <v>123</v>
      </c>
      <c r="AA30" t="s">
        <v>123</v>
      </c>
      <c r="AB30" t="s">
        <v>280</v>
      </c>
      <c r="AC30" t="s">
        <v>135</v>
      </c>
      <c r="AD30" t="s">
        <v>123</v>
      </c>
      <c r="AE30" t="s">
        <v>123</v>
      </c>
      <c r="AF30" t="s">
        <v>281</v>
      </c>
      <c r="AG30" t="s">
        <v>282</v>
      </c>
      <c r="AH30" t="s">
        <v>123</v>
      </c>
      <c r="AI30" t="s">
        <v>128</v>
      </c>
      <c r="AJ30" t="s">
        <v>138</v>
      </c>
      <c r="AK30" t="s">
        <v>163</v>
      </c>
      <c r="AL30" t="s">
        <v>123</v>
      </c>
      <c r="AM30" t="s">
        <v>123</v>
      </c>
      <c r="AN30" t="s">
        <v>123</v>
      </c>
      <c r="AO30" t="s">
        <v>123</v>
      </c>
      <c r="AP30">
        <v>250</v>
      </c>
      <c r="AQ30">
        <v>50</v>
      </c>
      <c r="AR30">
        <v>10</v>
      </c>
      <c r="AS30" t="s">
        <v>123</v>
      </c>
      <c r="AT30" t="s">
        <v>123</v>
      </c>
      <c r="AU30" t="s">
        <v>123</v>
      </c>
      <c r="AV30" t="s">
        <v>123</v>
      </c>
      <c r="AW30" t="s">
        <v>123</v>
      </c>
      <c r="AX30" t="s">
        <v>123</v>
      </c>
      <c r="AY30" t="s">
        <v>123</v>
      </c>
      <c r="AZ30" t="s">
        <v>123</v>
      </c>
      <c r="BA30" t="s">
        <v>140</v>
      </c>
      <c r="BB30" t="s">
        <v>123</v>
      </c>
      <c r="BC30" t="s">
        <v>123</v>
      </c>
      <c r="BD30" t="s">
        <v>123</v>
      </c>
      <c r="BE30" t="s">
        <v>123</v>
      </c>
      <c r="BF30" t="s">
        <v>123</v>
      </c>
      <c r="BG30" t="s">
        <v>141</v>
      </c>
      <c r="BH30" t="s">
        <v>123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123</v>
      </c>
      <c r="BX30" t="s">
        <v>123</v>
      </c>
      <c r="BY30" s="1">
        <v>45965.243695833335</v>
      </c>
      <c r="BZ30">
        <v>1506</v>
      </c>
      <c r="CA30" t="s">
        <v>123</v>
      </c>
      <c r="CB30" t="s">
        <v>123</v>
      </c>
      <c r="CC30">
        <v>0</v>
      </c>
      <c r="CD30" t="s">
        <v>123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>
        <v>2.6499999999999999E-2</v>
      </c>
      <c r="CL30">
        <v>2.87E-2</v>
      </c>
      <c r="CM30">
        <v>4.1200000000000001E-2</v>
      </c>
      <c r="CN30">
        <v>4.4699999999999997E-2</v>
      </c>
      <c r="CO30" t="s">
        <v>123</v>
      </c>
      <c r="CP30" t="s">
        <v>123</v>
      </c>
      <c r="CQ30">
        <v>1.54E-2</v>
      </c>
      <c r="CR30">
        <v>1.6799999999999999E-2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205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  <c r="DN30" t="s">
        <v>123</v>
      </c>
      <c r="DO30" t="s">
        <v>123</v>
      </c>
      <c r="DP30" t="s">
        <v>123</v>
      </c>
      <c r="DQ30" t="s">
        <v>123</v>
      </c>
      <c r="DR30" t="s">
        <v>123</v>
      </c>
      <c r="DS30" t="s">
        <v>123</v>
      </c>
    </row>
    <row r="31" spans="1:123" x14ac:dyDescent="0.3">
      <c r="A31">
        <v>30</v>
      </c>
      <c r="B31" t="s">
        <v>123</v>
      </c>
      <c r="C31" t="s">
        <v>123</v>
      </c>
      <c r="D31" t="s">
        <v>283</v>
      </c>
      <c r="E31" t="s">
        <v>123</v>
      </c>
      <c r="F31" t="s">
        <v>125</v>
      </c>
      <c r="G31" t="s">
        <v>126</v>
      </c>
      <c r="H31" t="s">
        <v>127</v>
      </c>
      <c r="I31" t="s">
        <v>128</v>
      </c>
      <c r="J31" t="s">
        <v>123</v>
      </c>
      <c r="K31" t="s">
        <v>284</v>
      </c>
      <c r="L31" t="s">
        <v>130</v>
      </c>
      <c r="M31" t="s">
        <v>285</v>
      </c>
      <c r="N31" t="s">
        <v>158</v>
      </c>
      <c r="O31" t="s">
        <v>159</v>
      </c>
      <c r="P31" t="s">
        <v>123</v>
      </c>
      <c r="Q31" t="s">
        <v>123</v>
      </c>
      <c r="R31" t="s">
        <v>123</v>
      </c>
      <c r="S31" t="s">
        <v>123</v>
      </c>
      <c r="T31" s="1">
        <v>46759</v>
      </c>
      <c r="U31" t="s">
        <v>123</v>
      </c>
      <c r="V31" t="s">
        <v>123</v>
      </c>
      <c r="W31" t="s">
        <v>123</v>
      </c>
      <c r="X31" t="s">
        <v>123</v>
      </c>
      <c r="Y31" t="s">
        <v>123</v>
      </c>
      <c r="Z31" t="s">
        <v>123</v>
      </c>
      <c r="AA31" t="s">
        <v>123</v>
      </c>
      <c r="AB31" t="s">
        <v>286</v>
      </c>
      <c r="AC31" t="s">
        <v>135</v>
      </c>
      <c r="AD31" t="s">
        <v>123</v>
      </c>
      <c r="AE31" t="s">
        <v>123</v>
      </c>
      <c r="AF31" t="s">
        <v>169</v>
      </c>
      <c r="AG31" t="s">
        <v>170</v>
      </c>
      <c r="AH31" t="s">
        <v>123</v>
      </c>
      <c r="AI31" t="s">
        <v>128</v>
      </c>
      <c r="AJ31" t="s">
        <v>186</v>
      </c>
      <c r="AK31" t="s">
        <v>163</v>
      </c>
      <c r="AL31" t="s">
        <v>123</v>
      </c>
      <c r="AM31" t="s">
        <v>123</v>
      </c>
      <c r="AN31" t="s">
        <v>123</v>
      </c>
      <c r="AO31" t="s">
        <v>123</v>
      </c>
      <c r="AP31">
        <v>250</v>
      </c>
      <c r="AQ31">
        <v>50</v>
      </c>
      <c r="AR31">
        <v>10</v>
      </c>
      <c r="AS31" t="s">
        <v>123</v>
      </c>
      <c r="AT31" t="s">
        <v>123</v>
      </c>
      <c r="AU31" t="s">
        <v>123</v>
      </c>
      <c r="AV31" t="s">
        <v>123</v>
      </c>
      <c r="AW31" t="s">
        <v>123</v>
      </c>
      <c r="AX31" t="s">
        <v>123</v>
      </c>
      <c r="AY31" t="s">
        <v>123</v>
      </c>
      <c r="AZ31" t="s">
        <v>123</v>
      </c>
      <c r="BA31" t="s">
        <v>140</v>
      </c>
      <c r="BB31" t="s">
        <v>123</v>
      </c>
      <c r="BC31" t="s">
        <v>123</v>
      </c>
      <c r="BD31" t="s">
        <v>123</v>
      </c>
      <c r="BE31" t="s">
        <v>123</v>
      </c>
      <c r="BF31" t="s">
        <v>123</v>
      </c>
      <c r="BG31" t="s">
        <v>141</v>
      </c>
      <c r="BH31" t="s">
        <v>123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123</v>
      </c>
      <c r="BX31" t="s">
        <v>123</v>
      </c>
      <c r="BY31" s="1">
        <v>45965.243807604165</v>
      </c>
      <c r="BZ31">
        <v>1500</v>
      </c>
      <c r="CA31" t="s">
        <v>123</v>
      </c>
      <c r="CB31" t="s">
        <v>123</v>
      </c>
      <c r="CC31">
        <v>0</v>
      </c>
      <c r="CD31" t="s">
        <v>123</v>
      </c>
      <c r="CE31" t="s">
        <v>123</v>
      </c>
      <c r="CF31" t="s">
        <v>123</v>
      </c>
      <c r="CG31" t="s">
        <v>123</v>
      </c>
      <c r="CH31" t="s">
        <v>123</v>
      </c>
      <c r="CI31" t="s">
        <v>123</v>
      </c>
      <c r="CJ31" t="s">
        <v>123</v>
      </c>
      <c r="CK31">
        <v>1.29E-2</v>
      </c>
      <c r="CL31">
        <v>1.47E-2</v>
      </c>
      <c r="CM31">
        <v>2.0299999999999999E-2</v>
      </c>
      <c r="CN31">
        <v>2.29E-2</v>
      </c>
      <c r="CO31" t="s">
        <v>123</v>
      </c>
      <c r="CP31" t="s">
        <v>123</v>
      </c>
      <c r="CQ31">
        <v>7.4999999999999997E-3</v>
      </c>
      <c r="CR31">
        <v>8.6999999999999994E-3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152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  <c r="DN31" t="s">
        <v>123</v>
      </c>
      <c r="DO31" t="s">
        <v>123</v>
      </c>
      <c r="DP31" t="s">
        <v>123</v>
      </c>
      <c r="DQ31" t="s">
        <v>123</v>
      </c>
      <c r="DR31" t="s">
        <v>123</v>
      </c>
      <c r="DS31" t="s">
        <v>123</v>
      </c>
    </row>
    <row r="32" spans="1:123" x14ac:dyDescent="0.3">
      <c r="A32">
        <v>31</v>
      </c>
      <c r="B32" t="s">
        <v>123</v>
      </c>
      <c r="C32" t="s">
        <v>123</v>
      </c>
      <c r="D32" t="s">
        <v>287</v>
      </c>
      <c r="E32" t="s">
        <v>123</v>
      </c>
      <c r="F32" t="s">
        <v>125</v>
      </c>
      <c r="G32" t="s">
        <v>126</v>
      </c>
      <c r="H32" t="s">
        <v>127</v>
      </c>
      <c r="I32" t="s">
        <v>123</v>
      </c>
      <c r="J32" t="s">
        <v>123</v>
      </c>
      <c r="K32" t="s">
        <v>123</v>
      </c>
      <c r="L32" t="s">
        <v>130</v>
      </c>
      <c r="M32" t="s">
        <v>288</v>
      </c>
      <c r="N32">
        <v>2</v>
      </c>
      <c r="O32" t="s">
        <v>289</v>
      </c>
      <c r="P32" t="s">
        <v>123</v>
      </c>
      <c r="Q32" t="s">
        <v>123</v>
      </c>
      <c r="R32" t="s">
        <v>123</v>
      </c>
      <c r="S32" t="s">
        <v>123</v>
      </c>
      <c r="T32" s="1">
        <v>45999</v>
      </c>
      <c r="U32" t="s">
        <v>123</v>
      </c>
      <c r="V32" t="s">
        <v>123</v>
      </c>
      <c r="W32" t="s">
        <v>123</v>
      </c>
      <c r="X32" t="s">
        <v>123</v>
      </c>
      <c r="Y32" t="s">
        <v>123</v>
      </c>
      <c r="Z32" t="s">
        <v>123</v>
      </c>
      <c r="AA32" t="s">
        <v>123</v>
      </c>
      <c r="AB32" t="s">
        <v>290</v>
      </c>
      <c r="AC32" t="s">
        <v>135</v>
      </c>
      <c r="AD32" t="s">
        <v>123</v>
      </c>
      <c r="AE32" t="s">
        <v>123</v>
      </c>
      <c r="AF32" t="s">
        <v>123</v>
      </c>
      <c r="AG32" t="s">
        <v>123</v>
      </c>
      <c r="AH32" t="s">
        <v>123</v>
      </c>
      <c r="AI32" t="s">
        <v>123</v>
      </c>
      <c r="AJ32" t="s">
        <v>123</v>
      </c>
      <c r="AK32" t="s">
        <v>123</v>
      </c>
      <c r="AL32" t="s">
        <v>123</v>
      </c>
      <c r="AM32" t="s">
        <v>123</v>
      </c>
      <c r="AN32" t="s">
        <v>123</v>
      </c>
      <c r="AO32" t="s">
        <v>123</v>
      </c>
      <c r="AP32">
        <v>250</v>
      </c>
      <c r="AQ32">
        <v>50</v>
      </c>
      <c r="AR32">
        <v>10</v>
      </c>
      <c r="AS32" t="s">
        <v>123</v>
      </c>
      <c r="AT32" t="s">
        <v>123</v>
      </c>
      <c r="AU32" t="s">
        <v>123</v>
      </c>
      <c r="AV32" t="s">
        <v>123</v>
      </c>
      <c r="AW32" t="s">
        <v>123</v>
      </c>
      <c r="AX32" t="s">
        <v>123</v>
      </c>
      <c r="AY32" t="s">
        <v>123</v>
      </c>
      <c r="AZ32" t="s">
        <v>123</v>
      </c>
      <c r="BA32" t="s">
        <v>123</v>
      </c>
      <c r="BB32" t="s">
        <v>123</v>
      </c>
      <c r="BC32" t="s">
        <v>123</v>
      </c>
      <c r="BD32" t="s">
        <v>123</v>
      </c>
      <c r="BE32" t="s">
        <v>123</v>
      </c>
      <c r="BF32" t="s">
        <v>123</v>
      </c>
      <c r="BG32" t="s">
        <v>123</v>
      </c>
      <c r="BH32" t="s">
        <v>123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123</v>
      </c>
      <c r="BX32" t="s">
        <v>123</v>
      </c>
      <c r="BY32" s="1">
        <v>45965.243934027778</v>
      </c>
      <c r="BZ32">
        <v>1500</v>
      </c>
      <c r="CA32" t="s">
        <v>123</v>
      </c>
      <c r="CB32" t="s">
        <v>123</v>
      </c>
      <c r="CC32">
        <v>0</v>
      </c>
      <c r="CD32" t="s">
        <v>123</v>
      </c>
      <c r="CE32" t="s">
        <v>123</v>
      </c>
      <c r="CF32" t="s">
        <v>123</v>
      </c>
      <c r="CG32" t="s">
        <v>123</v>
      </c>
      <c r="CH32" t="s">
        <v>123</v>
      </c>
      <c r="CI32" t="s">
        <v>123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  <c r="DN32" t="s">
        <v>123</v>
      </c>
      <c r="DO32" t="s">
        <v>123</v>
      </c>
      <c r="DP32" t="s">
        <v>123</v>
      </c>
      <c r="DQ32" t="s">
        <v>123</v>
      </c>
      <c r="DR32" t="s">
        <v>123</v>
      </c>
      <c r="DS32" t="s">
        <v>123</v>
      </c>
    </row>
    <row r="33" spans="1:123" x14ac:dyDescent="0.3">
      <c r="A33">
        <v>32</v>
      </c>
      <c r="B33" t="s">
        <v>123</v>
      </c>
      <c r="C33" t="s">
        <v>123</v>
      </c>
      <c r="D33" t="s">
        <v>291</v>
      </c>
      <c r="E33" t="s">
        <v>123</v>
      </c>
      <c r="F33" t="s">
        <v>125</v>
      </c>
      <c r="G33" t="s">
        <v>126</v>
      </c>
      <c r="H33" t="s">
        <v>127</v>
      </c>
      <c r="I33" t="s">
        <v>123</v>
      </c>
      <c r="J33" t="s">
        <v>123</v>
      </c>
      <c r="K33" t="s">
        <v>123</v>
      </c>
      <c r="L33" t="s">
        <v>130</v>
      </c>
      <c r="M33" t="s">
        <v>288</v>
      </c>
      <c r="N33">
        <v>3</v>
      </c>
      <c r="O33" t="s">
        <v>289</v>
      </c>
      <c r="P33" t="s">
        <v>123</v>
      </c>
      <c r="Q33" t="s">
        <v>123</v>
      </c>
      <c r="R33" t="s">
        <v>123</v>
      </c>
      <c r="S33" t="s">
        <v>123</v>
      </c>
      <c r="T33" s="1">
        <v>45999</v>
      </c>
      <c r="U33" t="s">
        <v>123</v>
      </c>
      <c r="V33" t="s">
        <v>123</v>
      </c>
      <c r="W33" t="s">
        <v>123</v>
      </c>
      <c r="X33" t="s">
        <v>123</v>
      </c>
      <c r="Y33" t="s">
        <v>123</v>
      </c>
      <c r="Z33" t="s">
        <v>123</v>
      </c>
      <c r="AA33" t="s">
        <v>123</v>
      </c>
      <c r="AB33" t="s">
        <v>292</v>
      </c>
      <c r="AC33" t="s">
        <v>135</v>
      </c>
      <c r="AD33" t="s">
        <v>123</v>
      </c>
      <c r="AE33" t="s">
        <v>123</v>
      </c>
      <c r="AF33" t="s">
        <v>123</v>
      </c>
      <c r="AG33" t="s">
        <v>123</v>
      </c>
      <c r="AH33" t="s">
        <v>123</v>
      </c>
      <c r="AI33" t="s">
        <v>123</v>
      </c>
      <c r="AJ33" t="s">
        <v>123</v>
      </c>
      <c r="AK33" t="s">
        <v>123</v>
      </c>
      <c r="AL33" t="s">
        <v>123</v>
      </c>
      <c r="AM33" t="s">
        <v>123</v>
      </c>
      <c r="AN33" t="s">
        <v>123</v>
      </c>
      <c r="AO33" t="s">
        <v>123</v>
      </c>
      <c r="AP33">
        <v>250</v>
      </c>
      <c r="AQ33">
        <v>50</v>
      </c>
      <c r="AR33">
        <v>10</v>
      </c>
      <c r="AS33" t="s">
        <v>123</v>
      </c>
      <c r="AT33" t="s">
        <v>123</v>
      </c>
      <c r="AU33" t="s">
        <v>123</v>
      </c>
      <c r="AV33" t="s">
        <v>123</v>
      </c>
      <c r="AW33" t="s">
        <v>123</v>
      </c>
      <c r="AX33" t="s">
        <v>123</v>
      </c>
      <c r="AY33" t="s">
        <v>123</v>
      </c>
      <c r="AZ33" t="s">
        <v>123</v>
      </c>
      <c r="BA33" t="s">
        <v>123</v>
      </c>
      <c r="BB33" t="s">
        <v>123</v>
      </c>
      <c r="BC33" t="s">
        <v>123</v>
      </c>
      <c r="BD33" t="s">
        <v>123</v>
      </c>
      <c r="BE33" t="s">
        <v>123</v>
      </c>
      <c r="BF33" t="s">
        <v>123</v>
      </c>
      <c r="BG33" t="s">
        <v>123</v>
      </c>
      <c r="BH33" t="s">
        <v>123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123</v>
      </c>
      <c r="BX33" t="s">
        <v>123</v>
      </c>
      <c r="BY33" s="1">
        <v>45965.244012696756</v>
      </c>
      <c r="BZ33">
        <v>1500</v>
      </c>
      <c r="CA33" t="s">
        <v>123</v>
      </c>
      <c r="CB33" t="s">
        <v>123</v>
      </c>
      <c r="CC33">
        <v>0</v>
      </c>
      <c r="CD33" t="s">
        <v>123</v>
      </c>
      <c r="CE33" t="s">
        <v>123</v>
      </c>
      <c r="CF33" t="s">
        <v>123</v>
      </c>
      <c r="CG33" t="s">
        <v>123</v>
      </c>
      <c r="CH33" t="s">
        <v>123</v>
      </c>
      <c r="CI33" t="s">
        <v>123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  <c r="DN33" t="s">
        <v>123</v>
      </c>
      <c r="DO33" t="s">
        <v>123</v>
      </c>
      <c r="DP33" t="s">
        <v>123</v>
      </c>
      <c r="DQ33" t="s">
        <v>123</v>
      </c>
      <c r="DR33" t="s">
        <v>123</v>
      </c>
      <c r="DS33" t="s">
        <v>123</v>
      </c>
    </row>
    <row r="34" spans="1:123" x14ac:dyDescent="0.3">
      <c r="A34">
        <v>33</v>
      </c>
      <c r="B34" t="s">
        <v>123</v>
      </c>
      <c r="C34" t="s">
        <v>123</v>
      </c>
      <c r="D34" t="s">
        <v>293</v>
      </c>
      <c r="E34" t="s">
        <v>123</v>
      </c>
      <c r="F34" t="s">
        <v>125</v>
      </c>
      <c r="G34" t="s">
        <v>126</v>
      </c>
      <c r="H34" t="s">
        <v>127</v>
      </c>
      <c r="I34" t="s">
        <v>128</v>
      </c>
      <c r="J34" t="s">
        <v>123</v>
      </c>
      <c r="K34" t="s">
        <v>294</v>
      </c>
      <c r="L34" t="s">
        <v>130</v>
      </c>
      <c r="M34" t="s">
        <v>295</v>
      </c>
      <c r="N34">
        <v>3</v>
      </c>
      <c r="O34" t="s">
        <v>296</v>
      </c>
      <c r="P34" t="s">
        <v>123</v>
      </c>
      <c r="Q34" t="s">
        <v>123</v>
      </c>
      <c r="R34" t="s">
        <v>123</v>
      </c>
      <c r="S34" t="s">
        <v>123</v>
      </c>
      <c r="T34" s="1">
        <v>46362</v>
      </c>
      <c r="U34" t="s">
        <v>123</v>
      </c>
      <c r="V34" t="s">
        <v>123</v>
      </c>
      <c r="W34" t="s">
        <v>123</v>
      </c>
      <c r="X34" t="s">
        <v>123</v>
      </c>
      <c r="Y34" t="s">
        <v>123</v>
      </c>
      <c r="Z34" t="s">
        <v>123</v>
      </c>
      <c r="AA34" t="s">
        <v>123</v>
      </c>
      <c r="AB34" t="s">
        <v>297</v>
      </c>
      <c r="AC34" t="s">
        <v>135</v>
      </c>
      <c r="AD34" t="s">
        <v>123</v>
      </c>
      <c r="AE34" t="s">
        <v>123</v>
      </c>
      <c r="AF34" t="s">
        <v>136</v>
      </c>
      <c r="AG34" t="s">
        <v>137</v>
      </c>
      <c r="AH34" t="s">
        <v>123</v>
      </c>
      <c r="AI34" t="s">
        <v>128</v>
      </c>
      <c r="AJ34" t="s">
        <v>138</v>
      </c>
      <c r="AK34" t="s">
        <v>139</v>
      </c>
      <c r="AL34" t="s">
        <v>123</v>
      </c>
      <c r="AM34" t="s">
        <v>123</v>
      </c>
      <c r="AN34" t="s">
        <v>123</v>
      </c>
      <c r="AO34" t="s">
        <v>123</v>
      </c>
      <c r="AP34">
        <v>250</v>
      </c>
      <c r="AQ34">
        <v>50</v>
      </c>
      <c r="AR34">
        <v>10</v>
      </c>
      <c r="AS34" t="s">
        <v>123</v>
      </c>
      <c r="AT34" t="s">
        <v>123</v>
      </c>
      <c r="AU34" t="s">
        <v>123</v>
      </c>
      <c r="AV34" t="s">
        <v>123</v>
      </c>
      <c r="AW34" t="s">
        <v>123</v>
      </c>
      <c r="AX34" t="s">
        <v>123</v>
      </c>
      <c r="AY34" t="s">
        <v>123</v>
      </c>
      <c r="AZ34" t="s">
        <v>123</v>
      </c>
      <c r="BA34" t="s">
        <v>140</v>
      </c>
      <c r="BB34" t="s">
        <v>123</v>
      </c>
      <c r="BC34" t="s">
        <v>123</v>
      </c>
      <c r="BD34" t="s">
        <v>123</v>
      </c>
      <c r="BE34" t="s">
        <v>123</v>
      </c>
      <c r="BF34" t="s">
        <v>123</v>
      </c>
      <c r="BG34" t="s">
        <v>141</v>
      </c>
      <c r="BH34" t="s">
        <v>123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123</v>
      </c>
      <c r="BX34" t="s">
        <v>123</v>
      </c>
      <c r="BY34" s="1">
        <v>45965.244090474538</v>
      </c>
      <c r="BZ34">
        <v>1477</v>
      </c>
      <c r="CA34" t="s">
        <v>123</v>
      </c>
      <c r="CB34" t="s">
        <v>123</v>
      </c>
      <c r="CC34">
        <v>0</v>
      </c>
      <c r="CD34" t="s">
        <v>123</v>
      </c>
      <c r="CE34" t="s">
        <v>123</v>
      </c>
      <c r="CF34" t="s">
        <v>123</v>
      </c>
      <c r="CG34" t="s">
        <v>123</v>
      </c>
      <c r="CH34" t="s">
        <v>123</v>
      </c>
      <c r="CI34" t="s">
        <v>123</v>
      </c>
      <c r="CJ34" t="s">
        <v>123</v>
      </c>
      <c r="CK34">
        <v>2.7199999999999998E-2</v>
      </c>
      <c r="CL34">
        <v>3.1699999999999999E-2</v>
      </c>
      <c r="CM34">
        <v>4.0500000000000001E-2</v>
      </c>
      <c r="CN34">
        <v>4.7199999999999999E-2</v>
      </c>
      <c r="CO34" t="s">
        <v>123</v>
      </c>
      <c r="CP34" t="s">
        <v>123</v>
      </c>
      <c r="CQ34">
        <v>1.8700000000000001E-2</v>
      </c>
      <c r="CR34">
        <v>2.1899999999999999E-2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298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  <c r="DN34" t="s">
        <v>123</v>
      </c>
      <c r="DO34" t="s">
        <v>123</v>
      </c>
      <c r="DP34" t="s">
        <v>123</v>
      </c>
      <c r="DQ34" t="s">
        <v>123</v>
      </c>
      <c r="DR34" t="s">
        <v>123</v>
      </c>
      <c r="DS34" t="s">
        <v>123</v>
      </c>
    </row>
    <row r="35" spans="1:123" x14ac:dyDescent="0.3">
      <c r="A35">
        <v>34</v>
      </c>
      <c r="B35" t="s">
        <v>123</v>
      </c>
      <c r="C35" t="s">
        <v>123</v>
      </c>
      <c r="D35" t="s">
        <v>299</v>
      </c>
      <c r="E35" t="s">
        <v>123</v>
      </c>
      <c r="F35" t="s">
        <v>125</v>
      </c>
      <c r="G35" t="s">
        <v>126</v>
      </c>
      <c r="H35" t="s">
        <v>127</v>
      </c>
      <c r="I35" t="s">
        <v>128</v>
      </c>
      <c r="J35" t="s">
        <v>123</v>
      </c>
      <c r="K35" t="s">
        <v>294</v>
      </c>
      <c r="L35" t="s">
        <v>130</v>
      </c>
      <c r="M35" t="s">
        <v>295</v>
      </c>
      <c r="N35">
        <v>5</v>
      </c>
      <c r="O35" t="s">
        <v>296</v>
      </c>
      <c r="P35" t="s">
        <v>123</v>
      </c>
      <c r="Q35" t="s">
        <v>123</v>
      </c>
      <c r="R35" t="s">
        <v>123</v>
      </c>
      <c r="S35" t="s">
        <v>123</v>
      </c>
      <c r="T35" s="1">
        <v>46362</v>
      </c>
      <c r="U35" t="s">
        <v>123</v>
      </c>
      <c r="V35" t="s">
        <v>123</v>
      </c>
      <c r="W35" t="s">
        <v>123</v>
      </c>
      <c r="X35" t="s">
        <v>123</v>
      </c>
      <c r="Y35" t="s">
        <v>123</v>
      </c>
      <c r="Z35" t="s">
        <v>123</v>
      </c>
      <c r="AA35" t="s">
        <v>123</v>
      </c>
      <c r="AB35" t="s">
        <v>300</v>
      </c>
      <c r="AC35" t="s">
        <v>135</v>
      </c>
      <c r="AD35" t="s">
        <v>123</v>
      </c>
      <c r="AE35" t="s">
        <v>123</v>
      </c>
      <c r="AF35" t="s">
        <v>136</v>
      </c>
      <c r="AG35" t="s">
        <v>137</v>
      </c>
      <c r="AH35" t="s">
        <v>123</v>
      </c>
      <c r="AI35" t="s">
        <v>128</v>
      </c>
      <c r="AJ35" t="s">
        <v>138</v>
      </c>
      <c r="AK35" t="s">
        <v>139</v>
      </c>
      <c r="AL35" t="s">
        <v>123</v>
      </c>
      <c r="AM35" t="s">
        <v>123</v>
      </c>
      <c r="AN35" t="s">
        <v>123</v>
      </c>
      <c r="AO35" t="s">
        <v>123</v>
      </c>
      <c r="AP35">
        <v>250</v>
      </c>
      <c r="AQ35">
        <v>50</v>
      </c>
      <c r="AR35">
        <v>10</v>
      </c>
      <c r="AS35" t="s">
        <v>123</v>
      </c>
      <c r="AT35" t="s">
        <v>123</v>
      </c>
      <c r="AU35" t="s">
        <v>123</v>
      </c>
      <c r="AV35" t="s">
        <v>123</v>
      </c>
      <c r="AW35" t="s">
        <v>123</v>
      </c>
      <c r="AX35" t="s">
        <v>123</v>
      </c>
      <c r="AY35" t="s">
        <v>123</v>
      </c>
      <c r="AZ35" t="s">
        <v>123</v>
      </c>
      <c r="BA35" t="s">
        <v>140</v>
      </c>
      <c r="BB35" t="s">
        <v>123</v>
      </c>
      <c r="BC35" t="s">
        <v>123</v>
      </c>
      <c r="BD35" t="s">
        <v>123</v>
      </c>
      <c r="BE35" t="s">
        <v>123</v>
      </c>
      <c r="BF35" t="s">
        <v>123</v>
      </c>
      <c r="BG35" t="s">
        <v>141</v>
      </c>
      <c r="BH35" t="s">
        <v>123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123</v>
      </c>
      <c r="BX35" t="s">
        <v>123</v>
      </c>
      <c r="BY35" s="1">
        <v>45965.244162303243</v>
      </c>
      <c r="BZ35">
        <v>1477</v>
      </c>
      <c r="CA35" t="s">
        <v>123</v>
      </c>
      <c r="CB35" t="s">
        <v>123</v>
      </c>
      <c r="CC35">
        <v>0</v>
      </c>
      <c r="CD35" t="s">
        <v>123</v>
      </c>
      <c r="CE35" t="s">
        <v>123</v>
      </c>
      <c r="CF35" t="s">
        <v>123</v>
      </c>
      <c r="CG35" t="s">
        <v>123</v>
      </c>
      <c r="CH35" t="s">
        <v>123</v>
      </c>
      <c r="CI35" t="s">
        <v>123</v>
      </c>
      <c r="CJ35" t="s">
        <v>123</v>
      </c>
      <c r="CK35">
        <v>1.34E-2</v>
      </c>
      <c r="CL35">
        <v>1.55E-2</v>
      </c>
      <c r="CM35">
        <v>1.8599999999999998E-2</v>
      </c>
      <c r="CN35">
        <v>2.18E-2</v>
      </c>
      <c r="CO35" t="s">
        <v>123</v>
      </c>
      <c r="CP35" t="s">
        <v>123</v>
      </c>
      <c r="CQ35">
        <v>8.6999999999999994E-3</v>
      </c>
      <c r="CR35">
        <v>1.0200000000000001E-2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298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  <c r="DN35" t="s">
        <v>123</v>
      </c>
      <c r="DO35" t="s">
        <v>123</v>
      </c>
      <c r="DP35" t="s">
        <v>123</v>
      </c>
      <c r="DQ35" t="s">
        <v>123</v>
      </c>
      <c r="DR35" t="s">
        <v>123</v>
      </c>
      <c r="DS35" t="s">
        <v>123</v>
      </c>
    </row>
    <row r="36" spans="1:123" x14ac:dyDescent="0.3">
      <c r="A36">
        <v>35</v>
      </c>
      <c r="B36" t="s">
        <v>123</v>
      </c>
      <c r="C36" t="s">
        <v>123</v>
      </c>
      <c r="D36" t="s">
        <v>301</v>
      </c>
      <c r="E36" t="s">
        <v>123</v>
      </c>
      <c r="F36" t="s">
        <v>125</v>
      </c>
      <c r="G36" t="s">
        <v>126</v>
      </c>
      <c r="H36" t="s">
        <v>127</v>
      </c>
      <c r="I36" t="s">
        <v>128</v>
      </c>
      <c r="J36" t="s">
        <v>123</v>
      </c>
      <c r="K36" t="s">
        <v>302</v>
      </c>
      <c r="L36" t="s">
        <v>130</v>
      </c>
      <c r="M36" t="s">
        <v>303</v>
      </c>
      <c r="N36">
        <v>3</v>
      </c>
      <c r="O36" t="s">
        <v>304</v>
      </c>
      <c r="P36" t="s">
        <v>123</v>
      </c>
      <c r="Q36" t="s">
        <v>123</v>
      </c>
      <c r="R36" t="s">
        <v>123</v>
      </c>
      <c r="S36" t="s">
        <v>123</v>
      </c>
      <c r="T36" s="1">
        <v>46727</v>
      </c>
      <c r="U36" t="s">
        <v>123</v>
      </c>
      <c r="V36" t="s">
        <v>123</v>
      </c>
      <c r="W36" t="s">
        <v>123</v>
      </c>
      <c r="X36" t="s">
        <v>123</v>
      </c>
      <c r="Y36" t="s">
        <v>123</v>
      </c>
      <c r="Z36" t="s">
        <v>123</v>
      </c>
      <c r="AA36" t="s">
        <v>123</v>
      </c>
      <c r="AB36" t="s">
        <v>305</v>
      </c>
      <c r="AC36" t="s">
        <v>135</v>
      </c>
      <c r="AD36" t="s">
        <v>123</v>
      </c>
      <c r="AE36" t="s">
        <v>123</v>
      </c>
      <c r="AF36" t="s">
        <v>136</v>
      </c>
      <c r="AG36" t="s">
        <v>137</v>
      </c>
      <c r="AH36" t="s">
        <v>123</v>
      </c>
      <c r="AI36" t="s">
        <v>128</v>
      </c>
      <c r="AJ36" t="s">
        <v>138</v>
      </c>
      <c r="AK36" t="s">
        <v>139</v>
      </c>
      <c r="AL36" t="s">
        <v>123</v>
      </c>
      <c r="AM36" t="s">
        <v>123</v>
      </c>
      <c r="AN36" t="s">
        <v>123</v>
      </c>
      <c r="AO36" t="s">
        <v>123</v>
      </c>
      <c r="AP36">
        <v>250</v>
      </c>
      <c r="AQ36">
        <v>50</v>
      </c>
      <c r="AR36">
        <v>10</v>
      </c>
      <c r="AS36" t="s">
        <v>123</v>
      </c>
      <c r="AT36" t="s">
        <v>123</v>
      </c>
      <c r="AU36" t="s">
        <v>123</v>
      </c>
      <c r="AV36" t="s">
        <v>123</v>
      </c>
      <c r="AW36" t="s">
        <v>123</v>
      </c>
      <c r="AX36" t="s">
        <v>123</v>
      </c>
      <c r="AY36" t="s">
        <v>123</v>
      </c>
      <c r="AZ36" t="s">
        <v>123</v>
      </c>
      <c r="BA36" t="s">
        <v>140</v>
      </c>
      <c r="BB36" t="s">
        <v>123</v>
      </c>
      <c r="BC36" t="s">
        <v>123</v>
      </c>
      <c r="BD36" t="s">
        <v>123</v>
      </c>
      <c r="BE36" t="s">
        <v>123</v>
      </c>
      <c r="BF36" t="s">
        <v>123</v>
      </c>
      <c r="BG36" t="s">
        <v>141</v>
      </c>
      <c r="BH36" t="s">
        <v>123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123</v>
      </c>
      <c r="BX36" t="s">
        <v>123</v>
      </c>
      <c r="BY36" s="1">
        <v>45965.244229050928</v>
      </c>
      <c r="BZ36">
        <v>1477</v>
      </c>
      <c r="CA36" t="s">
        <v>123</v>
      </c>
      <c r="CB36" t="s">
        <v>123</v>
      </c>
      <c r="CC36">
        <v>0</v>
      </c>
      <c r="CD36" t="s">
        <v>123</v>
      </c>
      <c r="CE36" t="s">
        <v>123</v>
      </c>
      <c r="CF36" t="s">
        <v>123</v>
      </c>
      <c r="CG36" t="s">
        <v>123</v>
      </c>
      <c r="CH36" t="s">
        <v>123</v>
      </c>
      <c r="CI36" t="s">
        <v>123</v>
      </c>
      <c r="CJ36" t="s">
        <v>123</v>
      </c>
      <c r="CK36">
        <v>3.0499999999999999E-2</v>
      </c>
      <c r="CL36">
        <v>3.5499999999999997E-2</v>
      </c>
      <c r="CM36">
        <v>4.4299999999999999E-2</v>
      </c>
      <c r="CN36">
        <v>5.1400000000000001E-2</v>
      </c>
      <c r="CO36" t="s">
        <v>123</v>
      </c>
      <c r="CP36" t="s">
        <v>123</v>
      </c>
      <c r="CQ36">
        <v>2.1899999999999999E-2</v>
      </c>
      <c r="CR36">
        <v>2.5399999999999999E-2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298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  <c r="DN36" t="s">
        <v>123</v>
      </c>
      <c r="DO36" t="s">
        <v>123</v>
      </c>
      <c r="DP36" t="s">
        <v>123</v>
      </c>
      <c r="DQ36" t="s">
        <v>123</v>
      </c>
      <c r="DR36" t="s">
        <v>123</v>
      </c>
      <c r="DS36" t="s">
        <v>123</v>
      </c>
    </row>
    <row r="37" spans="1:123" x14ac:dyDescent="0.3">
      <c r="A37">
        <v>36</v>
      </c>
      <c r="B37" t="s">
        <v>123</v>
      </c>
      <c r="C37" t="s">
        <v>123</v>
      </c>
      <c r="D37" t="s">
        <v>306</v>
      </c>
      <c r="E37" t="s">
        <v>123</v>
      </c>
      <c r="F37" t="s">
        <v>125</v>
      </c>
      <c r="G37" t="s">
        <v>126</v>
      </c>
      <c r="H37" t="s">
        <v>127</v>
      </c>
      <c r="I37" t="s">
        <v>128</v>
      </c>
      <c r="J37" t="s">
        <v>123</v>
      </c>
      <c r="K37" t="s">
        <v>302</v>
      </c>
      <c r="L37" t="s">
        <v>130</v>
      </c>
      <c r="M37" t="s">
        <v>303</v>
      </c>
      <c r="N37">
        <v>5</v>
      </c>
      <c r="O37" t="s">
        <v>304</v>
      </c>
      <c r="P37" t="s">
        <v>123</v>
      </c>
      <c r="Q37" t="s">
        <v>123</v>
      </c>
      <c r="R37" t="s">
        <v>123</v>
      </c>
      <c r="S37" t="s">
        <v>123</v>
      </c>
      <c r="T37" s="1">
        <v>46727</v>
      </c>
      <c r="U37" t="s">
        <v>123</v>
      </c>
      <c r="V37" t="s">
        <v>123</v>
      </c>
      <c r="W37" t="s">
        <v>123</v>
      </c>
      <c r="X37" t="s">
        <v>123</v>
      </c>
      <c r="Y37" t="s">
        <v>123</v>
      </c>
      <c r="Z37" t="s">
        <v>123</v>
      </c>
      <c r="AA37" t="s">
        <v>123</v>
      </c>
      <c r="AB37" t="s">
        <v>307</v>
      </c>
      <c r="AC37" t="s">
        <v>135</v>
      </c>
      <c r="AD37" t="s">
        <v>123</v>
      </c>
      <c r="AE37" t="s">
        <v>123</v>
      </c>
      <c r="AF37" t="s">
        <v>136</v>
      </c>
      <c r="AG37" t="s">
        <v>137</v>
      </c>
      <c r="AH37" t="s">
        <v>123</v>
      </c>
      <c r="AI37" t="s">
        <v>128</v>
      </c>
      <c r="AJ37" t="s">
        <v>138</v>
      </c>
      <c r="AK37" t="s">
        <v>139</v>
      </c>
      <c r="AL37" t="s">
        <v>123</v>
      </c>
      <c r="AM37" t="s">
        <v>123</v>
      </c>
      <c r="AN37" t="s">
        <v>123</v>
      </c>
      <c r="AO37" t="s">
        <v>123</v>
      </c>
      <c r="AP37">
        <v>250</v>
      </c>
      <c r="AQ37">
        <v>50</v>
      </c>
      <c r="AR37">
        <v>10</v>
      </c>
      <c r="AS37" t="s">
        <v>123</v>
      </c>
      <c r="AT37" t="s">
        <v>123</v>
      </c>
      <c r="AU37" t="s">
        <v>123</v>
      </c>
      <c r="AV37" t="s">
        <v>123</v>
      </c>
      <c r="AW37" t="s">
        <v>123</v>
      </c>
      <c r="AX37" t="s">
        <v>123</v>
      </c>
      <c r="AY37" t="s">
        <v>123</v>
      </c>
      <c r="AZ37" t="s">
        <v>123</v>
      </c>
      <c r="BA37" t="s">
        <v>140</v>
      </c>
      <c r="BB37" t="s">
        <v>123</v>
      </c>
      <c r="BC37" t="s">
        <v>123</v>
      </c>
      <c r="BD37" t="s">
        <v>123</v>
      </c>
      <c r="BE37" t="s">
        <v>123</v>
      </c>
      <c r="BF37" t="s">
        <v>123</v>
      </c>
      <c r="BG37" t="s">
        <v>141</v>
      </c>
      <c r="BH37" t="s">
        <v>123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123</v>
      </c>
      <c r="BX37" t="s">
        <v>123</v>
      </c>
      <c r="BY37" s="1">
        <v>45965.244298761572</v>
      </c>
      <c r="BZ37">
        <v>1477</v>
      </c>
      <c r="CA37" t="s">
        <v>123</v>
      </c>
      <c r="CB37" t="s">
        <v>123</v>
      </c>
      <c r="CC37">
        <v>0</v>
      </c>
      <c r="CD37" t="s">
        <v>123</v>
      </c>
      <c r="CE37" t="s">
        <v>123</v>
      </c>
      <c r="CF37" t="s">
        <v>123</v>
      </c>
      <c r="CG37" t="s">
        <v>123</v>
      </c>
      <c r="CH37" t="s">
        <v>123</v>
      </c>
      <c r="CI37" t="s">
        <v>123</v>
      </c>
      <c r="CJ37" t="s">
        <v>123</v>
      </c>
      <c r="CK37">
        <v>1.2500000000000001E-2</v>
      </c>
      <c r="CL37">
        <v>1.44E-2</v>
      </c>
      <c r="CM37">
        <v>1.49E-2</v>
      </c>
      <c r="CN37">
        <v>1.7600000000000001E-2</v>
      </c>
      <c r="CO37" t="s">
        <v>123</v>
      </c>
      <c r="CP37" t="s">
        <v>123</v>
      </c>
      <c r="CQ37">
        <v>1.06E-2</v>
      </c>
      <c r="CR37">
        <v>1.24E-2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298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  <c r="DN37" t="s">
        <v>123</v>
      </c>
      <c r="DO37" t="s">
        <v>123</v>
      </c>
      <c r="DP37" t="s">
        <v>123</v>
      </c>
      <c r="DQ37" t="s">
        <v>123</v>
      </c>
      <c r="DR37" t="s">
        <v>123</v>
      </c>
      <c r="DS37" t="s">
        <v>123</v>
      </c>
    </row>
    <row r="38" spans="1:123" x14ac:dyDescent="0.3">
      <c r="A38">
        <v>37</v>
      </c>
      <c r="B38" t="s">
        <v>123</v>
      </c>
      <c r="C38" t="s">
        <v>123</v>
      </c>
      <c r="D38" t="s">
        <v>308</v>
      </c>
      <c r="E38" t="s">
        <v>123</v>
      </c>
      <c r="F38" t="s">
        <v>125</v>
      </c>
      <c r="G38" t="s">
        <v>126</v>
      </c>
      <c r="H38" t="s">
        <v>127</v>
      </c>
      <c r="I38" t="s">
        <v>128</v>
      </c>
      <c r="J38" t="s">
        <v>123</v>
      </c>
      <c r="K38" t="s">
        <v>309</v>
      </c>
      <c r="L38" t="s">
        <v>130</v>
      </c>
      <c r="M38" t="s">
        <v>310</v>
      </c>
      <c r="N38">
        <v>2</v>
      </c>
      <c r="O38" t="s">
        <v>311</v>
      </c>
      <c r="P38" t="s">
        <v>123</v>
      </c>
      <c r="Q38" t="s">
        <v>123</v>
      </c>
      <c r="R38" t="s">
        <v>123</v>
      </c>
      <c r="S38" t="s">
        <v>123</v>
      </c>
      <c r="T38" s="1">
        <v>47093</v>
      </c>
      <c r="U38" t="s">
        <v>123</v>
      </c>
      <c r="V38" t="s">
        <v>123</v>
      </c>
      <c r="W38" t="s">
        <v>123</v>
      </c>
      <c r="X38" t="s">
        <v>123</v>
      </c>
      <c r="Y38" t="s">
        <v>123</v>
      </c>
      <c r="Z38" t="s">
        <v>123</v>
      </c>
      <c r="AA38" t="s">
        <v>123</v>
      </c>
      <c r="AB38" t="s">
        <v>312</v>
      </c>
      <c r="AC38" t="s">
        <v>135</v>
      </c>
      <c r="AD38" t="s">
        <v>123</v>
      </c>
      <c r="AE38" t="s">
        <v>123</v>
      </c>
      <c r="AF38" t="s">
        <v>136</v>
      </c>
      <c r="AG38" t="s">
        <v>137</v>
      </c>
      <c r="AH38" t="s">
        <v>123</v>
      </c>
      <c r="AI38" t="s">
        <v>128</v>
      </c>
      <c r="AJ38" t="s">
        <v>138</v>
      </c>
      <c r="AK38" t="s">
        <v>139</v>
      </c>
      <c r="AL38" t="s">
        <v>123</v>
      </c>
      <c r="AM38" t="s">
        <v>123</v>
      </c>
      <c r="AN38" t="s">
        <v>123</v>
      </c>
      <c r="AO38" t="s">
        <v>123</v>
      </c>
      <c r="AP38">
        <v>250</v>
      </c>
      <c r="AQ38">
        <v>50</v>
      </c>
      <c r="AR38">
        <v>10</v>
      </c>
      <c r="AS38" t="s">
        <v>123</v>
      </c>
      <c r="AT38" t="s">
        <v>123</v>
      </c>
      <c r="AU38" t="s">
        <v>123</v>
      </c>
      <c r="AV38" t="s">
        <v>123</v>
      </c>
      <c r="AW38" t="s">
        <v>123</v>
      </c>
      <c r="AX38" t="s">
        <v>123</v>
      </c>
      <c r="AY38" t="s">
        <v>123</v>
      </c>
      <c r="AZ38" t="s">
        <v>123</v>
      </c>
      <c r="BA38" t="s">
        <v>140</v>
      </c>
      <c r="BB38" t="s">
        <v>123</v>
      </c>
      <c r="BC38" t="s">
        <v>123</v>
      </c>
      <c r="BD38" t="s">
        <v>123</v>
      </c>
      <c r="BE38" t="s">
        <v>123</v>
      </c>
      <c r="BF38" t="s">
        <v>123</v>
      </c>
      <c r="BG38" t="s">
        <v>141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s="1">
        <v>45965.244370335648</v>
      </c>
      <c r="BZ38">
        <v>1477</v>
      </c>
      <c r="CA38" t="s">
        <v>123</v>
      </c>
      <c r="CB38" t="s">
        <v>123</v>
      </c>
      <c r="CC38">
        <v>0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>
        <v>6.1400000000000003E-2</v>
      </c>
      <c r="CL38">
        <v>6.9800000000000001E-2</v>
      </c>
      <c r="CM38">
        <v>8.2100000000000006E-2</v>
      </c>
      <c r="CN38">
        <v>9.2999999999999999E-2</v>
      </c>
      <c r="CO38" t="s">
        <v>123</v>
      </c>
      <c r="CP38" t="s">
        <v>123</v>
      </c>
      <c r="CQ38">
        <v>4.5600000000000002E-2</v>
      </c>
      <c r="CR38">
        <v>5.2299999999999999E-2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272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  <c r="DN38" t="s">
        <v>123</v>
      </c>
      <c r="DO38" t="s">
        <v>123</v>
      </c>
      <c r="DP38" t="s">
        <v>123</v>
      </c>
      <c r="DQ38" t="s">
        <v>123</v>
      </c>
      <c r="DR38" t="s">
        <v>123</v>
      </c>
      <c r="DS38" t="s">
        <v>123</v>
      </c>
    </row>
    <row r="39" spans="1:123" x14ac:dyDescent="0.3">
      <c r="A39">
        <v>38</v>
      </c>
      <c r="B39" t="s">
        <v>123</v>
      </c>
      <c r="C39" t="s">
        <v>123</v>
      </c>
      <c r="D39" t="s">
        <v>313</v>
      </c>
      <c r="E39" t="s">
        <v>123</v>
      </c>
      <c r="F39" t="s">
        <v>125</v>
      </c>
      <c r="G39" t="s">
        <v>126</v>
      </c>
      <c r="H39" t="s">
        <v>127</v>
      </c>
      <c r="I39" t="s">
        <v>128</v>
      </c>
      <c r="J39" t="s">
        <v>123</v>
      </c>
      <c r="K39" t="s">
        <v>309</v>
      </c>
      <c r="L39" t="s">
        <v>130</v>
      </c>
      <c r="M39" t="s">
        <v>310</v>
      </c>
      <c r="N39">
        <v>3</v>
      </c>
      <c r="O39" t="s">
        <v>311</v>
      </c>
      <c r="P39" t="s">
        <v>123</v>
      </c>
      <c r="Q39" t="s">
        <v>123</v>
      </c>
      <c r="R39" t="s">
        <v>123</v>
      </c>
      <c r="S39" t="s">
        <v>123</v>
      </c>
      <c r="T39" s="1">
        <v>47093</v>
      </c>
      <c r="U39" t="s">
        <v>123</v>
      </c>
      <c r="V39" t="s">
        <v>123</v>
      </c>
      <c r="W39" t="s">
        <v>123</v>
      </c>
      <c r="X39" t="s">
        <v>123</v>
      </c>
      <c r="Y39" t="s">
        <v>123</v>
      </c>
      <c r="Z39" t="s">
        <v>123</v>
      </c>
      <c r="AA39" t="s">
        <v>123</v>
      </c>
      <c r="AB39" t="s">
        <v>314</v>
      </c>
      <c r="AC39" t="s">
        <v>135</v>
      </c>
      <c r="AD39" t="s">
        <v>123</v>
      </c>
      <c r="AE39" t="s">
        <v>123</v>
      </c>
      <c r="AF39" t="s">
        <v>136</v>
      </c>
      <c r="AG39" t="s">
        <v>137</v>
      </c>
      <c r="AH39" t="s">
        <v>123</v>
      </c>
      <c r="AI39" t="s">
        <v>128</v>
      </c>
      <c r="AJ39" t="s">
        <v>138</v>
      </c>
      <c r="AK39" t="s">
        <v>139</v>
      </c>
      <c r="AL39" t="s">
        <v>123</v>
      </c>
      <c r="AM39" t="s">
        <v>123</v>
      </c>
      <c r="AN39" t="s">
        <v>123</v>
      </c>
      <c r="AO39" t="s">
        <v>123</v>
      </c>
      <c r="AP39">
        <v>250</v>
      </c>
      <c r="AQ39">
        <v>50</v>
      </c>
      <c r="AR39">
        <v>10</v>
      </c>
      <c r="AS39" t="s">
        <v>123</v>
      </c>
      <c r="AT39" t="s">
        <v>123</v>
      </c>
      <c r="AU39" t="s">
        <v>123</v>
      </c>
      <c r="AV39" t="s">
        <v>123</v>
      </c>
      <c r="AW39" t="s">
        <v>123</v>
      </c>
      <c r="AX39" t="s">
        <v>123</v>
      </c>
      <c r="AY39" t="s">
        <v>123</v>
      </c>
      <c r="AZ39" t="s">
        <v>123</v>
      </c>
      <c r="BA39" t="s">
        <v>140</v>
      </c>
      <c r="BB39" t="s">
        <v>123</v>
      </c>
      <c r="BC39" t="s">
        <v>123</v>
      </c>
      <c r="BD39" t="s">
        <v>123</v>
      </c>
      <c r="BE39" t="s">
        <v>123</v>
      </c>
      <c r="BF39" t="s">
        <v>123</v>
      </c>
      <c r="BG39" t="s">
        <v>141</v>
      </c>
      <c r="BH39" t="s">
        <v>123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123</v>
      </c>
      <c r="BX39" t="s">
        <v>123</v>
      </c>
      <c r="BY39" s="1">
        <v>45965.244442905096</v>
      </c>
      <c r="BZ39">
        <v>1477</v>
      </c>
      <c r="CA39" t="s">
        <v>123</v>
      </c>
      <c r="CB39" t="s">
        <v>123</v>
      </c>
      <c r="CC39">
        <v>0</v>
      </c>
      <c r="CD39" t="s">
        <v>123</v>
      </c>
      <c r="CE39" t="s">
        <v>123</v>
      </c>
      <c r="CF39" t="s">
        <v>123</v>
      </c>
      <c r="CG39" t="s">
        <v>123</v>
      </c>
      <c r="CH39" t="s">
        <v>123</v>
      </c>
      <c r="CI39" t="s">
        <v>123</v>
      </c>
      <c r="CJ39" t="s">
        <v>123</v>
      </c>
      <c r="CK39">
        <v>3.2500000000000001E-2</v>
      </c>
      <c r="CL39">
        <v>3.73E-2</v>
      </c>
      <c r="CM39">
        <v>4.5199999999999997E-2</v>
      </c>
      <c r="CN39">
        <v>5.1700000000000003E-2</v>
      </c>
      <c r="CO39" t="s">
        <v>123</v>
      </c>
      <c r="CP39" t="s">
        <v>123</v>
      </c>
      <c r="CQ39">
        <v>2.35E-2</v>
      </c>
      <c r="CR39">
        <v>2.7E-2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272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  <c r="DN39" t="s">
        <v>123</v>
      </c>
      <c r="DO39" t="s">
        <v>123</v>
      </c>
      <c r="DP39" t="s">
        <v>123</v>
      </c>
      <c r="DQ39" t="s">
        <v>123</v>
      </c>
      <c r="DR39" t="s">
        <v>123</v>
      </c>
      <c r="DS39" t="s">
        <v>123</v>
      </c>
    </row>
    <row r="40" spans="1:123" x14ac:dyDescent="0.3">
      <c r="A40">
        <v>39</v>
      </c>
      <c r="B40" t="s">
        <v>123</v>
      </c>
      <c r="C40" t="s">
        <v>123</v>
      </c>
      <c r="D40" t="s">
        <v>315</v>
      </c>
      <c r="E40" t="s">
        <v>123</v>
      </c>
      <c r="F40" t="s">
        <v>125</v>
      </c>
      <c r="G40" t="s">
        <v>126</v>
      </c>
      <c r="H40" t="s">
        <v>127</v>
      </c>
      <c r="I40" t="s">
        <v>128</v>
      </c>
      <c r="J40" t="s">
        <v>123</v>
      </c>
      <c r="K40" t="s">
        <v>309</v>
      </c>
      <c r="L40" t="s">
        <v>130</v>
      </c>
      <c r="M40" t="s">
        <v>310</v>
      </c>
      <c r="N40">
        <v>4</v>
      </c>
      <c r="O40" t="s">
        <v>311</v>
      </c>
      <c r="P40" t="s">
        <v>123</v>
      </c>
      <c r="Q40" t="s">
        <v>123</v>
      </c>
      <c r="R40" t="s">
        <v>123</v>
      </c>
      <c r="S40" t="s">
        <v>123</v>
      </c>
      <c r="T40" s="1">
        <v>47093</v>
      </c>
      <c r="U40" t="s">
        <v>123</v>
      </c>
      <c r="V40" t="s">
        <v>123</v>
      </c>
      <c r="W40" t="s">
        <v>123</v>
      </c>
      <c r="X40" t="s">
        <v>123</v>
      </c>
      <c r="Y40" t="s">
        <v>123</v>
      </c>
      <c r="Z40" t="s">
        <v>123</v>
      </c>
      <c r="AA40" t="s">
        <v>123</v>
      </c>
      <c r="AB40" t="s">
        <v>316</v>
      </c>
      <c r="AC40" t="s">
        <v>135</v>
      </c>
      <c r="AD40" t="s">
        <v>123</v>
      </c>
      <c r="AE40" t="s">
        <v>123</v>
      </c>
      <c r="AF40" t="s">
        <v>136</v>
      </c>
      <c r="AG40" t="s">
        <v>137</v>
      </c>
      <c r="AH40" t="s">
        <v>123</v>
      </c>
      <c r="AI40" t="s">
        <v>128</v>
      </c>
      <c r="AJ40" t="s">
        <v>138</v>
      </c>
      <c r="AK40" t="s">
        <v>139</v>
      </c>
      <c r="AL40" t="s">
        <v>123</v>
      </c>
      <c r="AM40" t="s">
        <v>123</v>
      </c>
      <c r="AN40" t="s">
        <v>123</v>
      </c>
      <c r="AO40" t="s">
        <v>123</v>
      </c>
      <c r="AP40">
        <v>250</v>
      </c>
      <c r="AQ40">
        <v>50</v>
      </c>
      <c r="AR40">
        <v>10</v>
      </c>
      <c r="AS40" t="s">
        <v>123</v>
      </c>
      <c r="AT40" t="s">
        <v>123</v>
      </c>
      <c r="AU40" t="s">
        <v>123</v>
      </c>
      <c r="AV40" t="s">
        <v>123</v>
      </c>
      <c r="AW40" t="s">
        <v>123</v>
      </c>
      <c r="AX40" t="s">
        <v>123</v>
      </c>
      <c r="AY40" t="s">
        <v>123</v>
      </c>
      <c r="AZ40" t="s">
        <v>123</v>
      </c>
      <c r="BA40" t="s">
        <v>140</v>
      </c>
      <c r="BB40" t="s">
        <v>123</v>
      </c>
      <c r="BC40" t="s">
        <v>123</v>
      </c>
      <c r="BD40" t="s">
        <v>123</v>
      </c>
      <c r="BE40" t="s">
        <v>123</v>
      </c>
      <c r="BF40" t="s">
        <v>123</v>
      </c>
      <c r="BG40" t="s">
        <v>141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s="1">
        <v>45965.244510266202</v>
      </c>
      <c r="BZ40">
        <v>1477</v>
      </c>
      <c r="CA40" t="s">
        <v>123</v>
      </c>
      <c r="CB40" t="s">
        <v>123</v>
      </c>
      <c r="CC40">
        <v>0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>
        <v>2.0500000000000001E-2</v>
      </c>
      <c r="CL40">
        <v>2.3599999999999999E-2</v>
      </c>
      <c r="CM40">
        <v>2.35E-2</v>
      </c>
      <c r="CN40">
        <v>2.7E-2</v>
      </c>
      <c r="CO40" t="s">
        <v>123</v>
      </c>
      <c r="CP40" t="s">
        <v>123</v>
      </c>
      <c r="CQ40">
        <v>1.7500000000000002E-2</v>
      </c>
      <c r="CR40">
        <v>2.01E-2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272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  <c r="DN40" t="s">
        <v>123</v>
      </c>
      <c r="DO40" t="s">
        <v>123</v>
      </c>
      <c r="DP40" t="s">
        <v>123</v>
      </c>
      <c r="DQ40" t="s">
        <v>123</v>
      </c>
      <c r="DR40" t="s">
        <v>123</v>
      </c>
      <c r="DS40" t="s">
        <v>123</v>
      </c>
    </row>
    <row r="41" spans="1:123" x14ac:dyDescent="0.3">
      <c r="A41">
        <v>40</v>
      </c>
      <c r="B41" t="s">
        <v>123</v>
      </c>
      <c r="C41" t="s">
        <v>123</v>
      </c>
      <c r="D41" t="s">
        <v>317</v>
      </c>
      <c r="E41" t="s">
        <v>123</v>
      </c>
      <c r="F41" t="s">
        <v>125</v>
      </c>
      <c r="G41" t="s">
        <v>126</v>
      </c>
      <c r="H41" t="s">
        <v>127</v>
      </c>
      <c r="I41" t="s">
        <v>128</v>
      </c>
      <c r="J41" t="s">
        <v>123</v>
      </c>
      <c r="K41" t="s">
        <v>318</v>
      </c>
      <c r="L41" t="s">
        <v>130</v>
      </c>
      <c r="M41" t="s">
        <v>319</v>
      </c>
      <c r="N41" t="s">
        <v>158</v>
      </c>
      <c r="O41" t="s">
        <v>159</v>
      </c>
      <c r="P41" t="s">
        <v>123</v>
      </c>
      <c r="Q41" t="s">
        <v>123</v>
      </c>
      <c r="R41" t="s">
        <v>123</v>
      </c>
      <c r="S41" t="s">
        <v>123</v>
      </c>
      <c r="T41" s="1">
        <v>47308</v>
      </c>
      <c r="U41" t="s">
        <v>123</v>
      </c>
      <c r="V41" t="s">
        <v>123</v>
      </c>
      <c r="W41" t="s">
        <v>123</v>
      </c>
      <c r="X41" t="s">
        <v>123</v>
      </c>
      <c r="Y41" t="s">
        <v>123</v>
      </c>
      <c r="Z41" t="s">
        <v>123</v>
      </c>
      <c r="AA41" t="s">
        <v>123</v>
      </c>
      <c r="AB41" t="s">
        <v>320</v>
      </c>
      <c r="AC41" t="s">
        <v>135</v>
      </c>
      <c r="AD41" t="s">
        <v>123</v>
      </c>
      <c r="AE41" t="s">
        <v>123</v>
      </c>
      <c r="AF41" t="s">
        <v>321</v>
      </c>
      <c r="AG41" t="s">
        <v>322</v>
      </c>
      <c r="AH41" t="s">
        <v>123</v>
      </c>
      <c r="AI41" t="s">
        <v>128</v>
      </c>
      <c r="AJ41" t="s">
        <v>138</v>
      </c>
      <c r="AK41" t="s">
        <v>139</v>
      </c>
      <c r="AL41" t="s">
        <v>123</v>
      </c>
      <c r="AM41" t="s">
        <v>123</v>
      </c>
      <c r="AN41" t="s">
        <v>123</v>
      </c>
      <c r="AO41" t="s">
        <v>123</v>
      </c>
      <c r="AP41">
        <v>250</v>
      </c>
      <c r="AQ41">
        <v>50</v>
      </c>
      <c r="AR41">
        <v>10</v>
      </c>
      <c r="AS41" t="s">
        <v>123</v>
      </c>
      <c r="AT41" t="s">
        <v>123</v>
      </c>
      <c r="AU41" t="s">
        <v>123</v>
      </c>
      <c r="AV41" t="s">
        <v>123</v>
      </c>
      <c r="AW41" t="s">
        <v>123</v>
      </c>
      <c r="AX41" t="s">
        <v>123</v>
      </c>
      <c r="AY41" t="s">
        <v>123</v>
      </c>
      <c r="AZ41" t="s">
        <v>123</v>
      </c>
      <c r="BA41" t="s">
        <v>140</v>
      </c>
      <c r="BB41" t="s">
        <v>123</v>
      </c>
      <c r="BC41" t="s">
        <v>123</v>
      </c>
      <c r="BD41" t="s">
        <v>123</v>
      </c>
      <c r="BE41" t="s">
        <v>123</v>
      </c>
      <c r="BF41" t="s">
        <v>123</v>
      </c>
      <c r="BG41" t="s">
        <v>141</v>
      </c>
      <c r="BH41" t="s">
        <v>123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123</v>
      </c>
      <c r="BX41" t="s">
        <v>123</v>
      </c>
      <c r="BY41" s="1">
        <v>45965.244582789353</v>
      </c>
      <c r="BZ41">
        <v>1491</v>
      </c>
      <c r="CA41" t="s">
        <v>123</v>
      </c>
      <c r="CB41" t="s">
        <v>123</v>
      </c>
      <c r="CC41">
        <v>0</v>
      </c>
      <c r="CD41" t="s">
        <v>123</v>
      </c>
      <c r="CE41" t="s">
        <v>123</v>
      </c>
      <c r="CF41" t="s">
        <v>123</v>
      </c>
      <c r="CG41" t="s">
        <v>123</v>
      </c>
      <c r="CH41" t="s">
        <v>123</v>
      </c>
      <c r="CI41" t="s">
        <v>123</v>
      </c>
      <c r="CJ41" t="s">
        <v>123</v>
      </c>
      <c r="CK41">
        <v>1.0999999999999999E-2</v>
      </c>
      <c r="CL41">
        <v>1.1010000000000001E-2</v>
      </c>
      <c r="CM41">
        <v>1.453E-2</v>
      </c>
      <c r="CN41">
        <v>1.4540000000000001E-2</v>
      </c>
      <c r="CO41" t="s">
        <v>123</v>
      </c>
      <c r="CP41" t="s">
        <v>123</v>
      </c>
      <c r="CQ41">
        <v>8.3400000000000002E-3</v>
      </c>
      <c r="CR41">
        <v>8.3499999999999998E-3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152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  <c r="DN41" t="s">
        <v>123</v>
      </c>
      <c r="DO41" t="s">
        <v>123</v>
      </c>
      <c r="DP41" t="s">
        <v>123</v>
      </c>
      <c r="DQ41" t="s">
        <v>123</v>
      </c>
      <c r="DR41" t="s">
        <v>123</v>
      </c>
      <c r="DS41" t="s">
        <v>123</v>
      </c>
    </row>
    <row r="42" spans="1:123" x14ac:dyDescent="0.3">
      <c r="A42">
        <v>41</v>
      </c>
      <c r="B42" t="s">
        <v>123</v>
      </c>
      <c r="C42" t="s">
        <v>123</v>
      </c>
      <c r="D42" t="s">
        <v>323</v>
      </c>
      <c r="E42" t="s">
        <v>123</v>
      </c>
      <c r="F42" t="s">
        <v>125</v>
      </c>
      <c r="G42" t="s">
        <v>126</v>
      </c>
      <c r="H42" t="s">
        <v>127</v>
      </c>
      <c r="I42" t="s">
        <v>128</v>
      </c>
      <c r="J42" t="s">
        <v>123</v>
      </c>
      <c r="K42" t="s">
        <v>318</v>
      </c>
      <c r="L42" t="s">
        <v>130</v>
      </c>
      <c r="M42" t="s">
        <v>319</v>
      </c>
      <c r="N42" t="s">
        <v>158</v>
      </c>
      <c r="O42" t="s">
        <v>133</v>
      </c>
      <c r="P42" t="s">
        <v>123</v>
      </c>
      <c r="Q42" t="s">
        <v>123</v>
      </c>
      <c r="R42" t="s">
        <v>123</v>
      </c>
      <c r="S42" t="s">
        <v>123</v>
      </c>
      <c r="T42" s="1">
        <v>46575</v>
      </c>
      <c r="U42" t="s">
        <v>123</v>
      </c>
      <c r="V42" t="s">
        <v>123</v>
      </c>
      <c r="W42" t="s">
        <v>123</v>
      </c>
      <c r="X42" t="s">
        <v>123</v>
      </c>
      <c r="Y42" t="s">
        <v>123</v>
      </c>
      <c r="Z42" t="s">
        <v>123</v>
      </c>
      <c r="AA42" t="s">
        <v>123</v>
      </c>
      <c r="AB42" t="s">
        <v>324</v>
      </c>
      <c r="AC42" t="s">
        <v>135</v>
      </c>
      <c r="AD42" t="s">
        <v>123</v>
      </c>
      <c r="AE42" t="s">
        <v>123</v>
      </c>
      <c r="AF42" t="s">
        <v>321</v>
      </c>
      <c r="AG42" t="s">
        <v>322</v>
      </c>
      <c r="AH42" t="s">
        <v>123</v>
      </c>
      <c r="AI42" t="s">
        <v>128</v>
      </c>
      <c r="AJ42" t="s">
        <v>138</v>
      </c>
      <c r="AK42" t="s">
        <v>139</v>
      </c>
      <c r="AL42" t="s">
        <v>123</v>
      </c>
      <c r="AM42" t="s">
        <v>123</v>
      </c>
      <c r="AN42" t="s">
        <v>123</v>
      </c>
      <c r="AO42" t="s">
        <v>123</v>
      </c>
      <c r="AP42">
        <v>250</v>
      </c>
      <c r="AQ42">
        <v>50</v>
      </c>
      <c r="AR42">
        <v>10</v>
      </c>
      <c r="AS42" t="s">
        <v>123</v>
      </c>
      <c r="AT42" t="s">
        <v>123</v>
      </c>
      <c r="AU42" t="s">
        <v>123</v>
      </c>
      <c r="AV42" t="s">
        <v>123</v>
      </c>
      <c r="AW42" t="s">
        <v>123</v>
      </c>
      <c r="AX42" t="s">
        <v>123</v>
      </c>
      <c r="AY42" t="s">
        <v>123</v>
      </c>
      <c r="AZ42" t="s">
        <v>123</v>
      </c>
      <c r="BA42" t="s">
        <v>140</v>
      </c>
      <c r="BB42" t="s">
        <v>123</v>
      </c>
      <c r="BC42" t="s">
        <v>123</v>
      </c>
      <c r="BD42" t="s">
        <v>123</v>
      </c>
      <c r="BE42" t="s">
        <v>123</v>
      </c>
      <c r="BF42" t="s">
        <v>123</v>
      </c>
      <c r="BG42" t="s">
        <v>141</v>
      </c>
      <c r="BH42" t="s">
        <v>123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123</v>
      </c>
      <c r="BX42" t="s">
        <v>123</v>
      </c>
      <c r="BY42" s="1">
        <v>45965.244632719907</v>
      </c>
      <c r="BZ42">
        <v>1491</v>
      </c>
      <c r="CA42" t="s">
        <v>123</v>
      </c>
      <c r="CB42" t="s">
        <v>123</v>
      </c>
      <c r="CC42">
        <v>0</v>
      </c>
      <c r="CD42" t="s">
        <v>123</v>
      </c>
      <c r="CE42" t="s">
        <v>123</v>
      </c>
      <c r="CF42" t="s">
        <v>123</v>
      </c>
      <c r="CG42" t="s">
        <v>123</v>
      </c>
      <c r="CH42" t="s">
        <v>123</v>
      </c>
      <c r="CI42" t="s">
        <v>123</v>
      </c>
      <c r="CJ42" t="s">
        <v>123</v>
      </c>
      <c r="CK42">
        <v>1.2030000000000001E-2</v>
      </c>
      <c r="CL42">
        <v>1.204E-2</v>
      </c>
      <c r="CM42">
        <v>1.7829999999999999E-2</v>
      </c>
      <c r="CN42">
        <v>1.7850000000000001E-2</v>
      </c>
      <c r="CO42" t="s">
        <v>123</v>
      </c>
      <c r="CP42" t="s">
        <v>123</v>
      </c>
      <c r="CQ42">
        <v>8.1700000000000002E-3</v>
      </c>
      <c r="CR42">
        <v>8.1799999999999998E-3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152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  <c r="DN42" t="s">
        <v>123</v>
      </c>
      <c r="DO42" t="s">
        <v>123</v>
      </c>
      <c r="DP42" t="s">
        <v>123</v>
      </c>
      <c r="DQ42" t="s">
        <v>123</v>
      </c>
      <c r="DR42" t="s">
        <v>123</v>
      </c>
      <c r="DS42" t="s">
        <v>123</v>
      </c>
    </row>
    <row r="43" spans="1:123" x14ac:dyDescent="0.3">
      <c r="A43">
        <v>42</v>
      </c>
      <c r="B43" t="s">
        <v>123</v>
      </c>
      <c r="C43" t="s">
        <v>123</v>
      </c>
      <c r="D43" t="s">
        <v>325</v>
      </c>
      <c r="E43" t="s">
        <v>123</v>
      </c>
      <c r="F43" t="s">
        <v>125</v>
      </c>
      <c r="G43" t="s">
        <v>126</v>
      </c>
      <c r="H43" t="s">
        <v>127</v>
      </c>
      <c r="I43" t="s">
        <v>128</v>
      </c>
      <c r="J43" t="s">
        <v>123</v>
      </c>
      <c r="K43" t="s">
        <v>326</v>
      </c>
      <c r="L43" t="s">
        <v>130</v>
      </c>
      <c r="M43" t="s">
        <v>327</v>
      </c>
      <c r="N43" t="s">
        <v>158</v>
      </c>
      <c r="O43" t="s">
        <v>133</v>
      </c>
      <c r="P43" t="s">
        <v>123</v>
      </c>
      <c r="Q43" t="s">
        <v>123</v>
      </c>
      <c r="R43" t="s">
        <v>123</v>
      </c>
      <c r="S43" t="s">
        <v>123</v>
      </c>
      <c r="T43" s="1">
        <v>46211</v>
      </c>
      <c r="U43" t="s">
        <v>123</v>
      </c>
      <c r="V43" t="s">
        <v>123</v>
      </c>
      <c r="W43" t="s">
        <v>123</v>
      </c>
      <c r="X43" t="s">
        <v>123</v>
      </c>
      <c r="Y43" t="s">
        <v>123</v>
      </c>
      <c r="Z43" t="s">
        <v>123</v>
      </c>
      <c r="AA43" t="s">
        <v>123</v>
      </c>
      <c r="AB43" t="s">
        <v>328</v>
      </c>
      <c r="AC43" t="s">
        <v>135</v>
      </c>
      <c r="AD43" t="s">
        <v>123</v>
      </c>
      <c r="AE43" t="s">
        <v>123</v>
      </c>
      <c r="AF43" t="s">
        <v>329</v>
      </c>
      <c r="AG43" t="s">
        <v>330</v>
      </c>
      <c r="AH43" t="s">
        <v>123</v>
      </c>
      <c r="AI43" t="s">
        <v>128</v>
      </c>
      <c r="AJ43" t="s">
        <v>186</v>
      </c>
      <c r="AK43" t="s">
        <v>139</v>
      </c>
      <c r="AL43" t="s">
        <v>123</v>
      </c>
      <c r="AM43" t="s">
        <v>123</v>
      </c>
      <c r="AN43" t="s">
        <v>123</v>
      </c>
      <c r="AO43" t="s">
        <v>123</v>
      </c>
      <c r="AP43">
        <v>250</v>
      </c>
      <c r="AQ43">
        <v>50</v>
      </c>
      <c r="AR43">
        <v>10</v>
      </c>
      <c r="AS43" t="s">
        <v>123</v>
      </c>
      <c r="AT43" t="s">
        <v>123</v>
      </c>
      <c r="AU43" t="s">
        <v>123</v>
      </c>
      <c r="AV43" t="s">
        <v>123</v>
      </c>
      <c r="AW43" t="s">
        <v>123</v>
      </c>
      <c r="AX43" t="s">
        <v>123</v>
      </c>
      <c r="AY43" t="s">
        <v>123</v>
      </c>
      <c r="AZ43" t="s">
        <v>123</v>
      </c>
      <c r="BA43" t="s">
        <v>140</v>
      </c>
      <c r="BB43" t="s">
        <v>123</v>
      </c>
      <c r="BC43" t="s">
        <v>123</v>
      </c>
      <c r="BD43" t="s">
        <v>123</v>
      </c>
      <c r="BE43" t="s">
        <v>123</v>
      </c>
      <c r="BF43" t="s">
        <v>123</v>
      </c>
      <c r="BG43" t="s">
        <v>141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s="1">
        <v>45965.244680474534</v>
      </c>
      <c r="BZ43">
        <v>1537</v>
      </c>
      <c r="CA43" t="s">
        <v>123</v>
      </c>
      <c r="CB43" t="s">
        <v>123</v>
      </c>
      <c r="CC43">
        <v>0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>
        <v>1.0840000000000001E-2</v>
      </c>
      <c r="CL43">
        <v>1.0869999999999999E-2</v>
      </c>
      <c r="CM43">
        <v>1.3220000000000001E-2</v>
      </c>
      <c r="CN43">
        <v>1.3270000000000001E-2</v>
      </c>
      <c r="CO43" t="s">
        <v>123</v>
      </c>
      <c r="CP43" t="s">
        <v>123</v>
      </c>
      <c r="CQ43">
        <v>8.9800000000000001E-3</v>
      </c>
      <c r="CR43">
        <v>8.9999999999999993E-3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205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  <c r="DN43" t="s">
        <v>123</v>
      </c>
      <c r="DO43" t="s">
        <v>123</v>
      </c>
      <c r="DP43" t="s">
        <v>123</v>
      </c>
      <c r="DQ43" t="s">
        <v>123</v>
      </c>
      <c r="DR43" t="s">
        <v>123</v>
      </c>
      <c r="DS43" t="s">
        <v>123</v>
      </c>
    </row>
    <row r="44" spans="1:123" x14ac:dyDescent="0.3">
      <c r="A44">
        <v>43</v>
      </c>
      <c r="B44" t="s">
        <v>123</v>
      </c>
      <c r="C44" t="s">
        <v>123</v>
      </c>
      <c r="D44" t="s">
        <v>331</v>
      </c>
      <c r="E44" t="s">
        <v>123</v>
      </c>
      <c r="F44" t="s">
        <v>125</v>
      </c>
      <c r="G44" t="s">
        <v>126</v>
      </c>
      <c r="H44" t="s">
        <v>127</v>
      </c>
      <c r="I44" t="s">
        <v>128</v>
      </c>
      <c r="J44" t="s">
        <v>123</v>
      </c>
      <c r="K44" t="s">
        <v>326</v>
      </c>
      <c r="L44" t="s">
        <v>130</v>
      </c>
      <c r="M44" t="s">
        <v>327</v>
      </c>
      <c r="N44" t="s">
        <v>180</v>
      </c>
      <c r="O44" t="s">
        <v>133</v>
      </c>
      <c r="P44" t="s">
        <v>123</v>
      </c>
      <c r="Q44" t="s">
        <v>123</v>
      </c>
      <c r="R44" t="s">
        <v>123</v>
      </c>
      <c r="S44" t="s">
        <v>123</v>
      </c>
      <c r="T44" s="1">
        <v>46211</v>
      </c>
      <c r="U44" t="s">
        <v>123</v>
      </c>
      <c r="V44" t="s">
        <v>123</v>
      </c>
      <c r="W44" t="s">
        <v>123</v>
      </c>
      <c r="X44" t="s">
        <v>123</v>
      </c>
      <c r="Y44" t="s">
        <v>123</v>
      </c>
      <c r="Z44" t="s">
        <v>123</v>
      </c>
      <c r="AA44" t="s">
        <v>123</v>
      </c>
      <c r="AB44" t="s">
        <v>332</v>
      </c>
      <c r="AC44" t="s">
        <v>135</v>
      </c>
      <c r="AD44" t="s">
        <v>123</v>
      </c>
      <c r="AE44" t="s">
        <v>123</v>
      </c>
      <c r="AF44" t="s">
        <v>329</v>
      </c>
      <c r="AG44" t="s">
        <v>330</v>
      </c>
      <c r="AH44" t="s">
        <v>123</v>
      </c>
      <c r="AI44" t="s">
        <v>128</v>
      </c>
      <c r="AJ44" t="s">
        <v>186</v>
      </c>
      <c r="AK44" t="s">
        <v>139</v>
      </c>
      <c r="AL44" t="s">
        <v>123</v>
      </c>
      <c r="AM44" t="s">
        <v>123</v>
      </c>
      <c r="AN44" t="s">
        <v>123</v>
      </c>
      <c r="AO44" t="s">
        <v>123</v>
      </c>
      <c r="AP44">
        <v>250</v>
      </c>
      <c r="AQ44">
        <v>50</v>
      </c>
      <c r="AR44">
        <v>10</v>
      </c>
      <c r="AS44" t="s">
        <v>123</v>
      </c>
      <c r="AT44" t="s">
        <v>123</v>
      </c>
      <c r="AU44" t="s">
        <v>123</v>
      </c>
      <c r="AV44" t="s">
        <v>123</v>
      </c>
      <c r="AW44" t="s">
        <v>123</v>
      </c>
      <c r="AX44" t="s">
        <v>123</v>
      </c>
      <c r="AY44" t="s">
        <v>123</v>
      </c>
      <c r="AZ44" t="s">
        <v>123</v>
      </c>
      <c r="BA44" t="s">
        <v>140</v>
      </c>
      <c r="BB44" t="s">
        <v>123</v>
      </c>
      <c r="BC44" t="s">
        <v>123</v>
      </c>
      <c r="BD44" t="s">
        <v>123</v>
      </c>
      <c r="BE44" t="s">
        <v>123</v>
      </c>
      <c r="BF44" t="s">
        <v>123</v>
      </c>
      <c r="BG44" t="s">
        <v>141</v>
      </c>
      <c r="BH44" t="s">
        <v>123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123</v>
      </c>
      <c r="BX44" t="s">
        <v>123</v>
      </c>
      <c r="BY44" s="1">
        <v>45965.244728206017</v>
      </c>
      <c r="BZ44">
        <v>1537</v>
      </c>
      <c r="CA44" t="s">
        <v>123</v>
      </c>
      <c r="CB44" t="s">
        <v>123</v>
      </c>
      <c r="CC44">
        <v>0</v>
      </c>
      <c r="CD44" t="s">
        <v>123</v>
      </c>
      <c r="CE44" t="s">
        <v>123</v>
      </c>
      <c r="CF44" t="s">
        <v>123</v>
      </c>
      <c r="CG44" t="s">
        <v>123</v>
      </c>
      <c r="CH44" t="s">
        <v>123</v>
      </c>
      <c r="CI44" t="s">
        <v>123</v>
      </c>
      <c r="CJ44" t="s">
        <v>123</v>
      </c>
      <c r="CK44">
        <v>1.5980000000000001E-2</v>
      </c>
      <c r="CL44">
        <v>1.6029999999999999E-2</v>
      </c>
      <c r="CM44">
        <v>1.9539999999999998E-2</v>
      </c>
      <c r="CN44">
        <v>1.9609999999999999E-2</v>
      </c>
      <c r="CO44" t="s">
        <v>123</v>
      </c>
      <c r="CP44" t="s">
        <v>123</v>
      </c>
      <c r="CQ44">
        <v>1.3220000000000001E-2</v>
      </c>
      <c r="CR44">
        <v>1.3270000000000001E-2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205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  <c r="DN44" t="s">
        <v>123</v>
      </c>
      <c r="DO44" t="s">
        <v>123</v>
      </c>
      <c r="DP44" t="s">
        <v>123</v>
      </c>
      <c r="DQ44" t="s">
        <v>123</v>
      </c>
      <c r="DR44" t="s">
        <v>123</v>
      </c>
      <c r="DS44" t="s">
        <v>123</v>
      </c>
    </row>
    <row r="45" spans="1:123" x14ac:dyDescent="0.3">
      <c r="A45">
        <v>44</v>
      </c>
      <c r="B45" t="s">
        <v>123</v>
      </c>
      <c r="C45" t="s">
        <v>123</v>
      </c>
      <c r="D45" t="s">
        <v>333</v>
      </c>
      <c r="E45" t="s">
        <v>123</v>
      </c>
      <c r="F45" t="s">
        <v>125</v>
      </c>
      <c r="G45" t="s">
        <v>126</v>
      </c>
      <c r="H45" t="s">
        <v>127</v>
      </c>
      <c r="I45" t="s">
        <v>128</v>
      </c>
      <c r="J45" t="s">
        <v>123</v>
      </c>
      <c r="K45" t="s">
        <v>326</v>
      </c>
      <c r="L45" t="s">
        <v>130</v>
      </c>
      <c r="M45" t="s">
        <v>327</v>
      </c>
      <c r="N45" t="s">
        <v>158</v>
      </c>
      <c r="O45" t="s">
        <v>150</v>
      </c>
      <c r="P45" t="s">
        <v>123</v>
      </c>
      <c r="Q45" t="s">
        <v>123</v>
      </c>
      <c r="R45" t="s">
        <v>123</v>
      </c>
      <c r="S45" t="s">
        <v>123</v>
      </c>
      <c r="T45" s="1">
        <v>46576</v>
      </c>
      <c r="U45" t="s">
        <v>123</v>
      </c>
      <c r="V45" t="s">
        <v>123</v>
      </c>
      <c r="W45" t="s">
        <v>123</v>
      </c>
      <c r="X45" t="s">
        <v>123</v>
      </c>
      <c r="Y45" t="s">
        <v>123</v>
      </c>
      <c r="Z45" t="s">
        <v>123</v>
      </c>
      <c r="AA45" t="s">
        <v>123</v>
      </c>
      <c r="AB45" t="s">
        <v>334</v>
      </c>
      <c r="AC45" t="s">
        <v>135</v>
      </c>
      <c r="AD45" t="s">
        <v>123</v>
      </c>
      <c r="AE45" t="s">
        <v>123</v>
      </c>
      <c r="AF45" t="s">
        <v>329</v>
      </c>
      <c r="AG45" t="s">
        <v>330</v>
      </c>
      <c r="AH45" t="s">
        <v>123</v>
      </c>
      <c r="AI45" t="s">
        <v>128</v>
      </c>
      <c r="AJ45" t="s">
        <v>186</v>
      </c>
      <c r="AK45" t="s">
        <v>139</v>
      </c>
      <c r="AL45" t="s">
        <v>123</v>
      </c>
      <c r="AM45" t="s">
        <v>123</v>
      </c>
      <c r="AN45" t="s">
        <v>123</v>
      </c>
      <c r="AO45" t="s">
        <v>123</v>
      </c>
      <c r="AP45">
        <v>250</v>
      </c>
      <c r="AQ45">
        <v>50</v>
      </c>
      <c r="AR45">
        <v>10</v>
      </c>
      <c r="AS45" t="s">
        <v>123</v>
      </c>
      <c r="AT45" t="s">
        <v>123</v>
      </c>
      <c r="AU45" t="s">
        <v>123</v>
      </c>
      <c r="AV45" t="s">
        <v>123</v>
      </c>
      <c r="AW45" t="s">
        <v>123</v>
      </c>
      <c r="AX45" t="s">
        <v>123</v>
      </c>
      <c r="AY45" t="s">
        <v>123</v>
      </c>
      <c r="AZ45" t="s">
        <v>123</v>
      </c>
      <c r="BA45" t="s">
        <v>140</v>
      </c>
      <c r="BB45" t="s">
        <v>123</v>
      </c>
      <c r="BC45" t="s">
        <v>123</v>
      </c>
      <c r="BD45" t="s">
        <v>123</v>
      </c>
      <c r="BE45" t="s">
        <v>123</v>
      </c>
      <c r="BF45" t="s">
        <v>123</v>
      </c>
      <c r="BG45" t="s">
        <v>141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s="1">
        <v>45965.244775347222</v>
      </c>
      <c r="BZ45">
        <v>1537</v>
      </c>
      <c r="CA45" t="s">
        <v>123</v>
      </c>
      <c r="CB45" t="s">
        <v>123</v>
      </c>
      <c r="CC45">
        <v>0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>
        <v>1.059E-2</v>
      </c>
      <c r="CL45">
        <v>1.0619999999999999E-2</v>
      </c>
      <c r="CM45">
        <v>1.2670000000000001E-2</v>
      </c>
      <c r="CN45">
        <v>1.2710000000000001E-2</v>
      </c>
      <c r="CO45" t="s">
        <v>123</v>
      </c>
      <c r="CP45" t="s">
        <v>123</v>
      </c>
      <c r="CQ45">
        <v>8.8599999999999998E-3</v>
      </c>
      <c r="CR45">
        <v>8.8800000000000007E-3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205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  <c r="DN45" t="s">
        <v>123</v>
      </c>
      <c r="DO45" t="s">
        <v>123</v>
      </c>
      <c r="DP45" t="s">
        <v>123</v>
      </c>
      <c r="DQ45" t="s">
        <v>123</v>
      </c>
      <c r="DR45" t="s">
        <v>123</v>
      </c>
      <c r="DS45" t="s">
        <v>123</v>
      </c>
    </row>
    <row r="46" spans="1:123" x14ac:dyDescent="0.3">
      <c r="A46">
        <v>45</v>
      </c>
      <c r="B46" t="s">
        <v>123</v>
      </c>
      <c r="C46" t="s">
        <v>123</v>
      </c>
      <c r="D46" t="s">
        <v>335</v>
      </c>
      <c r="E46" t="s">
        <v>123</v>
      </c>
      <c r="F46" t="s">
        <v>125</v>
      </c>
      <c r="G46" t="s">
        <v>126</v>
      </c>
      <c r="H46" t="s">
        <v>127</v>
      </c>
      <c r="I46" t="s">
        <v>128</v>
      </c>
      <c r="J46" t="s">
        <v>123</v>
      </c>
      <c r="K46" t="s">
        <v>326</v>
      </c>
      <c r="L46" t="s">
        <v>130</v>
      </c>
      <c r="M46" t="s">
        <v>327</v>
      </c>
      <c r="N46" t="s">
        <v>158</v>
      </c>
      <c r="O46" t="s">
        <v>159</v>
      </c>
      <c r="P46" t="s">
        <v>123</v>
      </c>
      <c r="Q46" t="s">
        <v>123</v>
      </c>
      <c r="R46" t="s">
        <v>123</v>
      </c>
      <c r="S46" t="s">
        <v>123</v>
      </c>
      <c r="T46" s="1">
        <v>46941</v>
      </c>
      <c r="U46" t="s">
        <v>123</v>
      </c>
      <c r="V46" t="s">
        <v>123</v>
      </c>
      <c r="W46" t="s">
        <v>123</v>
      </c>
      <c r="X46" t="s">
        <v>123</v>
      </c>
      <c r="Y46" t="s">
        <v>123</v>
      </c>
      <c r="Z46" t="s">
        <v>123</v>
      </c>
      <c r="AA46" t="s">
        <v>123</v>
      </c>
      <c r="AB46" t="s">
        <v>336</v>
      </c>
      <c r="AC46" t="s">
        <v>135</v>
      </c>
      <c r="AD46" t="s">
        <v>123</v>
      </c>
      <c r="AE46" t="s">
        <v>123</v>
      </c>
      <c r="AF46" t="s">
        <v>329</v>
      </c>
      <c r="AG46" t="s">
        <v>330</v>
      </c>
      <c r="AH46" t="s">
        <v>123</v>
      </c>
      <c r="AI46" t="s">
        <v>128</v>
      </c>
      <c r="AJ46" t="s">
        <v>186</v>
      </c>
      <c r="AK46" t="s">
        <v>139</v>
      </c>
      <c r="AL46" t="s">
        <v>123</v>
      </c>
      <c r="AM46" t="s">
        <v>123</v>
      </c>
      <c r="AN46" t="s">
        <v>123</v>
      </c>
      <c r="AO46" t="s">
        <v>123</v>
      </c>
      <c r="AP46">
        <v>250</v>
      </c>
      <c r="AQ46">
        <v>50</v>
      </c>
      <c r="AR46">
        <v>10</v>
      </c>
      <c r="AS46" t="s">
        <v>123</v>
      </c>
      <c r="AT46" t="s">
        <v>123</v>
      </c>
      <c r="AU46" t="s">
        <v>123</v>
      </c>
      <c r="AV46" t="s">
        <v>123</v>
      </c>
      <c r="AW46" t="s">
        <v>123</v>
      </c>
      <c r="AX46" t="s">
        <v>123</v>
      </c>
      <c r="AY46" t="s">
        <v>123</v>
      </c>
      <c r="AZ46" t="s">
        <v>123</v>
      </c>
      <c r="BA46" t="s">
        <v>140</v>
      </c>
      <c r="BB46" t="s">
        <v>123</v>
      </c>
      <c r="BC46" t="s">
        <v>123</v>
      </c>
      <c r="BD46" t="s">
        <v>123</v>
      </c>
      <c r="BE46" t="s">
        <v>123</v>
      </c>
      <c r="BF46" t="s">
        <v>123</v>
      </c>
      <c r="BG46" t="s">
        <v>141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s="1">
        <v>45965.244821296299</v>
      </c>
      <c r="BZ46">
        <v>1537</v>
      </c>
      <c r="CA46" t="s">
        <v>123</v>
      </c>
      <c r="CB46" t="s">
        <v>123</v>
      </c>
      <c r="CC46">
        <v>0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>
        <v>9.0100000000000006E-3</v>
      </c>
      <c r="CL46">
        <v>9.0299999999999998E-3</v>
      </c>
      <c r="CM46">
        <v>1.052E-2</v>
      </c>
      <c r="CN46">
        <v>1.055E-2</v>
      </c>
      <c r="CO46" t="s">
        <v>123</v>
      </c>
      <c r="CP46" t="s">
        <v>123</v>
      </c>
      <c r="CQ46">
        <v>7.6800000000000002E-3</v>
      </c>
      <c r="CR46">
        <v>7.7000000000000002E-3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205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  <c r="DN46" t="s">
        <v>123</v>
      </c>
      <c r="DO46" t="s">
        <v>123</v>
      </c>
      <c r="DP46" t="s">
        <v>123</v>
      </c>
      <c r="DQ46" t="s">
        <v>123</v>
      </c>
      <c r="DR46" t="s">
        <v>123</v>
      </c>
      <c r="DS46" t="s">
        <v>123</v>
      </c>
    </row>
    <row r="47" spans="1:123" x14ac:dyDescent="0.3">
      <c r="A47">
        <v>46</v>
      </c>
      <c r="B47" t="s">
        <v>123</v>
      </c>
      <c r="C47" t="s">
        <v>123</v>
      </c>
      <c r="D47" t="s">
        <v>337</v>
      </c>
      <c r="E47" t="s">
        <v>123</v>
      </c>
      <c r="F47" t="s">
        <v>125</v>
      </c>
      <c r="G47" t="s">
        <v>126</v>
      </c>
      <c r="H47" t="s">
        <v>127</v>
      </c>
      <c r="I47" t="s">
        <v>123</v>
      </c>
      <c r="J47" t="s">
        <v>123</v>
      </c>
      <c r="K47" t="s">
        <v>123</v>
      </c>
      <c r="L47" t="s">
        <v>130</v>
      </c>
      <c r="M47" t="s">
        <v>295</v>
      </c>
      <c r="N47">
        <v>11</v>
      </c>
      <c r="O47" t="s">
        <v>338</v>
      </c>
      <c r="P47" t="s">
        <v>123</v>
      </c>
      <c r="Q47" t="s">
        <v>123</v>
      </c>
      <c r="R47" t="s">
        <v>123</v>
      </c>
      <c r="S47" t="s">
        <v>123</v>
      </c>
      <c r="T47" s="1">
        <v>46179</v>
      </c>
      <c r="U47" t="s">
        <v>123</v>
      </c>
      <c r="V47" t="s">
        <v>123</v>
      </c>
      <c r="W47" t="s">
        <v>123</v>
      </c>
      <c r="X47" t="s">
        <v>123</v>
      </c>
      <c r="Y47" t="s">
        <v>123</v>
      </c>
      <c r="Z47" t="s">
        <v>123</v>
      </c>
      <c r="AA47" t="s">
        <v>123</v>
      </c>
      <c r="AB47" t="s">
        <v>339</v>
      </c>
      <c r="AC47" t="s">
        <v>135</v>
      </c>
      <c r="AD47" t="s">
        <v>123</v>
      </c>
      <c r="AE47" t="s">
        <v>123</v>
      </c>
      <c r="AF47" t="s">
        <v>123</v>
      </c>
      <c r="AG47" t="s">
        <v>123</v>
      </c>
      <c r="AH47" t="s">
        <v>123</v>
      </c>
      <c r="AI47" t="s">
        <v>123</v>
      </c>
      <c r="AJ47" t="s">
        <v>123</v>
      </c>
      <c r="AK47" t="s">
        <v>123</v>
      </c>
      <c r="AL47" t="s">
        <v>123</v>
      </c>
      <c r="AM47" t="s">
        <v>123</v>
      </c>
      <c r="AN47" t="s">
        <v>123</v>
      </c>
      <c r="AO47" t="s">
        <v>123</v>
      </c>
      <c r="AP47">
        <v>250</v>
      </c>
      <c r="AQ47">
        <v>50</v>
      </c>
      <c r="AR47">
        <v>10</v>
      </c>
      <c r="AS47" t="s">
        <v>123</v>
      </c>
      <c r="AT47" t="s">
        <v>123</v>
      </c>
      <c r="AU47" t="s">
        <v>123</v>
      </c>
      <c r="AV47" t="s">
        <v>123</v>
      </c>
      <c r="AW47" t="s">
        <v>123</v>
      </c>
      <c r="AX47" t="s">
        <v>123</v>
      </c>
      <c r="AY47" t="s">
        <v>123</v>
      </c>
      <c r="AZ47" t="s">
        <v>123</v>
      </c>
      <c r="BA47" t="s">
        <v>123</v>
      </c>
      <c r="BB47" t="s">
        <v>123</v>
      </c>
      <c r="BC47" t="s">
        <v>123</v>
      </c>
      <c r="BD47" t="s">
        <v>123</v>
      </c>
      <c r="BE47" t="s">
        <v>123</v>
      </c>
      <c r="BF47" t="s">
        <v>123</v>
      </c>
      <c r="BG47" t="s">
        <v>123</v>
      </c>
      <c r="BH47" t="s">
        <v>123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123</v>
      </c>
      <c r="BX47" t="s">
        <v>123</v>
      </c>
      <c r="BY47" s="1">
        <v>45965.244867395835</v>
      </c>
      <c r="BZ47">
        <v>1537</v>
      </c>
      <c r="CA47" t="s">
        <v>123</v>
      </c>
      <c r="CB47" t="s">
        <v>123</v>
      </c>
      <c r="CC47">
        <v>0</v>
      </c>
      <c r="CD47" t="s">
        <v>123</v>
      </c>
      <c r="CE47" t="s">
        <v>123</v>
      </c>
      <c r="CF47" t="s">
        <v>123</v>
      </c>
      <c r="CG47" t="s">
        <v>123</v>
      </c>
      <c r="CH47" t="s">
        <v>123</v>
      </c>
      <c r="CI47" t="s">
        <v>123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  <c r="DN47" t="s">
        <v>123</v>
      </c>
      <c r="DO47" t="s">
        <v>123</v>
      </c>
      <c r="DP47" t="s">
        <v>123</v>
      </c>
      <c r="DQ47" t="s">
        <v>123</v>
      </c>
      <c r="DR47" t="s">
        <v>123</v>
      </c>
      <c r="DS47" t="s">
        <v>123</v>
      </c>
    </row>
    <row r="48" spans="1:123" x14ac:dyDescent="0.3">
      <c r="A48">
        <v>47</v>
      </c>
      <c r="B48" t="s">
        <v>123</v>
      </c>
      <c r="C48" t="s">
        <v>123</v>
      </c>
      <c r="D48" t="s">
        <v>340</v>
      </c>
      <c r="E48" t="s">
        <v>123</v>
      </c>
      <c r="F48" t="s">
        <v>125</v>
      </c>
      <c r="G48" t="s">
        <v>126</v>
      </c>
      <c r="H48" t="s">
        <v>127</v>
      </c>
      <c r="I48" t="s">
        <v>123</v>
      </c>
      <c r="J48" t="s">
        <v>123</v>
      </c>
      <c r="K48" t="s">
        <v>123</v>
      </c>
      <c r="L48" t="s">
        <v>130</v>
      </c>
      <c r="M48" t="s">
        <v>295</v>
      </c>
      <c r="N48">
        <v>12</v>
      </c>
      <c r="O48" t="s">
        <v>338</v>
      </c>
      <c r="P48" t="s">
        <v>123</v>
      </c>
      <c r="Q48" t="s">
        <v>123</v>
      </c>
      <c r="R48" t="s">
        <v>123</v>
      </c>
      <c r="S48" t="s">
        <v>123</v>
      </c>
      <c r="T48" s="1">
        <v>46179</v>
      </c>
      <c r="U48" t="s">
        <v>123</v>
      </c>
      <c r="V48" t="s">
        <v>123</v>
      </c>
      <c r="W48" t="s">
        <v>123</v>
      </c>
      <c r="X48" t="s">
        <v>123</v>
      </c>
      <c r="Y48" t="s">
        <v>123</v>
      </c>
      <c r="Z48" t="s">
        <v>123</v>
      </c>
      <c r="AA48" t="s">
        <v>123</v>
      </c>
      <c r="AB48" t="s">
        <v>341</v>
      </c>
      <c r="AC48" t="s">
        <v>135</v>
      </c>
      <c r="AD48" t="s">
        <v>123</v>
      </c>
      <c r="AE48" t="s">
        <v>123</v>
      </c>
      <c r="AF48" t="s">
        <v>123</v>
      </c>
      <c r="AG48" t="s">
        <v>123</v>
      </c>
      <c r="AH48" t="s">
        <v>123</v>
      </c>
      <c r="AI48" t="s">
        <v>123</v>
      </c>
      <c r="AJ48" t="s">
        <v>123</v>
      </c>
      <c r="AK48" t="s">
        <v>123</v>
      </c>
      <c r="AL48" t="s">
        <v>123</v>
      </c>
      <c r="AM48" t="s">
        <v>123</v>
      </c>
      <c r="AN48" t="s">
        <v>123</v>
      </c>
      <c r="AO48" t="s">
        <v>123</v>
      </c>
      <c r="AP48">
        <v>250</v>
      </c>
      <c r="AQ48">
        <v>50</v>
      </c>
      <c r="AR48">
        <v>10</v>
      </c>
      <c r="AS48" t="s">
        <v>123</v>
      </c>
      <c r="AT48" t="s">
        <v>123</v>
      </c>
      <c r="AU48" t="s">
        <v>123</v>
      </c>
      <c r="AV48" t="s">
        <v>123</v>
      </c>
      <c r="AW48" t="s">
        <v>123</v>
      </c>
      <c r="AX48" t="s">
        <v>123</v>
      </c>
      <c r="AY48" t="s">
        <v>123</v>
      </c>
      <c r="AZ48" t="s">
        <v>123</v>
      </c>
      <c r="BA48" t="s">
        <v>123</v>
      </c>
      <c r="BB48" t="s">
        <v>123</v>
      </c>
      <c r="BC48" t="s">
        <v>123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s="1">
        <v>45965.244951886576</v>
      </c>
      <c r="BZ48">
        <v>1537</v>
      </c>
      <c r="CA48" t="s">
        <v>123</v>
      </c>
      <c r="CB48" t="s">
        <v>123</v>
      </c>
      <c r="CC48">
        <v>0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  <c r="DN48" t="s">
        <v>123</v>
      </c>
      <c r="DO48" t="s">
        <v>123</v>
      </c>
      <c r="DP48" t="s">
        <v>123</v>
      </c>
      <c r="DQ48" t="s">
        <v>123</v>
      </c>
      <c r="DR48" t="s">
        <v>123</v>
      </c>
      <c r="DS48" t="s">
        <v>123</v>
      </c>
    </row>
    <row r="49" spans="1:123" x14ac:dyDescent="0.3">
      <c r="A49">
        <v>48</v>
      </c>
      <c r="B49" t="s">
        <v>123</v>
      </c>
      <c r="C49" t="s">
        <v>123</v>
      </c>
      <c r="D49" t="s">
        <v>342</v>
      </c>
      <c r="E49" t="s">
        <v>123</v>
      </c>
      <c r="F49" t="s">
        <v>125</v>
      </c>
      <c r="G49" t="s">
        <v>126</v>
      </c>
      <c r="H49" t="s">
        <v>127</v>
      </c>
      <c r="I49" t="s">
        <v>123</v>
      </c>
      <c r="J49" t="s">
        <v>123</v>
      </c>
      <c r="K49" t="s">
        <v>123</v>
      </c>
      <c r="L49" t="s">
        <v>130</v>
      </c>
      <c r="M49" t="s">
        <v>295</v>
      </c>
      <c r="N49">
        <v>13</v>
      </c>
      <c r="O49" t="s">
        <v>338</v>
      </c>
      <c r="P49" t="s">
        <v>123</v>
      </c>
      <c r="Q49" t="s">
        <v>123</v>
      </c>
      <c r="R49" t="s">
        <v>123</v>
      </c>
      <c r="S49" t="s">
        <v>123</v>
      </c>
      <c r="T49" s="1">
        <v>46179</v>
      </c>
      <c r="U49" t="s">
        <v>123</v>
      </c>
      <c r="V49" t="s">
        <v>123</v>
      </c>
      <c r="W49" t="s">
        <v>123</v>
      </c>
      <c r="X49" t="s">
        <v>123</v>
      </c>
      <c r="Y49" t="s">
        <v>123</v>
      </c>
      <c r="Z49" t="s">
        <v>123</v>
      </c>
      <c r="AA49" t="s">
        <v>123</v>
      </c>
      <c r="AB49" t="s">
        <v>343</v>
      </c>
      <c r="AC49" t="s">
        <v>135</v>
      </c>
      <c r="AD49" t="s">
        <v>123</v>
      </c>
      <c r="AE49" t="s">
        <v>123</v>
      </c>
      <c r="AF49" t="s">
        <v>123</v>
      </c>
      <c r="AG49" t="s">
        <v>123</v>
      </c>
      <c r="AH49" t="s">
        <v>123</v>
      </c>
      <c r="AI49" t="s">
        <v>123</v>
      </c>
      <c r="AJ49" t="s">
        <v>123</v>
      </c>
      <c r="AK49" t="s">
        <v>123</v>
      </c>
      <c r="AL49" t="s">
        <v>123</v>
      </c>
      <c r="AM49" t="s">
        <v>123</v>
      </c>
      <c r="AN49" t="s">
        <v>123</v>
      </c>
      <c r="AO49" t="s">
        <v>123</v>
      </c>
      <c r="AP49">
        <v>250</v>
      </c>
      <c r="AQ49">
        <v>50</v>
      </c>
      <c r="AR49">
        <v>10</v>
      </c>
      <c r="AS49" t="s">
        <v>123</v>
      </c>
      <c r="AT49" t="s">
        <v>123</v>
      </c>
      <c r="AU49" t="s">
        <v>123</v>
      </c>
      <c r="AV49" t="s">
        <v>123</v>
      </c>
      <c r="AW49" t="s">
        <v>123</v>
      </c>
      <c r="AX49" t="s">
        <v>123</v>
      </c>
      <c r="AY49" t="s">
        <v>123</v>
      </c>
      <c r="AZ49" t="s">
        <v>123</v>
      </c>
      <c r="BA49" t="s">
        <v>123</v>
      </c>
      <c r="BB49" t="s">
        <v>123</v>
      </c>
      <c r="BC49" t="s">
        <v>123</v>
      </c>
      <c r="BD49" t="s">
        <v>123</v>
      </c>
      <c r="BE49" t="s">
        <v>123</v>
      </c>
      <c r="BF49" t="s">
        <v>123</v>
      </c>
      <c r="BG49" t="s">
        <v>123</v>
      </c>
      <c r="BH49" t="s">
        <v>123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123</v>
      </c>
      <c r="BX49" t="s">
        <v>123</v>
      </c>
      <c r="BY49" s="1">
        <v>45965.245034293985</v>
      </c>
      <c r="BZ49">
        <v>1537</v>
      </c>
      <c r="CA49" t="s">
        <v>123</v>
      </c>
      <c r="CB49" t="s">
        <v>123</v>
      </c>
      <c r="CC49">
        <v>0</v>
      </c>
      <c r="CD49" t="s">
        <v>123</v>
      </c>
      <c r="CE49" t="s">
        <v>123</v>
      </c>
      <c r="CF49" t="s">
        <v>123</v>
      </c>
      <c r="CG49" t="s">
        <v>123</v>
      </c>
      <c r="CH49" t="s">
        <v>123</v>
      </c>
      <c r="CI49" t="s">
        <v>123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  <c r="DN49" t="s">
        <v>123</v>
      </c>
      <c r="DO49" t="s">
        <v>123</v>
      </c>
      <c r="DP49" t="s">
        <v>123</v>
      </c>
      <c r="DQ49" t="s">
        <v>123</v>
      </c>
      <c r="DR49" t="s">
        <v>123</v>
      </c>
      <c r="DS49" t="s">
        <v>123</v>
      </c>
    </row>
    <row r="50" spans="1:123" x14ac:dyDescent="0.3">
      <c r="A50">
        <v>49</v>
      </c>
      <c r="B50" t="s">
        <v>123</v>
      </c>
      <c r="C50" t="s">
        <v>123</v>
      </c>
      <c r="D50" t="s">
        <v>344</v>
      </c>
      <c r="E50" t="s">
        <v>123</v>
      </c>
      <c r="F50" t="s">
        <v>125</v>
      </c>
      <c r="G50" t="s">
        <v>126</v>
      </c>
      <c r="H50" t="s">
        <v>127</v>
      </c>
      <c r="I50" t="s">
        <v>128</v>
      </c>
      <c r="J50" t="s">
        <v>123</v>
      </c>
      <c r="K50" t="s">
        <v>294</v>
      </c>
      <c r="L50" t="s">
        <v>130</v>
      </c>
      <c r="M50" t="s">
        <v>295</v>
      </c>
      <c r="N50">
        <v>14</v>
      </c>
      <c r="O50" t="s">
        <v>338</v>
      </c>
      <c r="P50" t="s">
        <v>123</v>
      </c>
      <c r="Q50" t="s">
        <v>123</v>
      </c>
      <c r="R50" t="s">
        <v>123</v>
      </c>
      <c r="S50" t="s">
        <v>123</v>
      </c>
      <c r="T50" s="1">
        <v>46179</v>
      </c>
      <c r="U50" t="s">
        <v>123</v>
      </c>
      <c r="V50" t="s">
        <v>123</v>
      </c>
      <c r="W50" t="s">
        <v>123</v>
      </c>
      <c r="X50" t="s">
        <v>123</v>
      </c>
      <c r="Y50" t="s">
        <v>123</v>
      </c>
      <c r="Z50" t="s">
        <v>123</v>
      </c>
      <c r="AA50" t="s">
        <v>123</v>
      </c>
      <c r="AB50" t="s">
        <v>345</v>
      </c>
      <c r="AC50" t="s">
        <v>135</v>
      </c>
      <c r="AD50" t="s">
        <v>123</v>
      </c>
      <c r="AE50" t="s">
        <v>123</v>
      </c>
      <c r="AF50" t="s">
        <v>136</v>
      </c>
      <c r="AG50" t="s">
        <v>137</v>
      </c>
      <c r="AH50" t="s">
        <v>123</v>
      </c>
      <c r="AI50" t="s">
        <v>128</v>
      </c>
      <c r="AJ50" t="s">
        <v>186</v>
      </c>
      <c r="AK50" t="s">
        <v>139</v>
      </c>
      <c r="AL50" t="s">
        <v>123</v>
      </c>
      <c r="AM50" t="s">
        <v>123</v>
      </c>
      <c r="AN50" t="s">
        <v>123</v>
      </c>
      <c r="AO50" t="s">
        <v>123</v>
      </c>
      <c r="AP50">
        <v>250</v>
      </c>
      <c r="AQ50">
        <v>50</v>
      </c>
      <c r="AR50">
        <v>10</v>
      </c>
      <c r="AS50" t="s">
        <v>123</v>
      </c>
      <c r="AT50" t="s">
        <v>123</v>
      </c>
      <c r="AU50" t="s">
        <v>123</v>
      </c>
      <c r="AV50" t="s">
        <v>123</v>
      </c>
      <c r="AW50" t="s">
        <v>123</v>
      </c>
      <c r="AX50" t="s">
        <v>123</v>
      </c>
      <c r="AY50" t="s">
        <v>123</v>
      </c>
      <c r="AZ50" t="s">
        <v>123</v>
      </c>
      <c r="BA50" t="s">
        <v>140</v>
      </c>
      <c r="BB50" t="s">
        <v>123</v>
      </c>
      <c r="BC50" t="s">
        <v>123</v>
      </c>
      <c r="BD50" t="s">
        <v>123</v>
      </c>
      <c r="BE50" t="s">
        <v>123</v>
      </c>
      <c r="BF50" t="s">
        <v>123</v>
      </c>
      <c r="BG50" t="s">
        <v>141</v>
      </c>
      <c r="BH50" t="s">
        <v>123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123</v>
      </c>
      <c r="BX50" t="s">
        <v>123</v>
      </c>
      <c r="BY50" s="1">
        <v>45965.245105868053</v>
      </c>
      <c r="BZ50">
        <v>1477</v>
      </c>
      <c r="CA50" t="s">
        <v>123</v>
      </c>
      <c r="CB50" t="s">
        <v>123</v>
      </c>
      <c r="CC50">
        <v>0</v>
      </c>
      <c r="CD50" t="s">
        <v>123</v>
      </c>
      <c r="CE50" t="s">
        <v>123</v>
      </c>
      <c r="CF50" t="s">
        <v>123</v>
      </c>
      <c r="CG50" t="s">
        <v>123</v>
      </c>
      <c r="CH50" t="s">
        <v>123</v>
      </c>
      <c r="CI50" t="s">
        <v>123</v>
      </c>
      <c r="CJ50" t="s">
        <v>123</v>
      </c>
      <c r="CK50">
        <v>6.1000000000000004E-3</v>
      </c>
      <c r="CL50">
        <v>7.7000000000000002E-3</v>
      </c>
      <c r="CM50">
        <v>7.7000000000000002E-3</v>
      </c>
      <c r="CN50">
        <v>9.4000000000000004E-3</v>
      </c>
      <c r="CO50" t="s">
        <v>123</v>
      </c>
      <c r="CP50" t="s">
        <v>123</v>
      </c>
      <c r="CQ50">
        <v>4.8999999999999998E-3</v>
      </c>
      <c r="CR50">
        <v>6.3E-3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298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  <c r="DN50" t="s">
        <v>123</v>
      </c>
      <c r="DO50" t="s">
        <v>123</v>
      </c>
      <c r="DP50" t="s">
        <v>123</v>
      </c>
      <c r="DQ50" t="s">
        <v>123</v>
      </c>
      <c r="DR50" t="s">
        <v>123</v>
      </c>
      <c r="DS50" t="s">
        <v>123</v>
      </c>
    </row>
    <row r="51" spans="1:123" x14ac:dyDescent="0.3">
      <c r="A51">
        <v>50</v>
      </c>
      <c r="B51" t="s">
        <v>123</v>
      </c>
      <c r="C51" t="s">
        <v>123</v>
      </c>
      <c r="D51" t="s">
        <v>346</v>
      </c>
      <c r="E51" t="s">
        <v>123</v>
      </c>
      <c r="F51" t="s">
        <v>125</v>
      </c>
      <c r="G51" t="s">
        <v>126</v>
      </c>
      <c r="H51" t="s">
        <v>127</v>
      </c>
      <c r="I51" t="s">
        <v>128</v>
      </c>
      <c r="J51" t="s">
        <v>123</v>
      </c>
      <c r="K51" t="s">
        <v>302</v>
      </c>
      <c r="L51" t="s">
        <v>130</v>
      </c>
      <c r="M51" t="s">
        <v>303</v>
      </c>
      <c r="N51">
        <v>13</v>
      </c>
      <c r="O51" t="s">
        <v>347</v>
      </c>
      <c r="P51" t="s">
        <v>123</v>
      </c>
      <c r="Q51" t="s">
        <v>123</v>
      </c>
      <c r="R51" t="s">
        <v>123</v>
      </c>
      <c r="S51" t="s">
        <v>123</v>
      </c>
      <c r="T51" s="1">
        <v>46544</v>
      </c>
      <c r="U51" t="s">
        <v>123</v>
      </c>
      <c r="V51" t="s">
        <v>123</v>
      </c>
      <c r="W51" t="s">
        <v>123</v>
      </c>
      <c r="X51" t="s">
        <v>123</v>
      </c>
      <c r="Y51" t="s">
        <v>123</v>
      </c>
      <c r="Z51" t="s">
        <v>123</v>
      </c>
      <c r="AA51" t="s">
        <v>123</v>
      </c>
      <c r="AB51" t="s">
        <v>348</v>
      </c>
      <c r="AC51" t="s">
        <v>135</v>
      </c>
      <c r="AD51" t="s">
        <v>123</v>
      </c>
      <c r="AE51" t="s">
        <v>123</v>
      </c>
      <c r="AF51" t="s">
        <v>136</v>
      </c>
      <c r="AG51" t="s">
        <v>137</v>
      </c>
      <c r="AH51" t="s">
        <v>123</v>
      </c>
      <c r="AI51" t="s">
        <v>128</v>
      </c>
      <c r="AJ51" t="s">
        <v>186</v>
      </c>
      <c r="AK51" t="s">
        <v>139</v>
      </c>
      <c r="AL51" t="s">
        <v>123</v>
      </c>
      <c r="AM51" t="s">
        <v>123</v>
      </c>
      <c r="AN51" t="s">
        <v>123</v>
      </c>
      <c r="AO51" t="s">
        <v>123</v>
      </c>
      <c r="AP51">
        <v>250</v>
      </c>
      <c r="AQ51">
        <v>50</v>
      </c>
      <c r="AR51">
        <v>10</v>
      </c>
      <c r="AS51" t="s">
        <v>123</v>
      </c>
      <c r="AT51" t="s">
        <v>123</v>
      </c>
      <c r="AU51" t="s">
        <v>123</v>
      </c>
      <c r="AV51" t="s">
        <v>123</v>
      </c>
      <c r="AW51" t="s">
        <v>123</v>
      </c>
      <c r="AX51" t="s">
        <v>123</v>
      </c>
      <c r="AY51" t="s">
        <v>123</v>
      </c>
      <c r="AZ51" t="s">
        <v>123</v>
      </c>
      <c r="BA51" t="s">
        <v>140</v>
      </c>
      <c r="BB51" t="s">
        <v>123</v>
      </c>
      <c r="BC51" t="s">
        <v>123</v>
      </c>
      <c r="BD51" t="s">
        <v>123</v>
      </c>
      <c r="BE51" t="s">
        <v>123</v>
      </c>
      <c r="BF51" t="s">
        <v>123</v>
      </c>
      <c r="BG51" t="s">
        <v>141</v>
      </c>
      <c r="BH51" t="s">
        <v>123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123</v>
      </c>
      <c r="BX51" t="s">
        <v>123</v>
      </c>
      <c r="BY51" s="1">
        <v>45965.245180358797</v>
      </c>
      <c r="BZ51">
        <v>1477</v>
      </c>
      <c r="CA51" t="s">
        <v>123</v>
      </c>
      <c r="CB51" t="s">
        <v>123</v>
      </c>
      <c r="CC51">
        <v>0</v>
      </c>
      <c r="CD51" t="s">
        <v>123</v>
      </c>
      <c r="CE51" t="s">
        <v>123</v>
      </c>
      <c r="CF51" t="s">
        <v>123</v>
      </c>
      <c r="CG51" t="s">
        <v>123</v>
      </c>
      <c r="CH51" t="s">
        <v>123</v>
      </c>
      <c r="CI51" t="s">
        <v>123</v>
      </c>
      <c r="CJ51" t="s">
        <v>123</v>
      </c>
      <c r="CK51">
        <v>2.1100000000000001E-2</v>
      </c>
      <c r="CL51">
        <v>2.5100000000000001E-2</v>
      </c>
      <c r="CM51">
        <v>3.6299999999999999E-2</v>
      </c>
      <c r="CN51">
        <v>4.1599999999999998E-2</v>
      </c>
      <c r="CO51" t="s">
        <v>123</v>
      </c>
      <c r="CP51" t="s">
        <v>123</v>
      </c>
      <c r="CQ51">
        <v>1.18E-2</v>
      </c>
      <c r="CR51">
        <v>1.52E-2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298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  <c r="DN51" t="s">
        <v>123</v>
      </c>
      <c r="DO51" t="s">
        <v>123</v>
      </c>
      <c r="DP51" t="s">
        <v>123</v>
      </c>
      <c r="DQ51" t="s">
        <v>123</v>
      </c>
      <c r="DR51" t="s">
        <v>123</v>
      </c>
      <c r="DS51" t="s">
        <v>123</v>
      </c>
    </row>
    <row r="52" spans="1:123" x14ac:dyDescent="0.3">
      <c r="A52">
        <v>51</v>
      </c>
      <c r="B52" t="s">
        <v>123</v>
      </c>
      <c r="C52" t="s">
        <v>123</v>
      </c>
      <c r="D52" t="s">
        <v>349</v>
      </c>
      <c r="E52" t="s">
        <v>123</v>
      </c>
      <c r="F52" t="s">
        <v>125</v>
      </c>
      <c r="G52" t="s">
        <v>126</v>
      </c>
      <c r="H52" t="s">
        <v>127</v>
      </c>
      <c r="I52" t="s">
        <v>128</v>
      </c>
      <c r="J52" t="s">
        <v>123</v>
      </c>
      <c r="K52" t="s">
        <v>302</v>
      </c>
      <c r="L52" t="s">
        <v>130</v>
      </c>
      <c r="M52" t="s">
        <v>303</v>
      </c>
      <c r="N52">
        <v>14</v>
      </c>
      <c r="O52" t="s">
        <v>347</v>
      </c>
      <c r="P52" t="s">
        <v>123</v>
      </c>
      <c r="Q52" t="s">
        <v>123</v>
      </c>
      <c r="R52" t="s">
        <v>123</v>
      </c>
      <c r="S52" t="s">
        <v>123</v>
      </c>
      <c r="T52" s="1">
        <v>46544</v>
      </c>
      <c r="U52" t="s">
        <v>123</v>
      </c>
      <c r="V52" t="s">
        <v>123</v>
      </c>
      <c r="W52" t="s">
        <v>123</v>
      </c>
      <c r="X52" t="s">
        <v>123</v>
      </c>
      <c r="Y52" t="s">
        <v>123</v>
      </c>
      <c r="Z52" t="s">
        <v>123</v>
      </c>
      <c r="AA52" t="s">
        <v>123</v>
      </c>
      <c r="AB52" t="s">
        <v>350</v>
      </c>
      <c r="AC52" t="s">
        <v>135</v>
      </c>
      <c r="AD52" t="s">
        <v>123</v>
      </c>
      <c r="AE52" t="s">
        <v>123</v>
      </c>
      <c r="AF52" t="s">
        <v>136</v>
      </c>
      <c r="AG52" t="s">
        <v>137</v>
      </c>
      <c r="AH52" t="s">
        <v>123</v>
      </c>
      <c r="AI52" t="s">
        <v>128</v>
      </c>
      <c r="AJ52" t="s">
        <v>186</v>
      </c>
      <c r="AK52" t="s">
        <v>139</v>
      </c>
      <c r="AL52" t="s">
        <v>123</v>
      </c>
      <c r="AM52" t="s">
        <v>123</v>
      </c>
      <c r="AN52" t="s">
        <v>123</v>
      </c>
      <c r="AO52" t="s">
        <v>123</v>
      </c>
      <c r="AP52">
        <v>250</v>
      </c>
      <c r="AQ52">
        <v>50</v>
      </c>
      <c r="AR52">
        <v>10</v>
      </c>
      <c r="AS52" t="s">
        <v>123</v>
      </c>
      <c r="AT52" t="s">
        <v>123</v>
      </c>
      <c r="AU52" t="s">
        <v>123</v>
      </c>
      <c r="AV52" t="s">
        <v>123</v>
      </c>
      <c r="AW52" t="s">
        <v>123</v>
      </c>
      <c r="AX52" t="s">
        <v>123</v>
      </c>
      <c r="AY52" t="s">
        <v>123</v>
      </c>
      <c r="AZ52" t="s">
        <v>123</v>
      </c>
      <c r="BA52" t="s">
        <v>140</v>
      </c>
      <c r="BB52" t="s">
        <v>123</v>
      </c>
      <c r="BC52" t="s">
        <v>123</v>
      </c>
      <c r="BD52" t="s">
        <v>123</v>
      </c>
      <c r="BE52" t="s">
        <v>123</v>
      </c>
      <c r="BF52" t="s">
        <v>123</v>
      </c>
      <c r="BG52" t="s">
        <v>141</v>
      </c>
      <c r="BH52" t="s">
        <v>123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123</v>
      </c>
      <c r="BX52" t="s">
        <v>123</v>
      </c>
      <c r="BY52" s="1">
        <v>45965.245255787035</v>
      </c>
      <c r="BZ52">
        <v>1477</v>
      </c>
      <c r="CA52" t="s">
        <v>123</v>
      </c>
      <c r="CB52" t="s">
        <v>123</v>
      </c>
      <c r="CC52">
        <v>0</v>
      </c>
      <c r="CD52" t="s">
        <v>123</v>
      </c>
      <c r="CE52" t="s">
        <v>123</v>
      </c>
      <c r="CF52" t="s">
        <v>123</v>
      </c>
      <c r="CG52" t="s">
        <v>123</v>
      </c>
      <c r="CH52" t="s">
        <v>123</v>
      </c>
      <c r="CI52" t="s">
        <v>123</v>
      </c>
      <c r="CJ52" t="s">
        <v>123</v>
      </c>
      <c r="CK52">
        <v>7.4999999999999997E-3</v>
      </c>
      <c r="CL52">
        <v>9.5999999999999992E-3</v>
      </c>
      <c r="CM52">
        <v>1.18E-2</v>
      </c>
      <c r="CN52">
        <v>1.52E-2</v>
      </c>
      <c r="CO52" t="s">
        <v>123</v>
      </c>
      <c r="CP52" t="s">
        <v>123</v>
      </c>
      <c r="CQ52">
        <v>4.7999999999999996E-3</v>
      </c>
      <c r="CR52">
        <v>6.4999999999999997E-3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298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  <c r="DN52" t="s">
        <v>123</v>
      </c>
      <c r="DO52" t="s">
        <v>123</v>
      </c>
      <c r="DP52" t="s">
        <v>123</v>
      </c>
      <c r="DQ52" t="s">
        <v>123</v>
      </c>
      <c r="DR52" t="s">
        <v>123</v>
      </c>
      <c r="DS52" t="s">
        <v>123</v>
      </c>
    </row>
    <row r="53" spans="1:123" x14ac:dyDescent="0.3">
      <c r="A53">
        <v>52</v>
      </c>
      <c r="B53" t="s">
        <v>123</v>
      </c>
      <c r="C53" t="s">
        <v>123</v>
      </c>
      <c r="D53" t="s">
        <v>351</v>
      </c>
      <c r="E53" t="s">
        <v>123</v>
      </c>
      <c r="F53" t="s">
        <v>125</v>
      </c>
      <c r="G53" t="s">
        <v>126</v>
      </c>
      <c r="H53" t="s">
        <v>127</v>
      </c>
      <c r="I53" t="s">
        <v>128</v>
      </c>
      <c r="J53" t="s">
        <v>123</v>
      </c>
      <c r="K53" t="s">
        <v>309</v>
      </c>
      <c r="L53" t="s">
        <v>130</v>
      </c>
      <c r="M53" t="s">
        <v>310</v>
      </c>
      <c r="N53">
        <v>13</v>
      </c>
      <c r="O53" t="s">
        <v>352</v>
      </c>
      <c r="P53" t="s">
        <v>123</v>
      </c>
      <c r="Q53" t="s">
        <v>123</v>
      </c>
      <c r="R53" t="s">
        <v>123</v>
      </c>
      <c r="S53" t="s">
        <v>123</v>
      </c>
      <c r="T53" s="1">
        <v>46910</v>
      </c>
      <c r="U53" t="s">
        <v>123</v>
      </c>
      <c r="V53" t="s">
        <v>123</v>
      </c>
      <c r="W53" t="s">
        <v>123</v>
      </c>
      <c r="X53" t="s">
        <v>123</v>
      </c>
      <c r="Y53" t="s">
        <v>123</v>
      </c>
      <c r="Z53" t="s">
        <v>123</v>
      </c>
      <c r="AA53" t="s">
        <v>123</v>
      </c>
      <c r="AB53" t="s">
        <v>353</v>
      </c>
      <c r="AC53" t="s">
        <v>135</v>
      </c>
      <c r="AD53" t="s">
        <v>123</v>
      </c>
      <c r="AE53" t="s">
        <v>123</v>
      </c>
      <c r="AF53" t="s">
        <v>136</v>
      </c>
      <c r="AG53" t="s">
        <v>137</v>
      </c>
      <c r="AH53" t="s">
        <v>123</v>
      </c>
      <c r="AI53" t="s">
        <v>128</v>
      </c>
      <c r="AJ53" t="s">
        <v>186</v>
      </c>
      <c r="AK53" t="s">
        <v>139</v>
      </c>
      <c r="AL53" t="s">
        <v>123</v>
      </c>
      <c r="AM53" t="s">
        <v>123</v>
      </c>
      <c r="AN53" t="s">
        <v>123</v>
      </c>
      <c r="AO53" t="s">
        <v>123</v>
      </c>
      <c r="AP53">
        <v>250</v>
      </c>
      <c r="AQ53">
        <v>50</v>
      </c>
      <c r="AR53">
        <v>10</v>
      </c>
      <c r="AS53" t="s">
        <v>123</v>
      </c>
      <c r="AT53" t="s">
        <v>123</v>
      </c>
      <c r="AU53" t="s">
        <v>123</v>
      </c>
      <c r="AV53" t="s">
        <v>123</v>
      </c>
      <c r="AW53" t="s">
        <v>123</v>
      </c>
      <c r="AX53" t="s">
        <v>123</v>
      </c>
      <c r="AY53" t="s">
        <v>123</v>
      </c>
      <c r="AZ53" t="s">
        <v>123</v>
      </c>
      <c r="BA53" t="s">
        <v>140</v>
      </c>
      <c r="BB53" t="s">
        <v>123</v>
      </c>
      <c r="BC53" t="s">
        <v>123</v>
      </c>
      <c r="BD53" t="s">
        <v>123</v>
      </c>
      <c r="BE53" t="s">
        <v>123</v>
      </c>
      <c r="BF53" t="s">
        <v>123</v>
      </c>
      <c r="BG53" t="s">
        <v>141</v>
      </c>
      <c r="BH53" t="s">
        <v>123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123</v>
      </c>
      <c r="BX53" t="s">
        <v>123</v>
      </c>
      <c r="BY53" s="1">
        <v>45965.245337002314</v>
      </c>
      <c r="BZ53">
        <v>1477</v>
      </c>
      <c r="CA53" t="s">
        <v>123</v>
      </c>
      <c r="CB53" t="s">
        <v>123</v>
      </c>
      <c r="CC53">
        <v>0</v>
      </c>
      <c r="CD53" t="s">
        <v>123</v>
      </c>
      <c r="CE53" t="s">
        <v>123</v>
      </c>
      <c r="CF53" t="s">
        <v>123</v>
      </c>
      <c r="CG53" t="s">
        <v>123</v>
      </c>
      <c r="CH53" t="s">
        <v>123</v>
      </c>
      <c r="CI53" t="s">
        <v>123</v>
      </c>
      <c r="CJ53" t="s">
        <v>123</v>
      </c>
      <c r="CK53">
        <v>2.0400000000000001E-2</v>
      </c>
      <c r="CL53">
        <v>2.47E-2</v>
      </c>
      <c r="CM53">
        <v>3.4700000000000002E-2</v>
      </c>
      <c r="CN53">
        <v>4.0800000000000003E-2</v>
      </c>
      <c r="CO53" t="s">
        <v>123</v>
      </c>
      <c r="CP53" t="s">
        <v>123</v>
      </c>
      <c r="CQ53">
        <v>1.06E-2</v>
      </c>
      <c r="CR53">
        <v>1.37E-2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298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  <c r="DN53" t="s">
        <v>123</v>
      </c>
      <c r="DO53" t="s">
        <v>123</v>
      </c>
      <c r="DP53" t="s">
        <v>123</v>
      </c>
      <c r="DQ53" t="s">
        <v>123</v>
      </c>
      <c r="DR53" t="s">
        <v>123</v>
      </c>
      <c r="DS53" t="s">
        <v>123</v>
      </c>
    </row>
    <row r="54" spans="1:123" x14ac:dyDescent="0.3">
      <c r="A54">
        <v>53</v>
      </c>
      <c r="B54" t="s">
        <v>123</v>
      </c>
      <c r="C54" t="s">
        <v>123</v>
      </c>
      <c r="D54" t="s">
        <v>354</v>
      </c>
      <c r="E54" t="s">
        <v>123</v>
      </c>
      <c r="F54" t="s">
        <v>125</v>
      </c>
      <c r="G54" t="s">
        <v>126</v>
      </c>
      <c r="H54" t="s">
        <v>127</v>
      </c>
      <c r="I54" t="s">
        <v>128</v>
      </c>
      <c r="J54" t="s">
        <v>123</v>
      </c>
      <c r="K54" t="s">
        <v>309</v>
      </c>
      <c r="L54" t="s">
        <v>130</v>
      </c>
      <c r="M54" t="s">
        <v>310</v>
      </c>
      <c r="N54">
        <v>14</v>
      </c>
      <c r="O54" t="s">
        <v>352</v>
      </c>
      <c r="P54" t="s">
        <v>123</v>
      </c>
      <c r="Q54" t="s">
        <v>123</v>
      </c>
      <c r="R54" t="s">
        <v>123</v>
      </c>
      <c r="S54" t="s">
        <v>123</v>
      </c>
      <c r="T54" s="1">
        <v>46910</v>
      </c>
      <c r="U54" t="s">
        <v>123</v>
      </c>
      <c r="V54" t="s">
        <v>123</v>
      </c>
      <c r="W54" t="s">
        <v>123</v>
      </c>
      <c r="X54" t="s">
        <v>123</v>
      </c>
      <c r="Y54" t="s">
        <v>123</v>
      </c>
      <c r="Z54" t="s">
        <v>123</v>
      </c>
      <c r="AA54" t="s">
        <v>123</v>
      </c>
      <c r="AB54" t="s">
        <v>355</v>
      </c>
      <c r="AC54" t="s">
        <v>135</v>
      </c>
      <c r="AD54" t="s">
        <v>123</v>
      </c>
      <c r="AE54" t="s">
        <v>123</v>
      </c>
      <c r="AF54" t="s">
        <v>136</v>
      </c>
      <c r="AG54" t="s">
        <v>137</v>
      </c>
      <c r="AH54" t="s">
        <v>123</v>
      </c>
      <c r="AI54" t="s">
        <v>128</v>
      </c>
      <c r="AJ54" t="s">
        <v>186</v>
      </c>
      <c r="AK54" t="s">
        <v>139</v>
      </c>
      <c r="AL54" t="s">
        <v>123</v>
      </c>
      <c r="AM54" t="s">
        <v>123</v>
      </c>
      <c r="AN54" t="s">
        <v>123</v>
      </c>
      <c r="AO54" t="s">
        <v>123</v>
      </c>
      <c r="AP54">
        <v>250</v>
      </c>
      <c r="AQ54">
        <v>50</v>
      </c>
      <c r="AR54">
        <v>10</v>
      </c>
      <c r="AS54" t="s">
        <v>123</v>
      </c>
      <c r="AT54" t="s">
        <v>123</v>
      </c>
      <c r="AU54" t="s">
        <v>123</v>
      </c>
      <c r="AV54" t="s">
        <v>123</v>
      </c>
      <c r="AW54" t="s">
        <v>123</v>
      </c>
      <c r="AX54" t="s">
        <v>123</v>
      </c>
      <c r="AY54" t="s">
        <v>123</v>
      </c>
      <c r="AZ54" t="s">
        <v>123</v>
      </c>
      <c r="BA54" t="s">
        <v>140</v>
      </c>
      <c r="BB54" t="s">
        <v>123</v>
      </c>
      <c r="BC54" t="s">
        <v>123</v>
      </c>
      <c r="BD54" t="s">
        <v>123</v>
      </c>
      <c r="BE54" t="s">
        <v>123</v>
      </c>
      <c r="BF54" t="s">
        <v>123</v>
      </c>
      <c r="BG54" t="s">
        <v>141</v>
      </c>
      <c r="BH54" t="s">
        <v>123</v>
      </c>
      <c r="BI54" t="s">
        <v>123</v>
      </c>
      <c r="BJ54" t="s">
        <v>123</v>
      </c>
      <c r="BK54" t="s">
        <v>123</v>
      </c>
      <c r="BL54" t="s">
        <v>123</v>
      </c>
      <c r="BM54" t="s">
        <v>123</v>
      </c>
      <c r="BN54" t="s">
        <v>123</v>
      </c>
      <c r="BO54" t="s">
        <v>123</v>
      </c>
      <c r="BP54" t="s">
        <v>123</v>
      </c>
      <c r="BQ54" t="s">
        <v>123</v>
      </c>
      <c r="BR54" t="s">
        <v>123</v>
      </c>
      <c r="BS54" t="s">
        <v>123</v>
      </c>
      <c r="BT54" t="s">
        <v>123</v>
      </c>
      <c r="BU54" t="s">
        <v>123</v>
      </c>
      <c r="BV54" t="s">
        <v>123</v>
      </c>
      <c r="BW54" t="s">
        <v>123</v>
      </c>
      <c r="BX54" t="s">
        <v>123</v>
      </c>
      <c r="BY54" s="1">
        <v>45965.245420451392</v>
      </c>
      <c r="BZ54">
        <v>1477</v>
      </c>
      <c r="CA54" t="s">
        <v>123</v>
      </c>
      <c r="CB54" t="s">
        <v>123</v>
      </c>
      <c r="CC54">
        <v>0</v>
      </c>
      <c r="CD54" t="s">
        <v>123</v>
      </c>
      <c r="CE54" t="s">
        <v>123</v>
      </c>
      <c r="CF54" t="s">
        <v>123</v>
      </c>
      <c r="CG54" t="s">
        <v>123</v>
      </c>
      <c r="CH54" t="s">
        <v>123</v>
      </c>
      <c r="CI54" t="s">
        <v>123</v>
      </c>
      <c r="CJ54" t="s">
        <v>123</v>
      </c>
      <c r="CK54">
        <v>7.7000000000000002E-3</v>
      </c>
      <c r="CL54">
        <v>9.9000000000000008E-3</v>
      </c>
      <c r="CM54">
        <v>1.06E-2</v>
      </c>
      <c r="CN54">
        <v>1.37E-2</v>
      </c>
      <c r="CO54" t="s">
        <v>123</v>
      </c>
      <c r="CP54" t="s">
        <v>123</v>
      </c>
      <c r="CQ54">
        <v>5.4999999999999997E-3</v>
      </c>
      <c r="CR54">
        <v>7.3000000000000001E-3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298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  <c r="DN54" t="s">
        <v>123</v>
      </c>
      <c r="DO54" t="s">
        <v>123</v>
      </c>
      <c r="DP54" t="s">
        <v>123</v>
      </c>
      <c r="DQ54" t="s">
        <v>123</v>
      </c>
      <c r="DR54" t="s">
        <v>123</v>
      </c>
      <c r="DS54" t="s">
        <v>123</v>
      </c>
    </row>
    <row r="55" spans="1:123" x14ac:dyDescent="0.3">
      <c r="A55">
        <v>54</v>
      </c>
      <c r="B55" t="s">
        <v>123</v>
      </c>
      <c r="C55" t="s">
        <v>123</v>
      </c>
      <c r="D55" t="s">
        <v>356</v>
      </c>
      <c r="E55" t="s">
        <v>123</v>
      </c>
      <c r="F55" t="s">
        <v>125</v>
      </c>
      <c r="G55" t="s">
        <v>126</v>
      </c>
      <c r="H55" t="s">
        <v>127</v>
      </c>
      <c r="I55" t="s">
        <v>128</v>
      </c>
      <c r="J55" t="s">
        <v>123</v>
      </c>
      <c r="K55" t="s">
        <v>357</v>
      </c>
      <c r="L55" t="s">
        <v>130</v>
      </c>
      <c r="M55" t="s">
        <v>358</v>
      </c>
      <c r="N55" t="s">
        <v>359</v>
      </c>
      <c r="O55" t="s">
        <v>159</v>
      </c>
      <c r="P55" t="s">
        <v>123</v>
      </c>
      <c r="Q55" t="s">
        <v>123</v>
      </c>
      <c r="R55" t="s">
        <v>123</v>
      </c>
      <c r="S55" t="s">
        <v>123</v>
      </c>
      <c r="T55" s="1">
        <v>46941</v>
      </c>
      <c r="U55" t="s">
        <v>123</v>
      </c>
      <c r="V55" t="s">
        <v>123</v>
      </c>
      <c r="W55" t="s">
        <v>123</v>
      </c>
      <c r="X55" t="s">
        <v>123</v>
      </c>
      <c r="Y55" t="s">
        <v>123</v>
      </c>
      <c r="Z55" t="s">
        <v>123</v>
      </c>
      <c r="AA55" t="s">
        <v>123</v>
      </c>
      <c r="AB55" t="s">
        <v>360</v>
      </c>
      <c r="AC55" t="s">
        <v>135</v>
      </c>
      <c r="AD55" t="s">
        <v>123</v>
      </c>
      <c r="AE55" t="s">
        <v>123</v>
      </c>
      <c r="AF55" t="s">
        <v>361</v>
      </c>
      <c r="AG55" t="s">
        <v>362</v>
      </c>
      <c r="AH55" t="s">
        <v>123</v>
      </c>
      <c r="AI55" t="s">
        <v>128</v>
      </c>
      <c r="AJ55" t="s">
        <v>138</v>
      </c>
      <c r="AK55" t="s">
        <v>139</v>
      </c>
      <c r="AL55" t="s">
        <v>123</v>
      </c>
      <c r="AM55" t="s">
        <v>123</v>
      </c>
      <c r="AN55" t="s">
        <v>123</v>
      </c>
      <c r="AO55" t="s">
        <v>123</v>
      </c>
      <c r="AP55">
        <v>250</v>
      </c>
      <c r="AQ55">
        <v>50</v>
      </c>
      <c r="AR55">
        <v>10</v>
      </c>
      <c r="AS55" t="s">
        <v>123</v>
      </c>
      <c r="AT55" t="s">
        <v>123</v>
      </c>
      <c r="AU55" t="s">
        <v>123</v>
      </c>
      <c r="AV55" t="s">
        <v>123</v>
      </c>
      <c r="AW55" t="s">
        <v>123</v>
      </c>
      <c r="AX55" t="s">
        <v>123</v>
      </c>
      <c r="AY55" t="s">
        <v>123</v>
      </c>
      <c r="AZ55" t="s">
        <v>123</v>
      </c>
      <c r="BA55" t="s">
        <v>140</v>
      </c>
      <c r="BB55" t="s">
        <v>123</v>
      </c>
      <c r="BC55" t="s">
        <v>123</v>
      </c>
      <c r="BD55" t="s">
        <v>123</v>
      </c>
      <c r="BE55" t="s">
        <v>123</v>
      </c>
      <c r="BF55" t="s">
        <v>123</v>
      </c>
      <c r="BG55" t="s">
        <v>141</v>
      </c>
      <c r="BH55" t="s">
        <v>123</v>
      </c>
      <c r="BI55" t="s">
        <v>123</v>
      </c>
      <c r="BJ55" t="s">
        <v>123</v>
      </c>
      <c r="BK55" t="s">
        <v>123</v>
      </c>
      <c r="BL55" t="s">
        <v>123</v>
      </c>
      <c r="BM55" t="s">
        <v>123</v>
      </c>
      <c r="BN55" t="s">
        <v>123</v>
      </c>
      <c r="BO55" t="s">
        <v>123</v>
      </c>
      <c r="BP55" t="s">
        <v>123</v>
      </c>
      <c r="BQ55" t="s">
        <v>123</v>
      </c>
      <c r="BR55" t="s">
        <v>123</v>
      </c>
      <c r="BS55" t="s">
        <v>123</v>
      </c>
      <c r="BT55" t="s">
        <v>123</v>
      </c>
      <c r="BU55" t="s">
        <v>123</v>
      </c>
      <c r="BV55" t="s">
        <v>123</v>
      </c>
      <c r="BW55" t="s">
        <v>123</v>
      </c>
      <c r="BX55" t="s">
        <v>123</v>
      </c>
      <c r="BY55" s="1">
        <v>45965.245493055554</v>
      </c>
      <c r="BZ55">
        <v>1551</v>
      </c>
      <c r="CA55" t="s">
        <v>123</v>
      </c>
      <c r="CB55" t="s">
        <v>123</v>
      </c>
      <c r="CC55">
        <v>0</v>
      </c>
      <c r="CD55" t="s">
        <v>123</v>
      </c>
      <c r="CE55" t="s">
        <v>123</v>
      </c>
      <c r="CF55" t="s">
        <v>123</v>
      </c>
      <c r="CG55" t="s">
        <v>123</v>
      </c>
      <c r="CH55" t="s">
        <v>123</v>
      </c>
      <c r="CI55" t="s">
        <v>123</v>
      </c>
      <c r="CJ55" t="s">
        <v>123</v>
      </c>
      <c r="CK55">
        <v>1.0699999999999999E-2</v>
      </c>
      <c r="CL55">
        <v>1.2800000000000001E-2</v>
      </c>
      <c r="CM55">
        <v>1.15E-2</v>
      </c>
      <c r="CN55">
        <v>1.37E-2</v>
      </c>
      <c r="CO55" t="s">
        <v>123</v>
      </c>
      <c r="CP55" t="s">
        <v>123</v>
      </c>
      <c r="CQ55">
        <v>9.9000000000000008E-3</v>
      </c>
      <c r="CR55">
        <v>1.1900000000000001E-2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214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  <c r="DN55" t="s">
        <v>123</v>
      </c>
      <c r="DO55" t="s">
        <v>123</v>
      </c>
      <c r="DP55" t="s">
        <v>123</v>
      </c>
      <c r="DQ55" t="s">
        <v>123</v>
      </c>
      <c r="DR55" t="s">
        <v>123</v>
      </c>
      <c r="DS55" t="s">
        <v>123</v>
      </c>
    </row>
    <row r="56" spans="1:123" x14ac:dyDescent="0.3">
      <c r="A56">
        <v>55</v>
      </c>
      <c r="B56" t="s">
        <v>123</v>
      </c>
      <c r="C56" t="s">
        <v>123</v>
      </c>
      <c r="D56" t="s">
        <v>363</v>
      </c>
      <c r="E56" t="s">
        <v>123</v>
      </c>
      <c r="F56" t="s">
        <v>125</v>
      </c>
      <c r="G56" t="s">
        <v>126</v>
      </c>
      <c r="H56" t="s">
        <v>127</v>
      </c>
      <c r="I56" t="s">
        <v>128</v>
      </c>
      <c r="J56" t="s">
        <v>123</v>
      </c>
      <c r="K56" t="s">
        <v>357</v>
      </c>
      <c r="L56" t="s">
        <v>130</v>
      </c>
      <c r="M56" t="s">
        <v>358</v>
      </c>
      <c r="N56" t="s">
        <v>364</v>
      </c>
      <c r="O56" t="s">
        <v>159</v>
      </c>
      <c r="P56" t="s">
        <v>123</v>
      </c>
      <c r="Q56" t="s">
        <v>123</v>
      </c>
      <c r="R56" t="s">
        <v>123</v>
      </c>
      <c r="S56" t="s">
        <v>123</v>
      </c>
      <c r="T56" s="1">
        <v>46013</v>
      </c>
      <c r="U56" t="s">
        <v>123</v>
      </c>
      <c r="V56" t="s">
        <v>123</v>
      </c>
      <c r="W56" t="s">
        <v>123</v>
      </c>
      <c r="X56" t="s">
        <v>123</v>
      </c>
      <c r="Y56" t="s">
        <v>123</v>
      </c>
      <c r="Z56" t="s">
        <v>123</v>
      </c>
      <c r="AA56" t="s">
        <v>123</v>
      </c>
      <c r="AB56" t="s">
        <v>365</v>
      </c>
      <c r="AC56" t="s">
        <v>135</v>
      </c>
      <c r="AD56" t="s">
        <v>123</v>
      </c>
      <c r="AE56" t="s">
        <v>123</v>
      </c>
      <c r="AF56" t="s">
        <v>366</v>
      </c>
      <c r="AG56" t="s">
        <v>367</v>
      </c>
      <c r="AH56" t="s">
        <v>123</v>
      </c>
      <c r="AI56" t="s">
        <v>128</v>
      </c>
      <c r="AJ56" t="s">
        <v>138</v>
      </c>
      <c r="AK56" t="s">
        <v>139</v>
      </c>
      <c r="AL56" t="s">
        <v>123</v>
      </c>
      <c r="AM56" t="s">
        <v>123</v>
      </c>
      <c r="AN56" t="s">
        <v>123</v>
      </c>
      <c r="AO56" t="s">
        <v>123</v>
      </c>
      <c r="AP56">
        <v>250</v>
      </c>
      <c r="AQ56">
        <v>50</v>
      </c>
      <c r="AR56">
        <v>10</v>
      </c>
      <c r="AS56" t="s">
        <v>123</v>
      </c>
      <c r="AT56" t="s">
        <v>123</v>
      </c>
      <c r="AU56" t="s">
        <v>123</v>
      </c>
      <c r="AV56" t="s">
        <v>123</v>
      </c>
      <c r="AW56" t="s">
        <v>123</v>
      </c>
      <c r="AX56" t="s">
        <v>123</v>
      </c>
      <c r="AY56" t="s">
        <v>123</v>
      </c>
      <c r="AZ56" t="s">
        <v>123</v>
      </c>
      <c r="BA56" t="s">
        <v>140</v>
      </c>
      <c r="BB56" t="s">
        <v>123</v>
      </c>
      <c r="BC56" t="s">
        <v>123</v>
      </c>
      <c r="BD56" t="s">
        <v>123</v>
      </c>
      <c r="BE56" t="s">
        <v>123</v>
      </c>
      <c r="BF56" t="s">
        <v>123</v>
      </c>
      <c r="BG56" t="s">
        <v>141</v>
      </c>
      <c r="BH56" t="s">
        <v>123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123</v>
      </c>
      <c r="BX56" t="s">
        <v>123</v>
      </c>
      <c r="BY56" s="1">
        <v>45965.245517210649</v>
      </c>
      <c r="BZ56">
        <v>1551</v>
      </c>
      <c r="CA56" t="s">
        <v>123</v>
      </c>
      <c r="CB56" t="s">
        <v>123</v>
      </c>
      <c r="CC56">
        <v>0</v>
      </c>
      <c r="CD56" t="s">
        <v>123</v>
      </c>
      <c r="CE56" t="s">
        <v>123</v>
      </c>
      <c r="CF56" t="s">
        <v>123</v>
      </c>
      <c r="CG56" t="s">
        <v>123</v>
      </c>
      <c r="CH56" t="s">
        <v>123</v>
      </c>
      <c r="CI56" t="s">
        <v>123</v>
      </c>
      <c r="CJ56" t="s">
        <v>123</v>
      </c>
      <c r="CK56">
        <v>1.3100000000000001E-2</v>
      </c>
      <c r="CL56">
        <v>1.6500000000000001E-2</v>
      </c>
      <c r="CM56">
        <v>2.4299999999999999E-2</v>
      </c>
      <c r="CN56">
        <v>3.0200000000000001E-2</v>
      </c>
      <c r="CO56" t="s">
        <v>123</v>
      </c>
      <c r="CP56" t="s">
        <v>123</v>
      </c>
      <c r="CQ56">
        <v>5.5999999999999999E-3</v>
      </c>
      <c r="CR56">
        <v>7.4000000000000003E-3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214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  <c r="DN56" t="s">
        <v>123</v>
      </c>
      <c r="DO56" t="s">
        <v>123</v>
      </c>
      <c r="DP56" t="s">
        <v>123</v>
      </c>
      <c r="DQ56" t="s">
        <v>123</v>
      </c>
      <c r="DR56" t="s">
        <v>123</v>
      </c>
      <c r="DS56" t="s">
        <v>123</v>
      </c>
    </row>
    <row r="57" spans="1:123" x14ac:dyDescent="0.3">
      <c r="A57">
        <v>56</v>
      </c>
      <c r="B57" t="s">
        <v>123</v>
      </c>
      <c r="C57" t="s">
        <v>123</v>
      </c>
      <c r="D57" t="s">
        <v>368</v>
      </c>
      <c r="E57" t="s">
        <v>123</v>
      </c>
      <c r="F57" t="s">
        <v>125</v>
      </c>
      <c r="G57" t="s">
        <v>126</v>
      </c>
      <c r="H57" t="s">
        <v>127</v>
      </c>
      <c r="I57" t="s">
        <v>128</v>
      </c>
      <c r="J57" t="s">
        <v>123</v>
      </c>
      <c r="K57" t="s">
        <v>357</v>
      </c>
      <c r="L57" t="s">
        <v>130</v>
      </c>
      <c r="M57" t="s">
        <v>358</v>
      </c>
      <c r="N57" t="s">
        <v>369</v>
      </c>
      <c r="O57" t="s">
        <v>159</v>
      </c>
      <c r="P57" t="s">
        <v>123</v>
      </c>
      <c r="Q57" t="s">
        <v>123</v>
      </c>
      <c r="R57" t="s">
        <v>123</v>
      </c>
      <c r="S57" t="s">
        <v>123</v>
      </c>
      <c r="T57" s="1">
        <v>46013</v>
      </c>
      <c r="U57" t="s">
        <v>123</v>
      </c>
      <c r="V57" t="s">
        <v>123</v>
      </c>
      <c r="W57" t="s">
        <v>123</v>
      </c>
      <c r="X57" t="s">
        <v>123</v>
      </c>
      <c r="Y57" t="s">
        <v>123</v>
      </c>
      <c r="Z57" t="s">
        <v>123</v>
      </c>
      <c r="AA57" t="s">
        <v>123</v>
      </c>
      <c r="AB57" t="s">
        <v>370</v>
      </c>
      <c r="AC57" t="s">
        <v>135</v>
      </c>
      <c r="AD57" t="s">
        <v>123</v>
      </c>
      <c r="AE57" t="s">
        <v>123</v>
      </c>
      <c r="AF57" t="s">
        <v>366</v>
      </c>
      <c r="AG57" t="s">
        <v>367</v>
      </c>
      <c r="AH57" t="s">
        <v>123</v>
      </c>
      <c r="AI57" t="s">
        <v>128</v>
      </c>
      <c r="AJ57" t="s">
        <v>138</v>
      </c>
      <c r="AK57" t="s">
        <v>139</v>
      </c>
      <c r="AL57" t="s">
        <v>123</v>
      </c>
      <c r="AM57" t="s">
        <v>123</v>
      </c>
      <c r="AN57" t="s">
        <v>123</v>
      </c>
      <c r="AO57" t="s">
        <v>123</v>
      </c>
      <c r="AP57">
        <v>250</v>
      </c>
      <c r="AQ57">
        <v>50</v>
      </c>
      <c r="AR57">
        <v>10</v>
      </c>
      <c r="AS57" t="s">
        <v>123</v>
      </c>
      <c r="AT57" t="s">
        <v>123</v>
      </c>
      <c r="AU57" t="s">
        <v>123</v>
      </c>
      <c r="AV57" t="s">
        <v>123</v>
      </c>
      <c r="AW57" t="s">
        <v>123</v>
      </c>
      <c r="AX57" t="s">
        <v>123</v>
      </c>
      <c r="AY57" t="s">
        <v>123</v>
      </c>
      <c r="AZ57" t="s">
        <v>123</v>
      </c>
      <c r="BA57" t="s">
        <v>140</v>
      </c>
      <c r="BB57" t="s">
        <v>123</v>
      </c>
      <c r="BC57" t="s">
        <v>123</v>
      </c>
      <c r="BD57" t="s">
        <v>123</v>
      </c>
      <c r="BE57" t="s">
        <v>123</v>
      </c>
      <c r="BF57" t="s">
        <v>123</v>
      </c>
      <c r="BG57" t="s">
        <v>141</v>
      </c>
      <c r="BH57" t="s">
        <v>123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123</v>
      </c>
      <c r="BX57" t="s">
        <v>123</v>
      </c>
      <c r="BY57" s="1">
        <v>45965.245540775461</v>
      </c>
      <c r="BZ57">
        <v>1551</v>
      </c>
      <c r="CA57" t="s">
        <v>123</v>
      </c>
      <c r="CB57" t="s">
        <v>123</v>
      </c>
      <c r="CC57">
        <v>0</v>
      </c>
      <c r="CD57" t="s">
        <v>123</v>
      </c>
      <c r="CE57" t="s">
        <v>123</v>
      </c>
      <c r="CF57" t="s">
        <v>123</v>
      </c>
      <c r="CG57" t="s">
        <v>123</v>
      </c>
      <c r="CH57" t="s">
        <v>123</v>
      </c>
      <c r="CI57" t="s">
        <v>123</v>
      </c>
      <c r="CJ57" t="s">
        <v>123</v>
      </c>
      <c r="CK57">
        <v>1.7899999999999999E-2</v>
      </c>
      <c r="CL57">
        <v>2.0899999999999998E-2</v>
      </c>
      <c r="CM57">
        <v>2.3900000000000001E-2</v>
      </c>
      <c r="CN57">
        <v>2.7400000000000001E-2</v>
      </c>
      <c r="CO57" t="s">
        <v>123</v>
      </c>
      <c r="CP57" t="s">
        <v>123</v>
      </c>
      <c r="CQ57">
        <v>1.4999999999999999E-2</v>
      </c>
      <c r="CR57">
        <v>1.7899999999999999E-2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214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  <c r="DN57" t="s">
        <v>123</v>
      </c>
      <c r="DO57" t="s">
        <v>123</v>
      </c>
      <c r="DP57" t="s">
        <v>123</v>
      </c>
      <c r="DQ57" t="s">
        <v>123</v>
      </c>
      <c r="DR57" t="s">
        <v>123</v>
      </c>
      <c r="DS57" t="s">
        <v>123</v>
      </c>
    </row>
    <row r="58" spans="1:123" x14ac:dyDescent="0.3">
      <c r="A58">
        <v>57</v>
      </c>
      <c r="B58" t="s">
        <v>123</v>
      </c>
      <c r="C58" t="s">
        <v>123</v>
      </c>
      <c r="D58" t="s">
        <v>371</v>
      </c>
      <c r="E58" t="s">
        <v>123</v>
      </c>
      <c r="F58" t="s">
        <v>125</v>
      </c>
      <c r="G58" t="s">
        <v>126</v>
      </c>
      <c r="H58" t="s">
        <v>127</v>
      </c>
      <c r="I58" t="s">
        <v>128</v>
      </c>
      <c r="J58" t="s">
        <v>123</v>
      </c>
      <c r="K58" t="s">
        <v>357</v>
      </c>
      <c r="L58" t="s">
        <v>130</v>
      </c>
      <c r="M58" t="s">
        <v>358</v>
      </c>
      <c r="N58" t="s">
        <v>158</v>
      </c>
      <c r="O58" t="s">
        <v>159</v>
      </c>
      <c r="P58" t="s">
        <v>123</v>
      </c>
      <c r="Q58" t="s">
        <v>123</v>
      </c>
      <c r="R58" t="s">
        <v>123</v>
      </c>
      <c r="S58" t="s">
        <v>123</v>
      </c>
      <c r="T58" s="1">
        <v>46941</v>
      </c>
      <c r="U58" t="s">
        <v>123</v>
      </c>
      <c r="V58" t="s">
        <v>123</v>
      </c>
      <c r="W58" t="s">
        <v>123</v>
      </c>
      <c r="X58" t="s">
        <v>123</v>
      </c>
      <c r="Y58" t="s">
        <v>123</v>
      </c>
      <c r="Z58" t="s">
        <v>123</v>
      </c>
      <c r="AA58" t="s">
        <v>123</v>
      </c>
      <c r="AB58" t="s">
        <v>372</v>
      </c>
      <c r="AC58" t="s">
        <v>135</v>
      </c>
      <c r="AD58" t="s">
        <v>123</v>
      </c>
      <c r="AE58" t="s">
        <v>123</v>
      </c>
      <c r="AF58" t="s">
        <v>366</v>
      </c>
      <c r="AG58" t="s">
        <v>367</v>
      </c>
      <c r="AH58" t="s">
        <v>123</v>
      </c>
      <c r="AI58" t="s">
        <v>128</v>
      </c>
      <c r="AJ58" t="s">
        <v>138</v>
      </c>
      <c r="AK58" t="s">
        <v>139</v>
      </c>
      <c r="AL58" t="s">
        <v>123</v>
      </c>
      <c r="AM58" t="s">
        <v>123</v>
      </c>
      <c r="AN58" t="s">
        <v>123</v>
      </c>
      <c r="AO58" t="s">
        <v>123</v>
      </c>
      <c r="AP58">
        <v>250</v>
      </c>
      <c r="AQ58">
        <v>50</v>
      </c>
      <c r="AR58">
        <v>10</v>
      </c>
      <c r="AS58" t="s">
        <v>123</v>
      </c>
      <c r="AT58" t="s">
        <v>123</v>
      </c>
      <c r="AU58" t="s">
        <v>123</v>
      </c>
      <c r="AV58" t="s">
        <v>123</v>
      </c>
      <c r="AW58" t="s">
        <v>123</v>
      </c>
      <c r="AX58" t="s">
        <v>123</v>
      </c>
      <c r="AY58" t="s">
        <v>123</v>
      </c>
      <c r="AZ58" t="s">
        <v>123</v>
      </c>
      <c r="BA58" t="s">
        <v>140</v>
      </c>
      <c r="BB58" t="s">
        <v>123</v>
      </c>
      <c r="BC58" t="s">
        <v>123</v>
      </c>
      <c r="BD58" t="s">
        <v>123</v>
      </c>
      <c r="BE58" t="s">
        <v>123</v>
      </c>
      <c r="BF58" t="s">
        <v>123</v>
      </c>
      <c r="BG58" t="s">
        <v>141</v>
      </c>
      <c r="BH58" t="s">
        <v>123</v>
      </c>
      <c r="BI58" t="s">
        <v>123</v>
      </c>
      <c r="BJ58" t="s">
        <v>123</v>
      </c>
      <c r="BK58" t="s">
        <v>123</v>
      </c>
      <c r="BL58" t="s">
        <v>123</v>
      </c>
      <c r="BM58" t="s">
        <v>123</v>
      </c>
      <c r="BN58" t="s">
        <v>123</v>
      </c>
      <c r="BO58" t="s">
        <v>123</v>
      </c>
      <c r="BP58" t="s">
        <v>123</v>
      </c>
      <c r="BQ58" t="s">
        <v>123</v>
      </c>
      <c r="BR58" t="s">
        <v>123</v>
      </c>
      <c r="BS58" t="s">
        <v>123</v>
      </c>
      <c r="BT58" t="s">
        <v>123</v>
      </c>
      <c r="BU58" t="s">
        <v>123</v>
      </c>
      <c r="BV58" t="s">
        <v>123</v>
      </c>
      <c r="BW58" t="s">
        <v>123</v>
      </c>
      <c r="BX58" t="s">
        <v>123</v>
      </c>
      <c r="BY58" s="1">
        <v>45965.245566203703</v>
      </c>
      <c r="BZ58">
        <v>1551</v>
      </c>
      <c r="CA58" t="s">
        <v>123</v>
      </c>
      <c r="CB58" t="s">
        <v>123</v>
      </c>
      <c r="CC58">
        <v>0</v>
      </c>
      <c r="CD58" t="s">
        <v>123</v>
      </c>
      <c r="CE58" t="s">
        <v>123</v>
      </c>
      <c r="CF58" t="s">
        <v>123</v>
      </c>
      <c r="CG58" t="s">
        <v>123</v>
      </c>
      <c r="CH58" t="s">
        <v>123</v>
      </c>
      <c r="CI58" t="s">
        <v>123</v>
      </c>
      <c r="CJ58" t="s">
        <v>123</v>
      </c>
      <c r="CK58">
        <v>3.1699999999999999E-2</v>
      </c>
      <c r="CL58">
        <v>3.6200000000000003E-2</v>
      </c>
      <c r="CM58">
        <v>4.82E-2</v>
      </c>
      <c r="CN58">
        <v>5.4800000000000001E-2</v>
      </c>
      <c r="CO58" t="s">
        <v>123</v>
      </c>
      <c r="CP58" t="s">
        <v>123</v>
      </c>
      <c r="CQ58">
        <v>2.0799999999999999E-2</v>
      </c>
      <c r="CR58">
        <v>2.4E-2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214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  <c r="DN58" t="s">
        <v>123</v>
      </c>
      <c r="DO58" t="s">
        <v>123</v>
      </c>
      <c r="DP58" t="s">
        <v>123</v>
      </c>
      <c r="DQ58" t="s">
        <v>123</v>
      </c>
      <c r="DR58" t="s">
        <v>123</v>
      </c>
      <c r="DS58" t="s">
        <v>123</v>
      </c>
    </row>
    <row r="59" spans="1:123" x14ac:dyDescent="0.3">
      <c r="A59">
        <v>58</v>
      </c>
      <c r="B59" t="s">
        <v>123</v>
      </c>
      <c r="C59" t="s">
        <v>123</v>
      </c>
      <c r="D59" t="s">
        <v>373</v>
      </c>
      <c r="E59" t="s">
        <v>123</v>
      </c>
      <c r="F59" t="s">
        <v>125</v>
      </c>
      <c r="G59" t="s">
        <v>126</v>
      </c>
      <c r="H59" t="s">
        <v>127</v>
      </c>
      <c r="I59" t="s">
        <v>128</v>
      </c>
      <c r="J59" t="s">
        <v>123</v>
      </c>
      <c r="K59" t="s">
        <v>357</v>
      </c>
      <c r="L59" t="s">
        <v>130</v>
      </c>
      <c r="M59" t="s">
        <v>358</v>
      </c>
      <c r="N59" t="s">
        <v>374</v>
      </c>
      <c r="O59" t="s">
        <v>159</v>
      </c>
      <c r="P59" t="s">
        <v>123</v>
      </c>
      <c r="Q59" t="s">
        <v>123</v>
      </c>
      <c r="R59" t="s">
        <v>123</v>
      </c>
      <c r="S59" t="s">
        <v>123</v>
      </c>
      <c r="T59" s="1">
        <v>46575</v>
      </c>
      <c r="U59" t="s">
        <v>123</v>
      </c>
      <c r="V59" t="s">
        <v>123</v>
      </c>
      <c r="W59" t="s">
        <v>123</v>
      </c>
      <c r="X59" t="s">
        <v>123</v>
      </c>
      <c r="Y59" t="s">
        <v>123</v>
      </c>
      <c r="Z59" t="s">
        <v>123</v>
      </c>
      <c r="AA59" t="s">
        <v>123</v>
      </c>
      <c r="AB59" t="s">
        <v>375</v>
      </c>
      <c r="AC59" t="s">
        <v>135</v>
      </c>
      <c r="AD59" t="s">
        <v>123</v>
      </c>
      <c r="AE59" t="s">
        <v>123</v>
      </c>
      <c r="AF59" t="s">
        <v>366</v>
      </c>
      <c r="AG59" t="s">
        <v>367</v>
      </c>
      <c r="AH59" t="s">
        <v>123</v>
      </c>
      <c r="AI59" t="s">
        <v>128</v>
      </c>
      <c r="AJ59" t="s">
        <v>138</v>
      </c>
      <c r="AK59" t="s">
        <v>139</v>
      </c>
      <c r="AL59" t="s">
        <v>123</v>
      </c>
      <c r="AM59" t="s">
        <v>123</v>
      </c>
      <c r="AN59" t="s">
        <v>123</v>
      </c>
      <c r="AO59" t="s">
        <v>123</v>
      </c>
      <c r="AP59">
        <v>250</v>
      </c>
      <c r="AQ59">
        <v>50</v>
      </c>
      <c r="AR59">
        <v>10</v>
      </c>
      <c r="AS59" t="s">
        <v>123</v>
      </c>
      <c r="AT59" t="s">
        <v>123</v>
      </c>
      <c r="AU59" t="s">
        <v>123</v>
      </c>
      <c r="AV59" t="s">
        <v>123</v>
      </c>
      <c r="AW59" t="s">
        <v>123</v>
      </c>
      <c r="AX59" t="s">
        <v>123</v>
      </c>
      <c r="AY59" t="s">
        <v>123</v>
      </c>
      <c r="AZ59" t="s">
        <v>123</v>
      </c>
      <c r="BA59" t="s">
        <v>140</v>
      </c>
      <c r="BB59" t="s">
        <v>123</v>
      </c>
      <c r="BC59" t="s">
        <v>123</v>
      </c>
      <c r="BD59" t="s">
        <v>123</v>
      </c>
      <c r="BE59" t="s">
        <v>123</v>
      </c>
      <c r="BF59" t="s">
        <v>123</v>
      </c>
      <c r="BG59" t="s">
        <v>141</v>
      </c>
      <c r="BH59" t="s">
        <v>123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123</v>
      </c>
      <c r="BX59" t="s">
        <v>123</v>
      </c>
      <c r="BY59" s="1">
        <v>45965.245590243052</v>
      </c>
      <c r="BZ59">
        <v>1551</v>
      </c>
      <c r="CA59" t="s">
        <v>123</v>
      </c>
      <c r="CB59" t="s">
        <v>123</v>
      </c>
      <c r="CC59">
        <v>0</v>
      </c>
      <c r="CD59" t="s">
        <v>123</v>
      </c>
      <c r="CE59" t="s">
        <v>123</v>
      </c>
      <c r="CF59" t="s">
        <v>123</v>
      </c>
      <c r="CG59" t="s">
        <v>123</v>
      </c>
      <c r="CH59" t="s">
        <v>123</v>
      </c>
      <c r="CI59" t="s">
        <v>123</v>
      </c>
      <c r="CJ59" t="s">
        <v>123</v>
      </c>
      <c r="CK59">
        <v>1.3100000000000001E-2</v>
      </c>
      <c r="CL59">
        <v>1.6500000000000001E-2</v>
      </c>
      <c r="CM59">
        <v>2.4299999999999999E-2</v>
      </c>
      <c r="CN59">
        <v>3.0200000000000001E-2</v>
      </c>
      <c r="CO59" t="s">
        <v>123</v>
      </c>
      <c r="CP59" t="s">
        <v>123</v>
      </c>
      <c r="CQ59">
        <v>5.5999999999999999E-3</v>
      </c>
      <c r="CR59">
        <v>7.4000000000000003E-3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214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  <c r="DN59" t="s">
        <v>123</v>
      </c>
      <c r="DO59" t="s">
        <v>123</v>
      </c>
      <c r="DP59" t="s">
        <v>123</v>
      </c>
      <c r="DQ59" t="s">
        <v>123</v>
      </c>
      <c r="DR59" t="s">
        <v>123</v>
      </c>
      <c r="DS59" t="s">
        <v>123</v>
      </c>
    </row>
    <row r="60" spans="1:123" x14ac:dyDescent="0.3">
      <c r="A60">
        <v>59</v>
      </c>
      <c r="B60" t="s">
        <v>123</v>
      </c>
      <c r="C60" t="s">
        <v>123</v>
      </c>
      <c r="D60" t="s">
        <v>376</v>
      </c>
      <c r="E60" t="s">
        <v>123</v>
      </c>
      <c r="F60" t="s">
        <v>125</v>
      </c>
      <c r="G60" t="s">
        <v>126</v>
      </c>
      <c r="H60" t="s">
        <v>127</v>
      </c>
      <c r="I60" t="s">
        <v>128</v>
      </c>
      <c r="J60" t="s">
        <v>123</v>
      </c>
      <c r="K60" t="s">
        <v>377</v>
      </c>
      <c r="L60" t="s">
        <v>130</v>
      </c>
      <c r="M60" t="s">
        <v>358</v>
      </c>
      <c r="N60" t="s">
        <v>158</v>
      </c>
      <c r="O60" t="s">
        <v>378</v>
      </c>
      <c r="P60" t="s">
        <v>123</v>
      </c>
      <c r="Q60" t="s">
        <v>123</v>
      </c>
      <c r="R60" t="s">
        <v>123</v>
      </c>
      <c r="S60" t="s">
        <v>123</v>
      </c>
      <c r="T60" s="1">
        <v>46941</v>
      </c>
      <c r="U60" t="s">
        <v>123</v>
      </c>
      <c r="V60" t="s">
        <v>123</v>
      </c>
      <c r="W60" t="s">
        <v>123</v>
      </c>
      <c r="X60" t="s">
        <v>123</v>
      </c>
      <c r="Y60" t="s">
        <v>123</v>
      </c>
      <c r="Z60" t="s">
        <v>123</v>
      </c>
      <c r="AA60" t="s">
        <v>123</v>
      </c>
      <c r="AB60" t="s">
        <v>379</v>
      </c>
      <c r="AC60" t="s">
        <v>135</v>
      </c>
      <c r="AD60" t="s">
        <v>123</v>
      </c>
      <c r="AE60" t="s">
        <v>123</v>
      </c>
      <c r="AF60" t="s">
        <v>380</v>
      </c>
      <c r="AG60" t="s">
        <v>381</v>
      </c>
      <c r="AH60" t="s">
        <v>123</v>
      </c>
      <c r="AI60" t="s">
        <v>128</v>
      </c>
      <c r="AJ60" t="s">
        <v>138</v>
      </c>
      <c r="AK60" t="s">
        <v>139</v>
      </c>
      <c r="AL60" t="s">
        <v>123</v>
      </c>
      <c r="AM60" t="s">
        <v>123</v>
      </c>
      <c r="AN60" t="s">
        <v>123</v>
      </c>
      <c r="AO60" t="s">
        <v>123</v>
      </c>
      <c r="AP60">
        <v>250</v>
      </c>
      <c r="AQ60">
        <v>50</v>
      </c>
      <c r="AR60">
        <v>10</v>
      </c>
      <c r="AS60" t="s">
        <v>123</v>
      </c>
      <c r="AT60" t="s">
        <v>123</v>
      </c>
      <c r="AU60" t="s">
        <v>123</v>
      </c>
      <c r="AV60" t="s">
        <v>123</v>
      </c>
      <c r="AW60" t="s">
        <v>123</v>
      </c>
      <c r="AX60" t="s">
        <v>123</v>
      </c>
      <c r="AY60" t="s">
        <v>123</v>
      </c>
      <c r="AZ60" t="s">
        <v>123</v>
      </c>
      <c r="BA60" t="s">
        <v>140</v>
      </c>
      <c r="BB60" t="s">
        <v>123</v>
      </c>
      <c r="BC60" t="s">
        <v>123</v>
      </c>
      <c r="BD60" t="s">
        <v>123</v>
      </c>
      <c r="BE60" t="s">
        <v>123</v>
      </c>
      <c r="BF60" t="s">
        <v>123</v>
      </c>
      <c r="BG60" t="s">
        <v>141</v>
      </c>
      <c r="BH60" t="s">
        <v>123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123</v>
      </c>
      <c r="BX60" t="s">
        <v>123</v>
      </c>
      <c r="BY60" s="1">
        <v>45965.245614004627</v>
      </c>
      <c r="BZ60">
        <v>1552</v>
      </c>
      <c r="CA60" t="s">
        <v>123</v>
      </c>
      <c r="CB60" t="s">
        <v>123</v>
      </c>
      <c r="CC60">
        <v>0</v>
      </c>
      <c r="CD60" t="s">
        <v>123</v>
      </c>
      <c r="CE60" t="s">
        <v>123</v>
      </c>
      <c r="CF60" t="s">
        <v>123</v>
      </c>
      <c r="CG60" t="s">
        <v>123</v>
      </c>
      <c r="CH60" t="s">
        <v>123</v>
      </c>
      <c r="CI60" t="s">
        <v>123</v>
      </c>
      <c r="CJ60" t="s">
        <v>123</v>
      </c>
      <c r="CK60">
        <v>1.8599999999999998E-2</v>
      </c>
      <c r="CL60">
        <v>2.0899999999999998E-2</v>
      </c>
      <c r="CM60">
        <v>3.1099999999999999E-2</v>
      </c>
      <c r="CN60">
        <v>3.4500000000000003E-2</v>
      </c>
      <c r="CO60" t="s">
        <v>123</v>
      </c>
      <c r="CP60" t="s">
        <v>123</v>
      </c>
      <c r="CQ60">
        <v>1.24E-2</v>
      </c>
      <c r="CR60">
        <v>1.41E-2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382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  <c r="DN60" t="s">
        <v>123</v>
      </c>
      <c r="DO60" t="s">
        <v>123</v>
      </c>
      <c r="DP60" t="s">
        <v>123</v>
      </c>
      <c r="DQ60" t="s">
        <v>123</v>
      </c>
      <c r="DR60" t="s">
        <v>123</v>
      </c>
      <c r="DS60" t="s">
        <v>123</v>
      </c>
    </row>
    <row r="61" spans="1:123" x14ac:dyDescent="0.3">
      <c r="A61">
        <v>60</v>
      </c>
      <c r="B61" t="s">
        <v>123</v>
      </c>
      <c r="C61" t="s">
        <v>123</v>
      </c>
      <c r="D61" t="s">
        <v>383</v>
      </c>
      <c r="E61" t="s">
        <v>123</v>
      </c>
      <c r="F61" t="s">
        <v>125</v>
      </c>
      <c r="G61" t="s">
        <v>126</v>
      </c>
      <c r="H61" t="s">
        <v>127</v>
      </c>
      <c r="I61" t="s">
        <v>384</v>
      </c>
      <c r="J61" t="s">
        <v>123</v>
      </c>
      <c r="K61" t="s">
        <v>385</v>
      </c>
      <c r="L61" t="s">
        <v>130</v>
      </c>
      <c r="M61" t="s">
        <v>386</v>
      </c>
      <c r="N61" t="s">
        <v>158</v>
      </c>
      <c r="O61" t="s">
        <v>133</v>
      </c>
      <c r="P61" t="s">
        <v>123</v>
      </c>
      <c r="Q61" t="s">
        <v>123</v>
      </c>
      <c r="R61" t="s">
        <v>123</v>
      </c>
      <c r="S61" t="s">
        <v>123</v>
      </c>
      <c r="T61" s="1">
        <v>46150</v>
      </c>
      <c r="U61" t="s">
        <v>123</v>
      </c>
      <c r="V61" t="s">
        <v>123</v>
      </c>
      <c r="W61" t="s">
        <v>123</v>
      </c>
      <c r="X61" t="s">
        <v>123</v>
      </c>
      <c r="Y61" t="s">
        <v>123</v>
      </c>
      <c r="Z61" t="s">
        <v>123</v>
      </c>
      <c r="AA61" t="s">
        <v>123</v>
      </c>
      <c r="AB61" t="s">
        <v>387</v>
      </c>
      <c r="AC61" t="s">
        <v>135</v>
      </c>
      <c r="AD61" t="s">
        <v>123</v>
      </c>
      <c r="AE61" t="s">
        <v>123</v>
      </c>
      <c r="AF61" t="s">
        <v>388</v>
      </c>
      <c r="AG61" t="s">
        <v>389</v>
      </c>
      <c r="AH61" t="s">
        <v>123</v>
      </c>
      <c r="AI61" t="s">
        <v>384</v>
      </c>
      <c r="AJ61" t="s">
        <v>138</v>
      </c>
      <c r="AK61" t="s">
        <v>390</v>
      </c>
      <c r="AL61" t="s">
        <v>123</v>
      </c>
      <c r="AM61" t="s">
        <v>123</v>
      </c>
      <c r="AN61" t="s">
        <v>123</v>
      </c>
      <c r="AO61" t="s">
        <v>123</v>
      </c>
      <c r="AP61">
        <v>250</v>
      </c>
      <c r="AQ61">
        <v>50</v>
      </c>
      <c r="AR61">
        <v>10</v>
      </c>
      <c r="AS61" t="s">
        <v>123</v>
      </c>
      <c r="AT61" t="s">
        <v>123</v>
      </c>
      <c r="AU61" t="s">
        <v>123</v>
      </c>
      <c r="AV61" t="s">
        <v>123</v>
      </c>
      <c r="AW61" t="s">
        <v>123</v>
      </c>
      <c r="AX61" t="s">
        <v>123</v>
      </c>
      <c r="AY61" t="s">
        <v>123</v>
      </c>
      <c r="AZ61" t="s">
        <v>123</v>
      </c>
      <c r="BA61" t="s">
        <v>140</v>
      </c>
      <c r="BB61" t="s">
        <v>123</v>
      </c>
      <c r="BC61" t="s">
        <v>123</v>
      </c>
      <c r="BD61" t="s">
        <v>123</v>
      </c>
      <c r="BE61" t="s">
        <v>123</v>
      </c>
      <c r="BF61" t="s">
        <v>123</v>
      </c>
      <c r="BG61" t="s">
        <v>141</v>
      </c>
      <c r="BH61" t="s">
        <v>123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123</v>
      </c>
      <c r="BX61" t="s">
        <v>123</v>
      </c>
      <c r="BY61" s="1">
        <v>45965.245638194443</v>
      </c>
      <c r="BZ61">
        <v>1559</v>
      </c>
      <c r="CA61" t="s">
        <v>123</v>
      </c>
      <c r="CB61" t="s">
        <v>123</v>
      </c>
      <c r="CC61">
        <v>0</v>
      </c>
      <c r="CD61" t="s">
        <v>123</v>
      </c>
      <c r="CE61" t="s">
        <v>123</v>
      </c>
      <c r="CF61" t="s">
        <v>123</v>
      </c>
      <c r="CG61" t="s">
        <v>123</v>
      </c>
      <c r="CH61" t="s">
        <v>123</v>
      </c>
      <c r="CI61" t="s">
        <v>123</v>
      </c>
      <c r="CJ61" t="s">
        <v>123</v>
      </c>
      <c r="CK61">
        <v>1.337E-2</v>
      </c>
      <c r="CL61">
        <v>1.942E-2</v>
      </c>
      <c r="CM61">
        <v>1.337E-2</v>
      </c>
      <c r="CN61">
        <v>1.942E-2</v>
      </c>
      <c r="CO61" t="s">
        <v>123</v>
      </c>
      <c r="CP61" t="s">
        <v>123</v>
      </c>
      <c r="CQ61">
        <v>1.337E-2</v>
      </c>
      <c r="CR61">
        <v>1.942E-2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205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  <c r="DN61" t="s">
        <v>123</v>
      </c>
      <c r="DO61" t="s">
        <v>123</v>
      </c>
      <c r="DP61" t="s">
        <v>123</v>
      </c>
      <c r="DQ61" t="s">
        <v>123</v>
      </c>
      <c r="DR61" t="s">
        <v>123</v>
      </c>
      <c r="DS61" t="s">
        <v>123</v>
      </c>
    </row>
    <row r="62" spans="1:123" x14ac:dyDescent="0.3">
      <c r="A62">
        <v>61</v>
      </c>
      <c r="B62" t="s">
        <v>123</v>
      </c>
      <c r="C62" t="s">
        <v>123</v>
      </c>
      <c r="D62" t="s">
        <v>391</v>
      </c>
      <c r="E62" t="s">
        <v>123</v>
      </c>
      <c r="F62" t="s">
        <v>125</v>
      </c>
      <c r="G62" t="s">
        <v>126</v>
      </c>
      <c r="H62" t="s">
        <v>127</v>
      </c>
      <c r="I62" t="s">
        <v>128</v>
      </c>
      <c r="J62" t="s">
        <v>123</v>
      </c>
      <c r="K62" t="s">
        <v>392</v>
      </c>
      <c r="L62" t="s">
        <v>130</v>
      </c>
      <c r="M62" t="s">
        <v>393</v>
      </c>
      <c r="N62" t="s">
        <v>123</v>
      </c>
      <c r="O62" t="s">
        <v>123</v>
      </c>
      <c r="P62" t="s">
        <v>123</v>
      </c>
      <c r="Q62" t="s">
        <v>123</v>
      </c>
      <c r="R62" t="s">
        <v>123</v>
      </c>
      <c r="S62" t="s">
        <v>123</v>
      </c>
      <c r="T62" s="1">
        <v>46750</v>
      </c>
      <c r="U62" t="s">
        <v>123</v>
      </c>
      <c r="V62" t="s">
        <v>123</v>
      </c>
      <c r="W62" t="s">
        <v>123</v>
      </c>
      <c r="X62" t="s">
        <v>123</v>
      </c>
      <c r="Y62" t="s">
        <v>123</v>
      </c>
      <c r="Z62" t="s">
        <v>123</v>
      </c>
      <c r="AA62" t="s">
        <v>123</v>
      </c>
      <c r="AB62" t="s">
        <v>394</v>
      </c>
      <c r="AC62" t="s">
        <v>135</v>
      </c>
      <c r="AD62" t="s">
        <v>123</v>
      </c>
      <c r="AE62" t="s">
        <v>123</v>
      </c>
      <c r="AF62" t="s">
        <v>395</v>
      </c>
      <c r="AG62" t="s">
        <v>396</v>
      </c>
      <c r="AH62" t="s">
        <v>123</v>
      </c>
      <c r="AI62" t="s">
        <v>128</v>
      </c>
      <c r="AJ62" t="s">
        <v>138</v>
      </c>
      <c r="AK62" t="s">
        <v>397</v>
      </c>
      <c r="AL62" t="s">
        <v>123</v>
      </c>
      <c r="AM62" t="s">
        <v>123</v>
      </c>
      <c r="AN62" t="s">
        <v>123</v>
      </c>
      <c r="AO62" t="s">
        <v>123</v>
      </c>
      <c r="AP62">
        <v>250</v>
      </c>
      <c r="AQ62">
        <v>50</v>
      </c>
      <c r="AR62">
        <v>10</v>
      </c>
      <c r="AS62" t="s">
        <v>123</v>
      </c>
      <c r="AT62" t="s">
        <v>123</v>
      </c>
      <c r="AU62" t="s">
        <v>123</v>
      </c>
      <c r="AV62" t="s">
        <v>123</v>
      </c>
      <c r="AW62" t="s">
        <v>123</v>
      </c>
      <c r="AX62" t="s">
        <v>123</v>
      </c>
      <c r="AY62" t="s">
        <v>123</v>
      </c>
      <c r="AZ62" t="s">
        <v>123</v>
      </c>
      <c r="BA62" t="s">
        <v>398</v>
      </c>
      <c r="BB62" t="s">
        <v>123</v>
      </c>
      <c r="BC62" t="s">
        <v>123</v>
      </c>
      <c r="BD62" t="s">
        <v>123</v>
      </c>
      <c r="BE62" t="s">
        <v>123</v>
      </c>
      <c r="BF62" t="s">
        <v>123</v>
      </c>
      <c r="BG62" t="s">
        <v>399</v>
      </c>
      <c r="BH62" t="s">
        <v>123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123</v>
      </c>
      <c r="BX62" t="s">
        <v>123</v>
      </c>
      <c r="BY62" s="1">
        <v>45965.245662615744</v>
      </c>
      <c r="BZ62">
        <v>1555</v>
      </c>
      <c r="CA62" t="s">
        <v>123</v>
      </c>
      <c r="CB62" t="s">
        <v>123</v>
      </c>
      <c r="CC62">
        <v>0</v>
      </c>
      <c r="CD62" t="s">
        <v>123</v>
      </c>
      <c r="CE62" t="s">
        <v>123</v>
      </c>
      <c r="CF62" t="s">
        <v>123</v>
      </c>
      <c r="CG62" t="s">
        <v>123</v>
      </c>
      <c r="CH62" t="s">
        <v>123</v>
      </c>
      <c r="CI62" t="s">
        <v>123</v>
      </c>
      <c r="CJ62" t="s">
        <v>123</v>
      </c>
      <c r="CK62">
        <v>1.4999999999999999E-2</v>
      </c>
      <c r="CL62">
        <v>1.5900000000000001E-2</v>
      </c>
      <c r="CM62">
        <v>2.3400000000000001E-2</v>
      </c>
      <c r="CN62">
        <v>2.4899999999999999E-2</v>
      </c>
      <c r="CO62" t="s">
        <v>123</v>
      </c>
      <c r="CP62" t="s">
        <v>123</v>
      </c>
      <c r="CQ62">
        <v>7.4999999999999997E-3</v>
      </c>
      <c r="CR62">
        <v>7.7999999999999996E-3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400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  <c r="DN62" t="s">
        <v>123</v>
      </c>
      <c r="DO62" t="s">
        <v>123</v>
      </c>
      <c r="DP62" t="s">
        <v>123</v>
      </c>
      <c r="DQ62" t="s">
        <v>123</v>
      </c>
      <c r="DR62" t="s">
        <v>123</v>
      </c>
      <c r="DS62" t="s">
        <v>123</v>
      </c>
    </row>
    <row r="63" spans="1:123" x14ac:dyDescent="0.3">
      <c r="A63">
        <v>62</v>
      </c>
      <c r="B63" t="s">
        <v>123</v>
      </c>
      <c r="C63" t="s">
        <v>123</v>
      </c>
      <c r="D63" t="s">
        <v>401</v>
      </c>
      <c r="E63" t="s">
        <v>123</v>
      </c>
      <c r="F63" t="s">
        <v>125</v>
      </c>
      <c r="G63" t="s">
        <v>126</v>
      </c>
      <c r="H63" t="s">
        <v>127</v>
      </c>
      <c r="I63" t="s">
        <v>128</v>
      </c>
      <c r="J63" t="s">
        <v>123</v>
      </c>
      <c r="K63" t="s">
        <v>402</v>
      </c>
      <c r="L63" t="s">
        <v>130</v>
      </c>
      <c r="M63" t="s">
        <v>403</v>
      </c>
      <c r="N63" t="s">
        <v>123</v>
      </c>
      <c r="O63" t="s">
        <v>123</v>
      </c>
      <c r="P63" t="s">
        <v>123</v>
      </c>
      <c r="Q63" t="s">
        <v>123</v>
      </c>
      <c r="R63" t="s">
        <v>123</v>
      </c>
      <c r="S63" t="s">
        <v>123</v>
      </c>
      <c r="T63" s="1">
        <v>46112</v>
      </c>
      <c r="U63" t="s">
        <v>123</v>
      </c>
      <c r="V63" t="s">
        <v>123</v>
      </c>
      <c r="W63" t="s">
        <v>123</v>
      </c>
      <c r="X63" t="s">
        <v>123</v>
      </c>
      <c r="Y63" t="s">
        <v>123</v>
      </c>
      <c r="Z63" t="s">
        <v>123</v>
      </c>
      <c r="AA63" t="s">
        <v>123</v>
      </c>
      <c r="AB63" t="s">
        <v>404</v>
      </c>
      <c r="AC63" t="s">
        <v>135</v>
      </c>
      <c r="AD63" t="s">
        <v>123</v>
      </c>
      <c r="AE63" t="s">
        <v>123</v>
      </c>
      <c r="AF63" t="s">
        <v>405</v>
      </c>
      <c r="AG63" t="s">
        <v>406</v>
      </c>
      <c r="AH63" t="s">
        <v>123</v>
      </c>
      <c r="AI63" t="s">
        <v>128</v>
      </c>
      <c r="AJ63" t="s">
        <v>138</v>
      </c>
      <c r="AK63" t="s">
        <v>397</v>
      </c>
      <c r="AL63" t="s">
        <v>123</v>
      </c>
      <c r="AM63" t="s">
        <v>123</v>
      </c>
      <c r="AN63" t="s">
        <v>123</v>
      </c>
      <c r="AO63" t="s">
        <v>123</v>
      </c>
      <c r="AP63">
        <v>250</v>
      </c>
      <c r="AQ63">
        <v>50</v>
      </c>
      <c r="AR63">
        <v>10</v>
      </c>
      <c r="AS63" t="s">
        <v>123</v>
      </c>
      <c r="AT63" t="s">
        <v>123</v>
      </c>
      <c r="AU63" t="s">
        <v>123</v>
      </c>
      <c r="AV63" t="s">
        <v>123</v>
      </c>
      <c r="AW63" t="s">
        <v>123</v>
      </c>
      <c r="AX63" t="s">
        <v>123</v>
      </c>
      <c r="AY63" t="s">
        <v>123</v>
      </c>
      <c r="AZ63" t="s">
        <v>123</v>
      </c>
      <c r="BA63" t="s">
        <v>398</v>
      </c>
      <c r="BB63" t="s">
        <v>123</v>
      </c>
      <c r="BC63" t="s">
        <v>123</v>
      </c>
      <c r="BD63" t="s">
        <v>123</v>
      </c>
      <c r="BE63" t="s">
        <v>123</v>
      </c>
      <c r="BF63" t="s">
        <v>123</v>
      </c>
      <c r="BG63" t="s">
        <v>399</v>
      </c>
      <c r="BH63" t="s">
        <v>123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123</v>
      </c>
      <c r="BX63" t="s">
        <v>123</v>
      </c>
      <c r="BY63" s="1">
        <v>45965.245684953705</v>
      </c>
      <c r="BZ63">
        <v>1555</v>
      </c>
      <c r="CA63" t="s">
        <v>123</v>
      </c>
      <c r="CB63" t="s">
        <v>123</v>
      </c>
      <c r="CC63">
        <v>0</v>
      </c>
      <c r="CD63" t="s">
        <v>123</v>
      </c>
      <c r="CE63" t="s">
        <v>123</v>
      </c>
      <c r="CF63" t="s">
        <v>123</v>
      </c>
      <c r="CG63" t="s">
        <v>123</v>
      </c>
      <c r="CH63" t="s">
        <v>123</v>
      </c>
      <c r="CI63" t="s">
        <v>123</v>
      </c>
      <c r="CJ63" t="s">
        <v>123</v>
      </c>
      <c r="CK63">
        <v>0.01</v>
      </c>
      <c r="CL63" t="s">
        <v>123</v>
      </c>
      <c r="CM63">
        <v>1.4800000000000001E-2</v>
      </c>
      <c r="CN63" t="s">
        <v>123</v>
      </c>
      <c r="CO63" t="s">
        <v>123</v>
      </c>
      <c r="CP63" t="s">
        <v>123</v>
      </c>
      <c r="CQ63">
        <v>5.7000000000000002E-3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407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  <c r="DN63" t="s">
        <v>123</v>
      </c>
      <c r="DO63" t="s">
        <v>123</v>
      </c>
      <c r="DP63" t="s">
        <v>123</v>
      </c>
      <c r="DQ63" t="s">
        <v>123</v>
      </c>
      <c r="DR63" t="s">
        <v>123</v>
      </c>
      <c r="DS63" t="s">
        <v>123</v>
      </c>
    </row>
    <row r="64" spans="1:123" x14ac:dyDescent="0.3">
      <c r="A64">
        <v>63</v>
      </c>
      <c r="B64" t="s">
        <v>123</v>
      </c>
      <c r="C64" t="s">
        <v>123</v>
      </c>
      <c r="D64" t="s">
        <v>408</v>
      </c>
      <c r="E64" t="s">
        <v>123</v>
      </c>
      <c r="F64" t="s">
        <v>125</v>
      </c>
      <c r="G64" t="s">
        <v>126</v>
      </c>
      <c r="H64" t="s">
        <v>127</v>
      </c>
      <c r="I64" t="s">
        <v>128</v>
      </c>
      <c r="J64" t="s">
        <v>123</v>
      </c>
      <c r="K64" t="s">
        <v>409</v>
      </c>
      <c r="L64" t="s">
        <v>130</v>
      </c>
      <c r="M64" t="s">
        <v>410</v>
      </c>
      <c r="N64" t="s">
        <v>158</v>
      </c>
      <c r="O64" t="s">
        <v>159</v>
      </c>
      <c r="P64" t="s">
        <v>123</v>
      </c>
      <c r="Q64" t="s">
        <v>123</v>
      </c>
      <c r="R64" t="s">
        <v>123</v>
      </c>
      <c r="S64" t="s">
        <v>123</v>
      </c>
      <c r="T64" s="1">
        <v>46850</v>
      </c>
      <c r="U64" t="s">
        <v>123</v>
      </c>
      <c r="V64" t="s">
        <v>123</v>
      </c>
      <c r="W64" t="s">
        <v>123</v>
      </c>
      <c r="X64" t="s">
        <v>123</v>
      </c>
      <c r="Y64" t="s">
        <v>123</v>
      </c>
      <c r="Z64" t="s">
        <v>123</v>
      </c>
      <c r="AA64" t="s">
        <v>123</v>
      </c>
      <c r="AB64" t="s">
        <v>411</v>
      </c>
      <c r="AC64" t="s">
        <v>135</v>
      </c>
      <c r="AD64" t="s">
        <v>123</v>
      </c>
      <c r="AE64" t="s">
        <v>123</v>
      </c>
      <c r="AF64" t="s">
        <v>412</v>
      </c>
      <c r="AG64" t="s">
        <v>413</v>
      </c>
      <c r="AH64" t="s">
        <v>123</v>
      </c>
      <c r="AI64" t="s">
        <v>128</v>
      </c>
      <c r="AJ64" t="s">
        <v>138</v>
      </c>
      <c r="AK64" t="s">
        <v>139</v>
      </c>
      <c r="AL64" t="s">
        <v>123</v>
      </c>
      <c r="AM64" t="s">
        <v>123</v>
      </c>
      <c r="AN64" t="s">
        <v>123</v>
      </c>
      <c r="AO64" t="s">
        <v>123</v>
      </c>
      <c r="AP64">
        <v>250</v>
      </c>
      <c r="AQ64">
        <v>50</v>
      </c>
      <c r="AR64">
        <v>10</v>
      </c>
      <c r="AS64" t="s">
        <v>123</v>
      </c>
      <c r="AT64" t="s">
        <v>123</v>
      </c>
      <c r="AU64" t="s">
        <v>123</v>
      </c>
      <c r="AV64" t="s">
        <v>123</v>
      </c>
      <c r="AW64" t="s">
        <v>123</v>
      </c>
      <c r="AX64" t="s">
        <v>123</v>
      </c>
      <c r="AY64" t="s">
        <v>123</v>
      </c>
      <c r="AZ64" t="s">
        <v>123</v>
      </c>
      <c r="BA64" t="s">
        <v>140</v>
      </c>
      <c r="BB64" t="s">
        <v>123</v>
      </c>
      <c r="BC64" t="s">
        <v>123</v>
      </c>
      <c r="BD64" t="s">
        <v>123</v>
      </c>
      <c r="BE64" t="s">
        <v>123</v>
      </c>
      <c r="BF64" t="s">
        <v>123</v>
      </c>
      <c r="BG64" t="s">
        <v>141</v>
      </c>
      <c r="BH64" t="s">
        <v>123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123</v>
      </c>
      <c r="BX64" t="s">
        <v>123</v>
      </c>
      <c r="BY64" s="1">
        <v>45965.245730324074</v>
      </c>
      <c r="BZ64">
        <v>1450</v>
      </c>
      <c r="CA64" t="s">
        <v>123</v>
      </c>
      <c r="CB64" t="s">
        <v>123</v>
      </c>
      <c r="CC64">
        <v>0</v>
      </c>
      <c r="CD64" t="s">
        <v>123</v>
      </c>
      <c r="CE64" t="s">
        <v>123</v>
      </c>
      <c r="CF64" t="s">
        <v>123</v>
      </c>
      <c r="CG64" t="s">
        <v>123</v>
      </c>
      <c r="CH64" t="s">
        <v>123</v>
      </c>
      <c r="CI64" t="s">
        <v>123</v>
      </c>
      <c r="CJ64" t="s">
        <v>123</v>
      </c>
      <c r="CK64">
        <v>6.1000000000000004E-3</v>
      </c>
      <c r="CL64">
        <v>6.3E-3</v>
      </c>
      <c r="CM64">
        <v>7.7000000000000002E-3</v>
      </c>
      <c r="CN64">
        <v>8.3000000000000001E-3</v>
      </c>
      <c r="CO64" t="s">
        <v>123</v>
      </c>
      <c r="CP64" t="s">
        <v>123</v>
      </c>
      <c r="CQ64">
        <v>5.1000000000000004E-3</v>
      </c>
      <c r="CR64">
        <v>5.1999999999999998E-3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205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  <c r="DN64" t="s">
        <v>123</v>
      </c>
      <c r="DO64" t="s">
        <v>123</v>
      </c>
      <c r="DP64" t="s">
        <v>123</v>
      </c>
      <c r="DQ64" t="s">
        <v>123</v>
      </c>
      <c r="DR64" t="s">
        <v>123</v>
      </c>
      <c r="DS64" t="s">
        <v>123</v>
      </c>
    </row>
    <row r="65" spans="1:123" x14ac:dyDescent="0.3">
      <c r="A65">
        <v>64</v>
      </c>
      <c r="B65" t="s">
        <v>123</v>
      </c>
      <c r="C65" t="s">
        <v>123</v>
      </c>
      <c r="D65" t="s">
        <v>414</v>
      </c>
      <c r="E65" t="s">
        <v>123</v>
      </c>
      <c r="F65" t="s">
        <v>125</v>
      </c>
      <c r="G65" t="s">
        <v>126</v>
      </c>
      <c r="H65" t="s">
        <v>127</v>
      </c>
      <c r="I65" t="s">
        <v>128</v>
      </c>
      <c r="J65" t="s">
        <v>123</v>
      </c>
      <c r="K65" t="s">
        <v>415</v>
      </c>
      <c r="L65" t="s">
        <v>130</v>
      </c>
      <c r="M65" t="s">
        <v>416</v>
      </c>
      <c r="N65" t="s">
        <v>158</v>
      </c>
      <c r="O65" t="s">
        <v>150</v>
      </c>
      <c r="P65" t="s">
        <v>123</v>
      </c>
      <c r="Q65" t="s">
        <v>123</v>
      </c>
      <c r="R65" t="s">
        <v>123</v>
      </c>
      <c r="S65" t="s">
        <v>123</v>
      </c>
      <c r="T65" s="1">
        <v>46850</v>
      </c>
      <c r="U65" t="s">
        <v>123</v>
      </c>
      <c r="V65" t="s">
        <v>123</v>
      </c>
      <c r="W65" t="s">
        <v>123</v>
      </c>
      <c r="X65" t="s">
        <v>123</v>
      </c>
      <c r="Y65" t="s">
        <v>123</v>
      </c>
      <c r="Z65" t="s">
        <v>123</v>
      </c>
      <c r="AA65" t="s">
        <v>123</v>
      </c>
      <c r="AB65" t="s">
        <v>417</v>
      </c>
      <c r="AC65" t="s">
        <v>135</v>
      </c>
      <c r="AD65" t="s">
        <v>123</v>
      </c>
      <c r="AE65" t="s">
        <v>123</v>
      </c>
      <c r="AF65" t="s">
        <v>255</v>
      </c>
      <c r="AG65" t="s">
        <v>256</v>
      </c>
      <c r="AH65" t="s">
        <v>123</v>
      </c>
      <c r="AI65" t="s">
        <v>128</v>
      </c>
      <c r="AJ65" t="s">
        <v>138</v>
      </c>
      <c r="AK65" t="s">
        <v>139</v>
      </c>
      <c r="AL65" t="s">
        <v>123</v>
      </c>
      <c r="AM65" t="s">
        <v>123</v>
      </c>
      <c r="AN65" t="s">
        <v>123</v>
      </c>
      <c r="AO65" t="s">
        <v>123</v>
      </c>
      <c r="AP65">
        <v>250</v>
      </c>
      <c r="AQ65">
        <v>50</v>
      </c>
      <c r="AR65">
        <v>10</v>
      </c>
      <c r="AS65" t="s">
        <v>123</v>
      </c>
      <c r="AT65" t="s">
        <v>123</v>
      </c>
      <c r="AU65" t="s">
        <v>123</v>
      </c>
      <c r="AV65" t="s">
        <v>123</v>
      </c>
      <c r="AW65" t="s">
        <v>123</v>
      </c>
      <c r="AX65" t="s">
        <v>123</v>
      </c>
      <c r="AY65" t="s">
        <v>123</v>
      </c>
      <c r="AZ65" t="s">
        <v>123</v>
      </c>
      <c r="BA65" t="s">
        <v>140</v>
      </c>
      <c r="BB65" t="s">
        <v>123</v>
      </c>
      <c r="BC65" t="s">
        <v>123</v>
      </c>
      <c r="BD65" t="s">
        <v>123</v>
      </c>
      <c r="BE65" t="s">
        <v>123</v>
      </c>
      <c r="BF65" t="s">
        <v>123</v>
      </c>
      <c r="BG65" t="s">
        <v>141</v>
      </c>
      <c r="BH65" t="s">
        <v>123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123</v>
      </c>
      <c r="BX65" t="s">
        <v>123</v>
      </c>
      <c r="BY65" s="1">
        <v>45965.245754664349</v>
      </c>
      <c r="BZ65">
        <v>1465</v>
      </c>
      <c r="CA65" t="s">
        <v>123</v>
      </c>
      <c r="CB65" t="s">
        <v>123</v>
      </c>
      <c r="CC65">
        <v>0</v>
      </c>
      <c r="CD65" t="s">
        <v>123</v>
      </c>
      <c r="CE65" t="s">
        <v>123</v>
      </c>
      <c r="CF65" t="s">
        <v>123</v>
      </c>
      <c r="CG65" t="s">
        <v>123</v>
      </c>
      <c r="CH65" t="s">
        <v>123</v>
      </c>
      <c r="CI65" t="s">
        <v>123</v>
      </c>
      <c r="CJ65" t="s">
        <v>123</v>
      </c>
      <c r="CK65">
        <v>8.8800000000000007E-3</v>
      </c>
      <c r="CL65">
        <v>9.6100000000000005E-3</v>
      </c>
      <c r="CM65">
        <v>9.4999999999999998E-3</v>
      </c>
      <c r="CN65">
        <v>1.04E-2</v>
      </c>
      <c r="CO65" t="s">
        <v>123</v>
      </c>
      <c r="CP65" t="s">
        <v>123</v>
      </c>
      <c r="CQ65">
        <v>8.3999999999999995E-3</v>
      </c>
      <c r="CR65">
        <v>9.1000000000000004E-3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257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  <c r="DN65" t="s">
        <v>123</v>
      </c>
      <c r="DO65" t="s">
        <v>123</v>
      </c>
      <c r="DP65" t="s">
        <v>123</v>
      </c>
      <c r="DQ65" t="s">
        <v>123</v>
      </c>
      <c r="DR65" t="s">
        <v>123</v>
      </c>
      <c r="DS65" t="s">
        <v>123</v>
      </c>
    </row>
    <row r="66" spans="1:123" x14ac:dyDescent="0.3">
      <c r="A66">
        <v>65</v>
      </c>
      <c r="B66" t="s">
        <v>123</v>
      </c>
      <c r="C66" t="s">
        <v>123</v>
      </c>
      <c r="D66" t="s">
        <v>418</v>
      </c>
      <c r="E66" t="s">
        <v>123</v>
      </c>
      <c r="F66" t="s">
        <v>125</v>
      </c>
      <c r="G66" t="s">
        <v>126</v>
      </c>
      <c r="H66" t="s">
        <v>127</v>
      </c>
      <c r="I66" t="s">
        <v>128</v>
      </c>
      <c r="J66" t="s">
        <v>123</v>
      </c>
      <c r="K66" t="s">
        <v>415</v>
      </c>
      <c r="L66" t="s">
        <v>130</v>
      </c>
      <c r="M66" t="s">
        <v>416</v>
      </c>
      <c r="N66" t="s">
        <v>158</v>
      </c>
      <c r="O66" t="s">
        <v>133</v>
      </c>
      <c r="P66" t="s">
        <v>123</v>
      </c>
      <c r="Q66" t="s">
        <v>123</v>
      </c>
      <c r="R66" t="s">
        <v>123</v>
      </c>
      <c r="S66" t="s">
        <v>123</v>
      </c>
      <c r="T66" s="1">
        <v>46484</v>
      </c>
      <c r="U66" t="s">
        <v>123</v>
      </c>
      <c r="V66" t="s">
        <v>123</v>
      </c>
      <c r="W66" t="s">
        <v>123</v>
      </c>
      <c r="X66" t="s">
        <v>123</v>
      </c>
      <c r="Y66" t="s">
        <v>123</v>
      </c>
      <c r="Z66" t="s">
        <v>123</v>
      </c>
      <c r="AA66" t="s">
        <v>123</v>
      </c>
      <c r="AB66" t="s">
        <v>419</v>
      </c>
      <c r="AC66" t="s">
        <v>135</v>
      </c>
      <c r="AD66" t="s">
        <v>123</v>
      </c>
      <c r="AE66" t="s">
        <v>123</v>
      </c>
      <c r="AF66" t="s">
        <v>255</v>
      </c>
      <c r="AG66" t="s">
        <v>256</v>
      </c>
      <c r="AH66" t="s">
        <v>123</v>
      </c>
      <c r="AI66" t="s">
        <v>128</v>
      </c>
      <c r="AJ66" t="s">
        <v>138</v>
      </c>
      <c r="AK66" t="s">
        <v>139</v>
      </c>
      <c r="AL66" t="s">
        <v>123</v>
      </c>
      <c r="AM66" t="s">
        <v>123</v>
      </c>
      <c r="AN66" t="s">
        <v>123</v>
      </c>
      <c r="AO66" t="s">
        <v>123</v>
      </c>
      <c r="AP66">
        <v>250</v>
      </c>
      <c r="AQ66">
        <v>50</v>
      </c>
      <c r="AR66">
        <v>10</v>
      </c>
      <c r="AS66" t="s">
        <v>123</v>
      </c>
      <c r="AT66" t="s">
        <v>123</v>
      </c>
      <c r="AU66" t="s">
        <v>123</v>
      </c>
      <c r="AV66" t="s">
        <v>123</v>
      </c>
      <c r="AW66" t="s">
        <v>123</v>
      </c>
      <c r="AX66" t="s">
        <v>123</v>
      </c>
      <c r="AY66" t="s">
        <v>123</v>
      </c>
      <c r="AZ66" t="s">
        <v>123</v>
      </c>
      <c r="BA66" t="s">
        <v>140</v>
      </c>
      <c r="BB66" t="s">
        <v>123</v>
      </c>
      <c r="BC66" t="s">
        <v>123</v>
      </c>
      <c r="BD66" t="s">
        <v>123</v>
      </c>
      <c r="BE66" t="s">
        <v>123</v>
      </c>
      <c r="BF66" t="s">
        <v>123</v>
      </c>
      <c r="BG66" t="s">
        <v>141</v>
      </c>
      <c r="BH66" t="s">
        <v>123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123</v>
      </c>
      <c r="BX66" t="s">
        <v>123</v>
      </c>
      <c r="BY66" s="1">
        <v>45965.245876122688</v>
      </c>
      <c r="BZ66">
        <v>1465</v>
      </c>
      <c r="CA66" t="s">
        <v>123</v>
      </c>
      <c r="CB66" t="s">
        <v>123</v>
      </c>
      <c r="CC66">
        <v>0</v>
      </c>
      <c r="CD66" t="s">
        <v>123</v>
      </c>
      <c r="CE66" t="s">
        <v>123</v>
      </c>
      <c r="CF66" t="s">
        <v>123</v>
      </c>
      <c r="CG66" t="s">
        <v>123</v>
      </c>
      <c r="CH66" t="s">
        <v>123</v>
      </c>
      <c r="CI66" t="s">
        <v>123</v>
      </c>
      <c r="CJ66" t="s">
        <v>123</v>
      </c>
      <c r="CK66">
        <v>9.3799999999999994E-3</v>
      </c>
      <c r="CL66">
        <v>1.0109999999999999E-2</v>
      </c>
      <c r="CM66">
        <v>1.0200000000000001E-2</v>
      </c>
      <c r="CN66">
        <v>1.11E-2</v>
      </c>
      <c r="CO66" t="s">
        <v>123</v>
      </c>
      <c r="CP66" t="s">
        <v>123</v>
      </c>
      <c r="CQ66">
        <v>8.5000000000000006E-3</v>
      </c>
      <c r="CR66">
        <v>9.1999999999999998E-3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257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  <c r="DN66" t="s">
        <v>123</v>
      </c>
      <c r="DO66" t="s">
        <v>123</v>
      </c>
      <c r="DP66" t="s">
        <v>123</v>
      </c>
      <c r="DQ66" t="s">
        <v>123</v>
      </c>
      <c r="DR66" t="s">
        <v>123</v>
      </c>
      <c r="DS66" t="s">
        <v>123</v>
      </c>
    </row>
    <row r="67" spans="1:123" x14ac:dyDescent="0.3">
      <c r="A67">
        <v>66</v>
      </c>
      <c r="B67" t="s">
        <v>123</v>
      </c>
      <c r="C67" t="s">
        <v>123</v>
      </c>
      <c r="D67" t="s">
        <v>420</v>
      </c>
      <c r="E67" t="s">
        <v>123</v>
      </c>
      <c r="F67" t="s">
        <v>125</v>
      </c>
      <c r="G67" t="s">
        <v>126</v>
      </c>
      <c r="H67" t="s">
        <v>127</v>
      </c>
      <c r="I67" t="s">
        <v>128</v>
      </c>
      <c r="J67" t="s">
        <v>123</v>
      </c>
      <c r="K67" t="s">
        <v>415</v>
      </c>
      <c r="L67" t="s">
        <v>130</v>
      </c>
      <c r="M67" t="s">
        <v>416</v>
      </c>
      <c r="N67" t="s">
        <v>180</v>
      </c>
      <c r="O67" t="s">
        <v>133</v>
      </c>
      <c r="P67" t="s">
        <v>123</v>
      </c>
      <c r="Q67" t="s">
        <v>123</v>
      </c>
      <c r="R67" t="s">
        <v>123</v>
      </c>
      <c r="S67" t="s">
        <v>123</v>
      </c>
      <c r="T67" s="1">
        <v>46484</v>
      </c>
      <c r="U67" t="s">
        <v>123</v>
      </c>
      <c r="V67" t="s">
        <v>123</v>
      </c>
      <c r="W67" t="s">
        <v>123</v>
      </c>
      <c r="X67" t="s">
        <v>123</v>
      </c>
      <c r="Y67" t="s">
        <v>123</v>
      </c>
      <c r="Z67" t="s">
        <v>123</v>
      </c>
      <c r="AA67" t="s">
        <v>123</v>
      </c>
      <c r="AB67" t="s">
        <v>421</v>
      </c>
      <c r="AC67" t="s">
        <v>135</v>
      </c>
      <c r="AD67" t="s">
        <v>123</v>
      </c>
      <c r="AE67" t="s">
        <v>123</v>
      </c>
      <c r="AF67" t="s">
        <v>255</v>
      </c>
      <c r="AG67" t="s">
        <v>256</v>
      </c>
      <c r="AH67" t="s">
        <v>123</v>
      </c>
      <c r="AI67" t="s">
        <v>128</v>
      </c>
      <c r="AJ67" t="s">
        <v>186</v>
      </c>
      <c r="AK67" t="s">
        <v>139</v>
      </c>
      <c r="AL67" t="s">
        <v>123</v>
      </c>
      <c r="AM67" t="s">
        <v>123</v>
      </c>
      <c r="AN67" t="s">
        <v>123</v>
      </c>
      <c r="AO67" t="s">
        <v>123</v>
      </c>
      <c r="AP67">
        <v>250</v>
      </c>
      <c r="AQ67">
        <v>50</v>
      </c>
      <c r="AR67">
        <v>10</v>
      </c>
      <c r="AS67" t="s">
        <v>123</v>
      </c>
      <c r="AT67" t="s">
        <v>123</v>
      </c>
      <c r="AU67" t="s">
        <v>123</v>
      </c>
      <c r="AV67" t="s">
        <v>123</v>
      </c>
      <c r="AW67" t="s">
        <v>123</v>
      </c>
      <c r="AX67" t="s">
        <v>123</v>
      </c>
      <c r="AY67" t="s">
        <v>123</v>
      </c>
      <c r="AZ67" t="s">
        <v>123</v>
      </c>
      <c r="BA67" t="s">
        <v>140</v>
      </c>
      <c r="BB67" t="s">
        <v>123</v>
      </c>
      <c r="BC67" t="s">
        <v>123</v>
      </c>
      <c r="BD67" t="s">
        <v>123</v>
      </c>
      <c r="BE67" t="s">
        <v>123</v>
      </c>
      <c r="BF67" t="s">
        <v>123</v>
      </c>
      <c r="BG67" t="s">
        <v>141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s="1">
        <v>45965.24596565972</v>
      </c>
      <c r="BZ67">
        <v>1465</v>
      </c>
      <c r="CA67" t="s">
        <v>123</v>
      </c>
      <c r="CB67" t="s">
        <v>123</v>
      </c>
      <c r="CC67">
        <v>0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>
        <v>7.4000000000000003E-3</v>
      </c>
      <c r="CL67">
        <v>8.5699999999999995E-3</v>
      </c>
      <c r="CM67">
        <v>1.0200000000000001E-2</v>
      </c>
      <c r="CN67">
        <v>1.21E-2</v>
      </c>
      <c r="CO67" t="s">
        <v>123</v>
      </c>
      <c r="CP67" t="s">
        <v>123</v>
      </c>
      <c r="CQ67">
        <v>5.5999999999999999E-3</v>
      </c>
      <c r="CR67">
        <v>6.6E-3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257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  <c r="DN67" t="s">
        <v>123</v>
      </c>
      <c r="DO67" t="s">
        <v>123</v>
      </c>
      <c r="DP67" t="s">
        <v>123</v>
      </c>
      <c r="DQ67" t="s">
        <v>123</v>
      </c>
      <c r="DR67" t="s">
        <v>123</v>
      </c>
      <c r="DS67" t="s">
        <v>123</v>
      </c>
    </row>
    <row r="68" spans="1:123" x14ac:dyDescent="0.3">
      <c r="A68">
        <v>67</v>
      </c>
      <c r="B68" t="s">
        <v>123</v>
      </c>
      <c r="C68" t="s">
        <v>123</v>
      </c>
      <c r="D68" t="s">
        <v>422</v>
      </c>
      <c r="E68" t="s">
        <v>123</v>
      </c>
      <c r="F68" t="s">
        <v>125</v>
      </c>
      <c r="G68" t="s">
        <v>126</v>
      </c>
      <c r="H68" t="s">
        <v>127</v>
      </c>
      <c r="I68" t="s">
        <v>128</v>
      </c>
      <c r="J68" t="s">
        <v>123</v>
      </c>
      <c r="K68" t="s">
        <v>415</v>
      </c>
      <c r="L68" t="s">
        <v>130</v>
      </c>
      <c r="M68" t="s">
        <v>416</v>
      </c>
      <c r="N68" t="s">
        <v>158</v>
      </c>
      <c r="O68" t="s">
        <v>423</v>
      </c>
      <c r="P68" t="s">
        <v>123</v>
      </c>
      <c r="Q68" t="s">
        <v>123</v>
      </c>
      <c r="R68" t="s">
        <v>123</v>
      </c>
      <c r="S68" t="s">
        <v>123</v>
      </c>
      <c r="T68" s="1">
        <v>46484</v>
      </c>
      <c r="U68" t="s">
        <v>123</v>
      </c>
      <c r="V68" t="s">
        <v>123</v>
      </c>
      <c r="W68" t="s">
        <v>123</v>
      </c>
      <c r="X68" t="s">
        <v>123</v>
      </c>
      <c r="Y68" t="s">
        <v>123</v>
      </c>
      <c r="Z68" t="s">
        <v>123</v>
      </c>
      <c r="AA68" t="s">
        <v>123</v>
      </c>
      <c r="AB68" t="s">
        <v>424</v>
      </c>
      <c r="AC68" t="s">
        <v>135</v>
      </c>
      <c r="AD68" t="s">
        <v>123</v>
      </c>
      <c r="AE68" t="s">
        <v>123</v>
      </c>
      <c r="AF68" t="s">
        <v>255</v>
      </c>
      <c r="AG68" t="s">
        <v>256</v>
      </c>
      <c r="AH68" t="s">
        <v>123</v>
      </c>
      <c r="AI68" t="s">
        <v>128</v>
      </c>
      <c r="AJ68" t="s">
        <v>138</v>
      </c>
      <c r="AK68" t="s">
        <v>139</v>
      </c>
      <c r="AL68" t="s">
        <v>123</v>
      </c>
      <c r="AM68" t="s">
        <v>123</v>
      </c>
      <c r="AN68" t="s">
        <v>123</v>
      </c>
      <c r="AO68" t="s">
        <v>123</v>
      </c>
      <c r="AP68">
        <v>250</v>
      </c>
      <c r="AQ68">
        <v>50</v>
      </c>
      <c r="AR68">
        <v>10</v>
      </c>
      <c r="AS68" t="s">
        <v>123</v>
      </c>
      <c r="AT68" t="s">
        <v>123</v>
      </c>
      <c r="AU68" t="s">
        <v>123</v>
      </c>
      <c r="AV68" t="s">
        <v>123</v>
      </c>
      <c r="AW68" t="s">
        <v>123</v>
      </c>
      <c r="AX68" t="s">
        <v>123</v>
      </c>
      <c r="AY68" t="s">
        <v>123</v>
      </c>
      <c r="AZ68" t="s">
        <v>123</v>
      </c>
      <c r="BA68" t="s">
        <v>140</v>
      </c>
      <c r="BB68" t="s">
        <v>123</v>
      </c>
      <c r="BC68" t="s">
        <v>123</v>
      </c>
      <c r="BD68" t="s">
        <v>123</v>
      </c>
      <c r="BE68" t="s">
        <v>123</v>
      </c>
      <c r="BF68" t="s">
        <v>123</v>
      </c>
      <c r="BG68" t="s">
        <v>141</v>
      </c>
      <c r="BH68" t="s">
        <v>123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123</v>
      </c>
      <c r="BX68" t="s">
        <v>123</v>
      </c>
      <c r="BY68" s="1">
        <v>45965.246113043984</v>
      </c>
      <c r="BZ68">
        <v>1465</v>
      </c>
      <c r="CA68" t="s">
        <v>123</v>
      </c>
      <c r="CB68" t="s">
        <v>123</v>
      </c>
      <c r="CC68">
        <v>0</v>
      </c>
      <c r="CD68" t="s">
        <v>123</v>
      </c>
      <c r="CE68" t="s">
        <v>123</v>
      </c>
      <c r="CF68" t="s">
        <v>123</v>
      </c>
      <c r="CG68" t="s">
        <v>123</v>
      </c>
      <c r="CH68" t="s">
        <v>123</v>
      </c>
      <c r="CI68" t="s">
        <v>123</v>
      </c>
      <c r="CJ68" t="s">
        <v>123</v>
      </c>
      <c r="CK68">
        <v>6.2399999999999999E-3</v>
      </c>
      <c r="CL68">
        <v>6.5799999999999999E-3</v>
      </c>
      <c r="CM68">
        <v>7.6E-3</v>
      </c>
      <c r="CN68">
        <v>8.2000000000000007E-3</v>
      </c>
      <c r="CO68" t="s">
        <v>123</v>
      </c>
      <c r="CP68" t="s">
        <v>123</v>
      </c>
      <c r="CQ68">
        <v>5.7000000000000002E-3</v>
      </c>
      <c r="CR68">
        <v>6.0000000000000001E-3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257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  <c r="DN68" t="s">
        <v>123</v>
      </c>
      <c r="DO68" t="s">
        <v>123</v>
      </c>
      <c r="DP68" t="s">
        <v>123</v>
      </c>
      <c r="DQ68" t="s">
        <v>123</v>
      </c>
      <c r="DR68" t="s">
        <v>123</v>
      </c>
      <c r="DS68" t="s">
        <v>123</v>
      </c>
    </row>
    <row r="69" spans="1:123" x14ac:dyDescent="0.3">
      <c r="A69">
        <v>68</v>
      </c>
      <c r="B69" t="s">
        <v>123</v>
      </c>
      <c r="C69" t="s">
        <v>123</v>
      </c>
      <c r="D69" t="s">
        <v>425</v>
      </c>
      <c r="E69" t="s">
        <v>123</v>
      </c>
      <c r="F69" t="s">
        <v>125</v>
      </c>
      <c r="G69" t="s">
        <v>126</v>
      </c>
      <c r="H69" t="s">
        <v>127</v>
      </c>
      <c r="I69" t="s">
        <v>128</v>
      </c>
      <c r="J69" t="s">
        <v>123</v>
      </c>
      <c r="K69" t="s">
        <v>415</v>
      </c>
      <c r="L69" t="s">
        <v>130</v>
      </c>
      <c r="M69" t="s">
        <v>416</v>
      </c>
      <c r="N69" t="s">
        <v>158</v>
      </c>
      <c r="O69" t="s">
        <v>167</v>
      </c>
      <c r="P69" t="s">
        <v>123</v>
      </c>
      <c r="Q69" t="s">
        <v>123</v>
      </c>
      <c r="R69" t="s">
        <v>123</v>
      </c>
      <c r="S69" t="s">
        <v>123</v>
      </c>
      <c r="T69" s="1">
        <v>46119</v>
      </c>
      <c r="U69" t="s">
        <v>123</v>
      </c>
      <c r="V69" t="s">
        <v>123</v>
      </c>
      <c r="W69" t="s">
        <v>123</v>
      </c>
      <c r="X69" t="s">
        <v>123</v>
      </c>
      <c r="Y69" t="s">
        <v>123</v>
      </c>
      <c r="Z69" t="s">
        <v>123</v>
      </c>
      <c r="AA69" t="s">
        <v>123</v>
      </c>
      <c r="AB69" t="s">
        <v>426</v>
      </c>
      <c r="AC69" t="s">
        <v>135</v>
      </c>
      <c r="AD69" t="s">
        <v>123</v>
      </c>
      <c r="AE69" t="s">
        <v>123</v>
      </c>
      <c r="AF69" t="s">
        <v>255</v>
      </c>
      <c r="AG69" t="s">
        <v>256</v>
      </c>
      <c r="AH69" t="s">
        <v>123</v>
      </c>
      <c r="AI69" t="s">
        <v>128</v>
      </c>
      <c r="AJ69" t="s">
        <v>138</v>
      </c>
      <c r="AK69" t="s">
        <v>139</v>
      </c>
      <c r="AL69" t="s">
        <v>123</v>
      </c>
      <c r="AM69" t="s">
        <v>123</v>
      </c>
      <c r="AN69" t="s">
        <v>123</v>
      </c>
      <c r="AO69" t="s">
        <v>123</v>
      </c>
      <c r="AP69">
        <v>250</v>
      </c>
      <c r="AQ69">
        <v>50</v>
      </c>
      <c r="AR69">
        <v>10</v>
      </c>
      <c r="AS69" t="s">
        <v>123</v>
      </c>
      <c r="AT69" t="s">
        <v>123</v>
      </c>
      <c r="AU69" t="s">
        <v>123</v>
      </c>
      <c r="AV69" t="s">
        <v>123</v>
      </c>
      <c r="AW69" t="s">
        <v>123</v>
      </c>
      <c r="AX69" t="s">
        <v>123</v>
      </c>
      <c r="AY69" t="s">
        <v>123</v>
      </c>
      <c r="AZ69" t="s">
        <v>123</v>
      </c>
      <c r="BA69" t="s">
        <v>140</v>
      </c>
      <c r="BB69" t="s">
        <v>123</v>
      </c>
      <c r="BC69" t="s">
        <v>123</v>
      </c>
      <c r="BD69" t="s">
        <v>123</v>
      </c>
      <c r="BE69" t="s">
        <v>123</v>
      </c>
      <c r="BF69" t="s">
        <v>123</v>
      </c>
      <c r="BG69" t="s">
        <v>141</v>
      </c>
      <c r="BH69" t="s">
        <v>123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123</v>
      </c>
      <c r="BX69" t="s">
        <v>123</v>
      </c>
      <c r="BY69" s="1">
        <v>45965.246223182869</v>
      </c>
      <c r="BZ69">
        <v>1465</v>
      </c>
      <c r="CA69" t="s">
        <v>123</v>
      </c>
      <c r="CB69" t="s">
        <v>123</v>
      </c>
      <c r="CC69">
        <v>0</v>
      </c>
      <c r="CD69" t="s">
        <v>123</v>
      </c>
      <c r="CE69" t="s">
        <v>123</v>
      </c>
      <c r="CF69" t="s">
        <v>123</v>
      </c>
      <c r="CG69" t="s">
        <v>123</v>
      </c>
      <c r="CH69" t="s">
        <v>123</v>
      </c>
      <c r="CI69" t="s">
        <v>123</v>
      </c>
      <c r="CJ69" t="s">
        <v>123</v>
      </c>
      <c r="CK69">
        <v>8.6099999999999996E-3</v>
      </c>
      <c r="CL69">
        <v>9.2499999999999995E-3</v>
      </c>
      <c r="CM69">
        <v>9.9000000000000008E-3</v>
      </c>
      <c r="CN69">
        <v>1.0699999999999999E-2</v>
      </c>
      <c r="CO69" t="s">
        <v>123</v>
      </c>
      <c r="CP69" t="s">
        <v>123</v>
      </c>
      <c r="CQ69">
        <v>7.4999999999999997E-3</v>
      </c>
      <c r="CR69">
        <v>8.0999999999999996E-3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257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  <c r="DN69" t="s">
        <v>123</v>
      </c>
      <c r="DO69" t="s">
        <v>123</v>
      </c>
      <c r="DP69" t="s">
        <v>123</v>
      </c>
      <c r="DQ69" t="s">
        <v>123</v>
      </c>
      <c r="DR69" t="s">
        <v>123</v>
      </c>
      <c r="DS69" t="s">
        <v>123</v>
      </c>
    </row>
    <row r="70" spans="1:123" x14ac:dyDescent="0.3">
      <c r="A70">
        <v>69</v>
      </c>
      <c r="B70" t="s">
        <v>123</v>
      </c>
      <c r="C70" t="s">
        <v>123</v>
      </c>
      <c r="D70" t="s">
        <v>427</v>
      </c>
      <c r="E70" t="s">
        <v>123</v>
      </c>
      <c r="F70" t="s">
        <v>125</v>
      </c>
      <c r="G70" t="s">
        <v>126</v>
      </c>
      <c r="H70" t="s">
        <v>127</v>
      </c>
      <c r="I70" t="s">
        <v>128</v>
      </c>
      <c r="J70" t="s">
        <v>123</v>
      </c>
      <c r="K70" t="s">
        <v>415</v>
      </c>
      <c r="L70" t="s">
        <v>130</v>
      </c>
      <c r="M70" t="s">
        <v>416</v>
      </c>
      <c r="N70" t="s">
        <v>180</v>
      </c>
      <c r="O70" t="s">
        <v>167</v>
      </c>
      <c r="P70" t="s">
        <v>123</v>
      </c>
      <c r="Q70" t="s">
        <v>123</v>
      </c>
      <c r="R70" t="s">
        <v>123</v>
      </c>
      <c r="S70" t="s">
        <v>123</v>
      </c>
      <c r="T70" s="1">
        <v>46484</v>
      </c>
      <c r="U70" t="s">
        <v>123</v>
      </c>
      <c r="V70" t="s">
        <v>123</v>
      </c>
      <c r="W70" t="s">
        <v>123</v>
      </c>
      <c r="X70" t="s">
        <v>123</v>
      </c>
      <c r="Y70" t="s">
        <v>123</v>
      </c>
      <c r="Z70" t="s">
        <v>123</v>
      </c>
      <c r="AA70" t="s">
        <v>123</v>
      </c>
      <c r="AB70" t="s">
        <v>421</v>
      </c>
      <c r="AC70" t="s">
        <v>135</v>
      </c>
      <c r="AD70" t="s">
        <v>123</v>
      </c>
      <c r="AE70" t="s">
        <v>123</v>
      </c>
      <c r="AF70" t="s">
        <v>255</v>
      </c>
      <c r="AG70" t="s">
        <v>256</v>
      </c>
      <c r="AH70" t="s">
        <v>123</v>
      </c>
      <c r="AI70" t="s">
        <v>128</v>
      </c>
      <c r="AJ70" t="s">
        <v>171</v>
      </c>
      <c r="AK70" t="s">
        <v>139</v>
      </c>
      <c r="AL70" t="s">
        <v>123</v>
      </c>
      <c r="AM70" t="s">
        <v>123</v>
      </c>
      <c r="AN70" t="s">
        <v>123</v>
      </c>
      <c r="AO70" t="s">
        <v>123</v>
      </c>
      <c r="AP70">
        <v>250</v>
      </c>
      <c r="AQ70">
        <v>50</v>
      </c>
      <c r="AR70">
        <v>10</v>
      </c>
      <c r="AS70" t="s">
        <v>123</v>
      </c>
      <c r="AT70" t="s">
        <v>123</v>
      </c>
      <c r="AU70" t="s">
        <v>123</v>
      </c>
      <c r="AV70" t="s">
        <v>123</v>
      </c>
      <c r="AW70" t="s">
        <v>123</v>
      </c>
      <c r="AX70" t="s">
        <v>123</v>
      </c>
      <c r="AY70" t="s">
        <v>123</v>
      </c>
      <c r="AZ70" t="s">
        <v>123</v>
      </c>
      <c r="BA70" t="s">
        <v>140</v>
      </c>
      <c r="BB70" t="s">
        <v>123</v>
      </c>
      <c r="BC70" t="s">
        <v>123</v>
      </c>
      <c r="BD70" t="s">
        <v>123</v>
      </c>
      <c r="BE70" t="s">
        <v>123</v>
      </c>
      <c r="BF70" t="s">
        <v>123</v>
      </c>
      <c r="BG70" t="s">
        <v>141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s="1">
        <v>45965.24632002315</v>
      </c>
      <c r="BZ70">
        <v>1465</v>
      </c>
      <c r="CA70" t="s">
        <v>123</v>
      </c>
      <c r="CB70" t="s">
        <v>123</v>
      </c>
      <c r="CC70">
        <v>0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>
        <v>7.1799999999999998E-3</v>
      </c>
      <c r="CL70">
        <v>7.7600000000000004E-3</v>
      </c>
      <c r="CM70">
        <v>9.2999999999999992E-3</v>
      </c>
      <c r="CN70">
        <v>0.01</v>
      </c>
      <c r="CO70" t="s">
        <v>123</v>
      </c>
      <c r="CP70" t="s">
        <v>123</v>
      </c>
      <c r="CQ70">
        <v>5.4999999999999997E-3</v>
      </c>
      <c r="CR70">
        <v>6.0000000000000001E-3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257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  <c r="DN70" t="s">
        <v>123</v>
      </c>
      <c r="DO70" t="s">
        <v>123</v>
      </c>
      <c r="DP70" t="s">
        <v>123</v>
      </c>
      <c r="DQ70" t="s">
        <v>123</v>
      </c>
      <c r="DR70" t="s">
        <v>123</v>
      </c>
      <c r="DS70" t="s">
        <v>123</v>
      </c>
    </row>
    <row r="71" spans="1:123" x14ac:dyDescent="0.3">
      <c r="A71">
        <v>70</v>
      </c>
      <c r="B71" t="s">
        <v>123</v>
      </c>
      <c r="C71" t="s">
        <v>123</v>
      </c>
      <c r="D71" t="s">
        <v>428</v>
      </c>
      <c r="E71" t="s">
        <v>123</v>
      </c>
      <c r="F71" t="s">
        <v>125</v>
      </c>
      <c r="G71" t="s">
        <v>126</v>
      </c>
      <c r="H71" t="s">
        <v>127</v>
      </c>
      <c r="I71" t="s">
        <v>128</v>
      </c>
      <c r="J71" t="s">
        <v>123</v>
      </c>
      <c r="K71" t="s">
        <v>415</v>
      </c>
      <c r="L71" t="s">
        <v>130</v>
      </c>
      <c r="M71" t="s">
        <v>416</v>
      </c>
      <c r="N71" t="s">
        <v>248</v>
      </c>
      <c r="O71" t="s">
        <v>167</v>
      </c>
      <c r="P71" t="s">
        <v>123</v>
      </c>
      <c r="Q71" t="s">
        <v>123</v>
      </c>
      <c r="R71" t="s">
        <v>123</v>
      </c>
      <c r="S71" t="s">
        <v>123</v>
      </c>
      <c r="T71" s="1">
        <v>46119</v>
      </c>
      <c r="U71" t="s">
        <v>123</v>
      </c>
      <c r="V71" t="s">
        <v>123</v>
      </c>
      <c r="W71" t="s">
        <v>123</v>
      </c>
      <c r="X71" t="s">
        <v>123</v>
      </c>
      <c r="Y71" t="s">
        <v>123</v>
      </c>
      <c r="Z71" t="s">
        <v>123</v>
      </c>
      <c r="AA71" t="s">
        <v>123</v>
      </c>
      <c r="AB71" t="s">
        <v>429</v>
      </c>
      <c r="AC71" t="s">
        <v>135</v>
      </c>
      <c r="AD71" t="s">
        <v>123</v>
      </c>
      <c r="AE71" t="s">
        <v>123</v>
      </c>
      <c r="AF71" t="s">
        <v>136</v>
      </c>
      <c r="AG71" t="s">
        <v>137</v>
      </c>
      <c r="AH71" t="s">
        <v>123</v>
      </c>
      <c r="AI71" t="s">
        <v>128</v>
      </c>
      <c r="AJ71" t="s">
        <v>186</v>
      </c>
      <c r="AK71" t="s">
        <v>139</v>
      </c>
      <c r="AL71" t="s">
        <v>123</v>
      </c>
      <c r="AM71" t="s">
        <v>123</v>
      </c>
      <c r="AN71" t="s">
        <v>123</v>
      </c>
      <c r="AO71" t="s">
        <v>123</v>
      </c>
      <c r="AP71">
        <v>250</v>
      </c>
      <c r="AQ71">
        <v>50</v>
      </c>
      <c r="AR71">
        <v>10</v>
      </c>
      <c r="AS71" t="s">
        <v>123</v>
      </c>
      <c r="AT71" t="s">
        <v>123</v>
      </c>
      <c r="AU71" t="s">
        <v>123</v>
      </c>
      <c r="AV71" t="s">
        <v>123</v>
      </c>
      <c r="AW71" t="s">
        <v>123</v>
      </c>
      <c r="AX71" t="s">
        <v>123</v>
      </c>
      <c r="AY71" t="s">
        <v>123</v>
      </c>
      <c r="AZ71" t="s">
        <v>123</v>
      </c>
      <c r="BA71" t="s">
        <v>140</v>
      </c>
      <c r="BB71" t="s">
        <v>123</v>
      </c>
      <c r="BC71" t="s">
        <v>123</v>
      </c>
      <c r="BD71" t="s">
        <v>123</v>
      </c>
      <c r="BE71" t="s">
        <v>123</v>
      </c>
      <c r="BF71" t="s">
        <v>123</v>
      </c>
      <c r="BG71" t="s">
        <v>141</v>
      </c>
      <c r="BH71" t="s">
        <v>123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123</v>
      </c>
      <c r="BX71" t="s">
        <v>123</v>
      </c>
      <c r="BY71" s="1">
        <v>45965.246494988423</v>
      </c>
      <c r="BZ71">
        <v>1465</v>
      </c>
      <c r="CA71" t="s">
        <v>123</v>
      </c>
      <c r="CB71" t="s">
        <v>123</v>
      </c>
      <c r="CC71">
        <v>0</v>
      </c>
      <c r="CD71" t="s">
        <v>123</v>
      </c>
      <c r="CE71" t="s">
        <v>123</v>
      </c>
      <c r="CF71" t="s">
        <v>123</v>
      </c>
      <c r="CG71" t="s">
        <v>123</v>
      </c>
      <c r="CH71" t="s">
        <v>123</v>
      </c>
      <c r="CI71" t="s">
        <v>123</v>
      </c>
      <c r="CJ71" t="s">
        <v>123</v>
      </c>
      <c r="CK71">
        <v>6.2599999999999999E-3</v>
      </c>
      <c r="CL71">
        <v>6.94E-3</v>
      </c>
      <c r="CM71">
        <v>8.9999999999999993E-3</v>
      </c>
      <c r="CN71">
        <v>1.04E-2</v>
      </c>
      <c r="CO71" t="s">
        <v>123</v>
      </c>
      <c r="CP71" t="s">
        <v>123</v>
      </c>
      <c r="CQ71">
        <v>4.1999999999999997E-3</v>
      </c>
      <c r="CR71">
        <v>4.5999999999999999E-3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257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  <c r="DN71" t="s">
        <v>123</v>
      </c>
      <c r="DO71" t="s">
        <v>123</v>
      </c>
      <c r="DP71" t="s">
        <v>123</v>
      </c>
      <c r="DQ71" t="s">
        <v>123</v>
      </c>
      <c r="DR71" t="s">
        <v>123</v>
      </c>
      <c r="DS71" t="s">
        <v>123</v>
      </c>
    </row>
    <row r="72" spans="1:123" x14ac:dyDescent="0.3">
      <c r="A72">
        <v>71</v>
      </c>
      <c r="B72" t="s">
        <v>123</v>
      </c>
      <c r="C72" t="s">
        <v>123</v>
      </c>
      <c r="D72" t="s">
        <v>430</v>
      </c>
      <c r="E72" t="s">
        <v>123</v>
      </c>
      <c r="F72" t="s">
        <v>125</v>
      </c>
      <c r="G72" t="s">
        <v>126</v>
      </c>
      <c r="H72" t="s">
        <v>127</v>
      </c>
      <c r="I72" t="s">
        <v>128</v>
      </c>
      <c r="J72" t="s">
        <v>123</v>
      </c>
      <c r="K72" t="s">
        <v>251</v>
      </c>
      <c r="L72" t="s">
        <v>130</v>
      </c>
      <c r="M72" t="s">
        <v>252</v>
      </c>
      <c r="N72" t="s">
        <v>132</v>
      </c>
      <c r="O72" t="s">
        <v>159</v>
      </c>
      <c r="P72" t="s">
        <v>123</v>
      </c>
      <c r="Q72" t="s">
        <v>123</v>
      </c>
      <c r="R72" t="s">
        <v>123</v>
      </c>
      <c r="S72" t="s">
        <v>123</v>
      </c>
      <c r="T72" s="1">
        <v>46850</v>
      </c>
      <c r="U72" t="s">
        <v>123</v>
      </c>
      <c r="V72" t="s">
        <v>123</v>
      </c>
      <c r="W72" t="s">
        <v>123</v>
      </c>
      <c r="X72" t="s">
        <v>123</v>
      </c>
      <c r="Y72" t="s">
        <v>123</v>
      </c>
      <c r="Z72" t="s">
        <v>123</v>
      </c>
      <c r="AA72" t="s">
        <v>123</v>
      </c>
      <c r="AB72" t="s">
        <v>431</v>
      </c>
      <c r="AC72" t="s">
        <v>135</v>
      </c>
      <c r="AD72" t="s">
        <v>123</v>
      </c>
      <c r="AE72" t="s">
        <v>123</v>
      </c>
      <c r="AF72" t="s">
        <v>255</v>
      </c>
      <c r="AG72" t="s">
        <v>256</v>
      </c>
      <c r="AH72" t="s">
        <v>123</v>
      </c>
      <c r="AI72" t="s">
        <v>128</v>
      </c>
      <c r="AJ72" t="s">
        <v>138</v>
      </c>
      <c r="AK72" t="s">
        <v>139</v>
      </c>
      <c r="AL72" t="s">
        <v>123</v>
      </c>
      <c r="AM72" t="s">
        <v>123</v>
      </c>
      <c r="AN72" t="s">
        <v>123</v>
      </c>
      <c r="AO72" t="s">
        <v>123</v>
      </c>
      <c r="AP72">
        <v>250</v>
      </c>
      <c r="AQ72">
        <v>50</v>
      </c>
      <c r="AR72">
        <v>10</v>
      </c>
      <c r="AS72" t="s">
        <v>123</v>
      </c>
      <c r="AT72" t="s">
        <v>123</v>
      </c>
      <c r="AU72" t="s">
        <v>123</v>
      </c>
      <c r="AV72" t="s">
        <v>123</v>
      </c>
      <c r="AW72" t="s">
        <v>123</v>
      </c>
      <c r="AX72" t="s">
        <v>123</v>
      </c>
      <c r="AY72" t="s">
        <v>123</v>
      </c>
      <c r="AZ72" t="s">
        <v>123</v>
      </c>
      <c r="BA72" t="s">
        <v>140</v>
      </c>
      <c r="BB72" t="s">
        <v>123</v>
      </c>
      <c r="BC72" t="s">
        <v>123</v>
      </c>
      <c r="BD72" t="s">
        <v>123</v>
      </c>
      <c r="BE72" t="s">
        <v>123</v>
      </c>
      <c r="BF72" t="s">
        <v>123</v>
      </c>
      <c r="BG72" t="s">
        <v>141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s="1">
        <v>45965.246641666665</v>
      </c>
      <c r="BZ72">
        <v>1465</v>
      </c>
      <c r="CA72" t="s">
        <v>123</v>
      </c>
      <c r="CB72" t="s">
        <v>123</v>
      </c>
      <c r="CC72">
        <v>0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>
        <v>6.2199999999999998E-3</v>
      </c>
      <c r="CL72">
        <v>6.5799999999999999E-3</v>
      </c>
      <c r="CM72">
        <v>7.1999999999999998E-3</v>
      </c>
      <c r="CN72">
        <v>7.6E-3</v>
      </c>
      <c r="CO72" t="s">
        <v>123</v>
      </c>
      <c r="CP72" t="s">
        <v>123</v>
      </c>
      <c r="CQ72">
        <v>5.1999999999999998E-3</v>
      </c>
      <c r="CR72">
        <v>5.4999999999999997E-3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152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  <c r="DN72" t="s">
        <v>123</v>
      </c>
      <c r="DO72" t="s">
        <v>123</v>
      </c>
      <c r="DP72" t="s">
        <v>123</v>
      </c>
      <c r="DQ72" t="s">
        <v>123</v>
      </c>
      <c r="DR72" t="s">
        <v>123</v>
      </c>
      <c r="DS72" t="s">
        <v>123</v>
      </c>
    </row>
    <row r="73" spans="1:123" x14ac:dyDescent="0.3">
      <c r="A73">
        <v>72</v>
      </c>
      <c r="B73" t="s">
        <v>123</v>
      </c>
      <c r="C73" t="s">
        <v>123</v>
      </c>
      <c r="D73" t="s">
        <v>432</v>
      </c>
      <c r="E73" t="s">
        <v>123</v>
      </c>
      <c r="F73" t="s">
        <v>125</v>
      </c>
      <c r="G73" t="s">
        <v>126</v>
      </c>
      <c r="H73" t="s">
        <v>127</v>
      </c>
      <c r="I73" t="s">
        <v>128</v>
      </c>
      <c r="J73" t="s">
        <v>123</v>
      </c>
      <c r="K73" t="s">
        <v>251</v>
      </c>
      <c r="L73" t="s">
        <v>130</v>
      </c>
      <c r="M73" t="s">
        <v>252</v>
      </c>
      <c r="N73" t="s">
        <v>144</v>
      </c>
      <c r="O73" t="s">
        <v>159</v>
      </c>
      <c r="P73" t="s">
        <v>123</v>
      </c>
      <c r="Q73" t="s">
        <v>123</v>
      </c>
      <c r="R73" t="s">
        <v>123</v>
      </c>
      <c r="S73" t="s">
        <v>123</v>
      </c>
      <c r="T73" s="1">
        <v>46850</v>
      </c>
      <c r="U73" t="s">
        <v>123</v>
      </c>
      <c r="V73" t="s">
        <v>123</v>
      </c>
      <c r="W73" t="s">
        <v>123</v>
      </c>
      <c r="X73" t="s">
        <v>123</v>
      </c>
      <c r="Y73" t="s">
        <v>123</v>
      </c>
      <c r="Z73" t="s">
        <v>123</v>
      </c>
      <c r="AA73" t="s">
        <v>123</v>
      </c>
      <c r="AB73" t="s">
        <v>433</v>
      </c>
      <c r="AC73" t="s">
        <v>135</v>
      </c>
      <c r="AD73" t="s">
        <v>123</v>
      </c>
      <c r="AE73" t="s">
        <v>123</v>
      </c>
      <c r="AF73" t="s">
        <v>255</v>
      </c>
      <c r="AG73" t="s">
        <v>256</v>
      </c>
      <c r="AH73" t="s">
        <v>123</v>
      </c>
      <c r="AI73" t="s">
        <v>128</v>
      </c>
      <c r="AJ73" t="s">
        <v>138</v>
      </c>
      <c r="AK73" t="s">
        <v>139</v>
      </c>
      <c r="AL73" t="s">
        <v>123</v>
      </c>
      <c r="AM73" t="s">
        <v>123</v>
      </c>
      <c r="AN73" t="s">
        <v>123</v>
      </c>
      <c r="AO73" t="s">
        <v>123</v>
      </c>
      <c r="AP73">
        <v>250</v>
      </c>
      <c r="AQ73">
        <v>50</v>
      </c>
      <c r="AR73">
        <v>10</v>
      </c>
      <c r="AS73" t="s">
        <v>123</v>
      </c>
      <c r="AT73" t="s">
        <v>123</v>
      </c>
      <c r="AU73" t="s">
        <v>123</v>
      </c>
      <c r="AV73" t="s">
        <v>123</v>
      </c>
      <c r="AW73" t="s">
        <v>123</v>
      </c>
      <c r="AX73" t="s">
        <v>123</v>
      </c>
      <c r="AY73" t="s">
        <v>123</v>
      </c>
      <c r="AZ73" t="s">
        <v>123</v>
      </c>
      <c r="BA73" t="s">
        <v>140</v>
      </c>
      <c r="BB73" t="s">
        <v>123</v>
      </c>
      <c r="BC73" t="s">
        <v>123</v>
      </c>
      <c r="BD73" t="s">
        <v>123</v>
      </c>
      <c r="BE73" t="s">
        <v>123</v>
      </c>
      <c r="BF73" t="s">
        <v>123</v>
      </c>
      <c r="BG73" t="s">
        <v>141</v>
      </c>
      <c r="BH73" t="s">
        <v>123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123</v>
      </c>
      <c r="BX73" t="s">
        <v>123</v>
      </c>
      <c r="BY73" s="1">
        <v>45965.246731944448</v>
      </c>
      <c r="BZ73">
        <v>1465</v>
      </c>
      <c r="CA73" t="s">
        <v>123</v>
      </c>
      <c r="CB73" t="s">
        <v>123</v>
      </c>
      <c r="CC73">
        <v>0</v>
      </c>
      <c r="CD73" t="s">
        <v>123</v>
      </c>
      <c r="CE73" t="s">
        <v>123</v>
      </c>
      <c r="CF73" t="s">
        <v>123</v>
      </c>
      <c r="CG73" t="s">
        <v>123</v>
      </c>
      <c r="CH73" t="s">
        <v>123</v>
      </c>
      <c r="CI73" t="s">
        <v>123</v>
      </c>
      <c r="CJ73" t="s">
        <v>123</v>
      </c>
      <c r="CK73">
        <v>8.77E-3</v>
      </c>
      <c r="CL73">
        <v>9.4199999999999996E-3</v>
      </c>
      <c r="CM73">
        <v>1.0999999999999999E-2</v>
      </c>
      <c r="CN73">
        <v>1.21E-2</v>
      </c>
      <c r="CO73" t="s">
        <v>123</v>
      </c>
      <c r="CP73" t="s">
        <v>123</v>
      </c>
      <c r="CQ73">
        <v>7.1999999999999998E-3</v>
      </c>
      <c r="CR73">
        <v>7.6E-3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152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  <c r="DN73" t="s">
        <v>123</v>
      </c>
      <c r="DO73" t="s">
        <v>123</v>
      </c>
      <c r="DP73" t="s">
        <v>123</v>
      </c>
      <c r="DQ73" t="s">
        <v>123</v>
      </c>
      <c r="DR73" t="s">
        <v>123</v>
      </c>
      <c r="DS73" t="s">
        <v>123</v>
      </c>
    </row>
    <row r="74" spans="1:123" x14ac:dyDescent="0.3">
      <c r="A74">
        <v>73</v>
      </c>
      <c r="B74" t="s">
        <v>123</v>
      </c>
      <c r="C74" t="s">
        <v>123</v>
      </c>
      <c r="D74" t="s">
        <v>434</v>
      </c>
      <c r="E74" t="s">
        <v>123</v>
      </c>
      <c r="F74" t="s">
        <v>125</v>
      </c>
      <c r="G74" t="s">
        <v>126</v>
      </c>
      <c r="H74" t="s">
        <v>127</v>
      </c>
      <c r="I74" t="s">
        <v>128</v>
      </c>
      <c r="J74" t="s">
        <v>123</v>
      </c>
      <c r="K74" t="s">
        <v>251</v>
      </c>
      <c r="L74" t="s">
        <v>130</v>
      </c>
      <c r="M74" t="s">
        <v>252</v>
      </c>
      <c r="N74" t="s">
        <v>435</v>
      </c>
      <c r="O74" t="s">
        <v>159</v>
      </c>
      <c r="P74" t="s">
        <v>123</v>
      </c>
      <c r="Q74" t="s">
        <v>123</v>
      </c>
      <c r="R74" t="s">
        <v>123</v>
      </c>
      <c r="S74" t="s">
        <v>123</v>
      </c>
      <c r="T74" s="1">
        <v>47581</v>
      </c>
      <c r="U74" t="s">
        <v>123</v>
      </c>
      <c r="V74" t="s">
        <v>123</v>
      </c>
      <c r="W74" t="s">
        <v>123</v>
      </c>
      <c r="X74" t="s">
        <v>123</v>
      </c>
      <c r="Y74" t="s">
        <v>123</v>
      </c>
      <c r="Z74" t="s">
        <v>123</v>
      </c>
      <c r="AA74" t="s">
        <v>123</v>
      </c>
      <c r="AB74" t="s">
        <v>436</v>
      </c>
      <c r="AC74" t="s">
        <v>135</v>
      </c>
      <c r="AD74" t="s">
        <v>123</v>
      </c>
      <c r="AE74" t="s">
        <v>123</v>
      </c>
      <c r="AF74" t="s">
        <v>255</v>
      </c>
      <c r="AG74" t="s">
        <v>256</v>
      </c>
      <c r="AH74" t="s">
        <v>123</v>
      </c>
      <c r="AI74" t="s">
        <v>128</v>
      </c>
      <c r="AJ74" t="s">
        <v>138</v>
      </c>
      <c r="AK74" t="s">
        <v>139</v>
      </c>
      <c r="AL74" t="s">
        <v>123</v>
      </c>
      <c r="AM74" t="s">
        <v>123</v>
      </c>
      <c r="AN74" t="s">
        <v>123</v>
      </c>
      <c r="AO74" t="s">
        <v>123</v>
      </c>
      <c r="AP74">
        <v>250</v>
      </c>
      <c r="AQ74">
        <v>50</v>
      </c>
      <c r="AR74">
        <v>10</v>
      </c>
      <c r="AS74" t="s">
        <v>123</v>
      </c>
      <c r="AT74" t="s">
        <v>123</v>
      </c>
      <c r="AU74" t="s">
        <v>123</v>
      </c>
      <c r="AV74" t="s">
        <v>123</v>
      </c>
      <c r="AW74" t="s">
        <v>123</v>
      </c>
      <c r="AX74" t="s">
        <v>123</v>
      </c>
      <c r="AY74" t="s">
        <v>123</v>
      </c>
      <c r="AZ74" t="s">
        <v>123</v>
      </c>
      <c r="BA74" t="s">
        <v>140</v>
      </c>
      <c r="BB74" t="s">
        <v>123</v>
      </c>
      <c r="BC74" t="s">
        <v>123</v>
      </c>
      <c r="BD74" t="s">
        <v>123</v>
      </c>
      <c r="BE74" t="s">
        <v>123</v>
      </c>
      <c r="BF74" t="s">
        <v>123</v>
      </c>
      <c r="BG74" t="s">
        <v>141</v>
      </c>
      <c r="BH74" t="s">
        <v>123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123</v>
      </c>
      <c r="BX74" t="s">
        <v>123</v>
      </c>
      <c r="BY74" s="1">
        <v>45965.246790972225</v>
      </c>
      <c r="BZ74">
        <v>1465</v>
      </c>
      <c r="CA74" t="s">
        <v>123</v>
      </c>
      <c r="CB74" t="s">
        <v>123</v>
      </c>
      <c r="CC74">
        <v>0</v>
      </c>
      <c r="CD74" t="s">
        <v>123</v>
      </c>
      <c r="CE74" t="s">
        <v>123</v>
      </c>
      <c r="CF74" t="s">
        <v>123</v>
      </c>
      <c r="CG74" t="s">
        <v>123</v>
      </c>
      <c r="CH74" t="s">
        <v>123</v>
      </c>
      <c r="CI74" t="s">
        <v>123</v>
      </c>
      <c r="CJ74" t="s">
        <v>123</v>
      </c>
      <c r="CK74">
        <v>6.2199999999999998E-3</v>
      </c>
      <c r="CL74">
        <v>6.5799999999999999E-3</v>
      </c>
      <c r="CM74">
        <v>7.1999999999999998E-3</v>
      </c>
      <c r="CN74">
        <v>7.6E-3</v>
      </c>
      <c r="CO74" t="s">
        <v>123</v>
      </c>
      <c r="CP74" t="s">
        <v>123</v>
      </c>
      <c r="CQ74">
        <v>5.1999999999999998E-3</v>
      </c>
      <c r="CR74">
        <v>5.4999999999999997E-3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152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  <c r="DN74" t="s">
        <v>123</v>
      </c>
      <c r="DO74" t="s">
        <v>123</v>
      </c>
      <c r="DP74" t="s">
        <v>123</v>
      </c>
      <c r="DQ74" t="s">
        <v>123</v>
      </c>
      <c r="DR74" t="s">
        <v>123</v>
      </c>
      <c r="DS74" t="s">
        <v>123</v>
      </c>
    </row>
    <row r="75" spans="1:123" x14ac:dyDescent="0.3">
      <c r="A75">
        <v>74</v>
      </c>
      <c r="B75" t="s">
        <v>123</v>
      </c>
      <c r="C75" t="s">
        <v>123</v>
      </c>
      <c r="D75" t="s">
        <v>437</v>
      </c>
      <c r="E75" t="s">
        <v>123</v>
      </c>
      <c r="F75" t="s">
        <v>125</v>
      </c>
      <c r="G75" t="s">
        <v>126</v>
      </c>
      <c r="H75" t="s">
        <v>127</v>
      </c>
      <c r="I75" t="s">
        <v>128</v>
      </c>
      <c r="J75" t="s">
        <v>123</v>
      </c>
      <c r="K75" t="s">
        <v>251</v>
      </c>
      <c r="L75" t="s">
        <v>130</v>
      </c>
      <c r="M75" t="s">
        <v>252</v>
      </c>
      <c r="N75" t="s">
        <v>438</v>
      </c>
      <c r="O75" t="s">
        <v>159</v>
      </c>
      <c r="P75" t="s">
        <v>123</v>
      </c>
      <c r="Q75" t="s">
        <v>123</v>
      </c>
      <c r="R75" t="s">
        <v>123</v>
      </c>
      <c r="S75" t="s">
        <v>123</v>
      </c>
      <c r="T75" s="1">
        <v>47581</v>
      </c>
      <c r="U75" t="s">
        <v>123</v>
      </c>
      <c r="V75" t="s">
        <v>123</v>
      </c>
      <c r="W75" t="s">
        <v>123</v>
      </c>
      <c r="X75" t="s">
        <v>123</v>
      </c>
      <c r="Y75" t="s">
        <v>123</v>
      </c>
      <c r="Z75" t="s">
        <v>123</v>
      </c>
      <c r="AA75" t="s">
        <v>123</v>
      </c>
      <c r="AB75" t="s">
        <v>439</v>
      </c>
      <c r="AC75" t="s">
        <v>135</v>
      </c>
      <c r="AD75" t="s">
        <v>123</v>
      </c>
      <c r="AE75" t="s">
        <v>123</v>
      </c>
      <c r="AF75" t="s">
        <v>255</v>
      </c>
      <c r="AG75" t="s">
        <v>256</v>
      </c>
      <c r="AH75" t="s">
        <v>123</v>
      </c>
      <c r="AI75" t="s">
        <v>128</v>
      </c>
      <c r="AJ75" t="s">
        <v>138</v>
      </c>
      <c r="AK75" t="s">
        <v>139</v>
      </c>
      <c r="AL75" t="s">
        <v>123</v>
      </c>
      <c r="AM75" t="s">
        <v>123</v>
      </c>
      <c r="AN75" t="s">
        <v>123</v>
      </c>
      <c r="AO75" t="s">
        <v>123</v>
      </c>
      <c r="AP75">
        <v>250</v>
      </c>
      <c r="AQ75">
        <v>50</v>
      </c>
      <c r="AR75">
        <v>10</v>
      </c>
      <c r="AS75" t="s">
        <v>123</v>
      </c>
      <c r="AT75" t="s">
        <v>123</v>
      </c>
      <c r="AU75" t="s">
        <v>123</v>
      </c>
      <c r="AV75" t="s">
        <v>123</v>
      </c>
      <c r="AW75" t="s">
        <v>123</v>
      </c>
      <c r="AX75" t="s">
        <v>123</v>
      </c>
      <c r="AY75" t="s">
        <v>123</v>
      </c>
      <c r="AZ75" t="s">
        <v>123</v>
      </c>
      <c r="BA75" t="s">
        <v>140</v>
      </c>
      <c r="BB75" t="s">
        <v>123</v>
      </c>
      <c r="BC75" t="s">
        <v>123</v>
      </c>
      <c r="BD75" t="s">
        <v>123</v>
      </c>
      <c r="BE75" t="s">
        <v>123</v>
      </c>
      <c r="BF75" t="s">
        <v>123</v>
      </c>
      <c r="BG75" t="s">
        <v>141</v>
      </c>
      <c r="BH75" t="s">
        <v>123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123</v>
      </c>
      <c r="BX75" t="s">
        <v>123</v>
      </c>
      <c r="BY75" s="1">
        <v>45965.246872534721</v>
      </c>
      <c r="BZ75">
        <v>1465</v>
      </c>
      <c r="CA75" t="s">
        <v>123</v>
      </c>
      <c r="CB75" t="s">
        <v>123</v>
      </c>
      <c r="CC75">
        <v>0</v>
      </c>
      <c r="CD75" t="s">
        <v>123</v>
      </c>
      <c r="CE75" t="s">
        <v>123</v>
      </c>
      <c r="CF75" t="s">
        <v>123</v>
      </c>
      <c r="CG75" t="s">
        <v>123</v>
      </c>
      <c r="CH75" t="s">
        <v>123</v>
      </c>
      <c r="CI75" t="s">
        <v>123</v>
      </c>
      <c r="CJ75" t="s">
        <v>123</v>
      </c>
      <c r="CK75">
        <v>8.77E-3</v>
      </c>
      <c r="CL75">
        <v>9.4199999999999996E-3</v>
      </c>
      <c r="CM75">
        <v>1.0999999999999999E-2</v>
      </c>
      <c r="CN75">
        <v>1.21E-2</v>
      </c>
      <c r="CO75" t="s">
        <v>123</v>
      </c>
      <c r="CP75" t="s">
        <v>123</v>
      </c>
      <c r="CQ75">
        <v>7.1999999999999998E-3</v>
      </c>
      <c r="CR75">
        <v>7.6E-3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152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  <c r="DN75" t="s">
        <v>123</v>
      </c>
      <c r="DO75" t="s">
        <v>123</v>
      </c>
      <c r="DP75" t="s">
        <v>123</v>
      </c>
      <c r="DQ75" t="s">
        <v>123</v>
      </c>
      <c r="DR75" t="s">
        <v>123</v>
      </c>
      <c r="DS75" t="s">
        <v>123</v>
      </c>
    </row>
    <row r="76" spans="1:123" x14ac:dyDescent="0.3">
      <c r="A76">
        <v>75</v>
      </c>
      <c r="B76" t="s">
        <v>123</v>
      </c>
      <c r="C76" t="s">
        <v>123</v>
      </c>
      <c r="D76" t="s">
        <v>440</v>
      </c>
      <c r="E76" t="s">
        <v>123</v>
      </c>
      <c r="F76" t="s">
        <v>125</v>
      </c>
      <c r="G76" t="s">
        <v>126</v>
      </c>
      <c r="H76" t="s">
        <v>127</v>
      </c>
      <c r="I76" t="s">
        <v>128</v>
      </c>
      <c r="J76" t="s">
        <v>123</v>
      </c>
      <c r="K76" t="s">
        <v>441</v>
      </c>
      <c r="L76" t="s">
        <v>130</v>
      </c>
      <c r="M76" t="s">
        <v>442</v>
      </c>
      <c r="N76" t="s">
        <v>158</v>
      </c>
      <c r="O76" t="s">
        <v>443</v>
      </c>
      <c r="P76" t="s">
        <v>123</v>
      </c>
      <c r="Q76" t="s">
        <v>123</v>
      </c>
      <c r="R76" t="s">
        <v>123</v>
      </c>
      <c r="S76" t="s">
        <v>123</v>
      </c>
      <c r="T76" s="1">
        <v>47018</v>
      </c>
      <c r="U76" t="s">
        <v>123</v>
      </c>
      <c r="V76" t="s">
        <v>123</v>
      </c>
      <c r="W76" t="s">
        <v>123</v>
      </c>
      <c r="X76" t="s">
        <v>123</v>
      </c>
      <c r="Y76" t="s">
        <v>123</v>
      </c>
      <c r="Z76" t="s">
        <v>123</v>
      </c>
      <c r="AA76" t="s">
        <v>123</v>
      </c>
      <c r="AB76" t="s">
        <v>444</v>
      </c>
      <c r="AC76" t="s">
        <v>135</v>
      </c>
      <c r="AD76" t="s">
        <v>123</v>
      </c>
      <c r="AE76" t="s">
        <v>123</v>
      </c>
      <c r="AF76" t="s">
        <v>445</v>
      </c>
      <c r="AG76" t="s">
        <v>446</v>
      </c>
      <c r="AH76" t="s">
        <v>123</v>
      </c>
      <c r="AI76" t="s">
        <v>128</v>
      </c>
      <c r="AJ76" t="s">
        <v>186</v>
      </c>
      <c r="AK76" t="s">
        <v>163</v>
      </c>
      <c r="AL76" t="s">
        <v>123</v>
      </c>
      <c r="AM76" t="s">
        <v>123</v>
      </c>
      <c r="AN76" t="s">
        <v>123</v>
      </c>
      <c r="AO76" t="s">
        <v>123</v>
      </c>
      <c r="AP76">
        <v>250</v>
      </c>
      <c r="AQ76">
        <v>50</v>
      </c>
      <c r="AR76">
        <v>10</v>
      </c>
      <c r="AS76" t="s">
        <v>123</v>
      </c>
      <c r="AT76" t="s">
        <v>123</v>
      </c>
      <c r="AU76" t="s">
        <v>123</v>
      </c>
      <c r="AV76" t="s">
        <v>123</v>
      </c>
      <c r="AW76" t="s">
        <v>123</v>
      </c>
      <c r="AX76" t="s">
        <v>123</v>
      </c>
      <c r="AY76" t="s">
        <v>123</v>
      </c>
      <c r="AZ76" t="s">
        <v>123</v>
      </c>
      <c r="BA76" t="s">
        <v>140</v>
      </c>
      <c r="BB76" t="s">
        <v>123</v>
      </c>
      <c r="BC76" t="s">
        <v>123</v>
      </c>
      <c r="BD76" t="s">
        <v>123</v>
      </c>
      <c r="BE76" t="s">
        <v>123</v>
      </c>
      <c r="BF76" t="s">
        <v>123</v>
      </c>
      <c r="BG76" t="s">
        <v>141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s="1">
        <v>45965.24693267361</v>
      </c>
      <c r="BZ76">
        <v>1453</v>
      </c>
      <c r="CA76" t="s">
        <v>123</v>
      </c>
      <c r="CB76" t="s">
        <v>123</v>
      </c>
      <c r="CC76">
        <v>0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>
        <v>9.7000000000000003E-3</v>
      </c>
      <c r="CL76">
        <v>0</v>
      </c>
      <c r="CM76">
        <v>1.7100000000000001E-2</v>
      </c>
      <c r="CN76">
        <v>0</v>
      </c>
      <c r="CO76" t="s">
        <v>123</v>
      </c>
      <c r="CP76" t="s">
        <v>123</v>
      </c>
      <c r="CQ76">
        <v>4.8999999999999998E-3</v>
      </c>
      <c r="CR76">
        <v>0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214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  <c r="DN76" t="s">
        <v>123</v>
      </c>
      <c r="DO76" t="s">
        <v>123</v>
      </c>
      <c r="DP76" t="s">
        <v>123</v>
      </c>
      <c r="DQ76" t="s">
        <v>123</v>
      </c>
      <c r="DR76" t="s">
        <v>123</v>
      </c>
      <c r="DS76" t="s">
        <v>123</v>
      </c>
    </row>
    <row r="77" spans="1:123" x14ac:dyDescent="0.3">
      <c r="A77">
        <v>76</v>
      </c>
      <c r="B77" t="s">
        <v>123</v>
      </c>
      <c r="C77" t="s">
        <v>123</v>
      </c>
      <c r="D77" t="s">
        <v>447</v>
      </c>
      <c r="E77" t="s">
        <v>123</v>
      </c>
      <c r="F77" t="s">
        <v>125</v>
      </c>
      <c r="G77" t="s">
        <v>126</v>
      </c>
      <c r="H77" t="s">
        <v>127</v>
      </c>
      <c r="I77" t="s">
        <v>128</v>
      </c>
      <c r="J77" t="s">
        <v>123</v>
      </c>
      <c r="K77" t="s">
        <v>441</v>
      </c>
      <c r="L77" t="s">
        <v>130</v>
      </c>
      <c r="M77" t="s">
        <v>442</v>
      </c>
      <c r="N77" t="s">
        <v>180</v>
      </c>
      <c r="O77" t="s">
        <v>443</v>
      </c>
      <c r="P77" t="s">
        <v>123</v>
      </c>
      <c r="Q77" t="s">
        <v>123</v>
      </c>
      <c r="R77" t="s">
        <v>123</v>
      </c>
      <c r="S77" t="s">
        <v>123</v>
      </c>
      <c r="T77" s="1">
        <v>47018</v>
      </c>
      <c r="U77" t="s">
        <v>123</v>
      </c>
      <c r="V77" t="s">
        <v>123</v>
      </c>
      <c r="W77" t="s">
        <v>123</v>
      </c>
      <c r="X77" t="s">
        <v>123</v>
      </c>
      <c r="Y77" t="s">
        <v>123</v>
      </c>
      <c r="Z77" t="s">
        <v>123</v>
      </c>
      <c r="AA77" t="s">
        <v>123</v>
      </c>
      <c r="AB77" t="s">
        <v>448</v>
      </c>
      <c r="AC77" t="s">
        <v>135</v>
      </c>
      <c r="AD77" t="s">
        <v>123</v>
      </c>
      <c r="AE77" t="s">
        <v>123</v>
      </c>
      <c r="AF77" t="s">
        <v>445</v>
      </c>
      <c r="AG77" t="s">
        <v>446</v>
      </c>
      <c r="AH77" t="s">
        <v>123</v>
      </c>
      <c r="AI77" t="s">
        <v>128</v>
      </c>
      <c r="AJ77" t="s">
        <v>186</v>
      </c>
      <c r="AK77" t="s">
        <v>163</v>
      </c>
      <c r="AL77" t="s">
        <v>123</v>
      </c>
      <c r="AM77" t="s">
        <v>123</v>
      </c>
      <c r="AN77" t="s">
        <v>123</v>
      </c>
      <c r="AO77" t="s">
        <v>123</v>
      </c>
      <c r="AP77">
        <v>250</v>
      </c>
      <c r="AQ77">
        <v>50</v>
      </c>
      <c r="AR77">
        <v>10</v>
      </c>
      <c r="AS77" t="s">
        <v>123</v>
      </c>
      <c r="AT77" t="s">
        <v>123</v>
      </c>
      <c r="AU77" t="s">
        <v>123</v>
      </c>
      <c r="AV77" t="s">
        <v>123</v>
      </c>
      <c r="AW77" t="s">
        <v>123</v>
      </c>
      <c r="AX77" t="s">
        <v>123</v>
      </c>
      <c r="AY77" t="s">
        <v>123</v>
      </c>
      <c r="AZ77" t="s">
        <v>123</v>
      </c>
      <c r="BA77" t="s">
        <v>140</v>
      </c>
      <c r="BB77" t="s">
        <v>123</v>
      </c>
      <c r="BC77" t="s">
        <v>123</v>
      </c>
      <c r="BD77" t="s">
        <v>123</v>
      </c>
      <c r="BE77" t="s">
        <v>123</v>
      </c>
      <c r="BF77" t="s">
        <v>123</v>
      </c>
      <c r="BG77" t="s">
        <v>141</v>
      </c>
      <c r="BH77" t="s">
        <v>123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123</v>
      </c>
      <c r="BX77" t="s">
        <v>123</v>
      </c>
      <c r="BY77" s="1">
        <v>45965.247027233796</v>
      </c>
      <c r="BZ77">
        <v>1453</v>
      </c>
      <c r="CA77" t="s">
        <v>123</v>
      </c>
      <c r="CB77" t="s">
        <v>123</v>
      </c>
      <c r="CC77">
        <v>0</v>
      </c>
      <c r="CD77" t="s">
        <v>123</v>
      </c>
      <c r="CE77" t="s">
        <v>123</v>
      </c>
      <c r="CF77" t="s">
        <v>123</v>
      </c>
      <c r="CG77" t="s">
        <v>123</v>
      </c>
      <c r="CH77" t="s">
        <v>123</v>
      </c>
      <c r="CI77" t="s">
        <v>123</v>
      </c>
      <c r="CJ77" t="s">
        <v>123</v>
      </c>
      <c r="CK77">
        <v>0.02</v>
      </c>
      <c r="CL77">
        <v>0</v>
      </c>
      <c r="CM77">
        <v>2.8799999999999999E-2</v>
      </c>
      <c r="CN77">
        <v>0</v>
      </c>
      <c r="CO77" t="s">
        <v>123</v>
      </c>
      <c r="CP77" t="s">
        <v>123</v>
      </c>
      <c r="CQ77">
        <v>1.41E-2</v>
      </c>
      <c r="CR77">
        <v>0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214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  <c r="DN77" t="s">
        <v>123</v>
      </c>
      <c r="DO77" t="s">
        <v>123</v>
      </c>
      <c r="DP77" t="s">
        <v>123</v>
      </c>
      <c r="DQ77" t="s">
        <v>123</v>
      </c>
      <c r="DR77" t="s">
        <v>123</v>
      </c>
      <c r="DS77" t="s">
        <v>123</v>
      </c>
    </row>
    <row r="78" spans="1:123" x14ac:dyDescent="0.3">
      <c r="A78">
        <v>77</v>
      </c>
      <c r="B78" t="s">
        <v>123</v>
      </c>
      <c r="C78" t="s">
        <v>123</v>
      </c>
      <c r="D78" t="s">
        <v>449</v>
      </c>
      <c r="E78" t="s">
        <v>123</v>
      </c>
      <c r="F78" t="s">
        <v>125</v>
      </c>
      <c r="G78" t="s">
        <v>126</v>
      </c>
      <c r="H78" t="s">
        <v>127</v>
      </c>
      <c r="I78" t="s">
        <v>128</v>
      </c>
      <c r="J78" t="s">
        <v>123</v>
      </c>
      <c r="K78" t="s">
        <v>450</v>
      </c>
      <c r="L78" t="s">
        <v>130</v>
      </c>
      <c r="M78" t="s">
        <v>451</v>
      </c>
      <c r="N78" t="s">
        <v>158</v>
      </c>
      <c r="O78" t="s">
        <v>150</v>
      </c>
      <c r="P78" t="s">
        <v>123</v>
      </c>
      <c r="Q78" t="s">
        <v>123</v>
      </c>
      <c r="R78" t="s">
        <v>123</v>
      </c>
      <c r="S78" t="s">
        <v>123</v>
      </c>
      <c r="T78" s="1">
        <v>46516</v>
      </c>
      <c r="U78" t="s">
        <v>123</v>
      </c>
      <c r="V78" t="s">
        <v>123</v>
      </c>
      <c r="W78" t="s">
        <v>123</v>
      </c>
      <c r="X78" t="s">
        <v>123</v>
      </c>
      <c r="Y78" t="s">
        <v>123</v>
      </c>
      <c r="Z78" t="s">
        <v>123</v>
      </c>
      <c r="AA78" t="s">
        <v>123</v>
      </c>
      <c r="AB78" t="s">
        <v>452</v>
      </c>
      <c r="AC78" t="s">
        <v>135</v>
      </c>
      <c r="AD78" t="s">
        <v>123</v>
      </c>
      <c r="AE78" t="s">
        <v>123</v>
      </c>
      <c r="AF78" t="s">
        <v>453</v>
      </c>
      <c r="AG78" t="s">
        <v>265</v>
      </c>
      <c r="AH78" t="s">
        <v>123</v>
      </c>
      <c r="AI78" t="s">
        <v>128</v>
      </c>
      <c r="AJ78" t="s">
        <v>186</v>
      </c>
      <c r="AK78" t="s">
        <v>163</v>
      </c>
      <c r="AL78" t="s">
        <v>123</v>
      </c>
      <c r="AM78" t="s">
        <v>123</v>
      </c>
      <c r="AN78" t="s">
        <v>123</v>
      </c>
      <c r="AO78" t="s">
        <v>123</v>
      </c>
      <c r="AP78">
        <v>250</v>
      </c>
      <c r="AQ78">
        <v>50</v>
      </c>
      <c r="AR78">
        <v>10</v>
      </c>
      <c r="AS78" t="s">
        <v>123</v>
      </c>
      <c r="AT78" t="s">
        <v>123</v>
      </c>
      <c r="AU78" t="s">
        <v>123</v>
      </c>
      <c r="AV78" t="s">
        <v>123</v>
      </c>
      <c r="AW78" t="s">
        <v>123</v>
      </c>
      <c r="AX78" t="s">
        <v>123</v>
      </c>
      <c r="AY78" t="s">
        <v>123</v>
      </c>
      <c r="AZ78" t="s">
        <v>123</v>
      </c>
      <c r="BA78" t="s">
        <v>140</v>
      </c>
      <c r="BB78" t="s">
        <v>123</v>
      </c>
      <c r="BC78" t="s">
        <v>123</v>
      </c>
      <c r="BD78" t="s">
        <v>123</v>
      </c>
      <c r="BE78" t="s">
        <v>123</v>
      </c>
      <c r="BF78" t="s">
        <v>123</v>
      </c>
      <c r="BG78" t="s">
        <v>141</v>
      </c>
      <c r="BH78" t="s">
        <v>123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123</v>
      </c>
      <c r="BX78" t="s">
        <v>123</v>
      </c>
      <c r="BY78" s="1">
        <v>45965.247108483796</v>
      </c>
      <c r="BZ78">
        <v>1488</v>
      </c>
      <c r="CA78" t="s">
        <v>123</v>
      </c>
      <c r="CB78" t="s">
        <v>123</v>
      </c>
      <c r="CC78">
        <v>0</v>
      </c>
      <c r="CD78" t="s">
        <v>123</v>
      </c>
      <c r="CE78" t="s">
        <v>123</v>
      </c>
      <c r="CF78" t="s">
        <v>123</v>
      </c>
      <c r="CG78" t="s">
        <v>123</v>
      </c>
      <c r="CH78" t="s">
        <v>123</v>
      </c>
      <c r="CI78" t="s">
        <v>123</v>
      </c>
      <c r="CJ78" t="s">
        <v>123</v>
      </c>
      <c r="CK78">
        <v>5.1499999999999997E-2</v>
      </c>
      <c r="CL78">
        <v>5.8799999999999998E-2</v>
      </c>
      <c r="CM78">
        <v>6.6600000000000006E-2</v>
      </c>
      <c r="CN78">
        <v>7.5800000000000006E-2</v>
      </c>
      <c r="CO78" t="s">
        <v>123</v>
      </c>
      <c r="CP78" t="s">
        <v>123</v>
      </c>
      <c r="CQ78">
        <v>3.8399999999999997E-2</v>
      </c>
      <c r="CR78">
        <v>4.3499999999999997E-2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152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  <c r="DN78" t="s">
        <v>123</v>
      </c>
      <c r="DO78" t="s">
        <v>123</v>
      </c>
      <c r="DP78" t="s">
        <v>123</v>
      </c>
      <c r="DQ78" t="s">
        <v>123</v>
      </c>
      <c r="DR78" t="s">
        <v>123</v>
      </c>
      <c r="DS78" t="s">
        <v>123</v>
      </c>
    </row>
    <row r="79" spans="1:123" x14ac:dyDescent="0.3">
      <c r="A79">
        <v>78</v>
      </c>
      <c r="B79" t="s">
        <v>123</v>
      </c>
      <c r="C79" t="s">
        <v>123</v>
      </c>
      <c r="D79" t="s">
        <v>454</v>
      </c>
      <c r="E79" t="s">
        <v>123</v>
      </c>
      <c r="F79" t="s">
        <v>125</v>
      </c>
      <c r="G79" t="s">
        <v>126</v>
      </c>
      <c r="H79" t="s">
        <v>127</v>
      </c>
      <c r="I79" t="s">
        <v>128</v>
      </c>
      <c r="J79" t="s">
        <v>123</v>
      </c>
      <c r="K79" t="s">
        <v>450</v>
      </c>
      <c r="L79" t="s">
        <v>130</v>
      </c>
      <c r="M79" t="s">
        <v>451</v>
      </c>
      <c r="N79" t="s">
        <v>180</v>
      </c>
      <c r="O79" t="s">
        <v>150</v>
      </c>
      <c r="P79" t="s">
        <v>123</v>
      </c>
      <c r="Q79" t="s">
        <v>123</v>
      </c>
      <c r="R79" t="s">
        <v>123</v>
      </c>
      <c r="S79" t="s">
        <v>123</v>
      </c>
      <c r="T79" s="1">
        <v>46516</v>
      </c>
      <c r="U79" t="s">
        <v>123</v>
      </c>
      <c r="V79" t="s">
        <v>123</v>
      </c>
      <c r="W79" t="s">
        <v>123</v>
      </c>
      <c r="X79" t="s">
        <v>123</v>
      </c>
      <c r="Y79" t="s">
        <v>123</v>
      </c>
      <c r="Z79" t="s">
        <v>123</v>
      </c>
      <c r="AA79" t="s">
        <v>123</v>
      </c>
      <c r="AB79" t="s">
        <v>455</v>
      </c>
      <c r="AC79" t="s">
        <v>135</v>
      </c>
      <c r="AD79" t="s">
        <v>123</v>
      </c>
      <c r="AE79" t="s">
        <v>123</v>
      </c>
      <c r="AF79" t="s">
        <v>453</v>
      </c>
      <c r="AG79" t="s">
        <v>265</v>
      </c>
      <c r="AH79" t="s">
        <v>123</v>
      </c>
      <c r="AI79" t="s">
        <v>128</v>
      </c>
      <c r="AJ79" t="s">
        <v>186</v>
      </c>
      <c r="AK79" t="s">
        <v>163</v>
      </c>
      <c r="AL79" t="s">
        <v>123</v>
      </c>
      <c r="AM79" t="s">
        <v>123</v>
      </c>
      <c r="AN79" t="s">
        <v>123</v>
      </c>
      <c r="AO79" t="s">
        <v>123</v>
      </c>
      <c r="AP79">
        <v>250</v>
      </c>
      <c r="AQ79">
        <v>50</v>
      </c>
      <c r="AR79">
        <v>10</v>
      </c>
      <c r="AS79" t="s">
        <v>123</v>
      </c>
      <c r="AT79" t="s">
        <v>123</v>
      </c>
      <c r="AU79" t="s">
        <v>123</v>
      </c>
      <c r="AV79" t="s">
        <v>123</v>
      </c>
      <c r="AW79" t="s">
        <v>123</v>
      </c>
      <c r="AX79" t="s">
        <v>123</v>
      </c>
      <c r="AY79" t="s">
        <v>123</v>
      </c>
      <c r="AZ79" t="s">
        <v>123</v>
      </c>
      <c r="BA79" t="s">
        <v>140</v>
      </c>
      <c r="BB79" t="s">
        <v>123</v>
      </c>
      <c r="BC79" t="s">
        <v>123</v>
      </c>
      <c r="BD79" t="s">
        <v>123</v>
      </c>
      <c r="BE79" t="s">
        <v>123</v>
      </c>
      <c r="BF79" t="s">
        <v>123</v>
      </c>
      <c r="BG79" t="s">
        <v>141</v>
      </c>
      <c r="BH79" t="s">
        <v>123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123</v>
      </c>
      <c r="BX79" t="s">
        <v>123</v>
      </c>
      <c r="BY79" s="1">
        <v>45965.247198923615</v>
      </c>
      <c r="BZ79">
        <v>1488</v>
      </c>
      <c r="CA79" t="s">
        <v>123</v>
      </c>
      <c r="CB79" t="s">
        <v>123</v>
      </c>
      <c r="CC79">
        <v>0</v>
      </c>
      <c r="CD79" t="s">
        <v>123</v>
      </c>
      <c r="CE79" t="s">
        <v>123</v>
      </c>
      <c r="CF79" t="s">
        <v>123</v>
      </c>
      <c r="CG79" t="s">
        <v>123</v>
      </c>
      <c r="CH79" t="s">
        <v>123</v>
      </c>
      <c r="CI79" t="s">
        <v>123</v>
      </c>
      <c r="CJ79" t="s">
        <v>123</v>
      </c>
      <c r="CK79">
        <v>8.3599999999999994E-2</v>
      </c>
      <c r="CL79">
        <v>9.5200000000000007E-2</v>
      </c>
      <c r="CM79">
        <v>0.1173</v>
      </c>
      <c r="CN79">
        <v>0.1331</v>
      </c>
      <c r="CO79" t="s">
        <v>123</v>
      </c>
      <c r="CP79" t="s">
        <v>123</v>
      </c>
      <c r="CQ79">
        <v>5.8900000000000001E-2</v>
      </c>
      <c r="CR79">
        <v>6.8199999999999997E-2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152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  <c r="DN79" t="s">
        <v>123</v>
      </c>
      <c r="DO79" t="s">
        <v>123</v>
      </c>
      <c r="DP79" t="s">
        <v>123</v>
      </c>
      <c r="DQ79" t="s">
        <v>123</v>
      </c>
      <c r="DR79" t="s">
        <v>123</v>
      </c>
      <c r="DS79" t="s">
        <v>123</v>
      </c>
    </row>
    <row r="80" spans="1:123" x14ac:dyDescent="0.3">
      <c r="A80">
        <v>79</v>
      </c>
      <c r="B80" t="s">
        <v>123</v>
      </c>
      <c r="C80" t="s">
        <v>123</v>
      </c>
      <c r="D80" t="s">
        <v>456</v>
      </c>
      <c r="E80" t="s">
        <v>123</v>
      </c>
      <c r="F80" t="s">
        <v>125</v>
      </c>
      <c r="G80" t="s">
        <v>126</v>
      </c>
      <c r="H80" t="s">
        <v>127</v>
      </c>
      <c r="I80" t="s">
        <v>128</v>
      </c>
      <c r="J80" t="s">
        <v>123</v>
      </c>
      <c r="K80" t="s">
        <v>457</v>
      </c>
      <c r="L80" t="s">
        <v>130</v>
      </c>
      <c r="M80" t="s">
        <v>458</v>
      </c>
      <c r="N80" t="s">
        <v>158</v>
      </c>
      <c r="O80" t="s">
        <v>133</v>
      </c>
      <c r="P80" t="s">
        <v>123</v>
      </c>
      <c r="Q80" t="s">
        <v>123</v>
      </c>
      <c r="R80" t="s">
        <v>123</v>
      </c>
      <c r="S80" t="s">
        <v>123</v>
      </c>
      <c r="T80" s="1">
        <v>46181</v>
      </c>
      <c r="U80" t="s">
        <v>123</v>
      </c>
      <c r="V80" t="s">
        <v>123</v>
      </c>
      <c r="W80" t="s">
        <v>123</v>
      </c>
      <c r="X80" t="s">
        <v>123</v>
      </c>
      <c r="Y80" t="s">
        <v>123</v>
      </c>
      <c r="Z80" t="s">
        <v>123</v>
      </c>
      <c r="AA80" t="s">
        <v>123</v>
      </c>
      <c r="AB80" t="s">
        <v>459</v>
      </c>
      <c r="AC80" t="s">
        <v>135</v>
      </c>
      <c r="AD80" t="s">
        <v>123</v>
      </c>
      <c r="AE80" t="s">
        <v>123</v>
      </c>
      <c r="AF80" t="s">
        <v>197</v>
      </c>
      <c r="AG80" t="s">
        <v>137</v>
      </c>
      <c r="AH80" t="s">
        <v>123</v>
      </c>
      <c r="AI80" t="s">
        <v>128</v>
      </c>
      <c r="AJ80" t="s">
        <v>138</v>
      </c>
      <c r="AK80" t="s">
        <v>163</v>
      </c>
      <c r="AL80" t="s">
        <v>123</v>
      </c>
      <c r="AM80" t="s">
        <v>123</v>
      </c>
      <c r="AN80" t="s">
        <v>123</v>
      </c>
      <c r="AO80" t="s">
        <v>123</v>
      </c>
      <c r="AP80">
        <v>250</v>
      </c>
      <c r="AQ80">
        <v>50</v>
      </c>
      <c r="AR80">
        <v>10</v>
      </c>
      <c r="AS80" t="s">
        <v>123</v>
      </c>
      <c r="AT80" t="s">
        <v>123</v>
      </c>
      <c r="AU80" t="s">
        <v>123</v>
      </c>
      <c r="AV80" t="s">
        <v>123</v>
      </c>
      <c r="AW80" t="s">
        <v>123</v>
      </c>
      <c r="AX80" t="s">
        <v>123</v>
      </c>
      <c r="AY80" t="s">
        <v>123</v>
      </c>
      <c r="AZ80" t="s">
        <v>123</v>
      </c>
      <c r="BA80" t="s">
        <v>140</v>
      </c>
      <c r="BB80" t="s">
        <v>123</v>
      </c>
      <c r="BC80" t="s">
        <v>123</v>
      </c>
      <c r="BD80" t="s">
        <v>123</v>
      </c>
      <c r="BE80" t="s">
        <v>123</v>
      </c>
      <c r="BF80" t="s">
        <v>123</v>
      </c>
      <c r="BG80" t="s">
        <v>141</v>
      </c>
      <c r="BH80" t="s">
        <v>123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123</v>
      </c>
      <c r="BX80" t="s">
        <v>123</v>
      </c>
      <c r="BY80" s="1">
        <v>45965.247299270835</v>
      </c>
      <c r="BZ80">
        <v>1579</v>
      </c>
      <c r="CA80" t="s">
        <v>123</v>
      </c>
      <c r="CB80" t="s">
        <v>123</v>
      </c>
      <c r="CC80">
        <v>0</v>
      </c>
      <c r="CD80" t="s">
        <v>123</v>
      </c>
      <c r="CE80" t="s">
        <v>123</v>
      </c>
      <c r="CF80" t="s">
        <v>123</v>
      </c>
      <c r="CG80" t="s">
        <v>123</v>
      </c>
      <c r="CH80" t="s">
        <v>123</v>
      </c>
      <c r="CI80" t="s">
        <v>123</v>
      </c>
      <c r="CJ80" t="s">
        <v>123</v>
      </c>
      <c r="CK80">
        <v>9.2999999999999992E-3</v>
      </c>
      <c r="CL80">
        <v>9.7000000000000003E-3</v>
      </c>
      <c r="CM80">
        <v>2.2200000000000001E-2</v>
      </c>
      <c r="CN80">
        <v>2.3900000000000001E-2</v>
      </c>
      <c r="CO80" t="s">
        <v>123</v>
      </c>
      <c r="CP80" t="s">
        <v>123</v>
      </c>
      <c r="CQ80">
        <v>3.5000000000000001E-3</v>
      </c>
      <c r="CR80">
        <v>3.5000000000000001E-3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152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  <c r="DN80" t="s">
        <v>123</v>
      </c>
      <c r="DO80" t="s">
        <v>123</v>
      </c>
      <c r="DP80" t="s">
        <v>123</v>
      </c>
      <c r="DQ80" t="s">
        <v>123</v>
      </c>
      <c r="DR80" t="s">
        <v>123</v>
      </c>
      <c r="DS80" t="s">
        <v>123</v>
      </c>
    </row>
    <row r="81" spans="1:123" x14ac:dyDescent="0.3">
      <c r="A81">
        <v>80</v>
      </c>
      <c r="B81" t="s">
        <v>123</v>
      </c>
      <c r="C81" t="s">
        <v>123</v>
      </c>
      <c r="D81" t="s">
        <v>460</v>
      </c>
      <c r="E81" t="s">
        <v>123</v>
      </c>
      <c r="F81" t="s">
        <v>125</v>
      </c>
      <c r="G81" t="s">
        <v>126</v>
      </c>
      <c r="H81" t="s">
        <v>127</v>
      </c>
      <c r="I81" t="s">
        <v>128</v>
      </c>
      <c r="J81" t="s">
        <v>123</v>
      </c>
      <c r="K81" t="s">
        <v>461</v>
      </c>
      <c r="L81" t="s">
        <v>130</v>
      </c>
      <c r="M81" t="s">
        <v>462</v>
      </c>
      <c r="N81" t="s">
        <v>158</v>
      </c>
      <c r="O81" t="s">
        <v>167</v>
      </c>
      <c r="P81" t="s">
        <v>123</v>
      </c>
      <c r="Q81" t="s">
        <v>123</v>
      </c>
      <c r="R81" t="s">
        <v>123</v>
      </c>
      <c r="S81" t="s">
        <v>123</v>
      </c>
      <c r="T81" s="1">
        <v>46029</v>
      </c>
      <c r="U81" t="s">
        <v>123</v>
      </c>
      <c r="V81" t="s">
        <v>123</v>
      </c>
      <c r="W81" t="s">
        <v>123</v>
      </c>
      <c r="X81" t="s">
        <v>123</v>
      </c>
      <c r="Y81" t="s">
        <v>123</v>
      </c>
      <c r="Z81" t="s">
        <v>123</v>
      </c>
      <c r="AA81" t="s">
        <v>123</v>
      </c>
      <c r="AB81" t="s">
        <v>463</v>
      </c>
      <c r="AC81" t="s">
        <v>135</v>
      </c>
      <c r="AD81" t="s">
        <v>123</v>
      </c>
      <c r="AE81" t="s">
        <v>123</v>
      </c>
      <c r="AF81" t="s">
        <v>136</v>
      </c>
      <c r="AG81" t="s">
        <v>137</v>
      </c>
      <c r="AH81" t="s">
        <v>123</v>
      </c>
      <c r="AI81" t="s">
        <v>128</v>
      </c>
      <c r="AJ81" t="s">
        <v>138</v>
      </c>
      <c r="AK81" t="s">
        <v>139</v>
      </c>
      <c r="AL81" t="s">
        <v>123</v>
      </c>
      <c r="AM81" t="s">
        <v>123</v>
      </c>
      <c r="AN81" t="s">
        <v>123</v>
      </c>
      <c r="AO81" t="s">
        <v>123</v>
      </c>
      <c r="AP81">
        <v>250</v>
      </c>
      <c r="AQ81">
        <v>50</v>
      </c>
      <c r="AR81">
        <v>10</v>
      </c>
      <c r="AS81" t="s">
        <v>123</v>
      </c>
      <c r="AT81" t="s">
        <v>123</v>
      </c>
      <c r="AU81" t="s">
        <v>123</v>
      </c>
      <c r="AV81" t="s">
        <v>123</v>
      </c>
      <c r="AW81" t="s">
        <v>123</v>
      </c>
      <c r="AX81" t="s">
        <v>123</v>
      </c>
      <c r="AY81" t="s">
        <v>123</v>
      </c>
      <c r="AZ81" t="s">
        <v>123</v>
      </c>
      <c r="BA81" t="s">
        <v>140</v>
      </c>
      <c r="BB81" t="s">
        <v>123</v>
      </c>
      <c r="BC81" t="s">
        <v>123</v>
      </c>
      <c r="BD81" t="s">
        <v>123</v>
      </c>
      <c r="BE81" t="s">
        <v>123</v>
      </c>
      <c r="BF81" t="s">
        <v>123</v>
      </c>
      <c r="BG81" t="s">
        <v>141</v>
      </c>
      <c r="BH81" t="s">
        <v>123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123</v>
      </c>
      <c r="BX81" t="s">
        <v>123</v>
      </c>
      <c r="BY81" s="1">
        <v>45965.247336307868</v>
      </c>
      <c r="BZ81">
        <v>1466</v>
      </c>
      <c r="CA81" t="s">
        <v>123</v>
      </c>
      <c r="CB81" t="s">
        <v>123</v>
      </c>
      <c r="CC81">
        <v>0</v>
      </c>
      <c r="CD81" t="s">
        <v>123</v>
      </c>
      <c r="CE81" t="s">
        <v>123</v>
      </c>
      <c r="CF81" t="s">
        <v>123</v>
      </c>
      <c r="CG81" t="s">
        <v>123</v>
      </c>
      <c r="CH81" t="s">
        <v>123</v>
      </c>
      <c r="CI81" t="s">
        <v>123</v>
      </c>
      <c r="CJ81" t="s">
        <v>123</v>
      </c>
      <c r="CK81">
        <v>4.8999999999999998E-3</v>
      </c>
      <c r="CL81">
        <v>5.1999999999999998E-3</v>
      </c>
      <c r="CM81">
        <v>6.3E-3</v>
      </c>
      <c r="CN81">
        <v>6.7999999999999996E-3</v>
      </c>
      <c r="CO81" t="s">
        <v>123</v>
      </c>
      <c r="CP81" t="s">
        <v>123</v>
      </c>
      <c r="CQ81">
        <v>3.3999999999999998E-3</v>
      </c>
      <c r="CR81">
        <v>3.5000000000000001E-3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152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  <c r="DN81" t="s">
        <v>123</v>
      </c>
      <c r="DO81" t="s">
        <v>123</v>
      </c>
      <c r="DP81" t="s">
        <v>123</v>
      </c>
      <c r="DQ81" t="s">
        <v>123</v>
      </c>
      <c r="DR81" t="s">
        <v>123</v>
      </c>
      <c r="DS81" t="s">
        <v>123</v>
      </c>
    </row>
    <row r="82" spans="1:123" x14ac:dyDescent="0.3">
      <c r="A82">
        <v>81</v>
      </c>
      <c r="B82" t="s">
        <v>123</v>
      </c>
      <c r="C82" t="s">
        <v>123</v>
      </c>
      <c r="D82" t="s">
        <v>464</v>
      </c>
      <c r="E82" t="s">
        <v>123</v>
      </c>
      <c r="F82" t="s">
        <v>125</v>
      </c>
      <c r="G82" t="s">
        <v>126</v>
      </c>
      <c r="H82" t="s">
        <v>127</v>
      </c>
      <c r="I82" t="s">
        <v>128</v>
      </c>
      <c r="J82" t="s">
        <v>123</v>
      </c>
      <c r="K82" t="s">
        <v>461</v>
      </c>
      <c r="L82" t="s">
        <v>130</v>
      </c>
      <c r="M82" t="s">
        <v>462</v>
      </c>
      <c r="N82" t="s">
        <v>158</v>
      </c>
      <c r="O82" t="s">
        <v>133</v>
      </c>
      <c r="P82" t="s">
        <v>123</v>
      </c>
      <c r="Q82" t="s">
        <v>123</v>
      </c>
      <c r="R82" t="s">
        <v>123</v>
      </c>
      <c r="S82" t="s">
        <v>123</v>
      </c>
      <c r="T82" s="1">
        <v>46394</v>
      </c>
      <c r="U82" t="s">
        <v>123</v>
      </c>
      <c r="V82" t="s">
        <v>123</v>
      </c>
      <c r="W82" t="s">
        <v>123</v>
      </c>
      <c r="X82" t="s">
        <v>123</v>
      </c>
      <c r="Y82" t="s">
        <v>123</v>
      </c>
      <c r="Z82" t="s">
        <v>123</v>
      </c>
      <c r="AA82" t="s">
        <v>123</v>
      </c>
      <c r="AB82" t="s">
        <v>465</v>
      </c>
      <c r="AC82" t="s">
        <v>135</v>
      </c>
      <c r="AD82" t="s">
        <v>123</v>
      </c>
      <c r="AE82" t="s">
        <v>123</v>
      </c>
      <c r="AF82" t="s">
        <v>136</v>
      </c>
      <c r="AG82" t="s">
        <v>137</v>
      </c>
      <c r="AH82" t="s">
        <v>123</v>
      </c>
      <c r="AI82" t="s">
        <v>128</v>
      </c>
      <c r="AJ82" t="s">
        <v>138</v>
      </c>
      <c r="AK82" t="s">
        <v>139</v>
      </c>
      <c r="AL82" t="s">
        <v>123</v>
      </c>
      <c r="AM82" t="s">
        <v>123</v>
      </c>
      <c r="AN82" t="s">
        <v>123</v>
      </c>
      <c r="AO82" t="s">
        <v>123</v>
      </c>
      <c r="AP82">
        <v>250</v>
      </c>
      <c r="AQ82">
        <v>50</v>
      </c>
      <c r="AR82">
        <v>10</v>
      </c>
      <c r="AS82" t="s">
        <v>123</v>
      </c>
      <c r="AT82" t="s">
        <v>123</v>
      </c>
      <c r="AU82" t="s">
        <v>123</v>
      </c>
      <c r="AV82" t="s">
        <v>123</v>
      </c>
      <c r="AW82" t="s">
        <v>123</v>
      </c>
      <c r="AX82" t="s">
        <v>123</v>
      </c>
      <c r="AY82" t="s">
        <v>123</v>
      </c>
      <c r="AZ82" t="s">
        <v>123</v>
      </c>
      <c r="BA82" t="s">
        <v>140</v>
      </c>
      <c r="BB82" t="s">
        <v>123</v>
      </c>
      <c r="BC82" t="s">
        <v>123</v>
      </c>
      <c r="BD82" t="s">
        <v>123</v>
      </c>
      <c r="BE82" t="s">
        <v>123</v>
      </c>
      <c r="BF82" t="s">
        <v>123</v>
      </c>
      <c r="BG82" t="s">
        <v>141</v>
      </c>
      <c r="BH82" t="s">
        <v>123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123</v>
      </c>
      <c r="BX82" t="s">
        <v>123</v>
      </c>
      <c r="BY82" s="1">
        <v>45965.247408946758</v>
      </c>
      <c r="BZ82">
        <v>1466</v>
      </c>
      <c r="CA82" t="s">
        <v>123</v>
      </c>
      <c r="CB82" t="s">
        <v>123</v>
      </c>
      <c r="CC82">
        <v>0</v>
      </c>
      <c r="CD82" t="s">
        <v>123</v>
      </c>
      <c r="CE82" t="s">
        <v>123</v>
      </c>
      <c r="CF82" t="s">
        <v>123</v>
      </c>
      <c r="CG82" t="s">
        <v>123</v>
      </c>
      <c r="CH82" t="s">
        <v>123</v>
      </c>
      <c r="CI82" t="s">
        <v>123</v>
      </c>
      <c r="CJ82" t="s">
        <v>123</v>
      </c>
      <c r="CK82">
        <v>6.3E-3</v>
      </c>
      <c r="CL82">
        <v>6.7999999999999996E-3</v>
      </c>
      <c r="CM82">
        <v>7.1000000000000004E-3</v>
      </c>
      <c r="CN82">
        <v>7.6E-3</v>
      </c>
      <c r="CO82" t="s">
        <v>123</v>
      </c>
      <c r="CP82" t="s">
        <v>123</v>
      </c>
      <c r="CQ82">
        <v>6.0000000000000001E-3</v>
      </c>
      <c r="CR82">
        <v>6.4999999999999997E-3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142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  <c r="DN82" t="s">
        <v>123</v>
      </c>
      <c r="DO82" t="s">
        <v>123</v>
      </c>
      <c r="DP82" t="s">
        <v>123</v>
      </c>
      <c r="DQ82" t="s">
        <v>123</v>
      </c>
      <c r="DR82" t="s">
        <v>123</v>
      </c>
      <c r="DS82" t="s">
        <v>123</v>
      </c>
    </row>
    <row r="83" spans="1:123" x14ac:dyDescent="0.3">
      <c r="A83">
        <v>82</v>
      </c>
      <c r="B83" t="s">
        <v>123</v>
      </c>
      <c r="C83" t="s">
        <v>123</v>
      </c>
      <c r="D83" t="s">
        <v>466</v>
      </c>
      <c r="E83" t="s">
        <v>123</v>
      </c>
      <c r="F83" t="s">
        <v>125</v>
      </c>
      <c r="G83" t="s">
        <v>126</v>
      </c>
      <c r="H83" t="s">
        <v>127</v>
      </c>
      <c r="I83" t="s">
        <v>128</v>
      </c>
      <c r="J83" t="s">
        <v>123</v>
      </c>
      <c r="K83" t="s">
        <v>461</v>
      </c>
      <c r="L83" t="s">
        <v>130</v>
      </c>
      <c r="M83" t="s">
        <v>462</v>
      </c>
      <c r="N83" t="s">
        <v>180</v>
      </c>
      <c r="O83" t="s">
        <v>133</v>
      </c>
      <c r="P83" t="s">
        <v>123</v>
      </c>
      <c r="Q83" t="s">
        <v>123</v>
      </c>
      <c r="R83" t="s">
        <v>123</v>
      </c>
      <c r="S83" t="s">
        <v>123</v>
      </c>
      <c r="T83" s="1">
        <v>46394</v>
      </c>
      <c r="U83" t="s">
        <v>123</v>
      </c>
      <c r="V83" t="s">
        <v>123</v>
      </c>
      <c r="W83" t="s">
        <v>123</v>
      </c>
      <c r="X83" t="s">
        <v>123</v>
      </c>
      <c r="Y83" t="s">
        <v>123</v>
      </c>
      <c r="Z83" t="s">
        <v>123</v>
      </c>
      <c r="AA83" t="s">
        <v>123</v>
      </c>
      <c r="AB83" t="s">
        <v>467</v>
      </c>
      <c r="AC83" t="s">
        <v>135</v>
      </c>
      <c r="AD83" t="s">
        <v>123</v>
      </c>
      <c r="AE83" t="s">
        <v>123</v>
      </c>
      <c r="AF83" t="s">
        <v>136</v>
      </c>
      <c r="AG83" t="s">
        <v>137</v>
      </c>
      <c r="AH83" t="s">
        <v>123</v>
      </c>
      <c r="AI83" t="s">
        <v>128</v>
      </c>
      <c r="AJ83" t="s">
        <v>138</v>
      </c>
      <c r="AK83" t="s">
        <v>139</v>
      </c>
      <c r="AL83" t="s">
        <v>123</v>
      </c>
      <c r="AM83" t="s">
        <v>123</v>
      </c>
      <c r="AN83" t="s">
        <v>123</v>
      </c>
      <c r="AO83" t="s">
        <v>123</v>
      </c>
      <c r="AP83">
        <v>250</v>
      </c>
      <c r="AQ83">
        <v>50</v>
      </c>
      <c r="AR83">
        <v>10</v>
      </c>
      <c r="AS83" t="s">
        <v>123</v>
      </c>
      <c r="AT83" t="s">
        <v>123</v>
      </c>
      <c r="AU83" t="s">
        <v>123</v>
      </c>
      <c r="AV83" t="s">
        <v>123</v>
      </c>
      <c r="AW83" t="s">
        <v>123</v>
      </c>
      <c r="AX83" t="s">
        <v>123</v>
      </c>
      <c r="AY83" t="s">
        <v>123</v>
      </c>
      <c r="AZ83" t="s">
        <v>123</v>
      </c>
      <c r="BA83" t="s">
        <v>140</v>
      </c>
      <c r="BB83" t="s">
        <v>123</v>
      </c>
      <c r="BC83" t="s">
        <v>123</v>
      </c>
      <c r="BD83" t="s">
        <v>123</v>
      </c>
      <c r="BE83" t="s">
        <v>123</v>
      </c>
      <c r="BF83" t="s">
        <v>123</v>
      </c>
      <c r="BG83" t="s">
        <v>141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s="1">
        <v>45965.247479513891</v>
      </c>
      <c r="BZ83">
        <v>1466</v>
      </c>
      <c r="CA83" t="s">
        <v>123</v>
      </c>
      <c r="CB83" t="s">
        <v>123</v>
      </c>
      <c r="CC83">
        <v>0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>
        <v>2.4400000000000002E-2</v>
      </c>
      <c r="CL83">
        <v>2.63E-2</v>
      </c>
      <c r="CM83">
        <v>4.19E-2</v>
      </c>
      <c r="CN83">
        <v>4.4999999999999998E-2</v>
      </c>
      <c r="CO83" t="s">
        <v>123</v>
      </c>
      <c r="CP83" t="s">
        <v>123</v>
      </c>
      <c r="CQ83">
        <v>1.2800000000000001E-2</v>
      </c>
      <c r="CR83">
        <v>1.3899999999999999E-2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142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  <c r="DN83" t="s">
        <v>123</v>
      </c>
      <c r="DO83" t="s">
        <v>123</v>
      </c>
      <c r="DP83" t="s">
        <v>123</v>
      </c>
      <c r="DQ83" t="s">
        <v>123</v>
      </c>
      <c r="DR83" t="s">
        <v>123</v>
      </c>
      <c r="DS83" t="s">
        <v>123</v>
      </c>
    </row>
    <row r="84" spans="1:123" x14ac:dyDescent="0.3">
      <c r="A84">
        <v>83</v>
      </c>
      <c r="B84" t="s">
        <v>123</v>
      </c>
      <c r="C84" t="s">
        <v>123</v>
      </c>
      <c r="D84" t="s">
        <v>468</v>
      </c>
      <c r="E84" t="s">
        <v>123</v>
      </c>
      <c r="F84" t="s">
        <v>125</v>
      </c>
      <c r="G84" t="s">
        <v>126</v>
      </c>
      <c r="H84" t="s">
        <v>127</v>
      </c>
      <c r="I84" t="s">
        <v>128</v>
      </c>
      <c r="J84" t="s">
        <v>123</v>
      </c>
      <c r="K84" t="s">
        <v>461</v>
      </c>
      <c r="L84" t="s">
        <v>130</v>
      </c>
      <c r="M84" t="s">
        <v>462</v>
      </c>
      <c r="N84" t="s">
        <v>158</v>
      </c>
      <c r="O84" t="s">
        <v>150</v>
      </c>
      <c r="P84" t="s">
        <v>123</v>
      </c>
      <c r="Q84" t="s">
        <v>123</v>
      </c>
      <c r="R84" t="s">
        <v>123</v>
      </c>
      <c r="S84" t="s">
        <v>123</v>
      </c>
      <c r="T84" s="1">
        <v>46759</v>
      </c>
      <c r="U84" t="s">
        <v>123</v>
      </c>
      <c r="V84" t="s">
        <v>123</v>
      </c>
      <c r="W84" t="s">
        <v>123</v>
      </c>
      <c r="X84" t="s">
        <v>123</v>
      </c>
      <c r="Y84" t="s">
        <v>123</v>
      </c>
      <c r="Z84" t="s">
        <v>123</v>
      </c>
      <c r="AA84" t="s">
        <v>123</v>
      </c>
      <c r="AB84" t="s">
        <v>469</v>
      </c>
      <c r="AC84" t="s">
        <v>135</v>
      </c>
      <c r="AD84" t="s">
        <v>123</v>
      </c>
      <c r="AE84" t="s">
        <v>123</v>
      </c>
      <c r="AF84" t="s">
        <v>136</v>
      </c>
      <c r="AG84" t="s">
        <v>137</v>
      </c>
      <c r="AH84" t="s">
        <v>123</v>
      </c>
      <c r="AI84" t="s">
        <v>128</v>
      </c>
      <c r="AJ84" t="s">
        <v>138</v>
      </c>
      <c r="AK84" t="s">
        <v>139</v>
      </c>
      <c r="AL84" t="s">
        <v>123</v>
      </c>
      <c r="AM84" t="s">
        <v>123</v>
      </c>
      <c r="AN84" t="s">
        <v>123</v>
      </c>
      <c r="AO84" t="s">
        <v>123</v>
      </c>
      <c r="AP84">
        <v>250</v>
      </c>
      <c r="AQ84">
        <v>50</v>
      </c>
      <c r="AR84">
        <v>10</v>
      </c>
      <c r="AS84" t="s">
        <v>123</v>
      </c>
      <c r="AT84" t="s">
        <v>123</v>
      </c>
      <c r="AU84" t="s">
        <v>123</v>
      </c>
      <c r="AV84" t="s">
        <v>123</v>
      </c>
      <c r="AW84" t="s">
        <v>123</v>
      </c>
      <c r="AX84" t="s">
        <v>123</v>
      </c>
      <c r="AY84" t="s">
        <v>123</v>
      </c>
      <c r="AZ84" t="s">
        <v>123</v>
      </c>
      <c r="BA84" t="s">
        <v>140</v>
      </c>
      <c r="BB84" t="s">
        <v>123</v>
      </c>
      <c r="BC84" t="s">
        <v>123</v>
      </c>
      <c r="BD84" t="s">
        <v>123</v>
      </c>
      <c r="BE84" t="s">
        <v>123</v>
      </c>
      <c r="BF84" t="s">
        <v>123</v>
      </c>
      <c r="BG84" t="s">
        <v>141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s="1">
        <v>45965.247558564814</v>
      </c>
      <c r="BZ84">
        <v>1466</v>
      </c>
      <c r="CA84" t="s">
        <v>123</v>
      </c>
      <c r="CB84" t="s">
        <v>123</v>
      </c>
      <c r="CC84">
        <v>0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>
        <v>1.6400000000000001E-2</v>
      </c>
      <c r="CL84">
        <v>1.7399999999999999E-2</v>
      </c>
      <c r="CM84">
        <v>1.84E-2</v>
      </c>
      <c r="CN84">
        <v>1.9599999999999999E-2</v>
      </c>
      <c r="CO84" t="s">
        <v>123</v>
      </c>
      <c r="CP84" t="s">
        <v>123</v>
      </c>
      <c r="CQ84">
        <v>1.43E-2</v>
      </c>
      <c r="CR84">
        <v>1.54E-2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142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  <c r="DN84" t="s">
        <v>123</v>
      </c>
      <c r="DO84" t="s">
        <v>123</v>
      </c>
      <c r="DP84" t="s">
        <v>123</v>
      </c>
      <c r="DQ84" t="s">
        <v>123</v>
      </c>
      <c r="DR84" t="s">
        <v>123</v>
      </c>
      <c r="DS84" t="s">
        <v>123</v>
      </c>
    </row>
    <row r="85" spans="1:123" x14ac:dyDescent="0.3">
      <c r="A85">
        <v>84</v>
      </c>
      <c r="B85" t="s">
        <v>123</v>
      </c>
      <c r="C85" t="s">
        <v>123</v>
      </c>
      <c r="D85" t="s">
        <v>470</v>
      </c>
      <c r="E85" t="s">
        <v>123</v>
      </c>
      <c r="F85" t="s">
        <v>125</v>
      </c>
      <c r="G85" t="s">
        <v>126</v>
      </c>
      <c r="H85" t="s">
        <v>127</v>
      </c>
      <c r="I85" t="s">
        <v>128</v>
      </c>
      <c r="J85" t="s">
        <v>123</v>
      </c>
      <c r="K85" t="s">
        <v>461</v>
      </c>
      <c r="L85" t="s">
        <v>130</v>
      </c>
      <c r="M85" t="s">
        <v>462</v>
      </c>
      <c r="N85" t="s">
        <v>180</v>
      </c>
      <c r="O85" t="s">
        <v>150</v>
      </c>
      <c r="P85" t="s">
        <v>123</v>
      </c>
      <c r="Q85" t="s">
        <v>123</v>
      </c>
      <c r="R85" t="s">
        <v>123</v>
      </c>
      <c r="S85" t="s">
        <v>123</v>
      </c>
      <c r="T85" s="1">
        <v>46759</v>
      </c>
      <c r="U85" t="s">
        <v>123</v>
      </c>
      <c r="V85" t="s">
        <v>123</v>
      </c>
      <c r="W85" t="s">
        <v>123</v>
      </c>
      <c r="X85" t="s">
        <v>123</v>
      </c>
      <c r="Y85" t="s">
        <v>123</v>
      </c>
      <c r="Z85" t="s">
        <v>123</v>
      </c>
      <c r="AA85" t="s">
        <v>123</v>
      </c>
      <c r="AB85" t="s">
        <v>471</v>
      </c>
      <c r="AC85" t="s">
        <v>135</v>
      </c>
      <c r="AD85" t="s">
        <v>123</v>
      </c>
      <c r="AE85" t="s">
        <v>123</v>
      </c>
      <c r="AF85" t="s">
        <v>136</v>
      </c>
      <c r="AG85" t="s">
        <v>137</v>
      </c>
      <c r="AH85" t="s">
        <v>123</v>
      </c>
      <c r="AI85" t="s">
        <v>128</v>
      </c>
      <c r="AJ85" t="s">
        <v>138</v>
      </c>
      <c r="AK85" t="s">
        <v>139</v>
      </c>
      <c r="AL85" t="s">
        <v>123</v>
      </c>
      <c r="AM85" t="s">
        <v>123</v>
      </c>
      <c r="AN85" t="s">
        <v>123</v>
      </c>
      <c r="AO85" t="s">
        <v>123</v>
      </c>
      <c r="AP85">
        <v>250</v>
      </c>
      <c r="AQ85">
        <v>50</v>
      </c>
      <c r="AR85">
        <v>10</v>
      </c>
      <c r="AS85" t="s">
        <v>123</v>
      </c>
      <c r="AT85" t="s">
        <v>123</v>
      </c>
      <c r="AU85" t="s">
        <v>123</v>
      </c>
      <c r="AV85" t="s">
        <v>123</v>
      </c>
      <c r="AW85" t="s">
        <v>123</v>
      </c>
      <c r="AX85" t="s">
        <v>123</v>
      </c>
      <c r="AY85" t="s">
        <v>123</v>
      </c>
      <c r="AZ85" t="s">
        <v>123</v>
      </c>
      <c r="BA85" t="s">
        <v>140</v>
      </c>
      <c r="BB85" t="s">
        <v>123</v>
      </c>
      <c r="BC85" t="s">
        <v>123</v>
      </c>
      <c r="BD85" t="s">
        <v>123</v>
      </c>
      <c r="BE85" t="s">
        <v>123</v>
      </c>
      <c r="BF85" t="s">
        <v>123</v>
      </c>
      <c r="BG85" t="s">
        <v>141</v>
      </c>
      <c r="BH85" t="s">
        <v>123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123</v>
      </c>
      <c r="BX85" t="s">
        <v>123</v>
      </c>
      <c r="BY85" s="1">
        <v>45965.247620752314</v>
      </c>
      <c r="BZ85">
        <v>1466</v>
      </c>
      <c r="CA85" t="s">
        <v>123</v>
      </c>
      <c r="CB85" t="s">
        <v>123</v>
      </c>
      <c r="CC85">
        <v>0</v>
      </c>
      <c r="CD85" t="s">
        <v>123</v>
      </c>
      <c r="CE85" t="s">
        <v>123</v>
      </c>
      <c r="CF85" t="s">
        <v>123</v>
      </c>
      <c r="CG85" t="s">
        <v>123</v>
      </c>
      <c r="CH85" t="s">
        <v>123</v>
      </c>
      <c r="CI85" t="s">
        <v>123</v>
      </c>
      <c r="CJ85" t="s">
        <v>123</v>
      </c>
      <c r="CK85">
        <v>2.7699999999999999E-2</v>
      </c>
      <c r="CL85">
        <v>0.03</v>
      </c>
      <c r="CM85">
        <v>4.1000000000000002E-2</v>
      </c>
      <c r="CN85">
        <v>4.4400000000000002E-2</v>
      </c>
      <c r="CO85" t="s">
        <v>123</v>
      </c>
      <c r="CP85" t="s">
        <v>123</v>
      </c>
      <c r="CQ85">
        <v>1.84E-2</v>
      </c>
      <c r="CR85">
        <v>1.9599999999999999E-2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142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  <c r="DN85" t="s">
        <v>123</v>
      </c>
      <c r="DO85" t="s">
        <v>123</v>
      </c>
      <c r="DP85" t="s">
        <v>123</v>
      </c>
      <c r="DQ85" t="s">
        <v>123</v>
      </c>
      <c r="DR85" t="s">
        <v>123</v>
      </c>
      <c r="DS85" t="s">
        <v>123</v>
      </c>
    </row>
    <row r="86" spans="1:123" x14ac:dyDescent="0.3">
      <c r="A86">
        <v>85</v>
      </c>
      <c r="B86" t="s">
        <v>123</v>
      </c>
      <c r="C86" t="s">
        <v>123</v>
      </c>
      <c r="D86" t="s">
        <v>472</v>
      </c>
      <c r="E86" t="s">
        <v>123</v>
      </c>
      <c r="F86" t="s">
        <v>125</v>
      </c>
      <c r="G86" t="s">
        <v>126</v>
      </c>
      <c r="H86" t="s">
        <v>127</v>
      </c>
      <c r="I86" t="s">
        <v>128</v>
      </c>
      <c r="J86" t="s">
        <v>123</v>
      </c>
      <c r="K86" t="s">
        <v>473</v>
      </c>
      <c r="L86" t="s">
        <v>130</v>
      </c>
      <c r="M86" t="s">
        <v>474</v>
      </c>
      <c r="N86" t="s">
        <v>132</v>
      </c>
      <c r="O86" t="s">
        <v>159</v>
      </c>
      <c r="P86" t="s">
        <v>123</v>
      </c>
      <c r="Q86" t="s">
        <v>123</v>
      </c>
      <c r="R86" t="s">
        <v>123</v>
      </c>
      <c r="S86" t="s">
        <v>123</v>
      </c>
      <c r="T86" s="1">
        <v>47308</v>
      </c>
      <c r="U86" t="s">
        <v>123</v>
      </c>
      <c r="V86" t="s">
        <v>123</v>
      </c>
      <c r="W86" t="s">
        <v>123</v>
      </c>
      <c r="X86" t="s">
        <v>123</v>
      </c>
      <c r="Y86" t="s">
        <v>123</v>
      </c>
      <c r="Z86" t="s">
        <v>123</v>
      </c>
      <c r="AA86" t="s">
        <v>123</v>
      </c>
      <c r="AB86" t="s">
        <v>475</v>
      </c>
      <c r="AC86" t="s">
        <v>135</v>
      </c>
      <c r="AD86" t="s">
        <v>123</v>
      </c>
      <c r="AE86" t="s">
        <v>123</v>
      </c>
      <c r="AF86" t="s">
        <v>169</v>
      </c>
      <c r="AG86" t="s">
        <v>170</v>
      </c>
      <c r="AH86" t="s">
        <v>123</v>
      </c>
      <c r="AI86" t="s">
        <v>128</v>
      </c>
      <c r="AJ86" t="s">
        <v>186</v>
      </c>
      <c r="AK86" t="s">
        <v>163</v>
      </c>
      <c r="AL86" t="s">
        <v>123</v>
      </c>
      <c r="AM86" t="s">
        <v>123</v>
      </c>
      <c r="AN86" t="s">
        <v>123</v>
      </c>
      <c r="AO86" t="s">
        <v>123</v>
      </c>
      <c r="AP86">
        <v>250</v>
      </c>
      <c r="AQ86">
        <v>50</v>
      </c>
      <c r="AR86">
        <v>10</v>
      </c>
      <c r="AS86" t="s">
        <v>123</v>
      </c>
      <c r="AT86" t="s">
        <v>123</v>
      </c>
      <c r="AU86" t="s">
        <v>123</v>
      </c>
      <c r="AV86" t="s">
        <v>123</v>
      </c>
      <c r="AW86" t="s">
        <v>123</v>
      </c>
      <c r="AX86" t="s">
        <v>123</v>
      </c>
      <c r="AY86" t="s">
        <v>123</v>
      </c>
      <c r="AZ86" t="s">
        <v>123</v>
      </c>
      <c r="BA86" t="s">
        <v>140</v>
      </c>
      <c r="BB86" t="s">
        <v>123</v>
      </c>
      <c r="BC86" t="s">
        <v>123</v>
      </c>
      <c r="BD86" t="s">
        <v>123</v>
      </c>
      <c r="BE86" t="s">
        <v>123</v>
      </c>
      <c r="BF86" t="s">
        <v>123</v>
      </c>
      <c r="BG86" t="s">
        <v>141</v>
      </c>
      <c r="BH86" t="s">
        <v>123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123</v>
      </c>
      <c r="BX86" t="s">
        <v>123</v>
      </c>
      <c r="BY86" s="1">
        <v>45965.247676886574</v>
      </c>
      <c r="BZ86">
        <v>1527</v>
      </c>
      <c r="CA86" t="s">
        <v>123</v>
      </c>
      <c r="CB86" t="s">
        <v>123</v>
      </c>
      <c r="CC86">
        <v>0</v>
      </c>
      <c r="CD86" t="s">
        <v>123</v>
      </c>
      <c r="CE86" t="s">
        <v>123</v>
      </c>
      <c r="CF86" t="s">
        <v>123</v>
      </c>
      <c r="CG86" t="s">
        <v>123</v>
      </c>
      <c r="CH86" t="s">
        <v>123</v>
      </c>
      <c r="CI86" t="s">
        <v>123</v>
      </c>
      <c r="CJ86" t="s">
        <v>123</v>
      </c>
      <c r="CK86">
        <v>1.0999999999999999E-2</v>
      </c>
      <c r="CL86">
        <v>1.2E-2</v>
      </c>
      <c r="CM86">
        <v>1.61E-2</v>
      </c>
      <c r="CN86">
        <v>1.7399999999999999E-2</v>
      </c>
      <c r="CO86" t="s">
        <v>123</v>
      </c>
      <c r="CP86" t="s">
        <v>123</v>
      </c>
      <c r="CQ86">
        <v>7.3000000000000001E-3</v>
      </c>
      <c r="CR86">
        <v>7.9000000000000008E-3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152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  <c r="DN86" t="s">
        <v>123</v>
      </c>
      <c r="DO86" t="s">
        <v>123</v>
      </c>
      <c r="DP86" t="s">
        <v>123</v>
      </c>
      <c r="DQ86" t="s">
        <v>123</v>
      </c>
      <c r="DR86" t="s">
        <v>123</v>
      </c>
      <c r="DS86" t="s">
        <v>123</v>
      </c>
    </row>
    <row r="87" spans="1:123" x14ac:dyDescent="0.3">
      <c r="A87">
        <v>86</v>
      </c>
      <c r="B87" t="s">
        <v>123</v>
      </c>
      <c r="C87" t="s">
        <v>123</v>
      </c>
      <c r="D87" t="s">
        <v>476</v>
      </c>
      <c r="E87" t="s">
        <v>123</v>
      </c>
      <c r="F87" t="s">
        <v>125</v>
      </c>
      <c r="G87" t="s">
        <v>126</v>
      </c>
      <c r="H87" t="s">
        <v>127</v>
      </c>
      <c r="I87" t="s">
        <v>128</v>
      </c>
      <c r="J87" t="s">
        <v>123</v>
      </c>
      <c r="K87" t="s">
        <v>473</v>
      </c>
      <c r="L87" t="s">
        <v>130</v>
      </c>
      <c r="M87" t="s">
        <v>474</v>
      </c>
      <c r="N87" t="s">
        <v>144</v>
      </c>
      <c r="O87" t="s">
        <v>159</v>
      </c>
      <c r="P87" t="s">
        <v>123</v>
      </c>
      <c r="Q87" t="s">
        <v>123</v>
      </c>
      <c r="R87" t="s">
        <v>123</v>
      </c>
      <c r="S87" t="s">
        <v>123</v>
      </c>
      <c r="T87" s="1">
        <v>47308</v>
      </c>
      <c r="U87" t="s">
        <v>123</v>
      </c>
      <c r="V87" t="s">
        <v>123</v>
      </c>
      <c r="W87" t="s">
        <v>123</v>
      </c>
      <c r="X87" t="s">
        <v>123</v>
      </c>
      <c r="Y87" t="s">
        <v>123</v>
      </c>
      <c r="Z87" t="s">
        <v>123</v>
      </c>
      <c r="AA87" t="s">
        <v>123</v>
      </c>
      <c r="AB87" t="s">
        <v>477</v>
      </c>
      <c r="AC87" t="s">
        <v>135</v>
      </c>
      <c r="AD87" t="s">
        <v>123</v>
      </c>
      <c r="AE87" t="s">
        <v>123</v>
      </c>
      <c r="AF87" t="s">
        <v>169</v>
      </c>
      <c r="AG87" t="s">
        <v>170</v>
      </c>
      <c r="AH87" t="s">
        <v>123</v>
      </c>
      <c r="AI87" t="s">
        <v>128</v>
      </c>
      <c r="AJ87" t="s">
        <v>186</v>
      </c>
      <c r="AK87" t="s">
        <v>163</v>
      </c>
      <c r="AL87" t="s">
        <v>123</v>
      </c>
      <c r="AM87" t="s">
        <v>123</v>
      </c>
      <c r="AN87" t="s">
        <v>123</v>
      </c>
      <c r="AO87" t="s">
        <v>123</v>
      </c>
      <c r="AP87">
        <v>250</v>
      </c>
      <c r="AQ87">
        <v>50</v>
      </c>
      <c r="AR87">
        <v>10</v>
      </c>
      <c r="AS87" t="s">
        <v>123</v>
      </c>
      <c r="AT87" t="s">
        <v>123</v>
      </c>
      <c r="AU87" t="s">
        <v>123</v>
      </c>
      <c r="AV87" t="s">
        <v>123</v>
      </c>
      <c r="AW87" t="s">
        <v>123</v>
      </c>
      <c r="AX87" t="s">
        <v>123</v>
      </c>
      <c r="AY87" t="s">
        <v>123</v>
      </c>
      <c r="AZ87" t="s">
        <v>123</v>
      </c>
      <c r="BA87" t="s">
        <v>140</v>
      </c>
      <c r="BB87" t="s">
        <v>123</v>
      </c>
      <c r="BC87" t="s">
        <v>123</v>
      </c>
      <c r="BD87" t="s">
        <v>123</v>
      </c>
      <c r="BE87" t="s">
        <v>123</v>
      </c>
      <c r="BF87" t="s">
        <v>123</v>
      </c>
      <c r="BG87" t="s">
        <v>141</v>
      </c>
      <c r="BH87" t="s">
        <v>123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123</v>
      </c>
      <c r="BX87" t="s">
        <v>123</v>
      </c>
      <c r="BY87" s="1">
        <v>45965.247772418981</v>
      </c>
      <c r="BZ87">
        <v>1527</v>
      </c>
      <c r="CA87" t="s">
        <v>123</v>
      </c>
      <c r="CB87" t="s">
        <v>123</v>
      </c>
      <c r="CC87">
        <v>0</v>
      </c>
      <c r="CD87" t="s">
        <v>123</v>
      </c>
      <c r="CE87" t="s">
        <v>123</v>
      </c>
      <c r="CF87" t="s">
        <v>123</v>
      </c>
      <c r="CG87" t="s">
        <v>123</v>
      </c>
      <c r="CH87" t="s">
        <v>123</v>
      </c>
      <c r="CI87" t="s">
        <v>123</v>
      </c>
      <c r="CJ87" t="s">
        <v>123</v>
      </c>
      <c r="CK87">
        <v>2.8400000000000002E-2</v>
      </c>
      <c r="CL87">
        <v>3.0700000000000002E-2</v>
      </c>
      <c r="CM87">
        <v>3.7199999999999997E-2</v>
      </c>
      <c r="CN87">
        <v>0.04</v>
      </c>
      <c r="CO87" t="s">
        <v>123</v>
      </c>
      <c r="CP87" t="s">
        <v>123</v>
      </c>
      <c r="CQ87">
        <v>2.06E-2</v>
      </c>
      <c r="CR87">
        <v>2.2599999999999999E-2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152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  <c r="DN87" t="s">
        <v>123</v>
      </c>
      <c r="DO87" t="s">
        <v>123</v>
      </c>
      <c r="DP87" t="s">
        <v>123</v>
      </c>
      <c r="DQ87" t="s">
        <v>123</v>
      </c>
      <c r="DR87" t="s">
        <v>123</v>
      </c>
      <c r="DS87" t="s">
        <v>123</v>
      </c>
    </row>
    <row r="88" spans="1:123" x14ac:dyDescent="0.3">
      <c r="A88">
        <v>87</v>
      </c>
      <c r="B88" t="s">
        <v>123</v>
      </c>
      <c r="C88" t="s">
        <v>123</v>
      </c>
      <c r="D88" t="s">
        <v>478</v>
      </c>
      <c r="E88" t="s">
        <v>123</v>
      </c>
      <c r="F88" t="s">
        <v>125</v>
      </c>
      <c r="G88" t="s">
        <v>126</v>
      </c>
      <c r="H88" t="s">
        <v>127</v>
      </c>
      <c r="I88" t="s">
        <v>128</v>
      </c>
      <c r="J88" t="s">
        <v>123</v>
      </c>
      <c r="K88" t="s">
        <v>473</v>
      </c>
      <c r="L88" t="s">
        <v>130</v>
      </c>
      <c r="M88" t="s">
        <v>474</v>
      </c>
      <c r="N88" t="s">
        <v>147</v>
      </c>
      <c r="O88" t="s">
        <v>159</v>
      </c>
      <c r="P88" t="s">
        <v>123</v>
      </c>
      <c r="Q88" t="s">
        <v>123</v>
      </c>
      <c r="R88" t="s">
        <v>123</v>
      </c>
      <c r="S88" t="s">
        <v>123</v>
      </c>
      <c r="T88" s="1">
        <v>47308</v>
      </c>
      <c r="U88" t="s">
        <v>123</v>
      </c>
      <c r="V88" t="s">
        <v>123</v>
      </c>
      <c r="W88" t="s">
        <v>123</v>
      </c>
      <c r="X88" t="s">
        <v>123</v>
      </c>
      <c r="Y88" t="s">
        <v>123</v>
      </c>
      <c r="Z88" t="s">
        <v>123</v>
      </c>
      <c r="AA88" t="s">
        <v>123</v>
      </c>
      <c r="AB88" t="s">
        <v>479</v>
      </c>
      <c r="AC88" t="s">
        <v>135</v>
      </c>
      <c r="AD88" t="s">
        <v>123</v>
      </c>
      <c r="AE88" t="s">
        <v>123</v>
      </c>
      <c r="AF88" t="s">
        <v>169</v>
      </c>
      <c r="AG88" t="s">
        <v>170</v>
      </c>
      <c r="AH88" t="s">
        <v>123</v>
      </c>
      <c r="AI88" t="s">
        <v>128</v>
      </c>
      <c r="AJ88" t="s">
        <v>138</v>
      </c>
      <c r="AK88" t="s">
        <v>163</v>
      </c>
      <c r="AL88" t="s">
        <v>123</v>
      </c>
      <c r="AM88" t="s">
        <v>123</v>
      </c>
      <c r="AN88" t="s">
        <v>123</v>
      </c>
      <c r="AO88" t="s">
        <v>123</v>
      </c>
      <c r="AP88">
        <v>250</v>
      </c>
      <c r="AQ88">
        <v>50</v>
      </c>
      <c r="AR88">
        <v>10</v>
      </c>
      <c r="AS88" t="s">
        <v>123</v>
      </c>
      <c r="AT88" t="s">
        <v>123</v>
      </c>
      <c r="AU88" t="s">
        <v>123</v>
      </c>
      <c r="AV88" t="s">
        <v>123</v>
      </c>
      <c r="AW88" t="s">
        <v>123</v>
      </c>
      <c r="AX88" t="s">
        <v>123</v>
      </c>
      <c r="AY88" t="s">
        <v>123</v>
      </c>
      <c r="AZ88" t="s">
        <v>123</v>
      </c>
      <c r="BA88" t="s">
        <v>140</v>
      </c>
      <c r="BB88" t="s">
        <v>123</v>
      </c>
      <c r="BC88" t="s">
        <v>123</v>
      </c>
      <c r="BD88" t="s">
        <v>123</v>
      </c>
      <c r="BE88" t="s">
        <v>123</v>
      </c>
      <c r="BF88" t="s">
        <v>123</v>
      </c>
      <c r="BG88" t="s">
        <v>141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s="1">
        <v>45965.247881481482</v>
      </c>
      <c r="BZ88">
        <v>1527</v>
      </c>
      <c r="CA88" t="s">
        <v>123</v>
      </c>
      <c r="CB88" t="s">
        <v>123</v>
      </c>
      <c r="CC88">
        <v>0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>
        <v>1.52E-2</v>
      </c>
      <c r="CL88">
        <v>1.6299999999999999E-2</v>
      </c>
      <c r="CM88">
        <v>2.3E-2</v>
      </c>
      <c r="CN88">
        <v>2.46E-2</v>
      </c>
      <c r="CO88" t="s">
        <v>123</v>
      </c>
      <c r="CP88" t="s">
        <v>123</v>
      </c>
      <c r="CQ88">
        <v>9.7000000000000003E-3</v>
      </c>
      <c r="CR88">
        <v>1.04E-2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152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  <c r="DN88" t="s">
        <v>123</v>
      </c>
      <c r="DO88" t="s">
        <v>123</v>
      </c>
      <c r="DP88" t="s">
        <v>123</v>
      </c>
      <c r="DQ88" t="s">
        <v>123</v>
      </c>
      <c r="DR88" t="s">
        <v>123</v>
      </c>
      <c r="DS88" t="s">
        <v>123</v>
      </c>
    </row>
    <row r="89" spans="1:123" x14ac:dyDescent="0.3">
      <c r="A89">
        <v>88</v>
      </c>
      <c r="B89" t="s">
        <v>123</v>
      </c>
      <c r="C89" t="s">
        <v>123</v>
      </c>
      <c r="D89" t="s">
        <v>480</v>
      </c>
      <c r="E89" t="s">
        <v>123</v>
      </c>
      <c r="F89" t="s">
        <v>125</v>
      </c>
      <c r="G89" t="s">
        <v>126</v>
      </c>
      <c r="H89" t="s">
        <v>127</v>
      </c>
      <c r="I89" t="s">
        <v>128</v>
      </c>
      <c r="J89" t="s">
        <v>123</v>
      </c>
      <c r="K89" t="s">
        <v>473</v>
      </c>
      <c r="L89" t="s">
        <v>130</v>
      </c>
      <c r="M89" t="s">
        <v>474</v>
      </c>
      <c r="N89" t="s">
        <v>481</v>
      </c>
      <c r="O89" t="s">
        <v>159</v>
      </c>
      <c r="P89" t="s">
        <v>123</v>
      </c>
      <c r="Q89" t="s">
        <v>123</v>
      </c>
      <c r="R89" t="s">
        <v>123</v>
      </c>
      <c r="S89" t="s">
        <v>123</v>
      </c>
      <c r="T89" s="1">
        <v>47308</v>
      </c>
      <c r="U89" t="s">
        <v>123</v>
      </c>
      <c r="V89" t="s">
        <v>123</v>
      </c>
      <c r="W89" t="s">
        <v>123</v>
      </c>
      <c r="X89" t="s">
        <v>123</v>
      </c>
      <c r="Y89" t="s">
        <v>123</v>
      </c>
      <c r="Z89" t="s">
        <v>123</v>
      </c>
      <c r="AA89" t="s">
        <v>123</v>
      </c>
      <c r="AB89" t="s">
        <v>482</v>
      </c>
      <c r="AC89" t="s">
        <v>135</v>
      </c>
      <c r="AD89" t="s">
        <v>123</v>
      </c>
      <c r="AE89" t="s">
        <v>123</v>
      </c>
      <c r="AF89" t="s">
        <v>169</v>
      </c>
      <c r="AG89" t="s">
        <v>170</v>
      </c>
      <c r="AH89" t="s">
        <v>123</v>
      </c>
      <c r="AI89" t="s">
        <v>128</v>
      </c>
      <c r="AJ89" t="s">
        <v>138</v>
      </c>
      <c r="AK89" t="s">
        <v>163</v>
      </c>
      <c r="AL89" t="s">
        <v>123</v>
      </c>
      <c r="AM89" t="s">
        <v>123</v>
      </c>
      <c r="AN89" t="s">
        <v>123</v>
      </c>
      <c r="AO89" t="s">
        <v>123</v>
      </c>
      <c r="AP89">
        <v>250</v>
      </c>
      <c r="AQ89">
        <v>50</v>
      </c>
      <c r="AR89">
        <v>10</v>
      </c>
      <c r="AS89" t="s">
        <v>123</v>
      </c>
      <c r="AT89" t="s">
        <v>123</v>
      </c>
      <c r="AU89" t="s">
        <v>123</v>
      </c>
      <c r="AV89" t="s">
        <v>123</v>
      </c>
      <c r="AW89" t="s">
        <v>123</v>
      </c>
      <c r="AX89" t="s">
        <v>123</v>
      </c>
      <c r="AY89" t="s">
        <v>123</v>
      </c>
      <c r="AZ89" t="s">
        <v>123</v>
      </c>
      <c r="BA89" t="s">
        <v>140</v>
      </c>
      <c r="BB89" t="s">
        <v>123</v>
      </c>
      <c r="BC89" t="s">
        <v>123</v>
      </c>
      <c r="BD89" t="s">
        <v>123</v>
      </c>
      <c r="BE89" t="s">
        <v>123</v>
      </c>
      <c r="BF89" t="s">
        <v>123</v>
      </c>
      <c r="BG89" t="s">
        <v>141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s="1">
        <v>45965.247978587962</v>
      </c>
      <c r="BZ89">
        <v>1527</v>
      </c>
      <c r="CA89" t="s">
        <v>123</v>
      </c>
      <c r="CB89" t="s">
        <v>123</v>
      </c>
      <c r="CC89">
        <v>0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>
        <v>3.5499999999999997E-2</v>
      </c>
      <c r="CL89">
        <v>3.7999999999999999E-2</v>
      </c>
      <c r="CM89">
        <v>5.4899999999999997E-2</v>
      </c>
      <c r="CN89">
        <v>5.9400000000000001E-2</v>
      </c>
      <c r="CO89" t="s">
        <v>123</v>
      </c>
      <c r="CP89" t="s">
        <v>123</v>
      </c>
      <c r="CQ89">
        <v>2.3099999999999999E-2</v>
      </c>
      <c r="CR89">
        <v>2.47E-2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152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  <c r="DN89" t="s">
        <v>123</v>
      </c>
      <c r="DO89" t="s">
        <v>123</v>
      </c>
      <c r="DP89" t="s">
        <v>123</v>
      </c>
      <c r="DQ89" t="s">
        <v>123</v>
      </c>
      <c r="DR89" t="s">
        <v>123</v>
      </c>
      <c r="DS89" t="s">
        <v>123</v>
      </c>
    </row>
    <row r="90" spans="1:123" x14ac:dyDescent="0.3">
      <c r="A90">
        <v>89</v>
      </c>
      <c r="B90" t="s">
        <v>123</v>
      </c>
      <c r="C90" t="s">
        <v>123</v>
      </c>
      <c r="D90" t="s">
        <v>483</v>
      </c>
      <c r="E90" t="s">
        <v>123</v>
      </c>
      <c r="F90" t="s">
        <v>125</v>
      </c>
      <c r="G90" t="s">
        <v>126</v>
      </c>
      <c r="H90" t="s">
        <v>127</v>
      </c>
      <c r="I90" t="s">
        <v>128</v>
      </c>
      <c r="J90" t="s">
        <v>123</v>
      </c>
      <c r="K90" t="s">
        <v>473</v>
      </c>
      <c r="L90" t="s">
        <v>130</v>
      </c>
      <c r="M90" t="s">
        <v>474</v>
      </c>
      <c r="N90" t="s">
        <v>435</v>
      </c>
      <c r="O90" t="s">
        <v>378</v>
      </c>
      <c r="P90" t="s">
        <v>123</v>
      </c>
      <c r="Q90" t="s">
        <v>123</v>
      </c>
      <c r="R90" t="s">
        <v>123</v>
      </c>
      <c r="S90" t="s">
        <v>123</v>
      </c>
      <c r="T90" s="1">
        <v>47672</v>
      </c>
      <c r="U90" t="s">
        <v>123</v>
      </c>
      <c r="V90" t="s">
        <v>123</v>
      </c>
      <c r="W90" t="s">
        <v>123</v>
      </c>
      <c r="X90" t="s">
        <v>123</v>
      </c>
      <c r="Y90" t="s">
        <v>123</v>
      </c>
      <c r="Z90" t="s">
        <v>123</v>
      </c>
      <c r="AA90" t="s">
        <v>123</v>
      </c>
      <c r="AB90" t="s">
        <v>484</v>
      </c>
      <c r="AC90" t="s">
        <v>135</v>
      </c>
      <c r="AD90" t="s">
        <v>123</v>
      </c>
      <c r="AE90" t="s">
        <v>123</v>
      </c>
      <c r="AF90" t="s">
        <v>169</v>
      </c>
      <c r="AG90" t="s">
        <v>170</v>
      </c>
      <c r="AH90" t="s">
        <v>123</v>
      </c>
      <c r="AI90" t="s">
        <v>128</v>
      </c>
      <c r="AJ90" t="s">
        <v>186</v>
      </c>
      <c r="AK90" t="s">
        <v>163</v>
      </c>
      <c r="AL90" t="s">
        <v>123</v>
      </c>
      <c r="AM90" t="s">
        <v>123</v>
      </c>
      <c r="AN90" t="s">
        <v>123</v>
      </c>
      <c r="AO90" t="s">
        <v>123</v>
      </c>
      <c r="AP90">
        <v>250</v>
      </c>
      <c r="AQ90">
        <v>50</v>
      </c>
      <c r="AR90">
        <v>10</v>
      </c>
      <c r="AS90" t="s">
        <v>123</v>
      </c>
      <c r="AT90" t="s">
        <v>123</v>
      </c>
      <c r="AU90" t="s">
        <v>123</v>
      </c>
      <c r="AV90" t="s">
        <v>123</v>
      </c>
      <c r="AW90" t="s">
        <v>123</v>
      </c>
      <c r="AX90" t="s">
        <v>123</v>
      </c>
      <c r="AY90" t="s">
        <v>123</v>
      </c>
      <c r="AZ90" t="s">
        <v>123</v>
      </c>
      <c r="BA90" t="s">
        <v>140</v>
      </c>
      <c r="BB90" t="s">
        <v>123</v>
      </c>
      <c r="BC90" t="s">
        <v>123</v>
      </c>
      <c r="BD90" t="s">
        <v>123</v>
      </c>
      <c r="BE90" t="s">
        <v>123</v>
      </c>
      <c r="BF90" t="s">
        <v>123</v>
      </c>
      <c r="BG90" t="s">
        <v>141</v>
      </c>
      <c r="BH90" t="s">
        <v>123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123</v>
      </c>
      <c r="BX90" t="s">
        <v>123</v>
      </c>
      <c r="BY90" s="1">
        <v>45965.248084803243</v>
      </c>
      <c r="BZ90">
        <v>1527</v>
      </c>
      <c r="CA90" t="s">
        <v>123</v>
      </c>
      <c r="CB90" t="s">
        <v>123</v>
      </c>
      <c r="CC90">
        <v>0</v>
      </c>
      <c r="CD90" t="s">
        <v>123</v>
      </c>
      <c r="CE90" t="s">
        <v>123</v>
      </c>
      <c r="CF90" t="s">
        <v>123</v>
      </c>
      <c r="CG90" t="s">
        <v>123</v>
      </c>
      <c r="CH90" t="s">
        <v>123</v>
      </c>
      <c r="CI90" t="s">
        <v>123</v>
      </c>
      <c r="CJ90" t="s">
        <v>123</v>
      </c>
      <c r="CK90">
        <v>1.0999999999999999E-2</v>
      </c>
      <c r="CL90">
        <v>1.2E-2</v>
      </c>
      <c r="CM90">
        <v>1.61E-2</v>
      </c>
      <c r="CN90">
        <v>1.7399999999999999E-2</v>
      </c>
      <c r="CO90" t="s">
        <v>123</v>
      </c>
      <c r="CP90" t="s">
        <v>123</v>
      </c>
      <c r="CQ90">
        <v>7.3000000000000001E-3</v>
      </c>
      <c r="CR90">
        <v>7.9000000000000008E-3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152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  <c r="DN90" t="s">
        <v>123</v>
      </c>
      <c r="DO90" t="s">
        <v>123</v>
      </c>
      <c r="DP90" t="s">
        <v>123</v>
      </c>
      <c r="DQ90" t="s">
        <v>123</v>
      </c>
      <c r="DR90" t="s">
        <v>123</v>
      </c>
      <c r="DS90" t="s">
        <v>123</v>
      </c>
    </row>
    <row r="91" spans="1:123" x14ac:dyDescent="0.3">
      <c r="A91">
        <v>90</v>
      </c>
      <c r="B91" t="s">
        <v>123</v>
      </c>
      <c r="C91" t="s">
        <v>123</v>
      </c>
      <c r="D91" t="s">
        <v>485</v>
      </c>
      <c r="E91" t="s">
        <v>123</v>
      </c>
      <c r="F91" t="s">
        <v>125</v>
      </c>
      <c r="G91" t="s">
        <v>126</v>
      </c>
      <c r="H91" t="s">
        <v>127</v>
      </c>
      <c r="I91" t="s">
        <v>128</v>
      </c>
      <c r="J91" t="s">
        <v>123</v>
      </c>
      <c r="K91" t="s">
        <v>473</v>
      </c>
      <c r="L91" t="s">
        <v>130</v>
      </c>
      <c r="M91" t="s">
        <v>474</v>
      </c>
      <c r="N91" t="s">
        <v>438</v>
      </c>
      <c r="O91" t="s">
        <v>378</v>
      </c>
      <c r="P91" t="s">
        <v>123</v>
      </c>
      <c r="Q91" t="s">
        <v>123</v>
      </c>
      <c r="R91" t="s">
        <v>123</v>
      </c>
      <c r="S91" t="s">
        <v>123</v>
      </c>
      <c r="T91" s="1">
        <v>47672</v>
      </c>
      <c r="U91" t="s">
        <v>123</v>
      </c>
      <c r="V91" t="s">
        <v>123</v>
      </c>
      <c r="W91" t="s">
        <v>123</v>
      </c>
      <c r="X91" t="s">
        <v>123</v>
      </c>
      <c r="Y91" t="s">
        <v>123</v>
      </c>
      <c r="Z91" t="s">
        <v>123</v>
      </c>
      <c r="AA91" t="s">
        <v>123</v>
      </c>
      <c r="AB91" t="s">
        <v>486</v>
      </c>
      <c r="AC91" t="s">
        <v>135</v>
      </c>
      <c r="AD91" t="s">
        <v>123</v>
      </c>
      <c r="AE91" t="s">
        <v>123</v>
      </c>
      <c r="AF91" t="s">
        <v>169</v>
      </c>
      <c r="AG91" t="s">
        <v>170</v>
      </c>
      <c r="AH91" t="s">
        <v>123</v>
      </c>
      <c r="AI91" t="s">
        <v>128</v>
      </c>
      <c r="AJ91" t="s">
        <v>186</v>
      </c>
      <c r="AK91" t="s">
        <v>163</v>
      </c>
      <c r="AL91" t="s">
        <v>123</v>
      </c>
      <c r="AM91" t="s">
        <v>123</v>
      </c>
      <c r="AN91" t="s">
        <v>123</v>
      </c>
      <c r="AO91" t="s">
        <v>123</v>
      </c>
      <c r="AP91">
        <v>250</v>
      </c>
      <c r="AQ91">
        <v>50</v>
      </c>
      <c r="AR91">
        <v>10</v>
      </c>
      <c r="AS91" t="s">
        <v>123</v>
      </c>
      <c r="AT91" t="s">
        <v>123</v>
      </c>
      <c r="AU91" t="s">
        <v>123</v>
      </c>
      <c r="AV91" t="s">
        <v>123</v>
      </c>
      <c r="AW91" t="s">
        <v>123</v>
      </c>
      <c r="AX91" t="s">
        <v>123</v>
      </c>
      <c r="AY91" t="s">
        <v>123</v>
      </c>
      <c r="AZ91" t="s">
        <v>123</v>
      </c>
      <c r="BA91" t="s">
        <v>140</v>
      </c>
      <c r="BB91" t="s">
        <v>123</v>
      </c>
      <c r="BC91" t="s">
        <v>123</v>
      </c>
      <c r="BD91" t="s">
        <v>123</v>
      </c>
      <c r="BE91" t="s">
        <v>123</v>
      </c>
      <c r="BF91" t="s">
        <v>123</v>
      </c>
      <c r="BG91" t="s">
        <v>141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s="1">
        <v>45965.24816959491</v>
      </c>
      <c r="BZ91">
        <v>1527</v>
      </c>
      <c r="CA91" t="s">
        <v>123</v>
      </c>
      <c r="CB91" t="s">
        <v>123</v>
      </c>
      <c r="CC91">
        <v>0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>
        <v>2.8400000000000002E-2</v>
      </c>
      <c r="CL91">
        <v>3.0700000000000002E-2</v>
      </c>
      <c r="CM91">
        <v>3.7199999999999997E-2</v>
      </c>
      <c r="CN91">
        <v>0.04</v>
      </c>
      <c r="CO91" t="s">
        <v>123</v>
      </c>
      <c r="CP91" t="s">
        <v>123</v>
      </c>
      <c r="CQ91">
        <v>2.06E-2</v>
      </c>
      <c r="CR91">
        <v>2.2599999999999999E-2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152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  <c r="DN91" t="s">
        <v>123</v>
      </c>
      <c r="DO91" t="s">
        <v>123</v>
      </c>
      <c r="DP91" t="s">
        <v>123</v>
      </c>
      <c r="DQ91" t="s">
        <v>123</v>
      </c>
      <c r="DR91" t="s">
        <v>123</v>
      </c>
      <c r="DS91" t="s">
        <v>123</v>
      </c>
    </row>
    <row r="92" spans="1:123" x14ac:dyDescent="0.3">
      <c r="A92">
        <v>91</v>
      </c>
      <c r="B92" t="s">
        <v>123</v>
      </c>
      <c r="C92" t="s">
        <v>123</v>
      </c>
      <c r="D92" t="s">
        <v>487</v>
      </c>
      <c r="E92" t="s">
        <v>123</v>
      </c>
      <c r="F92" t="s">
        <v>125</v>
      </c>
      <c r="G92" t="s">
        <v>126</v>
      </c>
      <c r="H92" t="s">
        <v>127</v>
      </c>
      <c r="I92" t="s">
        <v>128</v>
      </c>
      <c r="J92" t="s">
        <v>123</v>
      </c>
      <c r="K92" t="s">
        <v>473</v>
      </c>
      <c r="L92" t="s">
        <v>130</v>
      </c>
      <c r="M92" t="s">
        <v>474</v>
      </c>
      <c r="N92" t="s">
        <v>488</v>
      </c>
      <c r="O92" t="s">
        <v>378</v>
      </c>
      <c r="P92" t="s">
        <v>123</v>
      </c>
      <c r="Q92" t="s">
        <v>123</v>
      </c>
      <c r="R92" t="s">
        <v>123</v>
      </c>
      <c r="S92" t="s">
        <v>123</v>
      </c>
      <c r="T92" s="1">
        <v>47672</v>
      </c>
      <c r="U92" t="s">
        <v>123</v>
      </c>
      <c r="V92" t="s">
        <v>123</v>
      </c>
      <c r="W92" t="s">
        <v>123</v>
      </c>
      <c r="X92" t="s">
        <v>123</v>
      </c>
      <c r="Y92" t="s">
        <v>123</v>
      </c>
      <c r="Z92" t="s">
        <v>123</v>
      </c>
      <c r="AA92" t="s">
        <v>123</v>
      </c>
      <c r="AB92" t="s">
        <v>489</v>
      </c>
      <c r="AC92" t="s">
        <v>135</v>
      </c>
      <c r="AD92" t="s">
        <v>123</v>
      </c>
      <c r="AE92" t="s">
        <v>123</v>
      </c>
      <c r="AF92" t="s">
        <v>169</v>
      </c>
      <c r="AG92" t="s">
        <v>170</v>
      </c>
      <c r="AH92" t="s">
        <v>123</v>
      </c>
      <c r="AI92" t="s">
        <v>128</v>
      </c>
      <c r="AJ92" t="s">
        <v>138</v>
      </c>
      <c r="AK92" t="s">
        <v>163</v>
      </c>
      <c r="AL92" t="s">
        <v>123</v>
      </c>
      <c r="AM92" t="s">
        <v>123</v>
      </c>
      <c r="AN92" t="s">
        <v>123</v>
      </c>
      <c r="AO92" t="s">
        <v>123</v>
      </c>
      <c r="AP92">
        <v>250</v>
      </c>
      <c r="AQ92">
        <v>50</v>
      </c>
      <c r="AR92">
        <v>10</v>
      </c>
      <c r="AS92" t="s">
        <v>123</v>
      </c>
      <c r="AT92" t="s">
        <v>123</v>
      </c>
      <c r="AU92" t="s">
        <v>123</v>
      </c>
      <c r="AV92" t="s">
        <v>123</v>
      </c>
      <c r="AW92" t="s">
        <v>123</v>
      </c>
      <c r="AX92" t="s">
        <v>123</v>
      </c>
      <c r="AY92" t="s">
        <v>123</v>
      </c>
      <c r="AZ92" t="s">
        <v>123</v>
      </c>
      <c r="BA92" t="s">
        <v>140</v>
      </c>
      <c r="BB92" t="s">
        <v>123</v>
      </c>
      <c r="BC92" t="s">
        <v>123</v>
      </c>
      <c r="BD92" t="s">
        <v>123</v>
      </c>
      <c r="BE92" t="s">
        <v>123</v>
      </c>
      <c r="BF92" t="s">
        <v>123</v>
      </c>
      <c r="BG92" t="s">
        <v>141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s="1">
        <v>45965.248273761572</v>
      </c>
      <c r="BZ92">
        <v>1527</v>
      </c>
      <c r="CA92" t="s">
        <v>123</v>
      </c>
      <c r="CB92" t="s">
        <v>123</v>
      </c>
      <c r="CC92">
        <v>0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>
        <v>1.52E-2</v>
      </c>
      <c r="CL92">
        <v>1.6299999999999999E-2</v>
      </c>
      <c r="CM92">
        <v>2.3E-2</v>
      </c>
      <c r="CN92">
        <v>2.46E-2</v>
      </c>
      <c r="CO92" t="s">
        <v>123</v>
      </c>
      <c r="CP92" t="s">
        <v>123</v>
      </c>
      <c r="CQ92">
        <v>9.7000000000000003E-3</v>
      </c>
      <c r="CR92">
        <v>1.04E-2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152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  <c r="DN92" t="s">
        <v>123</v>
      </c>
      <c r="DO92" t="s">
        <v>123</v>
      </c>
      <c r="DP92" t="s">
        <v>123</v>
      </c>
      <c r="DQ92" t="s">
        <v>123</v>
      </c>
      <c r="DR92" t="s">
        <v>123</v>
      </c>
      <c r="DS92" t="s">
        <v>123</v>
      </c>
    </row>
    <row r="93" spans="1:123" x14ac:dyDescent="0.3">
      <c r="A93">
        <v>92</v>
      </c>
      <c r="B93" t="s">
        <v>123</v>
      </c>
      <c r="C93" t="s">
        <v>123</v>
      </c>
      <c r="D93" t="s">
        <v>490</v>
      </c>
      <c r="E93" t="s">
        <v>123</v>
      </c>
      <c r="F93" t="s">
        <v>125</v>
      </c>
      <c r="G93" t="s">
        <v>126</v>
      </c>
      <c r="H93" t="s">
        <v>127</v>
      </c>
      <c r="I93" t="s">
        <v>128</v>
      </c>
      <c r="J93" t="s">
        <v>123</v>
      </c>
      <c r="K93" t="s">
        <v>473</v>
      </c>
      <c r="L93" t="s">
        <v>130</v>
      </c>
      <c r="M93" t="s">
        <v>474</v>
      </c>
      <c r="N93" t="s">
        <v>491</v>
      </c>
      <c r="O93" t="s">
        <v>378</v>
      </c>
      <c r="P93" t="s">
        <v>123</v>
      </c>
      <c r="Q93" t="s">
        <v>123</v>
      </c>
      <c r="R93" t="s">
        <v>123</v>
      </c>
      <c r="S93" t="s">
        <v>123</v>
      </c>
      <c r="T93" s="1">
        <v>47672</v>
      </c>
      <c r="U93" t="s">
        <v>123</v>
      </c>
      <c r="V93" t="s">
        <v>123</v>
      </c>
      <c r="W93" t="s">
        <v>123</v>
      </c>
      <c r="X93" t="s">
        <v>123</v>
      </c>
      <c r="Y93" t="s">
        <v>123</v>
      </c>
      <c r="Z93" t="s">
        <v>123</v>
      </c>
      <c r="AA93" t="s">
        <v>123</v>
      </c>
      <c r="AB93" t="s">
        <v>492</v>
      </c>
      <c r="AC93" t="s">
        <v>135</v>
      </c>
      <c r="AD93" t="s">
        <v>123</v>
      </c>
      <c r="AE93" t="s">
        <v>123</v>
      </c>
      <c r="AF93" t="s">
        <v>169</v>
      </c>
      <c r="AG93" t="s">
        <v>170</v>
      </c>
      <c r="AH93" t="s">
        <v>123</v>
      </c>
      <c r="AI93" t="s">
        <v>128</v>
      </c>
      <c r="AJ93" t="s">
        <v>138</v>
      </c>
      <c r="AK93" t="s">
        <v>163</v>
      </c>
      <c r="AL93" t="s">
        <v>123</v>
      </c>
      <c r="AM93" t="s">
        <v>123</v>
      </c>
      <c r="AN93" t="s">
        <v>123</v>
      </c>
      <c r="AO93" t="s">
        <v>123</v>
      </c>
      <c r="AP93">
        <v>250</v>
      </c>
      <c r="AQ93">
        <v>50</v>
      </c>
      <c r="AR93">
        <v>10</v>
      </c>
      <c r="AS93" t="s">
        <v>123</v>
      </c>
      <c r="AT93" t="s">
        <v>123</v>
      </c>
      <c r="AU93" t="s">
        <v>123</v>
      </c>
      <c r="AV93" t="s">
        <v>123</v>
      </c>
      <c r="AW93" t="s">
        <v>123</v>
      </c>
      <c r="AX93" t="s">
        <v>123</v>
      </c>
      <c r="AY93" t="s">
        <v>123</v>
      </c>
      <c r="AZ93" t="s">
        <v>123</v>
      </c>
      <c r="BA93" t="s">
        <v>140</v>
      </c>
      <c r="BB93" t="s">
        <v>123</v>
      </c>
      <c r="BC93" t="s">
        <v>123</v>
      </c>
      <c r="BD93" t="s">
        <v>123</v>
      </c>
      <c r="BE93" t="s">
        <v>123</v>
      </c>
      <c r="BF93" t="s">
        <v>123</v>
      </c>
      <c r="BG93" t="s">
        <v>141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s="1">
        <v>45965.248360335645</v>
      </c>
      <c r="BZ93">
        <v>1527</v>
      </c>
      <c r="CA93" t="s">
        <v>123</v>
      </c>
      <c r="CB93" t="s">
        <v>123</v>
      </c>
      <c r="CC93">
        <v>0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>
        <v>3.5499999999999997E-2</v>
      </c>
      <c r="CL93">
        <v>3.7999999999999999E-2</v>
      </c>
      <c r="CM93">
        <v>5.4899999999999997E-2</v>
      </c>
      <c r="CN93">
        <v>5.9400000000000001E-2</v>
      </c>
      <c r="CO93" t="s">
        <v>123</v>
      </c>
      <c r="CP93" t="s">
        <v>123</v>
      </c>
      <c r="CQ93">
        <v>2.3099999999999999E-2</v>
      </c>
      <c r="CR93">
        <v>2.47E-2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152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  <c r="DN93" t="s">
        <v>123</v>
      </c>
      <c r="DO93" t="s">
        <v>123</v>
      </c>
      <c r="DP93" t="s">
        <v>123</v>
      </c>
      <c r="DQ93" t="s">
        <v>123</v>
      </c>
      <c r="DR93" t="s">
        <v>123</v>
      </c>
      <c r="DS93" t="s">
        <v>123</v>
      </c>
    </row>
    <row r="94" spans="1:123" x14ac:dyDescent="0.3">
      <c r="A94">
        <v>93</v>
      </c>
      <c r="B94" t="s">
        <v>123</v>
      </c>
      <c r="C94" t="s">
        <v>123</v>
      </c>
      <c r="D94" t="s">
        <v>493</v>
      </c>
      <c r="E94" t="s">
        <v>123</v>
      </c>
      <c r="F94" t="s">
        <v>125</v>
      </c>
      <c r="G94" t="s">
        <v>126</v>
      </c>
      <c r="H94" t="s">
        <v>127</v>
      </c>
      <c r="I94" t="s">
        <v>128</v>
      </c>
      <c r="J94" t="s">
        <v>123</v>
      </c>
      <c r="K94" t="s">
        <v>473</v>
      </c>
      <c r="L94" t="s">
        <v>130</v>
      </c>
      <c r="M94" t="s">
        <v>474</v>
      </c>
      <c r="N94" t="s">
        <v>158</v>
      </c>
      <c r="O94" t="s">
        <v>150</v>
      </c>
      <c r="P94" t="s">
        <v>123</v>
      </c>
      <c r="Q94" t="s">
        <v>123</v>
      </c>
      <c r="R94" t="s">
        <v>123</v>
      </c>
      <c r="S94" t="s">
        <v>123</v>
      </c>
      <c r="T94" s="1">
        <v>46934</v>
      </c>
      <c r="U94" t="s">
        <v>123</v>
      </c>
      <c r="V94" t="s">
        <v>123</v>
      </c>
      <c r="W94" t="s">
        <v>123</v>
      </c>
      <c r="X94" t="s">
        <v>123</v>
      </c>
      <c r="Y94" t="s">
        <v>123</v>
      </c>
      <c r="Z94" t="s">
        <v>123</v>
      </c>
      <c r="AA94" t="s">
        <v>123</v>
      </c>
      <c r="AB94" t="s">
        <v>494</v>
      </c>
      <c r="AC94" t="s">
        <v>135</v>
      </c>
      <c r="AD94" t="s">
        <v>123</v>
      </c>
      <c r="AE94" t="s">
        <v>123</v>
      </c>
      <c r="AF94" t="s">
        <v>169</v>
      </c>
      <c r="AG94" t="s">
        <v>170</v>
      </c>
      <c r="AH94" t="s">
        <v>123</v>
      </c>
      <c r="AI94" t="s">
        <v>128</v>
      </c>
      <c r="AJ94" t="s">
        <v>138</v>
      </c>
      <c r="AK94" t="s">
        <v>163</v>
      </c>
      <c r="AL94" t="s">
        <v>123</v>
      </c>
      <c r="AM94" t="s">
        <v>123</v>
      </c>
      <c r="AN94" t="s">
        <v>123</v>
      </c>
      <c r="AO94" t="s">
        <v>123</v>
      </c>
      <c r="AP94">
        <v>250</v>
      </c>
      <c r="AQ94">
        <v>50</v>
      </c>
      <c r="AR94">
        <v>10</v>
      </c>
      <c r="AS94" t="s">
        <v>123</v>
      </c>
      <c r="AT94" t="s">
        <v>123</v>
      </c>
      <c r="AU94" t="s">
        <v>123</v>
      </c>
      <c r="AV94" t="s">
        <v>123</v>
      </c>
      <c r="AW94" t="s">
        <v>123</v>
      </c>
      <c r="AX94" t="s">
        <v>123</v>
      </c>
      <c r="AY94" t="s">
        <v>123</v>
      </c>
      <c r="AZ94" t="s">
        <v>123</v>
      </c>
      <c r="BA94" t="s">
        <v>140</v>
      </c>
      <c r="BB94" t="s">
        <v>123</v>
      </c>
      <c r="BC94" t="s">
        <v>123</v>
      </c>
      <c r="BD94" t="s">
        <v>123</v>
      </c>
      <c r="BE94" t="s">
        <v>123</v>
      </c>
      <c r="BF94" t="s">
        <v>123</v>
      </c>
      <c r="BG94" t="s">
        <v>141</v>
      </c>
      <c r="BH94" t="s">
        <v>123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123</v>
      </c>
      <c r="BX94" t="s">
        <v>123</v>
      </c>
      <c r="BY94" s="1">
        <v>45965.248465659723</v>
      </c>
      <c r="BZ94">
        <v>1527</v>
      </c>
      <c r="CA94" t="s">
        <v>123</v>
      </c>
      <c r="CB94" t="s">
        <v>123</v>
      </c>
      <c r="CC94">
        <v>0</v>
      </c>
      <c r="CD94" t="s">
        <v>123</v>
      </c>
      <c r="CE94" t="s">
        <v>123</v>
      </c>
      <c r="CF94" t="s">
        <v>123</v>
      </c>
      <c r="CG94" t="s">
        <v>123</v>
      </c>
      <c r="CH94" t="s">
        <v>123</v>
      </c>
      <c r="CI94" t="s">
        <v>123</v>
      </c>
      <c r="CJ94" t="s">
        <v>123</v>
      </c>
      <c r="CK94">
        <v>1.67E-2</v>
      </c>
      <c r="CL94">
        <v>1.7899999999999999E-2</v>
      </c>
      <c r="CM94">
        <v>1.84E-2</v>
      </c>
      <c r="CN94">
        <v>1.9599999999999999E-2</v>
      </c>
      <c r="CO94" t="s">
        <v>123</v>
      </c>
      <c r="CP94" t="s">
        <v>123</v>
      </c>
      <c r="CQ94">
        <v>1.55E-2</v>
      </c>
      <c r="CR94">
        <v>1.67E-2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152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  <c r="DN94" t="s">
        <v>123</v>
      </c>
      <c r="DO94" t="s">
        <v>123</v>
      </c>
      <c r="DP94" t="s">
        <v>123</v>
      </c>
      <c r="DQ94" t="s">
        <v>123</v>
      </c>
      <c r="DR94" t="s">
        <v>123</v>
      </c>
      <c r="DS94" t="s">
        <v>123</v>
      </c>
    </row>
    <row r="95" spans="1:123" x14ac:dyDescent="0.3">
      <c r="A95">
        <v>94</v>
      </c>
      <c r="B95" t="s">
        <v>123</v>
      </c>
      <c r="C95" t="s">
        <v>123</v>
      </c>
      <c r="D95" t="s">
        <v>495</v>
      </c>
      <c r="E95" t="s">
        <v>123</v>
      </c>
      <c r="F95" t="s">
        <v>125</v>
      </c>
      <c r="G95" t="s">
        <v>126</v>
      </c>
      <c r="H95" t="s">
        <v>127</v>
      </c>
      <c r="I95" t="s">
        <v>128</v>
      </c>
      <c r="J95" t="s">
        <v>123</v>
      </c>
      <c r="K95" t="s">
        <v>473</v>
      </c>
      <c r="L95" t="s">
        <v>130</v>
      </c>
      <c r="M95" t="s">
        <v>474</v>
      </c>
      <c r="N95" t="s">
        <v>180</v>
      </c>
      <c r="O95" t="s">
        <v>150</v>
      </c>
      <c r="P95" t="s">
        <v>123</v>
      </c>
      <c r="Q95" t="s">
        <v>123</v>
      </c>
      <c r="R95" t="s">
        <v>123</v>
      </c>
      <c r="S95" t="s">
        <v>123</v>
      </c>
      <c r="T95" s="1">
        <v>46934</v>
      </c>
      <c r="U95" t="s">
        <v>123</v>
      </c>
      <c r="V95" t="s">
        <v>123</v>
      </c>
      <c r="W95" t="s">
        <v>123</v>
      </c>
      <c r="X95" t="s">
        <v>123</v>
      </c>
      <c r="Y95" t="s">
        <v>123</v>
      </c>
      <c r="Z95" t="s">
        <v>123</v>
      </c>
      <c r="AA95" t="s">
        <v>123</v>
      </c>
      <c r="AB95" t="s">
        <v>496</v>
      </c>
      <c r="AC95" t="s">
        <v>135</v>
      </c>
      <c r="AD95" t="s">
        <v>123</v>
      </c>
      <c r="AE95" t="s">
        <v>123</v>
      </c>
      <c r="AF95" t="s">
        <v>169</v>
      </c>
      <c r="AG95" t="s">
        <v>170</v>
      </c>
      <c r="AH95" t="s">
        <v>123</v>
      </c>
      <c r="AI95" t="s">
        <v>128</v>
      </c>
      <c r="AJ95" t="s">
        <v>138</v>
      </c>
      <c r="AK95" t="s">
        <v>163</v>
      </c>
      <c r="AL95" t="s">
        <v>123</v>
      </c>
      <c r="AM95" t="s">
        <v>123</v>
      </c>
      <c r="AN95" t="s">
        <v>123</v>
      </c>
      <c r="AO95" t="s">
        <v>123</v>
      </c>
      <c r="AP95">
        <v>250</v>
      </c>
      <c r="AQ95">
        <v>50</v>
      </c>
      <c r="AR95">
        <v>10</v>
      </c>
      <c r="AS95" t="s">
        <v>123</v>
      </c>
      <c r="AT95" t="s">
        <v>123</v>
      </c>
      <c r="AU95" t="s">
        <v>123</v>
      </c>
      <c r="AV95" t="s">
        <v>123</v>
      </c>
      <c r="AW95" t="s">
        <v>123</v>
      </c>
      <c r="AX95" t="s">
        <v>123</v>
      </c>
      <c r="AY95" t="s">
        <v>123</v>
      </c>
      <c r="AZ95" t="s">
        <v>123</v>
      </c>
      <c r="BA95" t="s">
        <v>140</v>
      </c>
      <c r="BB95" t="s">
        <v>123</v>
      </c>
      <c r="BC95" t="s">
        <v>123</v>
      </c>
      <c r="BD95" t="s">
        <v>123</v>
      </c>
      <c r="BE95" t="s">
        <v>123</v>
      </c>
      <c r="BF95" t="s">
        <v>123</v>
      </c>
      <c r="BG95" t="s">
        <v>141</v>
      </c>
      <c r="BH95" t="s">
        <v>123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123</v>
      </c>
      <c r="BX95" t="s">
        <v>123</v>
      </c>
      <c r="BY95" s="1">
        <v>45965.248552928242</v>
      </c>
      <c r="BZ95">
        <v>1527</v>
      </c>
      <c r="CA95" t="s">
        <v>123</v>
      </c>
      <c r="CB95" t="s">
        <v>123</v>
      </c>
      <c r="CC95">
        <v>0</v>
      </c>
      <c r="CD95" t="s">
        <v>123</v>
      </c>
      <c r="CE95" t="s">
        <v>123</v>
      </c>
      <c r="CF95" t="s">
        <v>123</v>
      </c>
      <c r="CG95" t="s">
        <v>123</v>
      </c>
      <c r="CH95" t="s">
        <v>123</v>
      </c>
      <c r="CI95" t="s">
        <v>123</v>
      </c>
      <c r="CJ95" t="s">
        <v>123</v>
      </c>
      <c r="CK95">
        <v>2.0299999999999999E-2</v>
      </c>
      <c r="CL95">
        <v>2.1700000000000001E-2</v>
      </c>
      <c r="CM95">
        <v>2.29E-2</v>
      </c>
      <c r="CN95">
        <v>2.4500000000000001E-2</v>
      </c>
      <c r="CO95" t="s">
        <v>123</v>
      </c>
      <c r="CP95" t="s">
        <v>123</v>
      </c>
      <c r="CQ95">
        <v>1.84E-2</v>
      </c>
      <c r="CR95">
        <v>1.9599999999999999E-2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152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  <c r="DN95" t="s">
        <v>123</v>
      </c>
      <c r="DO95" t="s">
        <v>123</v>
      </c>
      <c r="DP95" t="s">
        <v>123</v>
      </c>
      <c r="DQ95" t="s">
        <v>123</v>
      </c>
      <c r="DR95" t="s">
        <v>123</v>
      </c>
      <c r="DS95" t="s">
        <v>123</v>
      </c>
    </row>
    <row r="96" spans="1:123" x14ac:dyDescent="0.3">
      <c r="A96">
        <v>95</v>
      </c>
      <c r="B96" t="s">
        <v>123</v>
      </c>
      <c r="C96" t="s">
        <v>123</v>
      </c>
      <c r="D96" t="s">
        <v>497</v>
      </c>
      <c r="E96" t="s">
        <v>123</v>
      </c>
      <c r="F96" t="s">
        <v>125</v>
      </c>
      <c r="G96" t="s">
        <v>126</v>
      </c>
      <c r="H96" t="s">
        <v>127</v>
      </c>
      <c r="I96" t="s">
        <v>123</v>
      </c>
      <c r="J96" t="s">
        <v>123</v>
      </c>
      <c r="K96" t="s">
        <v>123</v>
      </c>
      <c r="L96" t="s">
        <v>130</v>
      </c>
      <c r="M96" t="s">
        <v>498</v>
      </c>
      <c r="N96" t="s">
        <v>435</v>
      </c>
      <c r="O96" t="s">
        <v>499</v>
      </c>
      <c r="P96" t="s">
        <v>123</v>
      </c>
      <c r="Q96" t="s">
        <v>123</v>
      </c>
      <c r="R96" t="s">
        <v>123</v>
      </c>
      <c r="S96" t="s">
        <v>123</v>
      </c>
      <c r="T96" s="1">
        <v>46132</v>
      </c>
      <c r="U96" t="s">
        <v>123</v>
      </c>
      <c r="V96" t="s">
        <v>123</v>
      </c>
      <c r="W96" t="s">
        <v>123</v>
      </c>
      <c r="X96" t="s">
        <v>123</v>
      </c>
      <c r="Y96" t="s">
        <v>123</v>
      </c>
      <c r="Z96" t="s">
        <v>123</v>
      </c>
      <c r="AA96" t="s">
        <v>123</v>
      </c>
      <c r="AB96" t="s">
        <v>500</v>
      </c>
      <c r="AC96" t="s">
        <v>135</v>
      </c>
      <c r="AD96" t="s">
        <v>123</v>
      </c>
      <c r="AE96" t="s">
        <v>123</v>
      </c>
      <c r="AF96" t="s">
        <v>123</v>
      </c>
      <c r="AG96" t="s">
        <v>123</v>
      </c>
      <c r="AH96" t="s">
        <v>123</v>
      </c>
      <c r="AI96" t="s">
        <v>123</v>
      </c>
      <c r="AJ96" t="s">
        <v>123</v>
      </c>
      <c r="AK96" t="s">
        <v>123</v>
      </c>
      <c r="AL96" t="s">
        <v>123</v>
      </c>
      <c r="AM96" t="s">
        <v>123</v>
      </c>
      <c r="AN96" t="s">
        <v>123</v>
      </c>
      <c r="AO96" t="s">
        <v>123</v>
      </c>
      <c r="AP96">
        <v>250</v>
      </c>
      <c r="AQ96">
        <v>50</v>
      </c>
      <c r="AR96">
        <v>10</v>
      </c>
      <c r="AS96" t="s">
        <v>123</v>
      </c>
      <c r="AT96" t="s">
        <v>123</v>
      </c>
      <c r="AU96" t="s">
        <v>123</v>
      </c>
      <c r="AV96" t="s">
        <v>123</v>
      </c>
      <c r="AW96" t="s">
        <v>123</v>
      </c>
      <c r="AX96" t="s">
        <v>123</v>
      </c>
      <c r="AY96" t="s">
        <v>123</v>
      </c>
      <c r="AZ96" t="s">
        <v>123</v>
      </c>
      <c r="BA96" t="s">
        <v>123</v>
      </c>
      <c r="BB96" t="s">
        <v>123</v>
      </c>
      <c r="BC96" t="s">
        <v>123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s="1">
        <v>45965.24866099537</v>
      </c>
      <c r="BZ96">
        <v>1527</v>
      </c>
      <c r="CA96" t="s">
        <v>123</v>
      </c>
      <c r="CB96" t="s">
        <v>123</v>
      </c>
      <c r="CC96">
        <v>0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  <c r="DN96" t="s">
        <v>123</v>
      </c>
      <c r="DO96" t="s">
        <v>123</v>
      </c>
      <c r="DP96" t="s">
        <v>123</v>
      </c>
      <c r="DQ96" t="s">
        <v>123</v>
      </c>
      <c r="DR96" t="s">
        <v>123</v>
      </c>
      <c r="DS96" t="s">
        <v>123</v>
      </c>
    </row>
    <row r="97" spans="1:123" x14ac:dyDescent="0.3">
      <c r="A97">
        <v>96</v>
      </c>
      <c r="B97" t="s">
        <v>123</v>
      </c>
      <c r="C97" t="s">
        <v>123</v>
      </c>
      <c r="D97" t="s">
        <v>501</v>
      </c>
      <c r="E97" t="s">
        <v>123</v>
      </c>
      <c r="F97" t="s">
        <v>125</v>
      </c>
      <c r="G97" t="s">
        <v>126</v>
      </c>
      <c r="H97" t="s">
        <v>127</v>
      </c>
      <c r="I97" t="s">
        <v>123</v>
      </c>
      <c r="J97" t="s">
        <v>123</v>
      </c>
      <c r="K97" t="s">
        <v>123</v>
      </c>
      <c r="L97" t="s">
        <v>130</v>
      </c>
      <c r="M97" t="s">
        <v>498</v>
      </c>
      <c r="N97" t="s">
        <v>438</v>
      </c>
      <c r="O97" t="s">
        <v>499</v>
      </c>
      <c r="P97" t="s">
        <v>123</v>
      </c>
      <c r="Q97" t="s">
        <v>123</v>
      </c>
      <c r="R97" t="s">
        <v>123</v>
      </c>
      <c r="S97" t="s">
        <v>123</v>
      </c>
      <c r="T97" s="1">
        <v>46132</v>
      </c>
      <c r="U97" t="s">
        <v>123</v>
      </c>
      <c r="V97" t="s">
        <v>123</v>
      </c>
      <c r="W97" t="s">
        <v>123</v>
      </c>
      <c r="X97" t="s">
        <v>123</v>
      </c>
      <c r="Y97" t="s">
        <v>123</v>
      </c>
      <c r="Z97" t="s">
        <v>123</v>
      </c>
      <c r="AA97" t="s">
        <v>123</v>
      </c>
      <c r="AB97" t="s">
        <v>502</v>
      </c>
      <c r="AC97" t="s">
        <v>135</v>
      </c>
      <c r="AD97" t="s">
        <v>123</v>
      </c>
      <c r="AE97" t="s">
        <v>123</v>
      </c>
      <c r="AF97" t="s">
        <v>123</v>
      </c>
      <c r="AG97" t="s">
        <v>123</v>
      </c>
      <c r="AH97" t="s">
        <v>123</v>
      </c>
      <c r="AI97" t="s">
        <v>123</v>
      </c>
      <c r="AJ97" t="s">
        <v>123</v>
      </c>
      <c r="AK97" t="s">
        <v>123</v>
      </c>
      <c r="AL97" t="s">
        <v>123</v>
      </c>
      <c r="AM97" t="s">
        <v>123</v>
      </c>
      <c r="AN97" t="s">
        <v>123</v>
      </c>
      <c r="AO97" t="s">
        <v>123</v>
      </c>
      <c r="AP97">
        <v>250</v>
      </c>
      <c r="AQ97">
        <v>50</v>
      </c>
      <c r="AR97">
        <v>10</v>
      </c>
      <c r="AS97" t="s">
        <v>123</v>
      </c>
      <c r="AT97" t="s">
        <v>123</v>
      </c>
      <c r="AU97" t="s">
        <v>123</v>
      </c>
      <c r="AV97" t="s">
        <v>123</v>
      </c>
      <c r="AW97" t="s">
        <v>123</v>
      </c>
      <c r="AX97" t="s">
        <v>123</v>
      </c>
      <c r="AY97" t="s">
        <v>123</v>
      </c>
      <c r="AZ97" t="s">
        <v>123</v>
      </c>
      <c r="BA97" t="s">
        <v>123</v>
      </c>
      <c r="BB97" t="s">
        <v>123</v>
      </c>
      <c r="BC97" t="s">
        <v>123</v>
      </c>
      <c r="BD97" t="s">
        <v>123</v>
      </c>
      <c r="BE97" t="s">
        <v>123</v>
      </c>
      <c r="BF97" t="s">
        <v>123</v>
      </c>
      <c r="BG97" t="s">
        <v>123</v>
      </c>
      <c r="BH97" t="s">
        <v>123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123</v>
      </c>
      <c r="BX97" t="s">
        <v>123</v>
      </c>
      <c r="BY97" s="1">
        <v>45965.248756562498</v>
      </c>
      <c r="BZ97">
        <v>1527</v>
      </c>
      <c r="CA97" t="s">
        <v>123</v>
      </c>
      <c r="CB97" t="s">
        <v>123</v>
      </c>
      <c r="CC97">
        <v>0</v>
      </c>
      <c r="CD97" t="s">
        <v>123</v>
      </c>
      <c r="CE97" t="s">
        <v>123</v>
      </c>
      <c r="CF97" t="s">
        <v>123</v>
      </c>
      <c r="CG97" t="s">
        <v>123</v>
      </c>
      <c r="CH97" t="s">
        <v>123</v>
      </c>
      <c r="CI97" t="s">
        <v>123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  <c r="DN97" t="s">
        <v>123</v>
      </c>
      <c r="DO97" t="s">
        <v>123</v>
      </c>
      <c r="DP97" t="s">
        <v>123</v>
      </c>
      <c r="DQ97" t="s">
        <v>123</v>
      </c>
      <c r="DR97" t="s">
        <v>123</v>
      </c>
      <c r="DS97" t="s">
        <v>123</v>
      </c>
    </row>
    <row r="98" spans="1:123" x14ac:dyDescent="0.3">
      <c r="A98">
        <v>97</v>
      </c>
      <c r="B98" t="s">
        <v>123</v>
      </c>
      <c r="C98" t="s">
        <v>123</v>
      </c>
      <c r="D98" t="s">
        <v>503</v>
      </c>
      <c r="E98" t="s">
        <v>123</v>
      </c>
      <c r="F98" t="s">
        <v>125</v>
      </c>
      <c r="G98" t="s">
        <v>126</v>
      </c>
      <c r="H98" t="s">
        <v>127</v>
      </c>
      <c r="I98" t="s">
        <v>123</v>
      </c>
      <c r="J98" t="s">
        <v>123</v>
      </c>
      <c r="K98" t="s">
        <v>123</v>
      </c>
      <c r="L98" t="s">
        <v>130</v>
      </c>
      <c r="M98" t="s">
        <v>498</v>
      </c>
      <c r="N98" t="s">
        <v>488</v>
      </c>
      <c r="O98" t="s">
        <v>499</v>
      </c>
      <c r="P98" t="s">
        <v>123</v>
      </c>
      <c r="Q98" t="s">
        <v>123</v>
      </c>
      <c r="R98" t="s">
        <v>123</v>
      </c>
      <c r="S98" t="s">
        <v>123</v>
      </c>
      <c r="T98" s="1">
        <v>46132</v>
      </c>
      <c r="U98" t="s">
        <v>123</v>
      </c>
      <c r="V98" t="s">
        <v>123</v>
      </c>
      <c r="W98" t="s">
        <v>123</v>
      </c>
      <c r="X98" t="s">
        <v>123</v>
      </c>
      <c r="Y98" t="s">
        <v>123</v>
      </c>
      <c r="Z98" t="s">
        <v>123</v>
      </c>
      <c r="AA98" t="s">
        <v>123</v>
      </c>
      <c r="AB98" t="s">
        <v>504</v>
      </c>
      <c r="AC98" t="s">
        <v>135</v>
      </c>
      <c r="AD98" t="s">
        <v>123</v>
      </c>
      <c r="AE98" t="s">
        <v>123</v>
      </c>
      <c r="AF98" t="s">
        <v>123</v>
      </c>
      <c r="AG98" t="s">
        <v>123</v>
      </c>
      <c r="AH98" t="s">
        <v>123</v>
      </c>
      <c r="AI98" t="s">
        <v>123</v>
      </c>
      <c r="AJ98" t="s">
        <v>123</v>
      </c>
      <c r="AK98" t="s">
        <v>123</v>
      </c>
      <c r="AL98" t="s">
        <v>123</v>
      </c>
      <c r="AM98" t="s">
        <v>123</v>
      </c>
      <c r="AN98" t="s">
        <v>123</v>
      </c>
      <c r="AO98" t="s">
        <v>123</v>
      </c>
      <c r="AP98">
        <v>250</v>
      </c>
      <c r="AQ98">
        <v>50</v>
      </c>
      <c r="AR98">
        <v>10</v>
      </c>
      <c r="AS98" t="s">
        <v>123</v>
      </c>
      <c r="AT98" t="s">
        <v>123</v>
      </c>
      <c r="AU98" t="s">
        <v>123</v>
      </c>
      <c r="AV98" t="s">
        <v>123</v>
      </c>
      <c r="AW98" t="s">
        <v>123</v>
      </c>
      <c r="AX98" t="s">
        <v>123</v>
      </c>
      <c r="AY98" t="s">
        <v>123</v>
      </c>
      <c r="AZ98" t="s">
        <v>123</v>
      </c>
      <c r="BA98" t="s">
        <v>123</v>
      </c>
      <c r="BB98" t="s">
        <v>123</v>
      </c>
      <c r="BC98" t="s">
        <v>123</v>
      </c>
      <c r="BD98" t="s">
        <v>123</v>
      </c>
      <c r="BE98" t="s">
        <v>123</v>
      </c>
      <c r="BF98" t="s">
        <v>123</v>
      </c>
      <c r="BG98" t="s">
        <v>123</v>
      </c>
      <c r="BH98" t="s">
        <v>123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123</v>
      </c>
      <c r="BX98" t="s">
        <v>123</v>
      </c>
      <c r="BY98" s="1">
        <v>45965.248856481485</v>
      </c>
      <c r="BZ98">
        <v>1527</v>
      </c>
      <c r="CA98" t="s">
        <v>123</v>
      </c>
      <c r="CB98" t="s">
        <v>123</v>
      </c>
      <c r="CC98">
        <v>0</v>
      </c>
      <c r="CD98" t="s">
        <v>123</v>
      </c>
      <c r="CE98" t="s">
        <v>123</v>
      </c>
      <c r="CF98" t="s">
        <v>123</v>
      </c>
      <c r="CG98" t="s">
        <v>123</v>
      </c>
      <c r="CH98" t="s">
        <v>123</v>
      </c>
      <c r="CI98" t="s">
        <v>123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  <c r="DN98" t="s">
        <v>123</v>
      </c>
      <c r="DO98" t="s">
        <v>123</v>
      </c>
      <c r="DP98" t="s">
        <v>123</v>
      </c>
      <c r="DQ98" t="s">
        <v>123</v>
      </c>
      <c r="DR98" t="s">
        <v>123</v>
      </c>
      <c r="DS98" t="s">
        <v>123</v>
      </c>
    </row>
    <row r="99" spans="1:123" x14ac:dyDescent="0.3">
      <c r="A99">
        <v>98</v>
      </c>
      <c r="B99" t="s">
        <v>123</v>
      </c>
      <c r="C99" t="s">
        <v>123</v>
      </c>
      <c r="D99" t="s">
        <v>505</v>
      </c>
      <c r="E99" t="s">
        <v>123</v>
      </c>
      <c r="F99" t="s">
        <v>125</v>
      </c>
      <c r="G99" t="s">
        <v>126</v>
      </c>
      <c r="H99" t="s">
        <v>127</v>
      </c>
      <c r="I99" t="s">
        <v>128</v>
      </c>
      <c r="J99" t="s">
        <v>123</v>
      </c>
      <c r="K99" t="s">
        <v>506</v>
      </c>
      <c r="L99" t="s">
        <v>130</v>
      </c>
      <c r="M99" t="s">
        <v>507</v>
      </c>
      <c r="N99" t="s">
        <v>180</v>
      </c>
      <c r="O99" t="s">
        <v>159</v>
      </c>
      <c r="P99" t="s">
        <v>123</v>
      </c>
      <c r="Q99" t="s">
        <v>123</v>
      </c>
      <c r="R99" t="s">
        <v>123</v>
      </c>
      <c r="S99" t="s">
        <v>123</v>
      </c>
      <c r="T99" s="1">
        <v>47126</v>
      </c>
      <c r="U99" t="s">
        <v>123</v>
      </c>
      <c r="V99" t="s">
        <v>123</v>
      </c>
      <c r="W99" t="s">
        <v>123</v>
      </c>
      <c r="X99" t="s">
        <v>123</v>
      </c>
      <c r="Y99" t="s">
        <v>123</v>
      </c>
      <c r="Z99" t="s">
        <v>123</v>
      </c>
      <c r="AA99" t="s">
        <v>123</v>
      </c>
      <c r="AB99" t="s">
        <v>508</v>
      </c>
      <c r="AC99" t="s">
        <v>135</v>
      </c>
      <c r="AD99" t="s">
        <v>123</v>
      </c>
      <c r="AE99" t="s">
        <v>123</v>
      </c>
      <c r="AF99" t="s">
        <v>509</v>
      </c>
      <c r="AG99" t="s">
        <v>213</v>
      </c>
      <c r="AH99" t="s">
        <v>123</v>
      </c>
      <c r="AI99" t="s">
        <v>128</v>
      </c>
      <c r="AJ99" t="s">
        <v>510</v>
      </c>
      <c r="AK99" t="s">
        <v>139</v>
      </c>
      <c r="AL99" t="s">
        <v>123</v>
      </c>
      <c r="AM99" t="s">
        <v>123</v>
      </c>
      <c r="AN99" t="s">
        <v>123</v>
      </c>
      <c r="AO99" t="s">
        <v>123</v>
      </c>
      <c r="AP99">
        <v>250</v>
      </c>
      <c r="AQ99">
        <v>50</v>
      </c>
      <c r="AR99">
        <v>10</v>
      </c>
      <c r="AS99" t="s">
        <v>123</v>
      </c>
      <c r="AT99" t="s">
        <v>123</v>
      </c>
      <c r="AU99" t="s">
        <v>123</v>
      </c>
      <c r="AV99" t="s">
        <v>123</v>
      </c>
      <c r="AW99" t="s">
        <v>123</v>
      </c>
      <c r="AX99" t="s">
        <v>123</v>
      </c>
      <c r="AY99" t="s">
        <v>123</v>
      </c>
      <c r="AZ99" t="s">
        <v>123</v>
      </c>
      <c r="BA99" t="s">
        <v>140</v>
      </c>
      <c r="BB99" t="s">
        <v>123</v>
      </c>
      <c r="BC99" t="s">
        <v>123</v>
      </c>
      <c r="BD99" t="s">
        <v>123</v>
      </c>
      <c r="BE99" t="s">
        <v>123</v>
      </c>
      <c r="BF99" t="s">
        <v>123</v>
      </c>
      <c r="BG99" t="s">
        <v>141</v>
      </c>
      <c r="BH99" t="s">
        <v>123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123</v>
      </c>
      <c r="BX99" t="s">
        <v>123</v>
      </c>
      <c r="BY99" s="1">
        <v>45965.248967511572</v>
      </c>
      <c r="BZ99">
        <v>1573</v>
      </c>
      <c r="CA99" t="s">
        <v>123</v>
      </c>
      <c r="CB99" t="s">
        <v>123</v>
      </c>
      <c r="CC99">
        <v>0</v>
      </c>
      <c r="CD99" t="s">
        <v>123</v>
      </c>
      <c r="CE99" t="s">
        <v>123</v>
      </c>
      <c r="CF99" t="s">
        <v>123</v>
      </c>
      <c r="CG99" t="s">
        <v>123</v>
      </c>
      <c r="CH99" t="s">
        <v>123</v>
      </c>
      <c r="CI99" t="s">
        <v>123</v>
      </c>
      <c r="CJ99" t="s">
        <v>123</v>
      </c>
      <c r="CK99">
        <v>1.54E-2</v>
      </c>
      <c r="CL99">
        <v>2.0500000000000001E-2</v>
      </c>
      <c r="CM99">
        <v>2.3E-2</v>
      </c>
      <c r="CN99">
        <v>2.98E-2</v>
      </c>
      <c r="CO99" t="s">
        <v>123</v>
      </c>
      <c r="CP99" t="s">
        <v>123</v>
      </c>
      <c r="CQ99">
        <v>9.7000000000000003E-3</v>
      </c>
      <c r="CR99">
        <v>1.41E-2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152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  <c r="DN99" t="s">
        <v>123</v>
      </c>
      <c r="DO99" t="s">
        <v>123</v>
      </c>
      <c r="DP99" t="s">
        <v>123</v>
      </c>
      <c r="DQ99" t="s">
        <v>123</v>
      </c>
      <c r="DR99" t="s">
        <v>123</v>
      </c>
      <c r="DS99" t="s">
        <v>123</v>
      </c>
    </row>
    <row r="100" spans="1:123" x14ac:dyDescent="0.3">
      <c r="A100">
        <v>99</v>
      </c>
      <c r="B100" t="s">
        <v>123</v>
      </c>
      <c r="C100" t="s">
        <v>123</v>
      </c>
      <c r="D100" t="s">
        <v>511</v>
      </c>
      <c r="E100" t="s">
        <v>123</v>
      </c>
      <c r="F100" t="s">
        <v>125</v>
      </c>
      <c r="G100" t="s">
        <v>126</v>
      </c>
      <c r="H100" t="s">
        <v>127</v>
      </c>
      <c r="I100" t="s">
        <v>128</v>
      </c>
      <c r="J100" t="s">
        <v>123</v>
      </c>
      <c r="K100" t="s">
        <v>506</v>
      </c>
      <c r="L100" t="s">
        <v>130</v>
      </c>
      <c r="M100" t="s">
        <v>507</v>
      </c>
      <c r="N100" t="s">
        <v>158</v>
      </c>
      <c r="O100" t="s">
        <v>159</v>
      </c>
      <c r="P100" t="s">
        <v>123</v>
      </c>
      <c r="Q100" t="s">
        <v>123</v>
      </c>
      <c r="R100" t="s">
        <v>123</v>
      </c>
      <c r="S100" t="s">
        <v>123</v>
      </c>
      <c r="T100" s="1">
        <v>47126</v>
      </c>
      <c r="U100" t="s">
        <v>123</v>
      </c>
      <c r="V100" t="s">
        <v>123</v>
      </c>
      <c r="W100" t="s">
        <v>123</v>
      </c>
      <c r="X100" t="s">
        <v>123</v>
      </c>
      <c r="Y100" t="s">
        <v>123</v>
      </c>
      <c r="Z100" t="s">
        <v>123</v>
      </c>
      <c r="AA100" t="s">
        <v>123</v>
      </c>
      <c r="AB100" t="s">
        <v>512</v>
      </c>
      <c r="AC100" t="s">
        <v>135</v>
      </c>
      <c r="AD100" t="s">
        <v>123</v>
      </c>
      <c r="AE100" t="s">
        <v>123</v>
      </c>
      <c r="AF100" t="s">
        <v>509</v>
      </c>
      <c r="AG100" t="s">
        <v>213</v>
      </c>
      <c r="AH100" t="s">
        <v>123</v>
      </c>
      <c r="AI100" t="s">
        <v>128</v>
      </c>
      <c r="AJ100" t="s">
        <v>510</v>
      </c>
      <c r="AK100" t="s">
        <v>139</v>
      </c>
      <c r="AL100" t="s">
        <v>123</v>
      </c>
      <c r="AM100" t="s">
        <v>123</v>
      </c>
      <c r="AN100" t="s">
        <v>123</v>
      </c>
      <c r="AO100" t="s">
        <v>123</v>
      </c>
      <c r="AP100">
        <v>250</v>
      </c>
      <c r="AQ100">
        <v>50</v>
      </c>
      <c r="AR100">
        <v>10</v>
      </c>
      <c r="AS100" t="s">
        <v>123</v>
      </c>
      <c r="AT100" t="s">
        <v>123</v>
      </c>
      <c r="AU100" t="s">
        <v>123</v>
      </c>
      <c r="AV100" t="s">
        <v>123</v>
      </c>
      <c r="AW100" t="s">
        <v>123</v>
      </c>
      <c r="AX100" t="s">
        <v>123</v>
      </c>
      <c r="AY100" t="s">
        <v>123</v>
      </c>
      <c r="AZ100" t="s">
        <v>123</v>
      </c>
      <c r="BA100" t="s">
        <v>140</v>
      </c>
      <c r="BB100" t="s">
        <v>123</v>
      </c>
      <c r="BC100" t="s">
        <v>123</v>
      </c>
      <c r="BD100" t="s">
        <v>123</v>
      </c>
      <c r="BE100" t="s">
        <v>123</v>
      </c>
      <c r="BF100" t="s">
        <v>123</v>
      </c>
      <c r="BG100" t="s">
        <v>141</v>
      </c>
      <c r="BH100" t="s">
        <v>123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123</v>
      </c>
      <c r="BX100" t="s">
        <v>123</v>
      </c>
      <c r="BY100" s="1">
        <v>45965.249022071759</v>
      </c>
      <c r="BZ100">
        <v>1573</v>
      </c>
      <c r="CA100" t="s">
        <v>123</v>
      </c>
      <c r="CB100" t="s">
        <v>123</v>
      </c>
      <c r="CC100">
        <v>0</v>
      </c>
      <c r="CD100" t="s">
        <v>123</v>
      </c>
      <c r="CE100" t="s">
        <v>123</v>
      </c>
      <c r="CF100" t="s">
        <v>123</v>
      </c>
      <c r="CG100" t="s">
        <v>123</v>
      </c>
      <c r="CH100" t="s">
        <v>123</v>
      </c>
      <c r="CI100" t="s">
        <v>123</v>
      </c>
      <c r="CJ100" t="s">
        <v>123</v>
      </c>
      <c r="CK100">
        <v>5.5999999999999999E-3</v>
      </c>
      <c r="CL100">
        <v>8.2000000000000007E-3</v>
      </c>
      <c r="CM100">
        <v>9.7000000000000003E-3</v>
      </c>
      <c r="CN100">
        <v>1.41E-2</v>
      </c>
      <c r="CO100" t="s">
        <v>123</v>
      </c>
      <c r="CP100" t="s">
        <v>123</v>
      </c>
      <c r="CQ100">
        <v>2.5999999999999999E-3</v>
      </c>
      <c r="CR100">
        <v>4.4999999999999997E-3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152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  <c r="DN100" t="s">
        <v>123</v>
      </c>
      <c r="DO100" t="s">
        <v>123</v>
      </c>
      <c r="DP100" t="s">
        <v>123</v>
      </c>
      <c r="DQ100" t="s">
        <v>123</v>
      </c>
      <c r="DR100" t="s">
        <v>123</v>
      </c>
      <c r="DS100" t="s">
        <v>123</v>
      </c>
    </row>
    <row r="101" spans="1:123" x14ac:dyDescent="0.3">
      <c r="A101">
        <v>100</v>
      </c>
      <c r="B101" t="s">
        <v>123</v>
      </c>
      <c r="C101" t="s">
        <v>123</v>
      </c>
      <c r="D101" t="s">
        <v>513</v>
      </c>
      <c r="E101" t="s">
        <v>123</v>
      </c>
      <c r="F101" t="s">
        <v>125</v>
      </c>
      <c r="G101" t="s">
        <v>126</v>
      </c>
      <c r="H101" t="s">
        <v>127</v>
      </c>
      <c r="I101" t="s">
        <v>514</v>
      </c>
      <c r="J101" t="s">
        <v>123</v>
      </c>
      <c r="K101" t="s">
        <v>515</v>
      </c>
      <c r="L101" t="s">
        <v>130</v>
      </c>
      <c r="M101" t="s">
        <v>516</v>
      </c>
      <c r="N101" t="s">
        <v>158</v>
      </c>
      <c r="O101" t="s">
        <v>159</v>
      </c>
      <c r="P101" t="s">
        <v>123</v>
      </c>
      <c r="Q101" t="s">
        <v>123</v>
      </c>
      <c r="R101" t="s">
        <v>123</v>
      </c>
      <c r="S101" t="s">
        <v>123</v>
      </c>
      <c r="T101" s="1">
        <v>47134</v>
      </c>
      <c r="U101" t="s">
        <v>123</v>
      </c>
      <c r="V101" t="s">
        <v>123</v>
      </c>
      <c r="W101" t="s">
        <v>123</v>
      </c>
      <c r="X101" t="s">
        <v>123</v>
      </c>
      <c r="Y101" t="s">
        <v>123</v>
      </c>
      <c r="Z101" t="s">
        <v>123</v>
      </c>
      <c r="AA101" t="s">
        <v>123</v>
      </c>
      <c r="AB101" t="s">
        <v>517</v>
      </c>
      <c r="AC101" t="s">
        <v>135</v>
      </c>
      <c r="AD101" t="s">
        <v>123</v>
      </c>
      <c r="AE101" t="s">
        <v>123</v>
      </c>
      <c r="AF101" t="s">
        <v>518</v>
      </c>
      <c r="AG101" t="s">
        <v>519</v>
      </c>
      <c r="AH101" t="s">
        <v>123</v>
      </c>
      <c r="AI101" t="s">
        <v>514</v>
      </c>
      <c r="AJ101" t="s">
        <v>186</v>
      </c>
      <c r="AK101" t="s">
        <v>163</v>
      </c>
      <c r="AL101" t="s">
        <v>123</v>
      </c>
      <c r="AM101" t="s">
        <v>123</v>
      </c>
      <c r="AN101" t="s">
        <v>123</v>
      </c>
      <c r="AO101" t="s">
        <v>123</v>
      </c>
      <c r="AP101">
        <v>250</v>
      </c>
      <c r="AQ101">
        <v>50</v>
      </c>
      <c r="AR101">
        <v>10</v>
      </c>
      <c r="AS101" t="s">
        <v>123</v>
      </c>
      <c r="AT101" t="s">
        <v>123</v>
      </c>
      <c r="AU101" t="s">
        <v>123</v>
      </c>
      <c r="AV101" t="s">
        <v>123</v>
      </c>
      <c r="AW101" t="s">
        <v>123</v>
      </c>
      <c r="AX101" t="s">
        <v>123</v>
      </c>
      <c r="AY101" t="s">
        <v>123</v>
      </c>
      <c r="AZ101" t="s">
        <v>123</v>
      </c>
      <c r="BA101" t="s">
        <v>140</v>
      </c>
      <c r="BB101" t="s">
        <v>123</v>
      </c>
      <c r="BC101" t="s">
        <v>123</v>
      </c>
      <c r="BD101" t="s">
        <v>123</v>
      </c>
      <c r="BE101" t="s">
        <v>123</v>
      </c>
      <c r="BF101" t="s">
        <v>123</v>
      </c>
      <c r="BG101" t="s">
        <v>141</v>
      </c>
      <c r="BH101" t="s">
        <v>123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123</v>
      </c>
      <c r="BX101" t="s">
        <v>123</v>
      </c>
      <c r="BY101" s="1">
        <v>45965.249049918981</v>
      </c>
      <c r="BZ101">
        <v>1565</v>
      </c>
      <c r="CA101" t="s">
        <v>123</v>
      </c>
      <c r="CB101" t="s">
        <v>123</v>
      </c>
      <c r="CC101">
        <v>0</v>
      </c>
      <c r="CD101" t="s">
        <v>123</v>
      </c>
      <c r="CE101" t="s">
        <v>123</v>
      </c>
      <c r="CF101" t="s">
        <v>123</v>
      </c>
      <c r="CG101" t="s">
        <v>123</v>
      </c>
      <c r="CH101" t="s">
        <v>123</v>
      </c>
      <c r="CI101" t="s">
        <v>123</v>
      </c>
      <c r="CJ101" t="s">
        <v>123</v>
      </c>
      <c r="CK101">
        <v>2.92E-2</v>
      </c>
      <c r="CL101">
        <v>3.32E-2</v>
      </c>
      <c r="CM101">
        <v>3.9399999999999998E-2</v>
      </c>
      <c r="CN101">
        <v>4.4699999999999997E-2</v>
      </c>
      <c r="CO101" t="s">
        <v>123</v>
      </c>
      <c r="CP101" t="s">
        <v>123</v>
      </c>
      <c r="CQ101">
        <v>2.1999999999999999E-2</v>
      </c>
      <c r="CR101">
        <v>2.47E-2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520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  <c r="DN101" t="s">
        <v>123</v>
      </c>
      <c r="DO101" t="s">
        <v>123</v>
      </c>
      <c r="DP101" t="s">
        <v>123</v>
      </c>
      <c r="DQ101" t="s">
        <v>123</v>
      </c>
      <c r="DR101" t="s">
        <v>123</v>
      </c>
      <c r="DS101" t="s">
        <v>123</v>
      </c>
    </row>
    <row r="102" spans="1:123" x14ac:dyDescent="0.3">
      <c r="A102">
        <v>101</v>
      </c>
      <c r="B102" t="s">
        <v>123</v>
      </c>
      <c r="C102" t="s">
        <v>123</v>
      </c>
      <c r="D102" t="s">
        <v>521</v>
      </c>
      <c r="E102" t="s">
        <v>123</v>
      </c>
      <c r="F102" t="s">
        <v>125</v>
      </c>
      <c r="G102" t="s">
        <v>126</v>
      </c>
      <c r="H102" t="s">
        <v>127</v>
      </c>
      <c r="I102" t="s">
        <v>128</v>
      </c>
      <c r="J102" t="s">
        <v>123</v>
      </c>
      <c r="K102" t="s">
        <v>522</v>
      </c>
      <c r="L102" t="s">
        <v>130</v>
      </c>
      <c r="M102" t="s">
        <v>523</v>
      </c>
      <c r="N102" t="s">
        <v>123</v>
      </c>
      <c r="O102" t="s">
        <v>123</v>
      </c>
      <c r="P102" t="s">
        <v>123</v>
      </c>
      <c r="Q102" t="s">
        <v>123</v>
      </c>
      <c r="R102" t="s">
        <v>123</v>
      </c>
      <c r="S102" t="s">
        <v>123</v>
      </c>
      <c r="T102" s="1">
        <v>47127</v>
      </c>
      <c r="U102" t="s">
        <v>123</v>
      </c>
      <c r="V102" t="s">
        <v>123</v>
      </c>
      <c r="W102" t="s">
        <v>123</v>
      </c>
      <c r="X102" t="s">
        <v>123</v>
      </c>
      <c r="Y102" t="s">
        <v>123</v>
      </c>
      <c r="Z102" t="s">
        <v>123</v>
      </c>
      <c r="AA102" t="s">
        <v>123</v>
      </c>
      <c r="AB102" t="s">
        <v>524</v>
      </c>
      <c r="AC102" t="s">
        <v>135</v>
      </c>
      <c r="AD102" t="s">
        <v>123</v>
      </c>
      <c r="AE102" t="s">
        <v>123</v>
      </c>
      <c r="AF102" t="s">
        <v>525</v>
      </c>
      <c r="AG102" t="s">
        <v>170</v>
      </c>
      <c r="AH102" t="s">
        <v>123</v>
      </c>
      <c r="AI102" t="s">
        <v>128</v>
      </c>
      <c r="AJ102" t="s">
        <v>186</v>
      </c>
      <c r="AK102" t="s">
        <v>163</v>
      </c>
      <c r="AL102" t="s">
        <v>123</v>
      </c>
      <c r="AM102" t="s">
        <v>123</v>
      </c>
      <c r="AN102" t="s">
        <v>123</v>
      </c>
      <c r="AO102" t="s">
        <v>123</v>
      </c>
      <c r="AP102">
        <v>250</v>
      </c>
      <c r="AQ102">
        <v>50</v>
      </c>
      <c r="AR102">
        <v>10</v>
      </c>
      <c r="AS102" t="s">
        <v>123</v>
      </c>
      <c r="AT102" t="s">
        <v>123</v>
      </c>
      <c r="AU102" t="s">
        <v>123</v>
      </c>
      <c r="AV102" t="s">
        <v>123</v>
      </c>
      <c r="AW102" t="s">
        <v>123</v>
      </c>
      <c r="AX102" t="s">
        <v>123</v>
      </c>
      <c r="AY102" t="s">
        <v>123</v>
      </c>
      <c r="AZ102" t="s">
        <v>123</v>
      </c>
      <c r="BA102" t="s">
        <v>140</v>
      </c>
      <c r="BB102" t="s">
        <v>123</v>
      </c>
      <c r="BC102" t="s">
        <v>123</v>
      </c>
      <c r="BD102" t="s">
        <v>123</v>
      </c>
      <c r="BE102" t="s">
        <v>123</v>
      </c>
      <c r="BF102" t="s">
        <v>123</v>
      </c>
      <c r="BG102" t="s">
        <v>141</v>
      </c>
      <c r="BH102" t="s">
        <v>123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123</v>
      </c>
      <c r="BX102" t="s">
        <v>123</v>
      </c>
      <c r="BY102" s="1">
        <v>45965.249077395834</v>
      </c>
      <c r="BZ102">
        <v>1530</v>
      </c>
      <c r="CA102" t="s">
        <v>123</v>
      </c>
      <c r="CB102" t="s">
        <v>123</v>
      </c>
      <c r="CC102">
        <v>0</v>
      </c>
      <c r="CD102" t="s">
        <v>123</v>
      </c>
      <c r="CE102" t="s">
        <v>123</v>
      </c>
      <c r="CF102" t="s">
        <v>123</v>
      </c>
      <c r="CG102" t="s">
        <v>123</v>
      </c>
      <c r="CH102" t="s">
        <v>123</v>
      </c>
      <c r="CI102" t="s">
        <v>123</v>
      </c>
      <c r="CJ102" t="s">
        <v>123</v>
      </c>
      <c r="CK102">
        <v>3.5799999999999998E-2</v>
      </c>
      <c r="CL102">
        <v>3.9100000000000003E-2</v>
      </c>
      <c r="CM102">
        <v>4.2000000000000003E-2</v>
      </c>
      <c r="CN102">
        <v>4.6300000000000001E-2</v>
      </c>
      <c r="CO102" t="s">
        <v>123</v>
      </c>
      <c r="CP102" t="s">
        <v>123</v>
      </c>
      <c r="CQ102">
        <v>3.0499999999999999E-2</v>
      </c>
      <c r="CR102">
        <v>3.32E-2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205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  <c r="DN102" t="s">
        <v>123</v>
      </c>
      <c r="DO102" t="s">
        <v>123</v>
      </c>
      <c r="DP102" t="s">
        <v>123</v>
      </c>
      <c r="DQ102" t="s">
        <v>123</v>
      </c>
      <c r="DR102" t="s">
        <v>123</v>
      </c>
      <c r="DS102" t="s">
        <v>123</v>
      </c>
    </row>
    <row r="103" spans="1:123" x14ac:dyDescent="0.3">
      <c r="A103">
        <v>102</v>
      </c>
      <c r="B103" t="s">
        <v>123</v>
      </c>
      <c r="C103" t="s">
        <v>123</v>
      </c>
      <c r="D103" t="s">
        <v>526</v>
      </c>
      <c r="E103" t="s">
        <v>123</v>
      </c>
      <c r="F103" t="s">
        <v>125</v>
      </c>
      <c r="G103" t="s">
        <v>126</v>
      </c>
      <c r="H103" t="s">
        <v>127</v>
      </c>
      <c r="I103" t="s">
        <v>128</v>
      </c>
      <c r="J103" t="s">
        <v>123</v>
      </c>
      <c r="K103" t="s">
        <v>527</v>
      </c>
      <c r="L103" t="s">
        <v>130</v>
      </c>
      <c r="M103" t="s">
        <v>358</v>
      </c>
      <c r="N103" t="s">
        <v>158</v>
      </c>
      <c r="O103" t="s">
        <v>528</v>
      </c>
      <c r="P103" t="s">
        <v>123</v>
      </c>
      <c r="Q103" t="s">
        <v>123</v>
      </c>
      <c r="R103" t="s">
        <v>123</v>
      </c>
      <c r="S103" t="s">
        <v>123</v>
      </c>
      <c r="T103" s="1">
        <v>46211</v>
      </c>
      <c r="U103" t="s">
        <v>123</v>
      </c>
      <c r="V103" t="s">
        <v>123</v>
      </c>
      <c r="W103" t="s">
        <v>123</v>
      </c>
      <c r="X103" t="s">
        <v>123</v>
      </c>
      <c r="Y103" t="s">
        <v>123</v>
      </c>
      <c r="Z103" t="s">
        <v>123</v>
      </c>
      <c r="AA103" t="s">
        <v>123</v>
      </c>
      <c r="AB103" t="s">
        <v>529</v>
      </c>
      <c r="AC103" t="s">
        <v>135</v>
      </c>
      <c r="AD103" t="s">
        <v>123</v>
      </c>
      <c r="AE103" t="s">
        <v>123</v>
      </c>
      <c r="AF103" t="s">
        <v>530</v>
      </c>
      <c r="AG103" t="s">
        <v>531</v>
      </c>
      <c r="AH103" t="s">
        <v>123</v>
      </c>
      <c r="AI103" t="s">
        <v>128</v>
      </c>
      <c r="AJ103" t="s">
        <v>186</v>
      </c>
      <c r="AK103" t="s">
        <v>163</v>
      </c>
      <c r="AL103" t="s">
        <v>123</v>
      </c>
      <c r="AM103" t="s">
        <v>123</v>
      </c>
      <c r="AN103" t="s">
        <v>123</v>
      </c>
      <c r="AO103" t="s">
        <v>123</v>
      </c>
      <c r="AP103">
        <v>250</v>
      </c>
      <c r="AQ103">
        <v>50</v>
      </c>
      <c r="AR103">
        <v>10</v>
      </c>
      <c r="AS103" t="s">
        <v>123</v>
      </c>
      <c r="AT103" t="s">
        <v>123</v>
      </c>
      <c r="AU103" t="s">
        <v>123</v>
      </c>
      <c r="AV103" t="s">
        <v>123</v>
      </c>
      <c r="AW103" t="s">
        <v>123</v>
      </c>
      <c r="AX103" t="s">
        <v>123</v>
      </c>
      <c r="AY103" t="s">
        <v>123</v>
      </c>
      <c r="AZ103" t="s">
        <v>123</v>
      </c>
      <c r="BA103" t="s">
        <v>140</v>
      </c>
      <c r="BB103" t="s">
        <v>123</v>
      </c>
      <c r="BC103" t="s">
        <v>123</v>
      </c>
      <c r="BD103" t="s">
        <v>123</v>
      </c>
      <c r="BE103" t="s">
        <v>123</v>
      </c>
      <c r="BF103" t="s">
        <v>123</v>
      </c>
      <c r="BG103" t="s">
        <v>141</v>
      </c>
      <c r="BH103" t="s">
        <v>123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123</v>
      </c>
      <c r="BX103" t="s">
        <v>123</v>
      </c>
      <c r="BY103" s="1">
        <v>45965.249193368058</v>
      </c>
      <c r="BZ103">
        <v>1445</v>
      </c>
      <c r="CA103" t="s">
        <v>123</v>
      </c>
      <c r="CB103" t="s">
        <v>123</v>
      </c>
      <c r="CC103">
        <v>0</v>
      </c>
      <c r="CD103" t="s">
        <v>123</v>
      </c>
      <c r="CE103" t="s">
        <v>123</v>
      </c>
      <c r="CF103" t="s">
        <v>123</v>
      </c>
      <c r="CG103" t="s">
        <v>123</v>
      </c>
      <c r="CH103" t="s">
        <v>123</v>
      </c>
      <c r="CI103" t="s">
        <v>123</v>
      </c>
      <c r="CJ103" t="s">
        <v>123</v>
      </c>
      <c r="CK103">
        <v>2.2200000000000001E-2</v>
      </c>
      <c r="CL103">
        <v>2.9600000000000001E-2</v>
      </c>
      <c r="CM103">
        <v>5.6500000000000002E-2</v>
      </c>
      <c r="CN103">
        <v>7.3099999999999998E-2</v>
      </c>
      <c r="CO103" t="s">
        <v>123</v>
      </c>
      <c r="CP103" t="s">
        <v>123</v>
      </c>
      <c r="CQ103">
        <v>5.7999999999999996E-3</v>
      </c>
      <c r="CR103">
        <v>8.3000000000000001E-3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214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  <c r="DN103" t="s">
        <v>123</v>
      </c>
      <c r="DO103" t="s">
        <v>123</v>
      </c>
      <c r="DP103" t="s">
        <v>123</v>
      </c>
      <c r="DQ103" t="s">
        <v>123</v>
      </c>
      <c r="DR103" t="s">
        <v>123</v>
      </c>
      <c r="DS103" t="s">
        <v>123</v>
      </c>
    </row>
    <row r="104" spans="1:123" x14ac:dyDescent="0.3">
      <c r="A104">
        <v>103</v>
      </c>
      <c r="B104" t="s">
        <v>123</v>
      </c>
      <c r="C104" t="s">
        <v>123</v>
      </c>
      <c r="D104" t="s">
        <v>532</v>
      </c>
      <c r="E104" t="s">
        <v>123</v>
      </c>
      <c r="F104" t="s">
        <v>125</v>
      </c>
      <c r="G104" t="s">
        <v>126</v>
      </c>
      <c r="H104" t="s">
        <v>127</v>
      </c>
      <c r="I104" t="s">
        <v>128</v>
      </c>
      <c r="J104" t="s">
        <v>123</v>
      </c>
      <c r="K104" t="s">
        <v>533</v>
      </c>
      <c r="L104" t="s">
        <v>130</v>
      </c>
      <c r="M104" t="s">
        <v>534</v>
      </c>
      <c r="N104" t="s">
        <v>158</v>
      </c>
      <c r="O104" t="s">
        <v>159</v>
      </c>
      <c r="P104" t="s">
        <v>123</v>
      </c>
      <c r="Q104" t="s">
        <v>123</v>
      </c>
      <c r="R104" t="s">
        <v>123</v>
      </c>
      <c r="S104" t="s">
        <v>123</v>
      </c>
      <c r="T104" s="1">
        <v>47308</v>
      </c>
      <c r="U104" t="s">
        <v>123</v>
      </c>
      <c r="V104" t="s">
        <v>123</v>
      </c>
      <c r="W104" t="s">
        <v>123</v>
      </c>
      <c r="X104" t="s">
        <v>123</v>
      </c>
      <c r="Y104" t="s">
        <v>123</v>
      </c>
      <c r="Z104" t="s">
        <v>123</v>
      </c>
      <c r="AA104" t="s">
        <v>123</v>
      </c>
      <c r="AB104" t="s">
        <v>535</v>
      </c>
      <c r="AC104" t="s">
        <v>135</v>
      </c>
      <c r="AD104" t="s">
        <v>123</v>
      </c>
      <c r="AE104" t="s">
        <v>123</v>
      </c>
      <c r="AF104" t="s">
        <v>536</v>
      </c>
      <c r="AG104" t="s">
        <v>537</v>
      </c>
      <c r="AH104" t="s">
        <v>123</v>
      </c>
      <c r="AI104" t="s">
        <v>128</v>
      </c>
      <c r="AJ104" t="s">
        <v>138</v>
      </c>
      <c r="AK104" t="s">
        <v>139</v>
      </c>
      <c r="AL104" t="s">
        <v>123</v>
      </c>
      <c r="AM104" t="s">
        <v>123</v>
      </c>
      <c r="AN104" t="s">
        <v>123</v>
      </c>
      <c r="AO104" t="s">
        <v>123</v>
      </c>
      <c r="AP104">
        <v>250</v>
      </c>
      <c r="AQ104">
        <v>50</v>
      </c>
      <c r="AR104">
        <v>10</v>
      </c>
      <c r="AS104" t="s">
        <v>123</v>
      </c>
      <c r="AT104" t="s">
        <v>123</v>
      </c>
      <c r="AU104" t="s">
        <v>123</v>
      </c>
      <c r="AV104" t="s">
        <v>123</v>
      </c>
      <c r="AW104" t="s">
        <v>123</v>
      </c>
      <c r="AX104" t="s">
        <v>123</v>
      </c>
      <c r="AY104" t="s">
        <v>123</v>
      </c>
      <c r="AZ104" t="s">
        <v>123</v>
      </c>
      <c r="BA104" t="s">
        <v>140</v>
      </c>
      <c r="BB104" t="s">
        <v>123</v>
      </c>
      <c r="BC104" t="s">
        <v>123</v>
      </c>
      <c r="BD104" t="s">
        <v>123</v>
      </c>
      <c r="BE104" t="s">
        <v>123</v>
      </c>
      <c r="BF104" t="s">
        <v>123</v>
      </c>
      <c r="BG104" t="s">
        <v>141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s="1">
        <v>45965.249219560188</v>
      </c>
      <c r="BZ104">
        <v>1478</v>
      </c>
      <c r="CA104" t="s">
        <v>123</v>
      </c>
      <c r="CB104" t="s">
        <v>123</v>
      </c>
      <c r="CC104">
        <v>0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>
        <v>1.477E-2</v>
      </c>
      <c r="CL104">
        <v>1.503E-2</v>
      </c>
      <c r="CM104">
        <v>2.027E-2</v>
      </c>
      <c r="CN104">
        <v>2.068E-2</v>
      </c>
      <c r="CO104" t="s">
        <v>123</v>
      </c>
      <c r="CP104" t="s">
        <v>123</v>
      </c>
      <c r="CQ104">
        <v>1.098E-2</v>
      </c>
      <c r="CR104">
        <v>1.1180000000000001E-2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152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  <c r="DN104" t="s">
        <v>123</v>
      </c>
      <c r="DO104" t="s">
        <v>123</v>
      </c>
      <c r="DP104" t="s">
        <v>123</v>
      </c>
      <c r="DQ104" t="s">
        <v>123</v>
      </c>
      <c r="DR104" t="s">
        <v>123</v>
      </c>
      <c r="DS104" t="s">
        <v>123</v>
      </c>
    </row>
    <row r="105" spans="1:123" x14ac:dyDescent="0.3">
      <c r="A105">
        <v>104</v>
      </c>
      <c r="B105" t="s">
        <v>123</v>
      </c>
      <c r="C105" t="s">
        <v>123</v>
      </c>
      <c r="D105" t="s">
        <v>538</v>
      </c>
      <c r="E105" t="s">
        <v>123</v>
      </c>
      <c r="F105" t="s">
        <v>125</v>
      </c>
      <c r="G105" t="s">
        <v>126</v>
      </c>
      <c r="H105" t="s">
        <v>127</v>
      </c>
      <c r="I105" t="s">
        <v>128</v>
      </c>
      <c r="J105" t="s">
        <v>123</v>
      </c>
      <c r="K105" t="s">
        <v>539</v>
      </c>
      <c r="L105" t="s">
        <v>130</v>
      </c>
      <c r="M105" t="s">
        <v>540</v>
      </c>
      <c r="N105" t="s">
        <v>158</v>
      </c>
      <c r="O105" t="s">
        <v>150</v>
      </c>
      <c r="P105" t="s">
        <v>123</v>
      </c>
      <c r="Q105" t="s">
        <v>123</v>
      </c>
      <c r="R105" t="s">
        <v>123</v>
      </c>
      <c r="S105" t="s">
        <v>123</v>
      </c>
      <c r="T105" s="1">
        <v>46484</v>
      </c>
      <c r="U105" t="s">
        <v>123</v>
      </c>
      <c r="V105" t="s">
        <v>123</v>
      </c>
      <c r="W105" t="s">
        <v>123</v>
      </c>
      <c r="X105" t="s">
        <v>123</v>
      </c>
      <c r="Y105" t="s">
        <v>123</v>
      </c>
      <c r="Z105" t="s">
        <v>123</v>
      </c>
      <c r="AA105" t="s">
        <v>123</v>
      </c>
      <c r="AB105" t="s">
        <v>541</v>
      </c>
      <c r="AC105" t="s">
        <v>135</v>
      </c>
      <c r="AD105" t="s">
        <v>123</v>
      </c>
      <c r="AE105" t="s">
        <v>123</v>
      </c>
      <c r="AF105" t="s">
        <v>212</v>
      </c>
      <c r="AG105" t="s">
        <v>213</v>
      </c>
      <c r="AH105" t="s">
        <v>123</v>
      </c>
      <c r="AI105" t="s">
        <v>128</v>
      </c>
      <c r="AJ105" t="s">
        <v>138</v>
      </c>
      <c r="AK105" t="s">
        <v>139</v>
      </c>
      <c r="AL105" t="s">
        <v>123</v>
      </c>
      <c r="AM105" t="s">
        <v>123</v>
      </c>
      <c r="AN105" t="s">
        <v>123</v>
      </c>
      <c r="AO105" t="s">
        <v>123</v>
      </c>
      <c r="AP105">
        <v>250</v>
      </c>
      <c r="AQ105">
        <v>50</v>
      </c>
      <c r="AR105">
        <v>10</v>
      </c>
      <c r="AS105" t="s">
        <v>123</v>
      </c>
      <c r="AT105" t="s">
        <v>123</v>
      </c>
      <c r="AU105" t="s">
        <v>123</v>
      </c>
      <c r="AV105" t="s">
        <v>123</v>
      </c>
      <c r="AW105" t="s">
        <v>123</v>
      </c>
      <c r="AX105" t="s">
        <v>123</v>
      </c>
      <c r="AY105" t="s">
        <v>123</v>
      </c>
      <c r="AZ105" t="s">
        <v>123</v>
      </c>
      <c r="BA105" t="s">
        <v>140</v>
      </c>
      <c r="BB105" t="s">
        <v>123</v>
      </c>
      <c r="BC105" t="s">
        <v>123</v>
      </c>
      <c r="BD105" t="s">
        <v>123</v>
      </c>
      <c r="BE105" t="s">
        <v>123</v>
      </c>
      <c r="BF105" t="s">
        <v>123</v>
      </c>
      <c r="BG105" t="s">
        <v>141</v>
      </c>
      <c r="BH105" t="s">
        <v>123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123</v>
      </c>
      <c r="BX105" t="s">
        <v>123</v>
      </c>
      <c r="BY105" s="1">
        <v>45965.249243634258</v>
      </c>
      <c r="BZ105">
        <v>1484</v>
      </c>
      <c r="CA105" t="s">
        <v>123</v>
      </c>
      <c r="CB105" t="s">
        <v>123</v>
      </c>
      <c r="CC105">
        <v>0</v>
      </c>
      <c r="CD105" t="s">
        <v>123</v>
      </c>
      <c r="CE105" t="s">
        <v>123</v>
      </c>
      <c r="CF105" t="s">
        <v>123</v>
      </c>
      <c r="CG105" t="s">
        <v>123</v>
      </c>
      <c r="CH105" t="s">
        <v>123</v>
      </c>
      <c r="CI105" t="s">
        <v>123</v>
      </c>
      <c r="CJ105" t="s">
        <v>123</v>
      </c>
      <c r="CK105">
        <v>5.8999999999999999E-3</v>
      </c>
      <c r="CL105">
        <v>5.8999999999999999E-3</v>
      </c>
      <c r="CM105">
        <v>8.0000000000000002E-3</v>
      </c>
      <c r="CN105">
        <v>8.0999999999999996E-3</v>
      </c>
      <c r="CO105" t="s">
        <v>123</v>
      </c>
      <c r="CP105" t="s">
        <v>123</v>
      </c>
      <c r="CQ105">
        <v>4.1999999999999997E-3</v>
      </c>
      <c r="CR105">
        <v>4.1999999999999997E-3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152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  <c r="DN105" t="s">
        <v>123</v>
      </c>
      <c r="DO105" t="s">
        <v>123</v>
      </c>
      <c r="DP105" t="s">
        <v>123</v>
      </c>
      <c r="DQ105" t="s">
        <v>123</v>
      </c>
      <c r="DR105" t="s">
        <v>123</v>
      </c>
      <c r="DS105" t="s">
        <v>123</v>
      </c>
    </row>
    <row r="106" spans="1:123" x14ac:dyDescent="0.3">
      <c r="A106">
        <v>105</v>
      </c>
      <c r="B106" t="s">
        <v>123</v>
      </c>
      <c r="C106" t="s">
        <v>123</v>
      </c>
      <c r="D106" t="s">
        <v>542</v>
      </c>
      <c r="E106" t="s">
        <v>123</v>
      </c>
      <c r="F106" t="s">
        <v>125</v>
      </c>
      <c r="G106" t="s">
        <v>126</v>
      </c>
      <c r="H106" t="s">
        <v>127</v>
      </c>
      <c r="I106" t="s">
        <v>128</v>
      </c>
      <c r="J106" t="s">
        <v>123</v>
      </c>
      <c r="K106" t="s">
        <v>543</v>
      </c>
      <c r="L106" t="s">
        <v>130</v>
      </c>
      <c r="M106" t="s">
        <v>544</v>
      </c>
      <c r="N106" t="s">
        <v>158</v>
      </c>
      <c r="O106" t="s">
        <v>150</v>
      </c>
      <c r="P106" t="s">
        <v>123</v>
      </c>
      <c r="Q106" t="s">
        <v>123</v>
      </c>
      <c r="R106" t="s">
        <v>123</v>
      </c>
      <c r="S106" t="s">
        <v>123</v>
      </c>
      <c r="T106" s="1">
        <v>46514</v>
      </c>
      <c r="U106" t="s">
        <v>123</v>
      </c>
      <c r="V106" t="s">
        <v>123</v>
      </c>
      <c r="W106" t="s">
        <v>123</v>
      </c>
      <c r="X106" t="s">
        <v>123</v>
      </c>
      <c r="Y106" t="s">
        <v>123</v>
      </c>
      <c r="Z106" t="s">
        <v>123</v>
      </c>
      <c r="AA106" t="s">
        <v>123</v>
      </c>
      <c r="AB106" t="s">
        <v>545</v>
      </c>
      <c r="AC106" t="s">
        <v>135</v>
      </c>
      <c r="AD106" t="s">
        <v>123</v>
      </c>
      <c r="AE106" t="s">
        <v>123</v>
      </c>
      <c r="AF106" t="s">
        <v>176</v>
      </c>
      <c r="AG106" t="s">
        <v>177</v>
      </c>
      <c r="AH106" t="s">
        <v>123</v>
      </c>
      <c r="AI106" t="s">
        <v>128</v>
      </c>
      <c r="AJ106" t="s">
        <v>138</v>
      </c>
      <c r="AK106" t="s">
        <v>139</v>
      </c>
      <c r="AL106" t="s">
        <v>123</v>
      </c>
      <c r="AM106" t="s">
        <v>123</v>
      </c>
      <c r="AN106" t="s">
        <v>123</v>
      </c>
      <c r="AO106" t="s">
        <v>123</v>
      </c>
      <c r="AP106">
        <v>250</v>
      </c>
      <c r="AQ106">
        <v>50</v>
      </c>
      <c r="AR106">
        <v>10</v>
      </c>
      <c r="AS106" t="s">
        <v>123</v>
      </c>
      <c r="AT106" t="s">
        <v>123</v>
      </c>
      <c r="AU106" t="s">
        <v>123</v>
      </c>
      <c r="AV106" t="s">
        <v>123</v>
      </c>
      <c r="AW106" t="s">
        <v>123</v>
      </c>
      <c r="AX106" t="s">
        <v>123</v>
      </c>
      <c r="AY106" t="s">
        <v>123</v>
      </c>
      <c r="AZ106" t="s">
        <v>123</v>
      </c>
      <c r="BA106" t="s">
        <v>140</v>
      </c>
      <c r="BB106" t="s">
        <v>123</v>
      </c>
      <c r="BC106" t="s">
        <v>123</v>
      </c>
      <c r="BD106" t="s">
        <v>123</v>
      </c>
      <c r="BE106" t="s">
        <v>123</v>
      </c>
      <c r="BF106" t="s">
        <v>123</v>
      </c>
      <c r="BG106" t="s">
        <v>141</v>
      </c>
      <c r="BH106" t="s">
        <v>123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123</v>
      </c>
      <c r="BX106" t="s">
        <v>123</v>
      </c>
      <c r="BY106" s="1">
        <v>45965.249294247682</v>
      </c>
      <c r="BZ106">
        <v>1485</v>
      </c>
      <c r="CA106" t="s">
        <v>123</v>
      </c>
      <c r="CB106" t="s">
        <v>123</v>
      </c>
      <c r="CC106">
        <v>0</v>
      </c>
      <c r="CD106" t="s">
        <v>123</v>
      </c>
      <c r="CE106" t="s">
        <v>123</v>
      </c>
      <c r="CF106" t="s">
        <v>123</v>
      </c>
      <c r="CG106" t="s">
        <v>123</v>
      </c>
      <c r="CH106" t="s">
        <v>123</v>
      </c>
      <c r="CI106" t="s">
        <v>123</v>
      </c>
      <c r="CJ106" t="s">
        <v>123</v>
      </c>
      <c r="CK106">
        <v>7.7000000000000002E-3</v>
      </c>
      <c r="CL106">
        <v>8.8999999999999999E-3</v>
      </c>
      <c r="CM106">
        <v>1.38E-2</v>
      </c>
      <c r="CN106">
        <v>1.5699999999999999E-2</v>
      </c>
      <c r="CO106" t="s">
        <v>123</v>
      </c>
      <c r="CP106" t="s">
        <v>123</v>
      </c>
      <c r="CQ106">
        <v>5.4999999999999997E-3</v>
      </c>
      <c r="CR106">
        <v>6.4999999999999997E-3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152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  <c r="DN106" t="s">
        <v>123</v>
      </c>
      <c r="DO106" t="s">
        <v>123</v>
      </c>
      <c r="DP106" t="s">
        <v>123</v>
      </c>
      <c r="DQ106" t="s">
        <v>123</v>
      </c>
      <c r="DR106" t="s">
        <v>123</v>
      </c>
      <c r="DS106" t="s">
        <v>123</v>
      </c>
    </row>
    <row r="107" spans="1:123" x14ac:dyDescent="0.3">
      <c r="A107">
        <v>106</v>
      </c>
      <c r="B107" t="s">
        <v>123</v>
      </c>
      <c r="C107" t="s">
        <v>123</v>
      </c>
      <c r="D107" t="s">
        <v>546</v>
      </c>
      <c r="E107" t="s">
        <v>123</v>
      </c>
      <c r="F107" t="s">
        <v>125</v>
      </c>
      <c r="G107" t="s">
        <v>126</v>
      </c>
      <c r="H107" t="s">
        <v>127</v>
      </c>
      <c r="I107" t="s">
        <v>199</v>
      </c>
      <c r="J107" t="s">
        <v>123</v>
      </c>
      <c r="K107" t="s">
        <v>547</v>
      </c>
      <c r="L107" t="s">
        <v>130</v>
      </c>
      <c r="M107" t="s">
        <v>548</v>
      </c>
      <c r="N107" t="s">
        <v>158</v>
      </c>
      <c r="O107" t="s">
        <v>133</v>
      </c>
      <c r="P107" t="s">
        <v>123</v>
      </c>
      <c r="Q107" t="s">
        <v>123</v>
      </c>
      <c r="R107" t="s">
        <v>123</v>
      </c>
      <c r="S107" t="s">
        <v>123</v>
      </c>
      <c r="T107" s="1">
        <v>46178</v>
      </c>
      <c r="U107" t="s">
        <v>123</v>
      </c>
      <c r="V107" t="s">
        <v>123</v>
      </c>
      <c r="W107" t="s">
        <v>123</v>
      </c>
      <c r="X107" t="s">
        <v>123</v>
      </c>
      <c r="Y107" t="s">
        <v>123</v>
      </c>
      <c r="Z107" t="s">
        <v>123</v>
      </c>
      <c r="AA107" t="s">
        <v>123</v>
      </c>
      <c r="AB107" t="s">
        <v>549</v>
      </c>
      <c r="AC107" t="s">
        <v>135</v>
      </c>
      <c r="AD107" t="s">
        <v>123</v>
      </c>
      <c r="AE107" t="s">
        <v>123</v>
      </c>
      <c r="AF107" t="s">
        <v>550</v>
      </c>
      <c r="AG107" t="s">
        <v>162</v>
      </c>
      <c r="AH107" t="s">
        <v>123</v>
      </c>
      <c r="AI107" t="s">
        <v>199</v>
      </c>
      <c r="AJ107" t="s">
        <v>138</v>
      </c>
      <c r="AK107" t="s">
        <v>139</v>
      </c>
      <c r="AL107" t="s">
        <v>123</v>
      </c>
      <c r="AM107" t="s">
        <v>123</v>
      </c>
      <c r="AN107" t="s">
        <v>123</v>
      </c>
      <c r="AO107" t="s">
        <v>123</v>
      </c>
      <c r="AP107">
        <v>250</v>
      </c>
      <c r="AQ107">
        <v>50</v>
      </c>
      <c r="AR107">
        <v>10</v>
      </c>
      <c r="AS107" t="s">
        <v>123</v>
      </c>
      <c r="AT107" t="s">
        <v>123</v>
      </c>
      <c r="AU107" t="s">
        <v>123</v>
      </c>
      <c r="AV107" t="s">
        <v>123</v>
      </c>
      <c r="AW107" t="s">
        <v>123</v>
      </c>
      <c r="AX107" t="s">
        <v>123</v>
      </c>
      <c r="AY107" t="s">
        <v>123</v>
      </c>
      <c r="AZ107" t="s">
        <v>123</v>
      </c>
      <c r="BA107" t="s">
        <v>140</v>
      </c>
      <c r="BB107" t="s">
        <v>123</v>
      </c>
      <c r="BC107" t="s">
        <v>123</v>
      </c>
      <c r="BD107" t="s">
        <v>123</v>
      </c>
      <c r="BE107" t="s">
        <v>123</v>
      </c>
      <c r="BF107" t="s">
        <v>123</v>
      </c>
      <c r="BG107" t="s">
        <v>141</v>
      </c>
      <c r="BH107" t="s">
        <v>123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123</v>
      </c>
      <c r="BX107" t="s">
        <v>123</v>
      </c>
      <c r="BY107" s="1">
        <v>45965.249319872688</v>
      </c>
      <c r="BZ107">
        <v>1461</v>
      </c>
      <c r="CA107" t="s">
        <v>123</v>
      </c>
      <c r="CB107" t="s">
        <v>123</v>
      </c>
      <c r="CC107">
        <v>0</v>
      </c>
      <c r="CD107" t="s">
        <v>123</v>
      </c>
      <c r="CE107" t="s">
        <v>123</v>
      </c>
      <c r="CF107" t="s">
        <v>123</v>
      </c>
      <c r="CG107" t="s">
        <v>123</v>
      </c>
      <c r="CH107" t="s">
        <v>123</v>
      </c>
      <c r="CI107" t="s">
        <v>123</v>
      </c>
      <c r="CJ107" t="s">
        <v>123</v>
      </c>
      <c r="CK107">
        <v>8.9999999999999993E-3</v>
      </c>
      <c r="CL107">
        <v>9.5999999999999992E-3</v>
      </c>
      <c r="CM107">
        <v>9.5999999999999992E-3</v>
      </c>
      <c r="CN107">
        <v>1.0200000000000001E-2</v>
      </c>
      <c r="CO107" t="s">
        <v>123</v>
      </c>
      <c r="CP107" t="s">
        <v>123</v>
      </c>
      <c r="CQ107">
        <v>8.3999999999999995E-3</v>
      </c>
      <c r="CR107">
        <v>9.1000000000000004E-3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551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  <c r="DN107" t="s">
        <v>123</v>
      </c>
      <c r="DO107" t="s">
        <v>123</v>
      </c>
      <c r="DP107" t="s">
        <v>123</v>
      </c>
      <c r="DQ107" t="s">
        <v>123</v>
      </c>
      <c r="DR107" t="s">
        <v>123</v>
      </c>
      <c r="DS107" t="s">
        <v>123</v>
      </c>
    </row>
    <row r="108" spans="1:123" x14ac:dyDescent="0.3">
      <c r="A108">
        <v>107</v>
      </c>
      <c r="B108" t="s">
        <v>123</v>
      </c>
      <c r="C108" t="s">
        <v>123</v>
      </c>
      <c r="D108" t="s">
        <v>552</v>
      </c>
      <c r="E108" t="s">
        <v>123</v>
      </c>
      <c r="F108" t="s">
        <v>125</v>
      </c>
      <c r="G108" t="s">
        <v>126</v>
      </c>
      <c r="H108" t="s">
        <v>127</v>
      </c>
      <c r="I108" t="s">
        <v>199</v>
      </c>
      <c r="J108" t="s">
        <v>123</v>
      </c>
      <c r="K108" t="s">
        <v>547</v>
      </c>
      <c r="L108" t="s">
        <v>130</v>
      </c>
      <c r="M108" t="s">
        <v>548</v>
      </c>
      <c r="N108" t="s">
        <v>180</v>
      </c>
      <c r="O108" t="s">
        <v>133</v>
      </c>
      <c r="P108" t="s">
        <v>123</v>
      </c>
      <c r="Q108" t="s">
        <v>123</v>
      </c>
      <c r="R108" t="s">
        <v>123</v>
      </c>
      <c r="S108" t="s">
        <v>123</v>
      </c>
      <c r="T108" s="1">
        <v>46178</v>
      </c>
      <c r="U108" t="s">
        <v>123</v>
      </c>
      <c r="V108" t="s">
        <v>123</v>
      </c>
      <c r="W108" t="s">
        <v>123</v>
      </c>
      <c r="X108" t="s">
        <v>123</v>
      </c>
      <c r="Y108" t="s">
        <v>123</v>
      </c>
      <c r="Z108" t="s">
        <v>123</v>
      </c>
      <c r="AA108" t="s">
        <v>123</v>
      </c>
      <c r="AB108" t="s">
        <v>553</v>
      </c>
      <c r="AC108" t="s">
        <v>135</v>
      </c>
      <c r="AD108" t="s">
        <v>123</v>
      </c>
      <c r="AE108" t="s">
        <v>123</v>
      </c>
      <c r="AF108" t="s">
        <v>554</v>
      </c>
      <c r="AG108" t="s">
        <v>137</v>
      </c>
      <c r="AH108" t="s">
        <v>123</v>
      </c>
      <c r="AI108" t="s">
        <v>199</v>
      </c>
      <c r="AJ108" t="s">
        <v>138</v>
      </c>
      <c r="AK108" t="s">
        <v>139</v>
      </c>
      <c r="AL108" t="s">
        <v>123</v>
      </c>
      <c r="AM108" t="s">
        <v>123</v>
      </c>
      <c r="AN108" t="s">
        <v>123</v>
      </c>
      <c r="AO108" t="s">
        <v>123</v>
      </c>
      <c r="AP108">
        <v>250</v>
      </c>
      <c r="AQ108">
        <v>50</v>
      </c>
      <c r="AR108">
        <v>10</v>
      </c>
      <c r="AS108" t="s">
        <v>123</v>
      </c>
      <c r="AT108" t="s">
        <v>123</v>
      </c>
      <c r="AU108" t="s">
        <v>123</v>
      </c>
      <c r="AV108" t="s">
        <v>123</v>
      </c>
      <c r="AW108" t="s">
        <v>123</v>
      </c>
      <c r="AX108" t="s">
        <v>123</v>
      </c>
      <c r="AY108" t="s">
        <v>123</v>
      </c>
      <c r="AZ108" t="s">
        <v>123</v>
      </c>
      <c r="BA108" t="s">
        <v>140</v>
      </c>
      <c r="BB108" t="s">
        <v>123</v>
      </c>
      <c r="BC108" t="s">
        <v>123</v>
      </c>
      <c r="BD108" t="s">
        <v>123</v>
      </c>
      <c r="BE108" t="s">
        <v>123</v>
      </c>
      <c r="BF108" t="s">
        <v>123</v>
      </c>
      <c r="BG108" t="s">
        <v>141</v>
      </c>
      <c r="BH108" t="s">
        <v>123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123</v>
      </c>
      <c r="BX108" t="s">
        <v>123</v>
      </c>
      <c r="BY108" s="1">
        <v>45965.249351157407</v>
      </c>
      <c r="BZ108">
        <v>1461</v>
      </c>
      <c r="CA108" t="s">
        <v>123</v>
      </c>
      <c r="CB108" t="s">
        <v>123</v>
      </c>
      <c r="CC108">
        <v>0</v>
      </c>
      <c r="CD108" t="s">
        <v>123</v>
      </c>
      <c r="CE108" t="s">
        <v>123</v>
      </c>
      <c r="CF108" t="s">
        <v>123</v>
      </c>
      <c r="CG108" t="s">
        <v>123</v>
      </c>
      <c r="CH108" t="s">
        <v>123</v>
      </c>
      <c r="CI108" t="s">
        <v>123</v>
      </c>
      <c r="CJ108" t="s">
        <v>123</v>
      </c>
      <c r="CK108">
        <v>2.3800000000000002E-2</v>
      </c>
      <c r="CL108">
        <v>2.3E-2</v>
      </c>
      <c r="CM108">
        <v>2.5600000000000001E-2</v>
      </c>
      <c r="CN108">
        <v>2.4500000000000001E-2</v>
      </c>
      <c r="CO108" t="s">
        <v>123</v>
      </c>
      <c r="CP108" t="s">
        <v>123</v>
      </c>
      <c r="CQ108">
        <v>2.2200000000000001E-2</v>
      </c>
      <c r="CR108">
        <v>2.1600000000000001E-2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551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  <c r="DN108" t="s">
        <v>123</v>
      </c>
      <c r="DO108" t="s">
        <v>123</v>
      </c>
      <c r="DP108" t="s">
        <v>123</v>
      </c>
      <c r="DQ108" t="s">
        <v>123</v>
      </c>
      <c r="DR108" t="s">
        <v>123</v>
      </c>
      <c r="DS108" t="s">
        <v>123</v>
      </c>
    </row>
    <row r="109" spans="1:123" x14ac:dyDescent="0.3">
      <c r="A109">
        <v>108</v>
      </c>
      <c r="B109" t="s">
        <v>123</v>
      </c>
      <c r="C109" t="s">
        <v>123</v>
      </c>
      <c r="D109" t="s">
        <v>555</v>
      </c>
      <c r="E109" t="s">
        <v>123</v>
      </c>
      <c r="F109" t="s">
        <v>125</v>
      </c>
      <c r="G109" t="s">
        <v>126</v>
      </c>
      <c r="H109" t="s">
        <v>127</v>
      </c>
      <c r="I109" t="s">
        <v>199</v>
      </c>
      <c r="J109" t="s">
        <v>123</v>
      </c>
      <c r="K109" t="s">
        <v>547</v>
      </c>
      <c r="L109" t="s">
        <v>130</v>
      </c>
      <c r="M109" t="s">
        <v>548</v>
      </c>
      <c r="N109" t="s">
        <v>158</v>
      </c>
      <c r="O109" t="s">
        <v>150</v>
      </c>
      <c r="P109" t="s">
        <v>123</v>
      </c>
      <c r="Q109" t="s">
        <v>123</v>
      </c>
      <c r="R109" t="s">
        <v>123</v>
      </c>
      <c r="S109" t="s">
        <v>123</v>
      </c>
      <c r="T109" s="1">
        <v>46545</v>
      </c>
      <c r="U109" t="s">
        <v>123</v>
      </c>
      <c r="V109" t="s">
        <v>123</v>
      </c>
      <c r="W109" t="s">
        <v>123</v>
      </c>
      <c r="X109" t="s">
        <v>123</v>
      </c>
      <c r="Y109" t="s">
        <v>123</v>
      </c>
      <c r="Z109" t="s">
        <v>123</v>
      </c>
      <c r="AA109" t="s">
        <v>123</v>
      </c>
      <c r="AB109" t="s">
        <v>556</v>
      </c>
      <c r="AC109" t="s">
        <v>135</v>
      </c>
      <c r="AD109" t="s">
        <v>123</v>
      </c>
      <c r="AE109" t="s">
        <v>123</v>
      </c>
      <c r="AF109" t="s">
        <v>550</v>
      </c>
      <c r="AG109" t="s">
        <v>162</v>
      </c>
      <c r="AH109" t="s">
        <v>123</v>
      </c>
      <c r="AI109" t="s">
        <v>199</v>
      </c>
      <c r="AJ109" t="s">
        <v>138</v>
      </c>
      <c r="AK109" t="s">
        <v>139</v>
      </c>
      <c r="AL109" t="s">
        <v>123</v>
      </c>
      <c r="AM109" t="s">
        <v>123</v>
      </c>
      <c r="AN109" t="s">
        <v>123</v>
      </c>
      <c r="AO109" t="s">
        <v>123</v>
      </c>
      <c r="AP109">
        <v>250</v>
      </c>
      <c r="AQ109">
        <v>50</v>
      </c>
      <c r="AR109">
        <v>10</v>
      </c>
      <c r="AS109" t="s">
        <v>123</v>
      </c>
      <c r="AT109" t="s">
        <v>123</v>
      </c>
      <c r="AU109" t="s">
        <v>123</v>
      </c>
      <c r="AV109" t="s">
        <v>123</v>
      </c>
      <c r="AW109" t="s">
        <v>123</v>
      </c>
      <c r="AX109" t="s">
        <v>123</v>
      </c>
      <c r="AY109" t="s">
        <v>123</v>
      </c>
      <c r="AZ109" t="s">
        <v>123</v>
      </c>
      <c r="BA109" t="s">
        <v>140</v>
      </c>
      <c r="BB109" t="s">
        <v>123</v>
      </c>
      <c r="BC109" t="s">
        <v>123</v>
      </c>
      <c r="BD109" t="s">
        <v>123</v>
      </c>
      <c r="BE109" t="s">
        <v>123</v>
      </c>
      <c r="BF109" t="s">
        <v>123</v>
      </c>
      <c r="BG109" t="s">
        <v>141</v>
      </c>
      <c r="BH109" t="s">
        <v>123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123</v>
      </c>
      <c r="BX109" t="s">
        <v>123</v>
      </c>
      <c r="BY109" s="1">
        <v>45965.24938040509</v>
      </c>
      <c r="BZ109">
        <v>1461</v>
      </c>
      <c r="CA109" t="s">
        <v>123</v>
      </c>
      <c r="CB109" t="s">
        <v>123</v>
      </c>
      <c r="CC109">
        <v>0</v>
      </c>
      <c r="CD109" t="s">
        <v>123</v>
      </c>
      <c r="CE109" t="s">
        <v>123</v>
      </c>
      <c r="CF109" t="s">
        <v>123</v>
      </c>
      <c r="CG109" t="s">
        <v>123</v>
      </c>
      <c r="CH109" t="s">
        <v>123</v>
      </c>
      <c r="CI109" t="s">
        <v>123</v>
      </c>
      <c r="CJ109" t="s">
        <v>123</v>
      </c>
      <c r="CK109">
        <v>1.5800000000000002E-2</v>
      </c>
      <c r="CL109">
        <v>1.5699999999999999E-2</v>
      </c>
      <c r="CM109">
        <v>1.9199999999999998E-2</v>
      </c>
      <c r="CN109">
        <v>1.8499999999999999E-2</v>
      </c>
      <c r="CO109" t="s">
        <v>123</v>
      </c>
      <c r="CP109" t="s">
        <v>123</v>
      </c>
      <c r="CQ109">
        <v>1.3100000000000001E-2</v>
      </c>
      <c r="CR109">
        <v>1.3299999999999999E-2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551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  <c r="DN109" t="s">
        <v>123</v>
      </c>
      <c r="DO109" t="s">
        <v>123</v>
      </c>
      <c r="DP109" t="s">
        <v>123</v>
      </c>
      <c r="DQ109" t="s">
        <v>123</v>
      </c>
      <c r="DR109" t="s">
        <v>123</v>
      </c>
      <c r="DS109" t="s">
        <v>123</v>
      </c>
    </row>
    <row r="110" spans="1:123" x14ac:dyDescent="0.3">
      <c r="A110">
        <v>109</v>
      </c>
      <c r="B110" t="s">
        <v>123</v>
      </c>
      <c r="C110" t="s">
        <v>123</v>
      </c>
      <c r="D110" t="s">
        <v>557</v>
      </c>
      <c r="E110" t="s">
        <v>123</v>
      </c>
      <c r="F110" t="s">
        <v>125</v>
      </c>
      <c r="G110" t="s">
        <v>126</v>
      </c>
      <c r="H110" t="s">
        <v>127</v>
      </c>
      <c r="I110" t="s">
        <v>199</v>
      </c>
      <c r="J110" t="s">
        <v>123</v>
      </c>
      <c r="K110" t="s">
        <v>547</v>
      </c>
      <c r="L110" t="s">
        <v>130</v>
      </c>
      <c r="M110" t="s">
        <v>548</v>
      </c>
      <c r="N110" t="s">
        <v>180</v>
      </c>
      <c r="O110" t="s">
        <v>150</v>
      </c>
      <c r="P110" t="s">
        <v>123</v>
      </c>
      <c r="Q110" t="s">
        <v>123</v>
      </c>
      <c r="R110" t="s">
        <v>123</v>
      </c>
      <c r="S110" t="s">
        <v>123</v>
      </c>
      <c r="T110" s="1">
        <v>46545</v>
      </c>
      <c r="U110" t="s">
        <v>123</v>
      </c>
      <c r="V110" t="s">
        <v>123</v>
      </c>
      <c r="W110" t="s">
        <v>123</v>
      </c>
      <c r="X110" t="s">
        <v>123</v>
      </c>
      <c r="Y110" t="s">
        <v>123</v>
      </c>
      <c r="Z110" t="s">
        <v>123</v>
      </c>
      <c r="AA110" t="s">
        <v>123</v>
      </c>
      <c r="AB110" t="s">
        <v>558</v>
      </c>
      <c r="AC110" t="s">
        <v>135</v>
      </c>
      <c r="AD110" t="s">
        <v>123</v>
      </c>
      <c r="AE110" t="s">
        <v>123</v>
      </c>
      <c r="AF110" t="s">
        <v>550</v>
      </c>
      <c r="AG110" t="s">
        <v>162</v>
      </c>
      <c r="AH110" t="s">
        <v>123</v>
      </c>
      <c r="AI110" t="s">
        <v>199</v>
      </c>
      <c r="AJ110" t="s">
        <v>138</v>
      </c>
      <c r="AK110" t="s">
        <v>139</v>
      </c>
      <c r="AL110" t="s">
        <v>123</v>
      </c>
      <c r="AM110" t="s">
        <v>123</v>
      </c>
      <c r="AN110" t="s">
        <v>123</v>
      </c>
      <c r="AO110" t="s">
        <v>123</v>
      </c>
      <c r="AP110">
        <v>250</v>
      </c>
      <c r="AQ110">
        <v>50</v>
      </c>
      <c r="AR110">
        <v>10</v>
      </c>
      <c r="AS110" t="s">
        <v>123</v>
      </c>
      <c r="AT110" t="s">
        <v>123</v>
      </c>
      <c r="AU110" t="s">
        <v>123</v>
      </c>
      <c r="AV110" t="s">
        <v>123</v>
      </c>
      <c r="AW110" t="s">
        <v>123</v>
      </c>
      <c r="AX110" t="s">
        <v>123</v>
      </c>
      <c r="AY110" t="s">
        <v>123</v>
      </c>
      <c r="AZ110" t="s">
        <v>123</v>
      </c>
      <c r="BA110" t="s">
        <v>140</v>
      </c>
      <c r="BB110" t="s">
        <v>123</v>
      </c>
      <c r="BC110" t="s">
        <v>123</v>
      </c>
      <c r="BD110" t="s">
        <v>123</v>
      </c>
      <c r="BE110" t="s">
        <v>123</v>
      </c>
      <c r="BF110" t="s">
        <v>123</v>
      </c>
      <c r="BG110" t="s">
        <v>141</v>
      </c>
      <c r="BH110" t="s">
        <v>123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123</v>
      </c>
      <c r="BX110" t="s">
        <v>123</v>
      </c>
      <c r="BY110" s="1">
        <v>45965.249406168979</v>
      </c>
      <c r="BZ110">
        <v>1461</v>
      </c>
      <c r="CA110" t="s">
        <v>123</v>
      </c>
      <c r="CB110" t="s">
        <v>123</v>
      </c>
      <c r="CC110">
        <v>0</v>
      </c>
      <c r="CD110" t="s">
        <v>123</v>
      </c>
      <c r="CE110" t="s">
        <v>123</v>
      </c>
      <c r="CF110" t="s">
        <v>123</v>
      </c>
      <c r="CG110" t="s">
        <v>123</v>
      </c>
      <c r="CH110" t="s">
        <v>123</v>
      </c>
      <c r="CI110" t="s">
        <v>123</v>
      </c>
      <c r="CJ110" t="s">
        <v>123</v>
      </c>
      <c r="CK110">
        <v>2.3400000000000001E-2</v>
      </c>
      <c r="CL110">
        <v>2.2100000000000002E-2</v>
      </c>
      <c r="CM110">
        <v>2.69E-2</v>
      </c>
      <c r="CN110">
        <v>2.5000000000000001E-2</v>
      </c>
      <c r="CO110" t="s">
        <v>123</v>
      </c>
      <c r="CP110" t="s">
        <v>123</v>
      </c>
      <c r="CQ110">
        <v>2.0400000000000001E-2</v>
      </c>
      <c r="CR110">
        <v>1.95E-2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551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  <c r="DN110" t="s">
        <v>123</v>
      </c>
      <c r="DO110" t="s">
        <v>123</v>
      </c>
      <c r="DP110" t="s">
        <v>123</v>
      </c>
      <c r="DQ110" t="s">
        <v>123</v>
      </c>
      <c r="DR110" t="s">
        <v>123</v>
      </c>
      <c r="DS110" t="s">
        <v>123</v>
      </c>
    </row>
    <row r="111" spans="1:123" x14ac:dyDescent="0.3">
      <c r="A111">
        <v>110</v>
      </c>
      <c r="B111" t="s">
        <v>123</v>
      </c>
      <c r="C111" t="s">
        <v>123</v>
      </c>
      <c r="D111" t="s">
        <v>559</v>
      </c>
      <c r="E111" t="s">
        <v>123</v>
      </c>
      <c r="F111" t="s">
        <v>125</v>
      </c>
      <c r="G111" t="s">
        <v>126</v>
      </c>
      <c r="H111" t="s">
        <v>127</v>
      </c>
      <c r="I111" t="s">
        <v>199</v>
      </c>
      <c r="J111" t="s">
        <v>123</v>
      </c>
      <c r="K111" t="s">
        <v>547</v>
      </c>
      <c r="L111" t="s">
        <v>130</v>
      </c>
      <c r="M111" t="s">
        <v>548</v>
      </c>
      <c r="N111" t="s">
        <v>248</v>
      </c>
      <c r="O111" t="s">
        <v>150</v>
      </c>
      <c r="P111" t="s">
        <v>123</v>
      </c>
      <c r="Q111" t="s">
        <v>123</v>
      </c>
      <c r="R111" t="s">
        <v>123</v>
      </c>
      <c r="S111" t="s">
        <v>123</v>
      </c>
      <c r="T111" s="1">
        <v>46178</v>
      </c>
      <c r="U111" t="s">
        <v>123</v>
      </c>
      <c r="V111" t="s">
        <v>123</v>
      </c>
      <c r="W111" t="s">
        <v>123</v>
      </c>
      <c r="X111" t="s">
        <v>123</v>
      </c>
      <c r="Y111" t="s">
        <v>123</v>
      </c>
      <c r="Z111" t="s">
        <v>123</v>
      </c>
      <c r="AA111" t="s">
        <v>123</v>
      </c>
      <c r="AB111" t="s">
        <v>560</v>
      </c>
      <c r="AC111" t="s">
        <v>135</v>
      </c>
      <c r="AD111" t="s">
        <v>123</v>
      </c>
      <c r="AE111" t="s">
        <v>123</v>
      </c>
      <c r="AF111" t="s">
        <v>550</v>
      </c>
      <c r="AG111" t="s">
        <v>162</v>
      </c>
      <c r="AH111" t="s">
        <v>123</v>
      </c>
      <c r="AI111" t="s">
        <v>199</v>
      </c>
      <c r="AJ111" t="s">
        <v>138</v>
      </c>
      <c r="AK111" t="s">
        <v>139</v>
      </c>
      <c r="AL111" t="s">
        <v>123</v>
      </c>
      <c r="AM111" t="s">
        <v>123</v>
      </c>
      <c r="AN111" t="s">
        <v>123</v>
      </c>
      <c r="AO111" t="s">
        <v>123</v>
      </c>
      <c r="AP111">
        <v>250</v>
      </c>
      <c r="AQ111">
        <v>50</v>
      </c>
      <c r="AR111">
        <v>10</v>
      </c>
      <c r="AS111" t="s">
        <v>123</v>
      </c>
      <c r="AT111" t="s">
        <v>123</v>
      </c>
      <c r="AU111" t="s">
        <v>123</v>
      </c>
      <c r="AV111" t="s">
        <v>123</v>
      </c>
      <c r="AW111" t="s">
        <v>123</v>
      </c>
      <c r="AX111" t="s">
        <v>123</v>
      </c>
      <c r="AY111" t="s">
        <v>123</v>
      </c>
      <c r="AZ111" t="s">
        <v>123</v>
      </c>
      <c r="BA111" t="s">
        <v>140</v>
      </c>
      <c r="BB111" t="s">
        <v>123</v>
      </c>
      <c r="BC111" t="s">
        <v>123</v>
      </c>
      <c r="BD111" t="s">
        <v>123</v>
      </c>
      <c r="BE111" t="s">
        <v>123</v>
      </c>
      <c r="BF111" t="s">
        <v>123</v>
      </c>
      <c r="BG111" t="s">
        <v>141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s="1">
        <v>45965.249431446762</v>
      </c>
      <c r="BZ111">
        <v>1461</v>
      </c>
      <c r="CA111" t="s">
        <v>123</v>
      </c>
      <c r="CB111" t="s">
        <v>123</v>
      </c>
      <c r="CC111">
        <v>0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>
        <v>3.32E-2</v>
      </c>
      <c r="CL111">
        <v>3.0099999999999998E-2</v>
      </c>
      <c r="CM111">
        <v>3.6400000000000002E-2</v>
      </c>
      <c r="CN111">
        <v>3.27E-2</v>
      </c>
      <c r="CO111" t="s">
        <v>123</v>
      </c>
      <c r="CP111" t="s">
        <v>123</v>
      </c>
      <c r="CQ111">
        <v>3.04E-2</v>
      </c>
      <c r="CR111">
        <v>2.7799999999999998E-2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551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  <c r="DN111" t="s">
        <v>123</v>
      </c>
      <c r="DO111" t="s">
        <v>123</v>
      </c>
      <c r="DP111" t="s">
        <v>123</v>
      </c>
      <c r="DQ111" t="s">
        <v>123</v>
      </c>
      <c r="DR111" t="s">
        <v>123</v>
      </c>
      <c r="DS111" t="s">
        <v>123</v>
      </c>
    </row>
    <row r="112" spans="1:123" x14ac:dyDescent="0.3">
      <c r="A112">
        <v>111</v>
      </c>
      <c r="B112" t="s">
        <v>123</v>
      </c>
      <c r="C112" t="s">
        <v>123</v>
      </c>
      <c r="D112" t="s">
        <v>561</v>
      </c>
      <c r="E112" t="s">
        <v>123</v>
      </c>
      <c r="F112" t="s">
        <v>125</v>
      </c>
      <c r="G112" t="s">
        <v>126</v>
      </c>
      <c r="H112" t="s">
        <v>127</v>
      </c>
      <c r="I112" t="s">
        <v>199</v>
      </c>
      <c r="J112" t="s">
        <v>123</v>
      </c>
      <c r="K112" t="s">
        <v>547</v>
      </c>
      <c r="L112" t="s">
        <v>130</v>
      </c>
      <c r="M112" t="s">
        <v>548</v>
      </c>
      <c r="N112" t="s">
        <v>158</v>
      </c>
      <c r="O112" t="s">
        <v>159</v>
      </c>
      <c r="P112" t="s">
        <v>123</v>
      </c>
      <c r="Q112" t="s">
        <v>123</v>
      </c>
      <c r="R112" t="s">
        <v>123</v>
      </c>
      <c r="S112" t="s">
        <v>123</v>
      </c>
      <c r="T112" s="1">
        <v>46911</v>
      </c>
      <c r="U112" t="s">
        <v>123</v>
      </c>
      <c r="V112" t="s">
        <v>123</v>
      </c>
      <c r="W112" t="s">
        <v>123</v>
      </c>
      <c r="X112" t="s">
        <v>123</v>
      </c>
      <c r="Y112" t="s">
        <v>123</v>
      </c>
      <c r="Z112" t="s">
        <v>123</v>
      </c>
      <c r="AA112" t="s">
        <v>123</v>
      </c>
      <c r="AB112" t="s">
        <v>562</v>
      </c>
      <c r="AC112" t="s">
        <v>135</v>
      </c>
      <c r="AD112" t="s">
        <v>123</v>
      </c>
      <c r="AE112" t="s">
        <v>123</v>
      </c>
      <c r="AF112" t="s">
        <v>550</v>
      </c>
      <c r="AG112" t="s">
        <v>162</v>
      </c>
      <c r="AH112" t="s">
        <v>123</v>
      </c>
      <c r="AI112" t="s">
        <v>199</v>
      </c>
      <c r="AJ112" t="s">
        <v>138</v>
      </c>
      <c r="AK112" t="s">
        <v>139</v>
      </c>
      <c r="AL112" t="s">
        <v>123</v>
      </c>
      <c r="AM112" t="s">
        <v>123</v>
      </c>
      <c r="AN112" t="s">
        <v>123</v>
      </c>
      <c r="AO112" t="s">
        <v>123</v>
      </c>
      <c r="AP112">
        <v>250</v>
      </c>
      <c r="AQ112">
        <v>50</v>
      </c>
      <c r="AR112">
        <v>10</v>
      </c>
      <c r="AS112" t="s">
        <v>123</v>
      </c>
      <c r="AT112" t="s">
        <v>123</v>
      </c>
      <c r="AU112" t="s">
        <v>123</v>
      </c>
      <c r="AV112" t="s">
        <v>123</v>
      </c>
      <c r="AW112" t="s">
        <v>123</v>
      </c>
      <c r="AX112" t="s">
        <v>123</v>
      </c>
      <c r="AY112" t="s">
        <v>123</v>
      </c>
      <c r="AZ112" t="s">
        <v>123</v>
      </c>
      <c r="BA112" t="s">
        <v>140</v>
      </c>
      <c r="BB112" t="s">
        <v>123</v>
      </c>
      <c r="BC112" t="s">
        <v>123</v>
      </c>
      <c r="BD112" t="s">
        <v>123</v>
      </c>
      <c r="BE112" t="s">
        <v>123</v>
      </c>
      <c r="BF112" t="s">
        <v>123</v>
      </c>
      <c r="BG112" t="s">
        <v>141</v>
      </c>
      <c r="BH112" t="s">
        <v>123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123</v>
      </c>
      <c r="BX112" t="s">
        <v>123</v>
      </c>
      <c r="BY112" s="1">
        <v>45965.249457210652</v>
      </c>
      <c r="BZ112">
        <v>1461</v>
      </c>
      <c r="CA112" t="s">
        <v>123</v>
      </c>
      <c r="CB112" t="s">
        <v>123</v>
      </c>
      <c r="CC112">
        <v>0</v>
      </c>
      <c r="CD112" t="s">
        <v>123</v>
      </c>
      <c r="CE112" t="s">
        <v>123</v>
      </c>
      <c r="CF112" t="s">
        <v>123</v>
      </c>
      <c r="CG112" t="s">
        <v>123</v>
      </c>
      <c r="CH112" t="s">
        <v>123</v>
      </c>
      <c r="CI112" t="s">
        <v>123</v>
      </c>
      <c r="CJ112" t="s">
        <v>123</v>
      </c>
      <c r="CK112">
        <v>1.2200000000000001E-2</v>
      </c>
      <c r="CL112">
        <v>1.2500000000000001E-2</v>
      </c>
      <c r="CM112">
        <v>1.3299999999999999E-2</v>
      </c>
      <c r="CN112">
        <v>1.34E-2</v>
      </c>
      <c r="CO112" t="s">
        <v>123</v>
      </c>
      <c r="CP112" t="s">
        <v>123</v>
      </c>
      <c r="CQ112">
        <v>1.1299999999999999E-2</v>
      </c>
      <c r="CR112">
        <v>1.1599999999999999E-2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551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  <c r="DN112" t="s">
        <v>123</v>
      </c>
      <c r="DO112" t="s">
        <v>123</v>
      </c>
      <c r="DP112" t="s">
        <v>123</v>
      </c>
      <c r="DQ112" t="s">
        <v>123</v>
      </c>
      <c r="DR112" t="s">
        <v>123</v>
      </c>
      <c r="DS112" t="s">
        <v>123</v>
      </c>
    </row>
    <row r="113" spans="1:123" x14ac:dyDescent="0.3">
      <c r="A113">
        <v>112</v>
      </c>
      <c r="B113" t="s">
        <v>123</v>
      </c>
      <c r="C113" t="s">
        <v>123</v>
      </c>
      <c r="D113" t="s">
        <v>563</v>
      </c>
      <c r="E113" t="s">
        <v>123</v>
      </c>
      <c r="F113" t="s">
        <v>125</v>
      </c>
      <c r="G113" t="s">
        <v>126</v>
      </c>
      <c r="H113" t="s">
        <v>127</v>
      </c>
      <c r="I113" t="s">
        <v>199</v>
      </c>
      <c r="J113" t="s">
        <v>123</v>
      </c>
      <c r="K113" t="s">
        <v>547</v>
      </c>
      <c r="L113" t="s">
        <v>130</v>
      </c>
      <c r="M113" t="s">
        <v>548</v>
      </c>
      <c r="N113" t="s">
        <v>180</v>
      </c>
      <c r="O113" t="s">
        <v>159</v>
      </c>
      <c r="P113" t="s">
        <v>123</v>
      </c>
      <c r="Q113" t="s">
        <v>123</v>
      </c>
      <c r="R113" t="s">
        <v>123</v>
      </c>
      <c r="S113" t="s">
        <v>123</v>
      </c>
      <c r="T113" s="1">
        <v>46911</v>
      </c>
      <c r="U113" t="s">
        <v>123</v>
      </c>
      <c r="V113" t="s">
        <v>123</v>
      </c>
      <c r="W113" t="s">
        <v>123</v>
      </c>
      <c r="X113" t="s">
        <v>123</v>
      </c>
      <c r="Y113" t="s">
        <v>123</v>
      </c>
      <c r="Z113" t="s">
        <v>123</v>
      </c>
      <c r="AA113" t="s">
        <v>123</v>
      </c>
      <c r="AB113" t="s">
        <v>564</v>
      </c>
      <c r="AC113" t="s">
        <v>135</v>
      </c>
      <c r="AD113" t="s">
        <v>123</v>
      </c>
      <c r="AE113" t="s">
        <v>123</v>
      </c>
      <c r="AF113" t="s">
        <v>550</v>
      </c>
      <c r="AG113" t="s">
        <v>162</v>
      </c>
      <c r="AH113" t="s">
        <v>123</v>
      </c>
      <c r="AI113" t="s">
        <v>199</v>
      </c>
      <c r="AJ113" t="s">
        <v>138</v>
      </c>
      <c r="AK113" t="s">
        <v>139</v>
      </c>
      <c r="AL113" t="s">
        <v>123</v>
      </c>
      <c r="AM113" t="s">
        <v>123</v>
      </c>
      <c r="AN113" t="s">
        <v>123</v>
      </c>
      <c r="AO113" t="s">
        <v>123</v>
      </c>
      <c r="AP113">
        <v>250</v>
      </c>
      <c r="AQ113">
        <v>50</v>
      </c>
      <c r="AR113">
        <v>10</v>
      </c>
      <c r="AS113" t="s">
        <v>123</v>
      </c>
      <c r="AT113" t="s">
        <v>123</v>
      </c>
      <c r="AU113" t="s">
        <v>123</v>
      </c>
      <c r="AV113" t="s">
        <v>123</v>
      </c>
      <c r="AW113" t="s">
        <v>123</v>
      </c>
      <c r="AX113" t="s">
        <v>123</v>
      </c>
      <c r="AY113" t="s">
        <v>123</v>
      </c>
      <c r="AZ113" t="s">
        <v>123</v>
      </c>
      <c r="BA113" t="s">
        <v>140</v>
      </c>
      <c r="BB113" t="s">
        <v>123</v>
      </c>
      <c r="BC113" t="s">
        <v>123</v>
      </c>
      <c r="BD113" t="s">
        <v>123</v>
      </c>
      <c r="BE113" t="s">
        <v>123</v>
      </c>
      <c r="BF113" t="s">
        <v>123</v>
      </c>
      <c r="BG113" t="s">
        <v>141</v>
      </c>
      <c r="BH113" t="s">
        <v>123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123</v>
      </c>
      <c r="BX113" t="s">
        <v>123</v>
      </c>
      <c r="BY113" s="1">
        <v>45965.249481712963</v>
      </c>
      <c r="BZ113">
        <v>1461</v>
      </c>
      <c r="CA113" t="s">
        <v>123</v>
      </c>
      <c r="CB113" t="s">
        <v>123</v>
      </c>
      <c r="CC113">
        <v>0</v>
      </c>
      <c r="CD113" t="s">
        <v>123</v>
      </c>
      <c r="CE113" t="s">
        <v>123</v>
      </c>
      <c r="CF113" t="s">
        <v>123</v>
      </c>
      <c r="CG113" t="s">
        <v>123</v>
      </c>
      <c r="CH113" t="s">
        <v>123</v>
      </c>
      <c r="CI113" t="s">
        <v>123</v>
      </c>
      <c r="CJ113" t="s">
        <v>123</v>
      </c>
      <c r="CK113">
        <v>1.84E-2</v>
      </c>
      <c r="CL113">
        <v>1.7899999999999999E-2</v>
      </c>
      <c r="CM113">
        <v>2.5700000000000001E-2</v>
      </c>
      <c r="CN113">
        <v>2.4E-2</v>
      </c>
      <c r="CO113" t="s">
        <v>123</v>
      </c>
      <c r="CP113" t="s">
        <v>123</v>
      </c>
      <c r="CQ113">
        <v>1.3299999999999999E-2</v>
      </c>
      <c r="CR113">
        <v>1.35E-2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551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  <c r="DN113" t="s">
        <v>123</v>
      </c>
      <c r="DO113" t="s">
        <v>123</v>
      </c>
      <c r="DP113" t="s">
        <v>123</v>
      </c>
      <c r="DQ113" t="s">
        <v>123</v>
      </c>
      <c r="DR113" t="s">
        <v>123</v>
      </c>
      <c r="DS113" t="s">
        <v>123</v>
      </c>
    </row>
    <row r="114" spans="1:123" x14ac:dyDescent="0.3">
      <c r="A114">
        <v>113</v>
      </c>
      <c r="B114" t="s">
        <v>123</v>
      </c>
      <c r="C114" t="s">
        <v>123</v>
      </c>
      <c r="D114" t="s">
        <v>565</v>
      </c>
      <c r="E114" t="s">
        <v>123</v>
      </c>
      <c r="F114" t="s">
        <v>125</v>
      </c>
      <c r="G114" t="s">
        <v>126</v>
      </c>
      <c r="H114" t="s">
        <v>127</v>
      </c>
      <c r="I114" t="s">
        <v>199</v>
      </c>
      <c r="J114" t="s">
        <v>123</v>
      </c>
      <c r="K114" t="s">
        <v>547</v>
      </c>
      <c r="L114" t="s">
        <v>130</v>
      </c>
      <c r="M114" t="s">
        <v>548</v>
      </c>
      <c r="N114" t="s">
        <v>248</v>
      </c>
      <c r="O114" t="s">
        <v>159</v>
      </c>
      <c r="P114" t="s">
        <v>123</v>
      </c>
      <c r="Q114" t="s">
        <v>123</v>
      </c>
      <c r="R114" t="s">
        <v>123</v>
      </c>
      <c r="S114" t="s">
        <v>123</v>
      </c>
      <c r="T114" s="1">
        <v>46911</v>
      </c>
      <c r="U114" t="s">
        <v>123</v>
      </c>
      <c r="V114" t="s">
        <v>123</v>
      </c>
      <c r="W114" t="s">
        <v>123</v>
      </c>
      <c r="X114" t="s">
        <v>123</v>
      </c>
      <c r="Y114" t="s">
        <v>123</v>
      </c>
      <c r="Z114" t="s">
        <v>123</v>
      </c>
      <c r="AA114" t="s">
        <v>123</v>
      </c>
      <c r="AB114" t="s">
        <v>566</v>
      </c>
      <c r="AC114" t="s">
        <v>135</v>
      </c>
      <c r="AD114" t="s">
        <v>123</v>
      </c>
      <c r="AE114" t="s">
        <v>123</v>
      </c>
      <c r="AF114" t="s">
        <v>550</v>
      </c>
      <c r="AG114" t="s">
        <v>162</v>
      </c>
      <c r="AH114" t="s">
        <v>123</v>
      </c>
      <c r="AI114" t="s">
        <v>199</v>
      </c>
      <c r="AJ114" t="s">
        <v>138</v>
      </c>
      <c r="AK114" t="s">
        <v>139</v>
      </c>
      <c r="AL114" t="s">
        <v>123</v>
      </c>
      <c r="AM114" t="s">
        <v>123</v>
      </c>
      <c r="AN114" t="s">
        <v>123</v>
      </c>
      <c r="AO114" t="s">
        <v>123</v>
      </c>
      <c r="AP114">
        <v>250</v>
      </c>
      <c r="AQ114">
        <v>50</v>
      </c>
      <c r="AR114">
        <v>10</v>
      </c>
      <c r="AS114" t="s">
        <v>123</v>
      </c>
      <c r="AT114" t="s">
        <v>123</v>
      </c>
      <c r="AU114" t="s">
        <v>123</v>
      </c>
      <c r="AV114" t="s">
        <v>123</v>
      </c>
      <c r="AW114" t="s">
        <v>123</v>
      </c>
      <c r="AX114" t="s">
        <v>123</v>
      </c>
      <c r="AY114" t="s">
        <v>123</v>
      </c>
      <c r="AZ114" t="s">
        <v>123</v>
      </c>
      <c r="BA114" t="s">
        <v>140</v>
      </c>
      <c r="BB114" t="s">
        <v>123</v>
      </c>
      <c r="BC114" t="s">
        <v>123</v>
      </c>
      <c r="BD114" t="s">
        <v>123</v>
      </c>
      <c r="BE114" t="s">
        <v>123</v>
      </c>
      <c r="BF114" t="s">
        <v>123</v>
      </c>
      <c r="BG114" t="s">
        <v>141</v>
      </c>
      <c r="BH114" t="s">
        <v>123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123</v>
      </c>
      <c r="BX114" t="s">
        <v>123</v>
      </c>
      <c r="BY114" s="1">
        <v>45965.249507326385</v>
      </c>
      <c r="BZ114">
        <v>1461</v>
      </c>
      <c r="CA114" t="s">
        <v>123</v>
      </c>
      <c r="CB114" t="s">
        <v>123</v>
      </c>
      <c r="CC114">
        <v>0</v>
      </c>
      <c r="CD114" t="s">
        <v>123</v>
      </c>
      <c r="CE114" t="s">
        <v>123</v>
      </c>
      <c r="CF114" t="s">
        <v>123</v>
      </c>
      <c r="CG114" t="s">
        <v>123</v>
      </c>
      <c r="CH114" t="s">
        <v>123</v>
      </c>
      <c r="CI114" t="s">
        <v>123</v>
      </c>
      <c r="CJ114" t="s">
        <v>123</v>
      </c>
      <c r="CK114">
        <v>3.2500000000000001E-2</v>
      </c>
      <c r="CL114">
        <v>2.9499999999999998E-2</v>
      </c>
      <c r="CM114">
        <v>4.1599999999999998E-2</v>
      </c>
      <c r="CN114">
        <v>3.6799999999999999E-2</v>
      </c>
      <c r="CO114" t="s">
        <v>123</v>
      </c>
      <c r="CP114" t="s">
        <v>123</v>
      </c>
      <c r="CQ114">
        <v>2.5700000000000001E-2</v>
      </c>
      <c r="CR114">
        <v>2.4E-2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551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  <c r="DN114" t="s">
        <v>123</v>
      </c>
      <c r="DO114" t="s">
        <v>123</v>
      </c>
      <c r="DP114" t="s">
        <v>123</v>
      </c>
      <c r="DQ114" t="s">
        <v>123</v>
      </c>
      <c r="DR114" t="s">
        <v>123</v>
      </c>
      <c r="DS114" t="s">
        <v>123</v>
      </c>
    </row>
    <row r="115" spans="1:123" x14ac:dyDescent="0.3">
      <c r="A115">
        <v>114</v>
      </c>
      <c r="B115" t="s">
        <v>123</v>
      </c>
      <c r="C115" t="s">
        <v>123</v>
      </c>
      <c r="D115" t="s">
        <v>567</v>
      </c>
      <c r="E115" t="s">
        <v>123</v>
      </c>
      <c r="F115" t="s">
        <v>125</v>
      </c>
      <c r="G115" t="s">
        <v>126</v>
      </c>
      <c r="H115" t="s">
        <v>127</v>
      </c>
      <c r="I115" t="s">
        <v>128</v>
      </c>
      <c r="J115" t="s">
        <v>123</v>
      </c>
      <c r="K115" t="s">
        <v>568</v>
      </c>
      <c r="L115" t="s">
        <v>130</v>
      </c>
      <c r="M115" t="s">
        <v>569</v>
      </c>
      <c r="N115" t="s">
        <v>158</v>
      </c>
      <c r="O115" t="s">
        <v>159</v>
      </c>
      <c r="P115" t="s">
        <v>123</v>
      </c>
      <c r="Q115" t="s">
        <v>123</v>
      </c>
      <c r="R115" t="s">
        <v>123</v>
      </c>
      <c r="S115" t="s">
        <v>123</v>
      </c>
      <c r="T115" s="1">
        <v>46911</v>
      </c>
      <c r="U115" t="s">
        <v>123</v>
      </c>
      <c r="V115" t="s">
        <v>123</v>
      </c>
      <c r="W115" t="s">
        <v>123</v>
      </c>
      <c r="X115" t="s">
        <v>123</v>
      </c>
      <c r="Y115" t="s">
        <v>123</v>
      </c>
      <c r="Z115" t="s">
        <v>123</v>
      </c>
      <c r="AA115" t="s">
        <v>123</v>
      </c>
      <c r="AB115" t="s">
        <v>570</v>
      </c>
      <c r="AC115" t="s">
        <v>135</v>
      </c>
      <c r="AD115" t="s">
        <v>123</v>
      </c>
      <c r="AE115" t="s">
        <v>123</v>
      </c>
      <c r="AF115" t="s">
        <v>453</v>
      </c>
      <c r="AG115" t="s">
        <v>265</v>
      </c>
      <c r="AH115" t="s">
        <v>123</v>
      </c>
      <c r="AI115" t="s">
        <v>128</v>
      </c>
      <c r="AJ115" t="s">
        <v>186</v>
      </c>
      <c r="AK115" t="s">
        <v>163</v>
      </c>
      <c r="AL115" t="s">
        <v>123</v>
      </c>
      <c r="AM115" t="s">
        <v>123</v>
      </c>
      <c r="AN115" t="s">
        <v>123</v>
      </c>
      <c r="AO115" t="s">
        <v>123</v>
      </c>
      <c r="AP115">
        <v>250</v>
      </c>
      <c r="AQ115">
        <v>50</v>
      </c>
      <c r="AR115">
        <v>10</v>
      </c>
      <c r="AS115" t="s">
        <v>123</v>
      </c>
      <c r="AT115" t="s">
        <v>123</v>
      </c>
      <c r="AU115" t="s">
        <v>123</v>
      </c>
      <c r="AV115" t="s">
        <v>123</v>
      </c>
      <c r="AW115" t="s">
        <v>123</v>
      </c>
      <c r="AX115" t="s">
        <v>123</v>
      </c>
      <c r="AY115" t="s">
        <v>123</v>
      </c>
      <c r="AZ115" t="s">
        <v>123</v>
      </c>
      <c r="BA115" t="s">
        <v>140</v>
      </c>
      <c r="BB115" t="s">
        <v>123</v>
      </c>
      <c r="BC115" t="s">
        <v>123</v>
      </c>
      <c r="BD115" t="s">
        <v>123</v>
      </c>
      <c r="BE115" t="s">
        <v>123</v>
      </c>
      <c r="BF115" t="s">
        <v>123</v>
      </c>
      <c r="BG115" t="s">
        <v>141</v>
      </c>
      <c r="BH115" t="s">
        <v>123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123</v>
      </c>
      <c r="BX115" t="s">
        <v>123</v>
      </c>
      <c r="BY115" s="1">
        <v>45965.249533414353</v>
      </c>
      <c r="BZ115">
        <v>1467</v>
      </c>
      <c r="CA115" t="s">
        <v>123</v>
      </c>
      <c r="CB115" t="s">
        <v>123</v>
      </c>
      <c r="CC115">
        <v>0</v>
      </c>
      <c r="CD115" t="s">
        <v>123</v>
      </c>
      <c r="CE115" t="s">
        <v>123</v>
      </c>
      <c r="CF115" t="s">
        <v>123</v>
      </c>
      <c r="CG115" t="s">
        <v>123</v>
      </c>
      <c r="CH115" t="s">
        <v>123</v>
      </c>
      <c r="CI115" t="s">
        <v>123</v>
      </c>
      <c r="CJ115" t="s">
        <v>123</v>
      </c>
      <c r="CK115">
        <v>1.8499999999999999E-2</v>
      </c>
      <c r="CL115">
        <v>2.1100000000000001E-2</v>
      </c>
      <c r="CM115">
        <v>2.6100000000000002E-2</v>
      </c>
      <c r="CN115">
        <v>2.93E-2</v>
      </c>
      <c r="CO115" t="s">
        <v>123</v>
      </c>
      <c r="CP115" t="s">
        <v>123</v>
      </c>
      <c r="CQ115">
        <v>1.38E-2</v>
      </c>
      <c r="CR115">
        <v>1.5800000000000002E-2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152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  <c r="DN115" t="s">
        <v>123</v>
      </c>
      <c r="DO115" t="s">
        <v>123</v>
      </c>
      <c r="DP115" t="s">
        <v>123</v>
      </c>
      <c r="DQ115" t="s">
        <v>123</v>
      </c>
      <c r="DR115" t="s">
        <v>123</v>
      </c>
      <c r="DS115" t="s">
        <v>123</v>
      </c>
    </row>
    <row r="116" spans="1:123" x14ac:dyDescent="0.3">
      <c r="A116">
        <v>115</v>
      </c>
      <c r="B116" t="s">
        <v>123</v>
      </c>
      <c r="C116" t="s">
        <v>123</v>
      </c>
      <c r="D116" t="s">
        <v>571</v>
      </c>
      <c r="E116" t="s">
        <v>123</v>
      </c>
      <c r="F116" t="s">
        <v>125</v>
      </c>
      <c r="G116" t="s">
        <v>126</v>
      </c>
      <c r="H116" t="s">
        <v>127</v>
      </c>
      <c r="I116" t="s">
        <v>128</v>
      </c>
      <c r="J116" t="s">
        <v>123</v>
      </c>
      <c r="K116" t="s">
        <v>572</v>
      </c>
      <c r="L116" t="s">
        <v>130</v>
      </c>
      <c r="M116" t="s">
        <v>573</v>
      </c>
      <c r="N116" t="s">
        <v>158</v>
      </c>
      <c r="O116" t="s">
        <v>123</v>
      </c>
      <c r="P116" t="s">
        <v>123</v>
      </c>
      <c r="Q116" t="s">
        <v>123</v>
      </c>
      <c r="R116" t="s">
        <v>123</v>
      </c>
      <c r="S116" t="s">
        <v>123</v>
      </c>
      <c r="T116" s="1">
        <v>46867</v>
      </c>
      <c r="U116" t="s">
        <v>123</v>
      </c>
      <c r="V116" t="s">
        <v>123</v>
      </c>
      <c r="W116" t="s">
        <v>123</v>
      </c>
      <c r="X116" t="s">
        <v>123</v>
      </c>
      <c r="Y116" t="s">
        <v>123</v>
      </c>
      <c r="Z116" t="s">
        <v>123</v>
      </c>
      <c r="AA116" t="s">
        <v>123</v>
      </c>
      <c r="AB116" t="s">
        <v>574</v>
      </c>
      <c r="AC116" t="s">
        <v>135</v>
      </c>
      <c r="AD116" t="s">
        <v>123</v>
      </c>
      <c r="AE116" t="s">
        <v>123</v>
      </c>
      <c r="AF116" t="s">
        <v>575</v>
      </c>
      <c r="AG116" t="s">
        <v>576</v>
      </c>
      <c r="AH116" t="s">
        <v>123</v>
      </c>
      <c r="AI116" t="s">
        <v>128</v>
      </c>
      <c r="AJ116" t="s">
        <v>138</v>
      </c>
      <c r="AK116" t="s">
        <v>397</v>
      </c>
      <c r="AL116" t="s">
        <v>123</v>
      </c>
      <c r="AM116" t="s">
        <v>123</v>
      </c>
      <c r="AN116" t="s">
        <v>123</v>
      </c>
      <c r="AO116" t="s">
        <v>123</v>
      </c>
      <c r="AP116">
        <v>250</v>
      </c>
      <c r="AQ116">
        <v>50</v>
      </c>
      <c r="AR116">
        <v>10</v>
      </c>
      <c r="AS116" t="s">
        <v>123</v>
      </c>
      <c r="AT116" t="s">
        <v>123</v>
      </c>
      <c r="AU116" t="s">
        <v>123</v>
      </c>
      <c r="AV116" t="s">
        <v>123</v>
      </c>
      <c r="AW116" t="s">
        <v>123</v>
      </c>
      <c r="AX116" t="s">
        <v>123</v>
      </c>
      <c r="AY116" t="s">
        <v>123</v>
      </c>
      <c r="AZ116" t="s">
        <v>123</v>
      </c>
      <c r="BA116" t="s">
        <v>398</v>
      </c>
      <c r="BB116" t="s">
        <v>123</v>
      </c>
      <c r="BC116" t="s">
        <v>123</v>
      </c>
      <c r="BD116" t="s">
        <v>123</v>
      </c>
      <c r="BE116" t="s">
        <v>123</v>
      </c>
      <c r="BF116" t="s">
        <v>123</v>
      </c>
      <c r="BG116" t="s">
        <v>399</v>
      </c>
      <c r="BH116" t="s">
        <v>123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123</v>
      </c>
      <c r="BX116" t="s">
        <v>123</v>
      </c>
      <c r="BY116" s="1">
        <v>45965.249659259258</v>
      </c>
      <c r="BZ116">
        <v>1555</v>
      </c>
      <c r="CA116" t="s">
        <v>123</v>
      </c>
      <c r="CB116" t="s">
        <v>123</v>
      </c>
      <c r="CC116">
        <v>0</v>
      </c>
      <c r="CD116" t="s">
        <v>123</v>
      </c>
      <c r="CE116" t="s">
        <v>123</v>
      </c>
      <c r="CF116" t="s">
        <v>123</v>
      </c>
      <c r="CG116" t="s">
        <v>123</v>
      </c>
      <c r="CH116" t="s">
        <v>123</v>
      </c>
      <c r="CI116" t="s">
        <v>123</v>
      </c>
      <c r="CJ116" t="s">
        <v>123</v>
      </c>
      <c r="CK116">
        <v>8.9999999999999993E-3</v>
      </c>
      <c r="CL116" t="s">
        <v>123</v>
      </c>
      <c r="CM116">
        <v>1.17E-2</v>
      </c>
      <c r="CN116" t="s">
        <v>123</v>
      </c>
      <c r="CO116" t="s">
        <v>123</v>
      </c>
      <c r="CP116" t="s">
        <v>123</v>
      </c>
      <c r="CQ116">
        <v>4.7999999999999996E-3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577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  <c r="DN116" t="s">
        <v>123</v>
      </c>
      <c r="DO116" t="s">
        <v>123</v>
      </c>
      <c r="DP116" t="s">
        <v>123</v>
      </c>
      <c r="DQ116" t="s">
        <v>123</v>
      </c>
      <c r="DR116" t="s">
        <v>123</v>
      </c>
      <c r="DS116" t="s">
        <v>123</v>
      </c>
    </row>
    <row r="117" spans="1:123" x14ac:dyDescent="0.3">
      <c r="A117">
        <v>116</v>
      </c>
      <c r="B117" t="s">
        <v>123</v>
      </c>
      <c r="C117" t="s">
        <v>123</v>
      </c>
      <c r="D117" t="s">
        <v>578</v>
      </c>
      <c r="E117" t="s">
        <v>123</v>
      </c>
      <c r="F117" t="s">
        <v>125</v>
      </c>
      <c r="G117" t="s">
        <v>126</v>
      </c>
      <c r="H117" t="s">
        <v>127</v>
      </c>
      <c r="I117" t="s">
        <v>128</v>
      </c>
      <c r="J117" t="s">
        <v>123</v>
      </c>
      <c r="K117" t="s">
        <v>579</v>
      </c>
      <c r="L117" t="s">
        <v>130</v>
      </c>
      <c r="M117" t="s">
        <v>580</v>
      </c>
      <c r="N117" t="s">
        <v>180</v>
      </c>
      <c r="O117" t="s">
        <v>123</v>
      </c>
      <c r="P117" t="s">
        <v>123</v>
      </c>
      <c r="Q117" t="s">
        <v>123</v>
      </c>
      <c r="R117" t="s">
        <v>123</v>
      </c>
      <c r="S117" t="s">
        <v>123</v>
      </c>
      <c r="T117" s="1">
        <v>46867</v>
      </c>
      <c r="U117" t="s">
        <v>123</v>
      </c>
      <c r="V117" t="s">
        <v>123</v>
      </c>
      <c r="W117" t="s">
        <v>123</v>
      </c>
      <c r="X117" t="s">
        <v>123</v>
      </c>
      <c r="Y117" t="s">
        <v>123</v>
      </c>
      <c r="Z117" t="s">
        <v>123</v>
      </c>
      <c r="AA117" t="s">
        <v>123</v>
      </c>
      <c r="AB117" t="s">
        <v>581</v>
      </c>
      <c r="AC117" t="s">
        <v>135</v>
      </c>
      <c r="AD117" t="s">
        <v>123</v>
      </c>
      <c r="AE117" t="s">
        <v>123</v>
      </c>
      <c r="AF117" t="s">
        <v>575</v>
      </c>
      <c r="AG117" t="s">
        <v>576</v>
      </c>
      <c r="AH117" t="s">
        <v>123</v>
      </c>
      <c r="AI117" t="s">
        <v>128</v>
      </c>
      <c r="AJ117" t="s">
        <v>138</v>
      </c>
      <c r="AK117" t="s">
        <v>397</v>
      </c>
      <c r="AL117" t="s">
        <v>123</v>
      </c>
      <c r="AM117" t="s">
        <v>123</v>
      </c>
      <c r="AN117" t="s">
        <v>123</v>
      </c>
      <c r="AO117" t="s">
        <v>123</v>
      </c>
      <c r="AP117">
        <v>250</v>
      </c>
      <c r="AQ117">
        <v>50</v>
      </c>
      <c r="AR117">
        <v>10</v>
      </c>
      <c r="AS117" t="s">
        <v>123</v>
      </c>
      <c r="AT117" t="s">
        <v>123</v>
      </c>
      <c r="AU117" t="s">
        <v>123</v>
      </c>
      <c r="AV117" t="s">
        <v>123</v>
      </c>
      <c r="AW117" t="s">
        <v>123</v>
      </c>
      <c r="AX117" t="s">
        <v>123</v>
      </c>
      <c r="AY117" t="s">
        <v>123</v>
      </c>
      <c r="AZ117" t="s">
        <v>123</v>
      </c>
      <c r="BA117" t="s">
        <v>398</v>
      </c>
      <c r="BB117" t="s">
        <v>123</v>
      </c>
      <c r="BC117" t="s">
        <v>123</v>
      </c>
      <c r="BD117" t="s">
        <v>123</v>
      </c>
      <c r="BE117" t="s">
        <v>123</v>
      </c>
      <c r="BF117" t="s">
        <v>123</v>
      </c>
      <c r="BG117" t="s">
        <v>399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s="1">
        <v>45965.249704050926</v>
      </c>
      <c r="BZ117">
        <v>1555</v>
      </c>
      <c r="CA117" t="s">
        <v>123</v>
      </c>
      <c r="CB117" t="s">
        <v>123</v>
      </c>
      <c r="CC117">
        <v>0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>
        <v>5.8400000000000001E-2</v>
      </c>
      <c r="CL117" t="s">
        <v>123</v>
      </c>
      <c r="CM117">
        <v>8.3000000000000004E-2</v>
      </c>
      <c r="CN117" t="s">
        <v>123</v>
      </c>
      <c r="CO117" t="s">
        <v>123</v>
      </c>
      <c r="CP117" t="s">
        <v>123</v>
      </c>
      <c r="CQ117">
        <v>3.7600000000000001E-2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577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  <c r="DN117" t="s">
        <v>123</v>
      </c>
      <c r="DO117" t="s">
        <v>123</v>
      </c>
      <c r="DP117" t="s">
        <v>123</v>
      </c>
      <c r="DQ117" t="s">
        <v>123</v>
      </c>
      <c r="DR117" t="s">
        <v>123</v>
      </c>
      <c r="DS117" t="s">
        <v>123</v>
      </c>
    </row>
    <row r="118" spans="1:123" x14ac:dyDescent="0.3">
      <c r="A118">
        <v>117</v>
      </c>
      <c r="B118" t="s">
        <v>123</v>
      </c>
      <c r="C118" t="s">
        <v>123</v>
      </c>
      <c r="D118" t="s">
        <v>582</v>
      </c>
      <c r="E118" t="s">
        <v>123</v>
      </c>
      <c r="F118" t="s">
        <v>125</v>
      </c>
      <c r="G118" t="s">
        <v>126</v>
      </c>
      <c r="H118" t="s">
        <v>127</v>
      </c>
      <c r="I118" t="s">
        <v>128</v>
      </c>
      <c r="J118" t="s">
        <v>123</v>
      </c>
      <c r="K118" t="s">
        <v>583</v>
      </c>
      <c r="L118" t="s">
        <v>130</v>
      </c>
      <c r="M118" t="s">
        <v>584</v>
      </c>
      <c r="N118" t="s">
        <v>248</v>
      </c>
      <c r="O118" t="s">
        <v>123</v>
      </c>
      <c r="P118" t="s">
        <v>123</v>
      </c>
      <c r="Q118" t="s">
        <v>123</v>
      </c>
      <c r="R118" t="s">
        <v>123</v>
      </c>
      <c r="S118" t="s">
        <v>123</v>
      </c>
      <c r="T118" s="1">
        <v>46867</v>
      </c>
      <c r="U118" t="s">
        <v>123</v>
      </c>
      <c r="V118" t="s">
        <v>123</v>
      </c>
      <c r="W118" t="s">
        <v>123</v>
      </c>
      <c r="X118" t="s">
        <v>123</v>
      </c>
      <c r="Y118" t="s">
        <v>123</v>
      </c>
      <c r="Z118" t="s">
        <v>123</v>
      </c>
      <c r="AA118" t="s">
        <v>123</v>
      </c>
      <c r="AB118" t="s">
        <v>585</v>
      </c>
      <c r="AC118" t="s">
        <v>135</v>
      </c>
      <c r="AD118" t="s">
        <v>123</v>
      </c>
      <c r="AE118" t="s">
        <v>123</v>
      </c>
      <c r="AF118" t="s">
        <v>586</v>
      </c>
      <c r="AG118" t="s">
        <v>576</v>
      </c>
      <c r="AH118" t="s">
        <v>123</v>
      </c>
      <c r="AI118" t="s">
        <v>128</v>
      </c>
      <c r="AJ118" t="s">
        <v>138</v>
      </c>
      <c r="AK118" t="s">
        <v>397</v>
      </c>
      <c r="AL118" t="s">
        <v>123</v>
      </c>
      <c r="AM118" t="s">
        <v>123</v>
      </c>
      <c r="AN118" t="s">
        <v>123</v>
      </c>
      <c r="AO118" t="s">
        <v>123</v>
      </c>
      <c r="AP118">
        <v>250</v>
      </c>
      <c r="AQ118">
        <v>50</v>
      </c>
      <c r="AR118">
        <v>10</v>
      </c>
      <c r="AS118" t="s">
        <v>123</v>
      </c>
      <c r="AT118" t="s">
        <v>123</v>
      </c>
      <c r="AU118" t="s">
        <v>123</v>
      </c>
      <c r="AV118" t="s">
        <v>123</v>
      </c>
      <c r="AW118" t="s">
        <v>123</v>
      </c>
      <c r="AX118" t="s">
        <v>123</v>
      </c>
      <c r="AY118" t="s">
        <v>123</v>
      </c>
      <c r="AZ118" t="s">
        <v>123</v>
      </c>
      <c r="BA118" t="s">
        <v>398</v>
      </c>
      <c r="BB118" t="s">
        <v>123</v>
      </c>
      <c r="BC118" t="s">
        <v>123</v>
      </c>
      <c r="BD118" t="s">
        <v>123</v>
      </c>
      <c r="BE118" t="s">
        <v>123</v>
      </c>
      <c r="BF118" t="s">
        <v>123</v>
      </c>
      <c r="BG118" t="s">
        <v>399</v>
      </c>
      <c r="BH118" t="s">
        <v>123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123</v>
      </c>
      <c r="BX118" t="s">
        <v>123</v>
      </c>
      <c r="BY118" s="1">
        <v>45965.249750925926</v>
      </c>
      <c r="BZ118">
        <v>1555</v>
      </c>
      <c r="CA118" t="s">
        <v>123</v>
      </c>
      <c r="CB118" t="s">
        <v>123</v>
      </c>
      <c r="CC118">
        <v>0</v>
      </c>
      <c r="CD118" t="s">
        <v>123</v>
      </c>
      <c r="CE118" t="s">
        <v>123</v>
      </c>
      <c r="CF118" t="s">
        <v>123</v>
      </c>
      <c r="CG118" t="s">
        <v>123</v>
      </c>
      <c r="CH118" t="s">
        <v>123</v>
      </c>
      <c r="CI118" t="s">
        <v>123</v>
      </c>
      <c r="CJ118" t="s">
        <v>123</v>
      </c>
      <c r="CK118">
        <v>5.6899999999999999E-2</v>
      </c>
      <c r="CL118">
        <v>5.8500000000000003E-2</v>
      </c>
      <c r="CM118">
        <v>7.9600000000000004E-2</v>
      </c>
      <c r="CN118">
        <v>8.2400000000000001E-2</v>
      </c>
      <c r="CO118" t="s">
        <v>123</v>
      </c>
      <c r="CP118" t="s">
        <v>123</v>
      </c>
      <c r="CQ118">
        <v>4.0099999999999997E-2</v>
      </c>
      <c r="CR118">
        <v>4.1099999999999998E-2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577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  <c r="DN118" t="s">
        <v>123</v>
      </c>
      <c r="DO118" t="s">
        <v>123</v>
      </c>
      <c r="DP118" t="s">
        <v>123</v>
      </c>
      <c r="DQ118" t="s">
        <v>123</v>
      </c>
      <c r="DR118" t="s">
        <v>123</v>
      </c>
      <c r="DS118" t="s">
        <v>123</v>
      </c>
    </row>
    <row r="119" spans="1:123" x14ac:dyDescent="0.3">
      <c r="A119">
        <v>118</v>
      </c>
      <c r="B119" t="s">
        <v>123</v>
      </c>
      <c r="C119" t="s">
        <v>123</v>
      </c>
      <c r="D119" t="s">
        <v>587</v>
      </c>
      <c r="E119" t="s">
        <v>123</v>
      </c>
      <c r="F119" t="s">
        <v>125</v>
      </c>
      <c r="G119" t="s">
        <v>126</v>
      </c>
      <c r="H119" t="s">
        <v>127</v>
      </c>
      <c r="I119" t="s">
        <v>128</v>
      </c>
      <c r="J119" t="s">
        <v>123</v>
      </c>
      <c r="K119" t="s">
        <v>588</v>
      </c>
      <c r="L119" t="s">
        <v>130</v>
      </c>
      <c r="M119" t="s">
        <v>589</v>
      </c>
      <c r="N119" t="s">
        <v>590</v>
      </c>
      <c r="O119" t="s">
        <v>123</v>
      </c>
      <c r="P119" t="s">
        <v>123</v>
      </c>
      <c r="Q119" t="s">
        <v>123</v>
      </c>
      <c r="R119" t="s">
        <v>123</v>
      </c>
      <c r="S119" t="s">
        <v>123</v>
      </c>
      <c r="T119" s="1">
        <v>46867</v>
      </c>
      <c r="U119" t="s">
        <v>123</v>
      </c>
      <c r="V119" t="s">
        <v>123</v>
      </c>
      <c r="W119" t="s">
        <v>123</v>
      </c>
      <c r="X119" t="s">
        <v>123</v>
      </c>
      <c r="Y119" t="s">
        <v>123</v>
      </c>
      <c r="Z119" t="s">
        <v>123</v>
      </c>
      <c r="AA119" t="s">
        <v>123</v>
      </c>
      <c r="AB119" t="s">
        <v>591</v>
      </c>
      <c r="AC119" t="s">
        <v>135</v>
      </c>
      <c r="AD119" t="s">
        <v>123</v>
      </c>
      <c r="AE119" t="s">
        <v>123</v>
      </c>
      <c r="AF119" t="s">
        <v>592</v>
      </c>
      <c r="AG119" t="s">
        <v>576</v>
      </c>
      <c r="AH119" t="s">
        <v>123</v>
      </c>
      <c r="AI119" t="s">
        <v>128</v>
      </c>
      <c r="AJ119" t="s">
        <v>138</v>
      </c>
      <c r="AK119" t="s">
        <v>397</v>
      </c>
      <c r="AL119" t="s">
        <v>123</v>
      </c>
      <c r="AM119" t="s">
        <v>123</v>
      </c>
      <c r="AN119" t="s">
        <v>123</v>
      </c>
      <c r="AO119" t="s">
        <v>123</v>
      </c>
      <c r="AP119">
        <v>250</v>
      </c>
      <c r="AQ119">
        <v>50</v>
      </c>
      <c r="AR119">
        <v>10</v>
      </c>
      <c r="AS119" t="s">
        <v>123</v>
      </c>
      <c r="AT119" t="s">
        <v>123</v>
      </c>
      <c r="AU119" t="s">
        <v>123</v>
      </c>
      <c r="AV119" t="s">
        <v>123</v>
      </c>
      <c r="AW119" t="s">
        <v>123</v>
      </c>
      <c r="AX119" t="s">
        <v>123</v>
      </c>
      <c r="AY119" t="s">
        <v>123</v>
      </c>
      <c r="AZ119" t="s">
        <v>123</v>
      </c>
      <c r="BA119" t="s">
        <v>398</v>
      </c>
      <c r="BB119" t="s">
        <v>123</v>
      </c>
      <c r="BC119" t="s">
        <v>123</v>
      </c>
      <c r="BD119" t="s">
        <v>123</v>
      </c>
      <c r="BE119" t="s">
        <v>123</v>
      </c>
      <c r="BF119" t="s">
        <v>123</v>
      </c>
      <c r="BG119" t="s">
        <v>399</v>
      </c>
      <c r="BH119" t="s">
        <v>123</v>
      </c>
      <c r="BI119" t="s">
        <v>123</v>
      </c>
      <c r="BJ119" t="s">
        <v>123</v>
      </c>
      <c r="BK119" t="s">
        <v>123</v>
      </c>
      <c r="BL119" t="s">
        <v>123</v>
      </c>
      <c r="BM119" t="s">
        <v>123</v>
      </c>
      <c r="BN119" t="s">
        <v>123</v>
      </c>
      <c r="BO119" t="s">
        <v>123</v>
      </c>
      <c r="BP119" t="s">
        <v>123</v>
      </c>
      <c r="BQ119" t="s">
        <v>123</v>
      </c>
      <c r="BR119" t="s">
        <v>123</v>
      </c>
      <c r="BS119" t="s">
        <v>123</v>
      </c>
      <c r="BT119" t="s">
        <v>123</v>
      </c>
      <c r="BU119" t="s">
        <v>123</v>
      </c>
      <c r="BV119" t="s">
        <v>123</v>
      </c>
      <c r="BW119" t="s">
        <v>123</v>
      </c>
      <c r="BX119" t="s">
        <v>123</v>
      </c>
      <c r="BY119" s="1">
        <v>45965.249774999997</v>
      </c>
      <c r="BZ119">
        <v>1555</v>
      </c>
      <c r="CA119" t="s">
        <v>123</v>
      </c>
      <c r="CB119" t="s">
        <v>123</v>
      </c>
      <c r="CC119">
        <v>0</v>
      </c>
      <c r="CD119" t="s">
        <v>123</v>
      </c>
      <c r="CE119" t="s">
        <v>123</v>
      </c>
      <c r="CF119" t="s">
        <v>123</v>
      </c>
      <c r="CG119" t="s">
        <v>123</v>
      </c>
      <c r="CH119" t="s">
        <v>123</v>
      </c>
      <c r="CI119" t="s">
        <v>123</v>
      </c>
      <c r="CJ119" t="s">
        <v>123</v>
      </c>
      <c r="CK119">
        <v>4.0899999999999999E-2</v>
      </c>
      <c r="CL119">
        <v>0</v>
      </c>
      <c r="CM119">
        <v>6.2600000000000003E-2</v>
      </c>
      <c r="CN119">
        <v>0</v>
      </c>
      <c r="CO119" t="s">
        <v>123</v>
      </c>
      <c r="CP119" t="s">
        <v>123</v>
      </c>
      <c r="CQ119">
        <v>2.5399999999999999E-2</v>
      </c>
      <c r="CR119">
        <v>0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577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  <c r="DN119" t="s">
        <v>123</v>
      </c>
      <c r="DO119" t="s">
        <v>123</v>
      </c>
      <c r="DP119" t="s">
        <v>123</v>
      </c>
      <c r="DQ119" t="s">
        <v>123</v>
      </c>
      <c r="DR119" t="s">
        <v>123</v>
      </c>
      <c r="DS119" t="s">
        <v>123</v>
      </c>
    </row>
    <row r="120" spans="1:123" x14ac:dyDescent="0.3">
      <c r="A120">
        <v>119</v>
      </c>
      <c r="B120" t="s">
        <v>123</v>
      </c>
      <c r="C120" t="s">
        <v>123</v>
      </c>
      <c r="D120" t="s">
        <v>593</v>
      </c>
      <c r="E120" t="s">
        <v>123</v>
      </c>
      <c r="F120" t="s">
        <v>125</v>
      </c>
      <c r="G120" t="s">
        <v>126</v>
      </c>
      <c r="H120" t="s">
        <v>127</v>
      </c>
      <c r="I120" t="s">
        <v>128</v>
      </c>
      <c r="J120" t="s">
        <v>123</v>
      </c>
      <c r="K120" t="s">
        <v>594</v>
      </c>
      <c r="L120" t="s">
        <v>130</v>
      </c>
      <c r="M120" t="s">
        <v>595</v>
      </c>
      <c r="N120" t="s">
        <v>158</v>
      </c>
      <c r="O120" t="s">
        <v>150</v>
      </c>
      <c r="P120" t="s">
        <v>123</v>
      </c>
      <c r="Q120" t="s">
        <v>123</v>
      </c>
      <c r="R120" t="s">
        <v>123</v>
      </c>
      <c r="S120" t="s">
        <v>123</v>
      </c>
      <c r="T120" s="1">
        <v>46576</v>
      </c>
      <c r="U120" t="s">
        <v>123</v>
      </c>
      <c r="V120" t="s">
        <v>123</v>
      </c>
      <c r="W120" t="s">
        <v>123</v>
      </c>
      <c r="X120" t="s">
        <v>123</v>
      </c>
      <c r="Y120" t="s">
        <v>123</v>
      </c>
      <c r="Z120" t="s">
        <v>123</v>
      </c>
      <c r="AA120" t="s">
        <v>123</v>
      </c>
      <c r="AB120" t="s">
        <v>596</v>
      </c>
      <c r="AC120" t="s">
        <v>135</v>
      </c>
      <c r="AD120" t="s">
        <v>123</v>
      </c>
      <c r="AE120" t="s">
        <v>123</v>
      </c>
      <c r="AF120" t="s">
        <v>597</v>
      </c>
      <c r="AG120" t="s">
        <v>322</v>
      </c>
      <c r="AH120" t="s">
        <v>123</v>
      </c>
      <c r="AI120" t="s">
        <v>128</v>
      </c>
      <c r="AJ120" t="s">
        <v>138</v>
      </c>
      <c r="AK120" t="s">
        <v>163</v>
      </c>
      <c r="AL120" t="s">
        <v>123</v>
      </c>
      <c r="AM120" t="s">
        <v>123</v>
      </c>
      <c r="AN120" t="s">
        <v>123</v>
      </c>
      <c r="AO120" t="s">
        <v>123</v>
      </c>
      <c r="AP120">
        <v>250</v>
      </c>
      <c r="AQ120">
        <v>50</v>
      </c>
      <c r="AR120">
        <v>10</v>
      </c>
      <c r="AS120" t="s">
        <v>123</v>
      </c>
      <c r="AT120" t="s">
        <v>123</v>
      </c>
      <c r="AU120" t="s">
        <v>123</v>
      </c>
      <c r="AV120" t="s">
        <v>123</v>
      </c>
      <c r="AW120" t="s">
        <v>123</v>
      </c>
      <c r="AX120" t="s">
        <v>123</v>
      </c>
      <c r="AY120" t="s">
        <v>123</v>
      </c>
      <c r="AZ120" t="s">
        <v>123</v>
      </c>
      <c r="BA120" t="s">
        <v>140</v>
      </c>
      <c r="BB120" t="s">
        <v>123</v>
      </c>
      <c r="BC120" t="s">
        <v>123</v>
      </c>
      <c r="BD120" t="s">
        <v>123</v>
      </c>
      <c r="BE120" t="s">
        <v>123</v>
      </c>
      <c r="BF120" t="s">
        <v>123</v>
      </c>
      <c r="BG120" t="s">
        <v>141</v>
      </c>
      <c r="BH120" t="s">
        <v>123</v>
      </c>
      <c r="BI120" t="s">
        <v>123</v>
      </c>
      <c r="BJ120" t="s">
        <v>123</v>
      </c>
      <c r="BK120" t="s">
        <v>123</v>
      </c>
      <c r="BL120" t="s">
        <v>123</v>
      </c>
      <c r="BM120" t="s">
        <v>123</v>
      </c>
      <c r="BN120" t="s">
        <v>123</v>
      </c>
      <c r="BO120" t="s">
        <v>123</v>
      </c>
      <c r="BP120" t="s">
        <v>123</v>
      </c>
      <c r="BQ120" t="s">
        <v>123</v>
      </c>
      <c r="BR120" t="s">
        <v>123</v>
      </c>
      <c r="BS120" t="s">
        <v>123</v>
      </c>
      <c r="BT120" t="s">
        <v>123</v>
      </c>
      <c r="BU120" t="s">
        <v>123</v>
      </c>
      <c r="BV120" t="s">
        <v>123</v>
      </c>
      <c r="BW120" t="s">
        <v>123</v>
      </c>
      <c r="BX120" t="s">
        <v>123</v>
      </c>
      <c r="BY120" s="1">
        <v>45965.249799502315</v>
      </c>
      <c r="BZ120">
        <v>1449</v>
      </c>
      <c r="CA120" t="s">
        <v>123</v>
      </c>
      <c r="CB120" t="s">
        <v>123</v>
      </c>
      <c r="CC120">
        <v>0</v>
      </c>
      <c r="CD120" t="s">
        <v>123</v>
      </c>
      <c r="CE120" t="s">
        <v>123</v>
      </c>
      <c r="CF120" t="s">
        <v>123</v>
      </c>
      <c r="CG120" t="s">
        <v>123</v>
      </c>
      <c r="CH120" t="s">
        <v>123</v>
      </c>
      <c r="CI120" t="s">
        <v>123</v>
      </c>
      <c r="CJ120" t="s">
        <v>123</v>
      </c>
      <c r="CK120">
        <v>1.7000000000000001E-2</v>
      </c>
      <c r="CL120">
        <v>1.78E-2</v>
      </c>
      <c r="CM120">
        <v>1.7500000000000002E-2</v>
      </c>
      <c r="CN120">
        <v>1.8599999999999998E-2</v>
      </c>
      <c r="CO120" t="s">
        <v>123</v>
      </c>
      <c r="CP120" t="s">
        <v>123</v>
      </c>
      <c r="CQ120">
        <v>1.6400000000000001E-2</v>
      </c>
      <c r="CR120">
        <v>1.72E-2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551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  <c r="DN120" t="s">
        <v>123</v>
      </c>
      <c r="DO120" t="s">
        <v>123</v>
      </c>
      <c r="DP120" t="s">
        <v>123</v>
      </c>
      <c r="DQ120" t="s">
        <v>123</v>
      </c>
      <c r="DR120" t="s">
        <v>123</v>
      </c>
      <c r="DS120" t="s">
        <v>123</v>
      </c>
    </row>
    <row r="121" spans="1:123" x14ac:dyDescent="0.3">
      <c r="A121">
        <v>120</v>
      </c>
      <c r="B121" t="s">
        <v>123</v>
      </c>
      <c r="C121" t="s">
        <v>123</v>
      </c>
      <c r="D121" t="s">
        <v>598</v>
      </c>
      <c r="E121" t="s">
        <v>123</v>
      </c>
      <c r="F121" t="s">
        <v>125</v>
      </c>
      <c r="G121" t="s">
        <v>126</v>
      </c>
      <c r="H121" t="s">
        <v>127</v>
      </c>
      <c r="I121" t="s">
        <v>128</v>
      </c>
      <c r="J121" t="s">
        <v>123</v>
      </c>
      <c r="K121" t="s">
        <v>594</v>
      </c>
      <c r="L121" t="s">
        <v>130</v>
      </c>
      <c r="M121" t="s">
        <v>595</v>
      </c>
      <c r="N121" t="s">
        <v>180</v>
      </c>
      <c r="O121" t="s">
        <v>150</v>
      </c>
      <c r="P121" t="s">
        <v>123</v>
      </c>
      <c r="Q121" t="s">
        <v>123</v>
      </c>
      <c r="R121" t="s">
        <v>123</v>
      </c>
      <c r="S121" t="s">
        <v>123</v>
      </c>
      <c r="T121" s="1">
        <v>46576</v>
      </c>
      <c r="U121" t="s">
        <v>123</v>
      </c>
      <c r="V121" t="s">
        <v>123</v>
      </c>
      <c r="W121" t="s">
        <v>123</v>
      </c>
      <c r="X121" t="s">
        <v>123</v>
      </c>
      <c r="Y121" t="s">
        <v>123</v>
      </c>
      <c r="Z121" t="s">
        <v>123</v>
      </c>
      <c r="AA121" t="s">
        <v>123</v>
      </c>
      <c r="AB121" t="s">
        <v>599</v>
      </c>
      <c r="AC121" t="s">
        <v>135</v>
      </c>
      <c r="AD121" t="s">
        <v>123</v>
      </c>
      <c r="AE121" t="s">
        <v>123</v>
      </c>
      <c r="AF121" t="s">
        <v>600</v>
      </c>
      <c r="AG121" t="s">
        <v>601</v>
      </c>
      <c r="AH121" t="s">
        <v>123</v>
      </c>
      <c r="AI121" t="s">
        <v>128</v>
      </c>
      <c r="AJ121" t="s">
        <v>138</v>
      </c>
      <c r="AK121" t="s">
        <v>163</v>
      </c>
      <c r="AL121" t="s">
        <v>123</v>
      </c>
      <c r="AM121" t="s">
        <v>123</v>
      </c>
      <c r="AN121" t="s">
        <v>123</v>
      </c>
      <c r="AO121" t="s">
        <v>123</v>
      </c>
      <c r="AP121">
        <v>250</v>
      </c>
      <c r="AQ121">
        <v>50</v>
      </c>
      <c r="AR121">
        <v>10</v>
      </c>
      <c r="AS121" t="s">
        <v>123</v>
      </c>
      <c r="AT121" t="s">
        <v>123</v>
      </c>
      <c r="AU121" t="s">
        <v>123</v>
      </c>
      <c r="AV121" t="s">
        <v>123</v>
      </c>
      <c r="AW121" t="s">
        <v>123</v>
      </c>
      <c r="AX121" t="s">
        <v>123</v>
      </c>
      <c r="AY121" t="s">
        <v>123</v>
      </c>
      <c r="AZ121" t="s">
        <v>123</v>
      </c>
      <c r="BA121" t="s">
        <v>140</v>
      </c>
      <c r="BB121" t="s">
        <v>123</v>
      </c>
      <c r="BC121" t="s">
        <v>123</v>
      </c>
      <c r="BD121" t="s">
        <v>123</v>
      </c>
      <c r="BE121" t="s">
        <v>123</v>
      </c>
      <c r="BF121" t="s">
        <v>123</v>
      </c>
      <c r="BG121" t="s">
        <v>141</v>
      </c>
      <c r="BH121" t="s">
        <v>123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123</v>
      </c>
      <c r="BX121" t="s">
        <v>123</v>
      </c>
      <c r="BY121" s="1">
        <v>45965.249826967593</v>
      </c>
      <c r="BZ121">
        <v>1449</v>
      </c>
      <c r="CA121" t="s">
        <v>123</v>
      </c>
      <c r="CB121" t="s">
        <v>123</v>
      </c>
      <c r="CC121">
        <v>0</v>
      </c>
      <c r="CD121" t="s">
        <v>123</v>
      </c>
      <c r="CE121" t="s">
        <v>123</v>
      </c>
      <c r="CF121" t="s">
        <v>123</v>
      </c>
      <c r="CG121" t="s">
        <v>123</v>
      </c>
      <c r="CH121" t="s">
        <v>123</v>
      </c>
      <c r="CI121" t="s">
        <v>123</v>
      </c>
      <c r="CJ121" t="s">
        <v>123</v>
      </c>
      <c r="CK121">
        <v>4.7800000000000002E-2</v>
      </c>
      <c r="CL121">
        <v>5.2200000000000003E-2</v>
      </c>
      <c r="CM121">
        <v>6.0499999999999998E-2</v>
      </c>
      <c r="CN121">
        <v>6.6000000000000003E-2</v>
      </c>
      <c r="CO121" t="s">
        <v>123</v>
      </c>
      <c r="CP121" t="s">
        <v>123</v>
      </c>
      <c r="CQ121">
        <v>3.8100000000000002E-2</v>
      </c>
      <c r="CR121">
        <v>4.1799999999999997E-2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551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  <c r="DN121" t="s">
        <v>123</v>
      </c>
      <c r="DO121" t="s">
        <v>123</v>
      </c>
      <c r="DP121" t="s">
        <v>123</v>
      </c>
      <c r="DQ121" t="s">
        <v>123</v>
      </c>
      <c r="DR121" t="s">
        <v>123</v>
      </c>
      <c r="DS121" t="s">
        <v>123</v>
      </c>
    </row>
    <row r="122" spans="1:123" x14ac:dyDescent="0.3">
      <c r="A122">
        <v>121</v>
      </c>
      <c r="B122" t="s">
        <v>123</v>
      </c>
      <c r="C122" t="s">
        <v>123</v>
      </c>
      <c r="D122" t="s">
        <v>602</v>
      </c>
      <c r="E122" t="s">
        <v>123</v>
      </c>
      <c r="F122" t="s">
        <v>125</v>
      </c>
      <c r="G122" t="s">
        <v>126</v>
      </c>
      <c r="H122" t="s">
        <v>127</v>
      </c>
      <c r="I122" t="s">
        <v>128</v>
      </c>
      <c r="J122" t="s">
        <v>123</v>
      </c>
      <c r="K122" t="s">
        <v>594</v>
      </c>
      <c r="L122" t="s">
        <v>130</v>
      </c>
      <c r="M122" t="s">
        <v>595</v>
      </c>
      <c r="N122" t="s">
        <v>158</v>
      </c>
      <c r="O122" t="s">
        <v>378</v>
      </c>
      <c r="P122" t="s">
        <v>123</v>
      </c>
      <c r="Q122" t="s">
        <v>123</v>
      </c>
      <c r="R122" t="s">
        <v>123</v>
      </c>
      <c r="S122" t="s">
        <v>123</v>
      </c>
      <c r="T122" s="1">
        <v>46912</v>
      </c>
      <c r="U122" t="s">
        <v>123</v>
      </c>
      <c r="V122" t="s">
        <v>123</v>
      </c>
      <c r="W122" t="s">
        <v>123</v>
      </c>
      <c r="X122" t="s">
        <v>123</v>
      </c>
      <c r="Y122" t="s">
        <v>123</v>
      </c>
      <c r="Z122" t="s">
        <v>123</v>
      </c>
      <c r="AA122" t="s">
        <v>123</v>
      </c>
      <c r="AB122" t="s">
        <v>603</v>
      </c>
      <c r="AC122" t="s">
        <v>135</v>
      </c>
      <c r="AD122" t="s">
        <v>123</v>
      </c>
      <c r="AE122" t="s">
        <v>123</v>
      </c>
      <c r="AF122" t="s">
        <v>604</v>
      </c>
      <c r="AG122" t="s">
        <v>605</v>
      </c>
      <c r="AH122" t="s">
        <v>123</v>
      </c>
      <c r="AI122" t="s">
        <v>128</v>
      </c>
      <c r="AJ122" t="s">
        <v>606</v>
      </c>
      <c r="AK122" t="s">
        <v>163</v>
      </c>
      <c r="AL122" t="s">
        <v>123</v>
      </c>
      <c r="AM122" t="s">
        <v>123</v>
      </c>
      <c r="AN122" t="s">
        <v>123</v>
      </c>
      <c r="AO122" t="s">
        <v>123</v>
      </c>
      <c r="AP122">
        <v>250</v>
      </c>
      <c r="AQ122">
        <v>50</v>
      </c>
      <c r="AR122">
        <v>10</v>
      </c>
      <c r="AS122" t="s">
        <v>123</v>
      </c>
      <c r="AT122" t="s">
        <v>123</v>
      </c>
      <c r="AU122" t="s">
        <v>123</v>
      </c>
      <c r="AV122" t="s">
        <v>123</v>
      </c>
      <c r="AW122" t="s">
        <v>123</v>
      </c>
      <c r="AX122" t="s">
        <v>123</v>
      </c>
      <c r="AY122" t="s">
        <v>123</v>
      </c>
      <c r="AZ122" t="s">
        <v>123</v>
      </c>
      <c r="BA122" t="s">
        <v>140</v>
      </c>
      <c r="BB122" t="s">
        <v>123</v>
      </c>
      <c r="BC122" t="s">
        <v>123</v>
      </c>
      <c r="BD122" t="s">
        <v>123</v>
      </c>
      <c r="BE122" t="s">
        <v>123</v>
      </c>
      <c r="BF122" t="s">
        <v>123</v>
      </c>
      <c r="BG122" t="s">
        <v>141</v>
      </c>
      <c r="BH122" t="s">
        <v>123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123</v>
      </c>
      <c r="BX122" t="s">
        <v>123</v>
      </c>
      <c r="BY122" s="1">
        <v>45965.249853622685</v>
      </c>
      <c r="BZ122">
        <v>1449</v>
      </c>
      <c r="CA122" t="s">
        <v>123</v>
      </c>
      <c r="CB122" t="s">
        <v>123</v>
      </c>
      <c r="CC122">
        <v>0</v>
      </c>
      <c r="CD122" t="s">
        <v>123</v>
      </c>
      <c r="CE122" t="s">
        <v>123</v>
      </c>
      <c r="CF122" t="s">
        <v>123</v>
      </c>
      <c r="CG122" t="s">
        <v>123</v>
      </c>
      <c r="CH122" t="s">
        <v>123</v>
      </c>
      <c r="CI122" t="s">
        <v>123</v>
      </c>
      <c r="CJ122" t="s">
        <v>123</v>
      </c>
      <c r="CK122">
        <v>3.6799999999999999E-2</v>
      </c>
      <c r="CL122">
        <v>4.19E-2</v>
      </c>
      <c r="CM122">
        <v>4.2200000000000001E-2</v>
      </c>
      <c r="CN122">
        <v>4.8300000000000003E-2</v>
      </c>
      <c r="CO122" t="s">
        <v>123</v>
      </c>
      <c r="CP122" t="s">
        <v>123</v>
      </c>
      <c r="CQ122">
        <v>3.1899999999999998E-2</v>
      </c>
      <c r="CR122">
        <v>3.5799999999999998E-2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607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  <c r="DN122" t="s">
        <v>123</v>
      </c>
      <c r="DO122" t="s">
        <v>123</v>
      </c>
      <c r="DP122" t="s">
        <v>123</v>
      </c>
      <c r="DQ122" t="s">
        <v>123</v>
      </c>
      <c r="DR122" t="s">
        <v>123</v>
      </c>
      <c r="DS122" t="s">
        <v>123</v>
      </c>
    </row>
    <row r="123" spans="1:123" x14ac:dyDescent="0.3">
      <c r="A123">
        <v>122</v>
      </c>
      <c r="B123" t="s">
        <v>123</v>
      </c>
      <c r="C123" t="s">
        <v>123</v>
      </c>
      <c r="D123" t="s">
        <v>608</v>
      </c>
      <c r="E123" t="s">
        <v>123</v>
      </c>
      <c r="F123" t="s">
        <v>125</v>
      </c>
      <c r="G123" t="s">
        <v>126</v>
      </c>
      <c r="H123" t="s">
        <v>127</v>
      </c>
      <c r="I123" t="s">
        <v>128</v>
      </c>
      <c r="J123" t="s">
        <v>123</v>
      </c>
      <c r="K123" t="s">
        <v>609</v>
      </c>
      <c r="L123" t="s">
        <v>130</v>
      </c>
      <c r="M123" t="s">
        <v>610</v>
      </c>
      <c r="N123" t="s">
        <v>158</v>
      </c>
      <c r="O123" t="s">
        <v>133</v>
      </c>
      <c r="P123" t="s">
        <v>123</v>
      </c>
      <c r="Q123" t="s">
        <v>123</v>
      </c>
      <c r="R123" t="s">
        <v>123</v>
      </c>
      <c r="S123" t="s">
        <v>123</v>
      </c>
      <c r="T123" s="1">
        <v>46119</v>
      </c>
      <c r="U123" t="s">
        <v>123</v>
      </c>
      <c r="V123" t="s">
        <v>123</v>
      </c>
      <c r="W123" t="s">
        <v>123</v>
      </c>
      <c r="X123" t="s">
        <v>123</v>
      </c>
      <c r="Y123" t="s">
        <v>123</v>
      </c>
      <c r="Z123" t="s">
        <v>123</v>
      </c>
      <c r="AA123" t="s">
        <v>123</v>
      </c>
      <c r="AB123" t="s">
        <v>611</v>
      </c>
      <c r="AC123" t="s">
        <v>135</v>
      </c>
      <c r="AD123" t="s">
        <v>123</v>
      </c>
      <c r="AE123" t="s">
        <v>123</v>
      </c>
      <c r="AF123" t="s">
        <v>612</v>
      </c>
      <c r="AG123" t="s">
        <v>177</v>
      </c>
      <c r="AH123" t="s">
        <v>123</v>
      </c>
      <c r="AI123" t="s">
        <v>128</v>
      </c>
      <c r="AJ123" t="s">
        <v>138</v>
      </c>
      <c r="AK123" t="s">
        <v>139</v>
      </c>
      <c r="AL123" t="s">
        <v>123</v>
      </c>
      <c r="AM123" t="s">
        <v>123</v>
      </c>
      <c r="AN123" t="s">
        <v>123</v>
      </c>
      <c r="AO123" t="s">
        <v>123</v>
      </c>
      <c r="AP123">
        <v>250</v>
      </c>
      <c r="AQ123">
        <v>50</v>
      </c>
      <c r="AR123">
        <v>10</v>
      </c>
      <c r="AS123" t="s">
        <v>123</v>
      </c>
      <c r="AT123" t="s">
        <v>123</v>
      </c>
      <c r="AU123" t="s">
        <v>123</v>
      </c>
      <c r="AV123" t="s">
        <v>123</v>
      </c>
      <c r="AW123" t="s">
        <v>123</v>
      </c>
      <c r="AX123" t="s">
        <v>123</v>
      </c>
      <c r="AY123" t="s">
        <v>123</v>
      </c>
      <c r="AZ123" t="s">
        <v>123</v>
      </c>
      <c r="BA123" t="s">
        <v>140</v>
      </c>
      <c r="BB123" t="s">
        <v>123</v>
      </c>
      <c r="BC123" t="s">
        <v>123</v>
      </c>
      <c r="BD123" t="s">
        <v>123</v>
      </c>
      <c r="BE123" t="s">
        <v>123</v>
      </c>
      <c r="BF123" t="s">
        <v>123</v>
      </c>
      <c r="BG123" t="s">
        <v>141</v>
      </c>
      <c r="BH123" t="s">
        <v>123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123</v>
      </c>
      <c r="BX123" t="s">
        <v>123</v>
      </c>
      <c r="BY123" s="1">
        <v>45965.249935567132</v>
      </c>
      <c r="BZ123">
        <v>1510</v>
      </c>
      <c r="CA123" t="s">
        <v>123</v>
      </c>
      <c r="CB123" t="s">
        <v>123</v>
      </c>
      <c r="CC123">
        <v>0</v>
      </c>
      <c r="CD123" t="s">
        <v>123</v>
      </c>
      <c r="CE123" t="s">
        <v>123</v>
      </c>
      <c r="CF123" t="s">
        <v>123</v>
      </c>
      <c r="CG123" t="s">
        <v>123</v>
      </c>
      <c r="CH123" t="s">
        <v>123</v>
      </c>
      <c r="CI123" t="s">
        <v>123</v>
      </c>
      <c r="CJ123" t="s">
        <v>123</v>
      </c>
      <c r="CK123">
        <v>1.2500000000000001E-2</v>
      </c>
      <c r="CL123">
        <v>1.4200000000000001E-2</v>
      </c>
      <c r="CM123">
        <v>1.3599999999999999E-2</v>
      </c>
      <c r="CN123">
        <v>1.55E-2</v>
      </c>
      <c r="CO123" t="s">
        <v>123</v>
      </c>
      <c r="CP123" t="s">
        <v>123</v>
      </c>
      <c r="CQ123">
        <v>1.15E-2</v>
      </c>
      <c r="CR123">
        <v>1.2999999999999999E-2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214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  <c r="DN123" t="s">
        <v>123</v>
      </c>
      <c r="DO123" t="s">
        <v>123</v>
      </c>
      <c r="DP123" t="s">
        <v>123</v>
      </c>
      <c r="DQ123" t="s">
        <v>123</v>
      </c>
      <c r="DR123" t="s">
        <v>123</v>
      </c>
      <c r="DS123" t="s">
        <v>123</v>
      </c>
    </row>
    <row r="124" spans="1:123" x14ac:dyDescent="0.3">
      <c r="A124">
        <v>123</v>
      </c>
      <c r="B124" t="s">
        <v>123</v>
      </c>
      <c r="C124" t="s">
        <v>123</v>
      </c>
      <c r="D124" t="s">
        <v>613</v>
      </c>
      <c r="E124" t="s">
        <v>123</v>
      </c>
      <c r="F124" t="s">
        <v>125</v>
      </c>
      <c r="G124" t="s">
        <v>126</v>
      </c>
      <c r="H124" t="s">
        <v>127</v>
      </c>
      <c r="I124" t="s">
        <v>199</v>
      </c>
      <c r="J124" t="s">
        <v>123</v>
      </c>
      <c r="K124" t="s">
        <v>614</v>
      </c>
      <c r="L124" t="s">
        <v>130</v>
      </c>
      <c r="M124" t="s">
        <v>615</v>
      </c>
      <c r="N124" t="s">
        <v>158</v>
      </c>
      <c r="O124" t="s">
        <v>150</v>
      </c>
      <c r="P124" t="s">
        <v>123</v>
      </c>
      <c r="Q124" t="s">
        <v>123</v>
      </c>
      <c r="R124" t="s">
        <v>123</v>
      </c>
      <c r="S124" t="s">
        <v>123</v>
      </c>
      <c r="T124" s="1">
        <v>46532</v>
      </c>
      <c r="U124" t="s">
        <v>123</v>
      </c>
      <c r="V124" t="s">
        <v>123</v>
      </c>
      <c r="W124" t="s">
        <v>123</v>
      </c>
      <c r="X124" t="s">
        <v>123</v>
      </c>
      <c r="Y124" t="s">
        <v>123</v>
      </c>
      <c r="Z124" t="s">
        <v>123</v>
      </c>
      <c r="AA124" t="s">
        <v>123</v>
      </c>
      <c r="AB124" t="s">
        <v>616</v>
      </c>
      <c r="AC124" t="s">
        <v>135</v>
      </c>
      <c r="AD124" t="s">
        <v>123</v>
      </c>
      <c r="AE124" t="s">
        <v>123</v>
      </c>
      <c r="AF124" t="s">
        <v>203</v>
      </c>
      <c r="AG124" t="s">
        <v>204</v>
      </c>
      <c r="AH124" t="s">
        <v>123</v>
      </c>
      <c r="AI124" t="s">
        <v>199</v>
      </c>
      <c r="AJ124" t="s">
        <v>186</v>
      </c>
      <c r="AK124" t="s">
        <v>139</v>
      </c>
      <c r="AL124" t="s">
        <v>123</v>
      </c>
      <c r="AM124" t="s">
        <v>123</v>
      </c>
      <c r="AN124" t="s">
        <v>123</v>
      </c>
      <c r="AO124" t="s">
        <v>123</v>
      </c>
      <c r="AP124">
        <v>250</v>
      </c>
      <c r="AQ124">
        <v>50</v>
      </c>
      <c r="AR124">
        <v>10</v>
      </c>
      <c r="AS124" t="s">
        <v>123</v>
      </c>
      <c r="AT124" t="s">
        <v>123</v>
      </c>
      <c r="AU124" t="s">
        <v>123</v>
      </c>
      <c r="AV124" t="s">
        <v>123</v>
      </c>
      <c r="AW124" t="s">
        <v>123</v>
      </c>
      <c r="AX124" t="s">
        <v>123</v>
      </c>
      <c r="AY124" t="s">
        <v>123</v>
      </c>
      <c r="AZ124" t="s">
        <v>123</v>
      </c>
      <c r="BA124" t="s">
        <v>140</v>
      </c>
      <c r="BB124" t="s">
        <v>123</v>
      </c>
      <c r="BC124" t="s">
        <v>123</v>
      </c>
      <c r="BD124" t="s">
        <v>123</v>
      </c>
      <c r="BE124" t="s">
        <v>123</v>
      </c>
      <c r="BF124" t="s">
        <v>123</v>
      </c>
      <c r="BG124" t="s">
        <v>141</v>
      </c>
      <c r="BH124" t="s">
        <v>123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123</v>
      </c>
      <c r="BX124" t="s">
        <v>123</v>
      </c>
      <c r="BY124" s="1">
        <v>45965.249989270837</v>
      </c>
      <c r="BZ124">
        <v>1558</v>
      </c>
      <c r="CA124" t="s">
        <v>123</v>
      </c>
      <c r="CB124" t="s">
        <v>123</v>
      </c>
      <c r="CC124">
        <v>0</v>
      </c>
      <c r="CD124" t="s">
        <v>123</v>
      </c>
      <c r="CE124" t="s">
        <v>123</v>
      </c>
      <c r="CF124" t="s">
        <v>123</v>
      </c>
      <c r="CG124" t="s">
        <v>123</v>
      </c>
      <c r="CH124" t="s">
        <v>123</v>
      </c>
      <c r="CI124" t="s">
        <v>123</v>
      </c>
      <c r="CJ124" t="s">
        <v>123</v>
      </c>
      <c r="CK124">
        <v>5.6800000000000003E-2</v>
      </c>
      <c r="CL124">
        <v>6.3E-2</v>
      </c>
      <c r="CM124">
        <v>7.7200000000000005E-2</v>
      </c>
      <c r="CN124">
        <v>8.5300000000000001E-2</v>
      </c>
      <c r="CO124" t="s">
        <v>123</v>
      </c>
      <c r="CP124" t="s">
        <v>123</v>
      </c>
      <c r="CQ124">
        <v>4.2000000000000003E-2</v>
      </c>
      <c r="CR124">
        <v>4.6600000000000003E-2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205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  <c r="DN124" t="s">
        <v>123</v>
      </c>
      <c r="DO124" t="s">
        <v>123</v>
      </c>
      <c r="DP124" t="s">
        <v>123</v>
      </c>
      <c r="DQ124" t="s">
        <v>123</v>
      </c>
      <c r="DR124" t="s">
        <v>123</v>
      </c>
      <c r="DS124" t="s">
        <v>123</v>
      </c>
    </row>
    <row r="125" spans="1:123" x14ac:dyDescent="0.3">
      <c r="A125">
        <v>124</v>
      </c>
      <c r="B125" t="s">
        <v>123</v>
      </c>
      <c r="C125" t="s">
        <v>123</v>
      </c>
      <c r="D125" t="s">
        <v>617</v>
      </c>
      <c r="E125" t="s">
        <v>123</v>
      </c>
      <c r="F125" t="s">
        <v>125</v>
      </c>
      <c r="G125" t="s">
        <v>126</v>
      </c>
      <c r="H125" t="s">
        <v>127</v>
      </c>
      <c r="I125" t="s">
        <v>123</v>
      </c>
      <c r="J125" t="s">
        <v>123</v>
      </c>
      <c r="K125" t="s">
        <v>123</v>
      </c>
      <c r="L125" t="s">
        <v>130</v>
      </c>
      <c r="M125" t="s">
        <v>618</v>
      </c>
      <c r="N125" t="s">
        <v>158</v>
      </c>
      <c r="O125" t="s">
        <v>133</v>
      </c>
      <c r="P125" t="s">
        <v>123</v>
      </c>
      <c r="Q125" t="s">
        <v>123</v>
      </c>
      <c r="R125" t="s">
        <v>123</v>
      </c>
      <c r="S125" t="s">
        <v>123</v>
      </c>
      <c r="T125" s="1">
        <v>46090</v>
      </c>
      <c r="U125" t="s">
        <v>123</v>
      </c>
      <c r="V125" t="s">
        <v>123</v>
      </c>
      <c r="W125" t="s">
        <v>123</v>
      </c>
      <c r="X125" t="s">
        <v>123</v>
      </c>
      <c r="Y125" t="s">
        <v>123</v>
      </c>
      <c r="Z125" t="s">
        <v>123</v>
      </c>
      <c r="AA125" t="s">
        <v>123</v>
      </c>
      <c r="AB125" t="s">
        <v>619</v>
      </c>
      <c r="AC125" t="s">
        <v>135</v>
      </c>
      <c r="AD125" t="s">
        <v>123</v>
      </c>
      <c r="AE125" t="s">
        <v>123</v>
      </c>
      <c r="AF125" t="s">
        <v>123</v>
      </c>
      <c r="AG125" t="s">
        <v>123</v>
      </c>
      <c r="AH125" t="s">
        <v>123</v>
      </c>
      <c r="AI125" t="s">
        <v>123</v>
      </c>
      <c r="AJ125" t="s">
        <v>123</v>
      </c>
      <c r="AK125" t="s">
        <v>123</v>
      </c>
      <c r="AL125" t="s">
        <v>123</v>
      </c>
      <c r="AM125" t="s">
        <v>123</v>
      </c>
      <c r="AN125" t="s">
        <v>123</v>
      </c>
      <c r="AO125" t="s">
        <v>123</v>
      </c>
      <c r="AP125">
        <v>250</v>
      </c>
      <c r="AQ125">
        <v>50</v>
      </c>
      <c r="AR125">
        <v>10</v>
      </c>
      <c r="AS125" t="s">
        <v>123</v>
      </c>
      <c r="AT125" t="s">
        <v>123</v>
      </c>
      <c r="AU125" t="s">
        <v>123</v>
      </c>
      <c r="AV125" t="s">
        <v>123</v>
      </c>
      <c r="AW125" t="s">
        <v>123</v>
      </c>
      <c r="AX125" t="s">
        <v>123</v>
      </c>
      <c r="AY125" t="s">
        <v>123</v>
      </c>
      <c r="AZ125" t="s">
        <v>123</v>
      </c>
      <c r="BA125" t="s">
        <v>123</v>
      </c>
      <c r="BB125" t="s">
        <v>123</v>
      </c>
      <c r="BC125" t="s">
        <v>123</v>
      </c>
      <c r="BD125" t="s">
        <v>123</v>
      </c>
      <c r="BE125" t="s">
        <v>123</v>
      </c>
      <c r="BF125" t="s">
        <v>123</v>
      </c>
      <c r="BG125" t="s">
        <v>123</v>
      </c>
      <c r="BH125" t="s">
        <v>123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123</v>
      </c>
      <c r="BX125" t="s">
        <v>123</v>
      </c>
      <c r="BY125" s="1">
        <v>45965.250014039353</v>
      </c>
      <c r="BZ125">
        <v>1558</v>
      </c>
      <c r="CA125" t="s">
        <v>123</v>
      </c>
      <c r="CB125" t="s">
        <v>123</v>
      </c>
      <c r="CC125">
        <v>0</v>
      </c>
      <c r="CD125" t="s">
        <v>123</v>
      </c>
      <c r="CE125" t="s">
        <v>123</v>
      </c>
      <c r="CF125" t="s">
        <v>123</v>
      </c>
      <c r="CG125" t="s">
        <v>123</v>
      </c>
      <c r="CH125" t="s">
        <v>123</v>
      </c>
      <c r="CI125" t="s">
        <v>123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  <c r="DN125" t="s">
        <v>123</v>
      </c>
      <c r="DO125" t="s">
        <v>123</v>
      </c>
      <c r="DP125" t="s">
        <v>123</v>
      </c>
      <c r="DQ125" t="s">
        <v>123</v>
      </c>
      <c r="DR125" t="s">
        <v>123</v>
      </c>
      <c r="DS125" t="s">
        <v>123</v>
      </c>
    </row>
    <row r="126" spans="1:123" x14ac:dyDescent="0.3">
      <c r="A126">
        <v>125</v>
      </c>
      <c r="B126" t="s">
        <v>123</v>
      </c>
      <c r="C126" t="s">
        <v>123</v>
      </c>
      <c r="D126" t="s">
        <v>620</v>
      </c>
      <c r="E126" t="s">
        <v>123</v>
      </c>
      <c r="F126" t="s">
        <v>125</v>
      </c>
      <c r="G126" t="s">
        <v>126</v>
      </c>
      <c r="H126" t="s">
        <v>127</v>
      </c>
      <c r="I126" t="s">
        <v>123</v>
      </c>
      <c r="J126" t="s">
        <v>123</v>
      </c>
      <c r="K126" t="s">
        <v>123</v>
      </c>
      <c r="L126" t="s">
        <v>130</v>
      </c>
      <c r="M126" t="s">
        <v>618</v>
      </c>
      <c r="N126" t="s">
        <v>180</v>
      </c>
      <c r="O126" t="s">
        <v>133</v>
      </c>
      <c r="P126" t="s">
        <v>123</v>
      </c>
      <c r="Q126" t="s">
        <v>123</v>
      </c>
      <c r="R126" t="s">
        <v>123</v>
      </c>
      <c r="S126" t="s">
        <v>123</v>
      </c>
      <c r="T126" s="1">
        <v>46090</v>
      </c>
      <c r="U126" t="s">
        <v>123</v>
      </c>
      <c r="V126" t="s">
        <v>123</v>
      </c>
      <c r="W126" t="s">
        <v>123</v>
      </c>
      <c r="X126" t="s">
        <v>123</v>
      </c>
      <c r="Y126" t="s">
        <v>123</v>
      </c>
      <c r="Z126" t="s">
        <v>123</v>
      </c>
      <c r="AA126" t="s">
        <v>123</v>
      </c>
      <c r="AB126" t="s">
        <v>621</v>
      </c>
      <c r="AC126" t="s">
        <v>135</v>
      </c>
      <c r="AD126" t="s">
        <v>123</v>
      </c>
      <c r="AE126" t="s">
        <v>123</v>
      </c>
      <c r="AF126" t="s">
        <v>123</v>
      </c>
      <c r="AG126" t="s">
        <v>123</v>
      </c>
      <c r="AH126" t="s">
        <v>123</v>
      </c>
      <c r="AI126" t="s">
        <v>123</v>
      </c>
      <c r="AJ126" t="s">
        <v>123</v>
      </c>
      <c r="AK126" t="s">
        <v>123</v>
      </c>
      <c r="AL126" t="s">
        <v>123</v>
      </c>
      <c r="AM126" t="s">
        <v>123</v>
      </c>
      <c r="AN126" t="s">
        <v>123</v>
      </c>
      <c r="AO126" t="s">
        <v>123</v>
      </c>
      <c r="AP126">
        <v>250</v>
      </c>
      <c r="AQ126">
        <v>50</v>
      </c>
      <c r="AR126">
        <v>10</v>
      </c>
      <c r="AS126" t="s">
        <v>123</v>
      </c>
      <c r="AT126" t="s">
        <v>123</v>
      </c>
      <c r="AU126" t="s">
        <v>123</v>
      </c>
      <c r="AV126" t="s">
        <v>123</v>
      </c>
      <c r="AW126" t="s">
        <v>123</v>
      </c>
      <c r="AX126" t="s">
        <v>123</v>
      </c>
      <c r="AY126" t="s">
        <v>123</v>
      </c>
      <c r="AZ126" t="s">
        <v>123</v>
      </c>
      <c r="BA126" t="s">
        <v>123</v>
      </c>
      <c r="BB126" t="s">
        <v>123</v>
      </c>
      <c r="BC126" t="s">
        <v>123</v>
      </c>
      <c r="BD126" t="s">
        <v>123</v>
      </c>
      <c r="BE126" t="s">
        <v>123</v>
      </c>
      <c r="BF126" t="s">
        <v>123</v>
      </c>
      <c r="BG126" t="s">
        <v>123</v>
      </c>
      <c r="BH126" t="s">
        <v>123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123</v>
      </c>
      <c r="BX126" t="s">
        <v>123</v>
      </c>
      <c r="BY126" s="1">
        <v>45965.250039664352</v>
      </c>
      <c r="BZ126">
        <v>1558</v>
      </c>
      <c r="CA126" t="s">
        <v>123</v>
      </c>
      <c r="CB126" t="s">
        <v>123</v>
      </c>
      <c r="CC126">
        <v>0</v>
      </c>
      <c r="CD126" t="s">
        <v>123</v>
      </c>
      <c r="CE126" t="s">
        <v>123</v>
      </c>
      <c r="CF126" t="s">
        <v>123</v>
      </c>
      <c r="CG126" t="s">
        <v>123</v>
      </c>
      <c r="CH126" t="s">
        <v>123</v>
      </c>
      <c r="CI126" t="s">
        <v>123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  <c r="DN126" t="s">
        <v>123</v>
      </c>
      <c r="DO126" t="s">
        <v>123</v>
      </c>
      <c r="DP126" t="s">
        <v>123</v>
      </c>
      <c r="DQ126" t="s">
        <v>123</v>
      </c>
      <c r="DR126" t="s">
        <v>123</v>
      </c>
      <c r="DS126" t="s">
        <v>123</v>
      </c>
    </row>
    <row r="127" spans="1:123" x14ac:dyDescent="0.3">
      <c r="A127">
        <v>126</v>
      </c>
      <c r="B127" t="s">
        <v>123</v>
      </c>
      <c r="C127" t="s">
        <v>123</v>
      </c>
      <c r="D127" t="s">
        <v>622</v>
      </c>
      <c r="E127" t="s">
        <v>123</v>
      </c>
      <c r="F127" t="s">
        <v>125</v>
      </c>
      <c r="G127" t="s">
        <v>126</v>
      </c>
      <c r="H127" t="s">
        <v>127</v>
      </c>
      <c r="I127" t="s">
        <v>199</v>
      </c>
      <c r="J127" t="s">
        <v>123</v>
      </c>
      <c r="K127" t="s">
        <v>623</v>
      </c>
      <c r="L127" t="s">
        <v>130</v>
      </c>
      <c r="M127" t="s">
        <v>618</v>
      </c>
      <c r="N127" t="s">
        <v>158</v>
      </c>
      <c r="O127" t="s">
        <v>150</v>
      </c>
      <c r="P127" t="s">
        <v>123</v>
      </c>
      <c r="Q127" t="s">
        <v>123</v>
      </c>
      <c r="R127" t="s">
        <v>123</v>
      </c>
      <c r="S127" t="s">
        <v>123</v>
      </c>
      <c r="T127" s="1">
        <v>46454</v>
      </c>
      <c r="U127" t="s">
        <v>123</v>
      </c>
      <c r="V127" t="s">
        <v>123</v>
      </c>
      <c r="W127" t="s">
        <v>123</v>
      </c>
      <c r="X127" t="s">
        <v>123</v>
      </c>
      <c r="Y127" t="s">
        <v>123</v>
      </c>
      <c r="Z127" t="s">
        <v>123</v>
      </c>
      <c r="AA127" t="s">
        <v>123</v>
      </c>
      <c r="AB127" t="s">
        <v>624</v>
      </c>
      <c r="AC127" t="s">
        <v>135</v>
      </c>
      <c r="AD127" t="s">
        <v>123</v>
      </c>
      <c r="AE127" t="s">
        <v>123</v>
      </c>
      <c r="AF127" t="s">
        <v>554</v>
      </c>
      <c r="AG127" t="s">
        <v>137</v>
      </c>
      <c r="AH127" t="s">
        <v>123</v>
      </c>
      <c r="AI127" t="s">
        <v>199</v>
      </c>
      <c r="AJ127" t="s">
        <v>138</v>
      </c>
      <c r="AK127" t="s">
        <v>139</v>
      </c>
      <c r="AL127" t="s">
        <v>123</v>
      </c>
      <c r="AM127" t="s">
        <v>123</v>
      </c>
      <c r="AN127" t="s">
        <v>123</v>
      </c>
      <c r="AO127" t="s">
        <v>123</v>
      </c>
      <c r="AP127">
        <v>250</v>
      </c>
      <c r="AQ127">
        <v>50</v>
      </c>
      <c r="AR127">
        <v>10</v>
      </c>
      <c r="AS127" t="s">
        <v>123</v>
      </c>
      <c r="AT127" t="s">
        <v>123</v>
      </c>
      <c r="AU127" t="s">
        <v>123</v>
      </c>
      <c r="AV127" t="s">
        <v>123</v>
      </c>
      <c r="AW127" t="s">
        <v>123</v>
      </c>
      <c r="AX127" t="s">
        <v>123</v>
      </c>
      <c r="AY127" t="s">
        <v>123</v>
      </c>
      <c r="AZ127" t="s">
        <v>123</v>
      </c>
      <c r="BA127" t="s">
        <v>140</v>
      </c>
      <c r="BB127" t="s">
        <v>123</v>
      </c>
      <c r="BC127" t="s">
        <v>123</v>
      </c>
      <c r="BD127" t="s">
        <v>123</v>
      </c>
      <c r="BE127" t="s">
        <v>123</v>
      </c>
      <c r="BF127" t="s">
        <v>123</v>
      </c>
      <c r="BG127" t="s">
        <v>141</v>
      </c>
      <c r="BH127" t="s">
        <v>123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123</v>
      </c>
      <c r="BX127" t="s">
        <v>123</v>
      </c>
      <c r="BY127" s="1">
        <v>45965.250064120373</v>
      </c>
      <c r="BZ127">
        <v>1589</v>
      </c>
      <c r="CA127" t="s">
        <v>123</v>
      </c>
      <c r="CB127" t="s">
        <v>123</v>
      </c>
      <c r="CC127">
        <v>0</v>
      </c>
      <c r="CD127" t="s">
        <v>123</v>
      </c>
      <c r="CE127" t="s">
        <v>123</v>
      </c>
      <c r="CF127" t="s">
        <v>123</v>
      </c>
      <c r="CG127" t="s">
        <v>123</v>
      </c>
      <c r="CH127" t="s">
        <v>123</v>
      </c>
      <c r="CI127" t="s">
        <v>123</v>
      </c>
      <c r="CJ127" t="s">
        <v>123</v>
      </c>
      <c r="CK127">
        <v>0.01</v>
      </c>
      <c r="CL127">
        <v>1.0200000000000001E-2</v>
      </c>
      <c r="CM127">
        <v>1.24E-2</v>
      </c>
      <c r="CN127">
        <v>1.24E-2</v>
      </c>
      <c r="CO127" t="s">
        <v>123</v>
      </c>
      <c r="CP127" t="s">
        <v>123</v>
      </c>
      <c r="CQ127">
        <v>8.0999999999999996E-3</v>
      </c>
      <c r="CR127">
        <v>8.5000000000000006E-3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551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  <c r="DN127" t="s">
        <v>123</v>
      </c>
      <c r="DO127" t="s">
        <v>123</v>
      </c>
      <c r="DP127" t="s">
        <v>123</v>
      </c>
      <c r="DQ127" t="s">
        <v>123</v>
      </c>
      <c r="DR127" t="s">
        <v>123</v>
      </c>
      <c r="DS127" t="s">
        <v>123</v>
      </c>
    </row>
    <row r="128" spans="1:123" x14ac:dyDescent="0.3">
      <c r="A128">
        <v>127</v>
      </c>
      <c r="B128" t="s">
        <v>123</v>
      </c>
      <c r="C128" t="s">
        <v>123</v>
      </c>
      <c r="D128" t="s">
        <v>625</v>
      </c>
      <c r="E128" t="s">
        <v>123</v>
      </c>
      <c r="F128" t="s">
        <v>125</v>
      </c>
      <c r="G128" t="s">
        <v>126</v>
      </c>
      <c r="H128" t="s">
        <v>127</v>
      </c>
      <c r="I128" t="s">
        <v>199</v>
      </c>
      <c r="J128" t="s">
        <v>123</v>
      </c>
      <c r="K128" t="s">
        <v>623</v>
      </c>
      <c r="L128" t="s">
        <v>130</v>
      </c>
      <c r="M128" t="s">
        <v>618</v>
      </c>
      <c r="N128" t="s">
        <v>158</v>
      </c>
      <c r="O128" t="s">
        <v>159</v>
      </c>
      <c r="P128" t="s">
        <v>123</v>
      </c>
      <c r="Q128" t="s">
        <v>123</v>
      </c>
      <c r="R128" t="s">
        <v>123</v>
      </c>
      <c r="S128" t="s">
        <v>123</v>
      </c>
      <c r="T128" s="1">
        <v>46820</v>
      </c>
      <c r="U128" t="s">
        <v>123</v>
      </c>
      <c r="V128" t="s">
        <v>123</v>
      </c>
      <c r="W128" t="s">
        <v>123</v>
      </c>
      <c r="X128" t="s">
        <v>123</v>
      </c>
      <c r="Y128" t="s">
        <v>123</v>
      </c>
      <c r="Z128" t="s">
        <v>123</v>
      </c>
      <c r="AA128" t="s">
        <v>123</v>
      </c>
      <c r="AB128" t="s">
        <v>626</v>
      </c>
      <c r="AC128" t="s">
        <v>135</v>
      </c>
      <c r="AD128" t="s">
        <v>123</v>
      </c>
      <c r="AE128" t="s">
        <v>123</v>
      </c>
      <c r="AF128" t="s">
        <v>554</v>
      </c>
      <c r="AG128" t="s">
        <v>137</v>
      </c>
      <c r="AH128" t="s">
        <v>123</v>
      </c>
      <c r="AI128" t="s">
        <v>199</v>
      </c>
      <c r="AJ128" t="s">
        <v>138</v>
      </c>
      <c r="AK128" t="s">
        <v>139</v>
      </c>
      <c r="AL128" t="s">
        <v>123</v>
      </c>
      <c r="AM128" t="s">
        <v>123</v>
      </c>
      <c r="AN128" t="s">
        <v>123</v>
      </c>
      <c r="AO128" t="s">
        <v>123</v>
      </c>
      <c r="AP128">
        <v>250</v>
      </c>
      <c r="AQ128">
        <v>50</v>
      </c>
      <c r="AR128">
        <v>10</v>
      </c>
      <c r="AS128" t="s">
        <v>123</v>
      </c>
      <c r="AT128" t="s">
        <v>123</v>
      </c>
      <c r="AU128" t="s">
        <v>123</v>
      </c>
      <c r="AV128" t="s">
        <v>123</v>
      </c>
      <c r="AW128" t="s">
        <v>123</v>
      </c>
      <c r="AX128" t="s">
        <v>123</v>
      </c>
      <c r="AY128" t="s">
        <v>123</v>
      </c>
      <c r="AZ128" t="s">
        <v>123</v>
      </c>
      <c r="BA128" t="s">
        <v>140</v>
      </c>
      <c r="BB128" t="s">
        <v>123</v>
      </c>
      <c r="BC128" t="s">
        <v>123</v>
      </c>
      <c r="BD128" t="s">
        <v>123</v>
      </c>
      <c r="BE128" t="s">
        <v>123</v>
      </c>
      <c r="BF128" t="s">
        <v>123</v>
      </c>
      <c r="BG128" t="s">
        <v>141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s="1">
        <v>45965.250089386573</v>
      </c>
      <c r="BZ128">
        <v>1589</v>
      </c>
      <c r="CA128" t="s">
        <v>123</v>
      </c>
      <c r="CB128" t="s">
        <v>123</v>
      </c>
      <c r="CC128">
        <v>0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>
        <v>1.43E-2</v>
      </c>
      <c r="CL128">
        <v>1.4200000000000001E-2</v>
      </c>
      <c r="CM128">
        <v>1.7899999999999999E-2</v>
      </c>
      <c r="CN128">
        <v>1.72E-2</v>
      </c>
      <c r="CO128" t="s">
        <v>123</v>
      </c>
      <c r="CP128" t="s">
        <v>123</v>
      </c>
      <c r="CQ128">
        <v>1.14E-2</v>
      </c>
      <c r="CR128">
        <v>1.1599999999999999E-2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551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  <c r="DN128" t="s">
        <v>123</v>
      </c>
      <c r="DO128" t="s">
        <v>123</v>
      </c>
      <c r="DP128" t="s">
        <v>123</v>
      </c>
      <c r="DQ128" t="s">
        <v>123</v>
      </c>
      <c r="DR128" t="s">
        <v>123</v>
      </c>
      <c r="DS128" t="s">
        <v>123</v>
      </c>
    </row>
    <row r="129" spans="1:123" x14ac:dyDescent="0.3">
      <c r="A129">
        <v>128</v>
      </c>
      <c r="B129" t="s">
        <v>123</v>
      </c>
      <c r="C129" t="s">
        <v>123</v>
      </c>
      <c r="D129" t="s">
        <v>627</v>
      </c>
      <c r="E129" t="s">
        <v>123</v>
      </c>
      <c r="F129" t="s">
        <v>125</v>
      </c>
      <c r="G129" t="s">
        <v>126</v>
      </c>
      <c r="H129" t="s">
        <v>127</v>
      </c>
      <c r="I129" t="s">
        <v>199</v>
      </c>
      <c r="J129" t="s">
        <v>123</v>
      </c>
      <c r="K129" t="s">
        <v>623</v>
      </c>
      <c r="L129" t="s">
        <v>130</v>
      </c>
      <c r="M129" t="s">
        <v>618</v>
      </c>
      <c r="N129" t="s">
        <v>180</v>
      </c>
      <c r="O129" t="s">
        <v>159</v>
      </c>
      <c r="P129" t="s">
        <v>123</v>
      </c>
      <c r="Q129" t="s">
        <v>123</v>
      </c>
      <c r="R129" t="s">
        <v>123</v>
      </c>
      <c r="S129" t="s">
        <v>123</v>
      </c>
      <c r="T129" s="1">
        <v>46820</v>
      </c>
      <c r="U129" t="s">
        <v>123</v>
      </c>
      <c r="V129" t="s">
        <v>123</v>
      </c>
      <c r="W129" t="s">
        <v>123</v>
      </c>
      <c r="X129" t="s">
        <v>123</v>
      </c>
      <c r="Y129" t="s">
        <v>123</v>
      </c>
      <c r="Z129" t="s">
        <v>123</v>
      </c>
      <c r="AA129" t="s">
        <v>123</v>
      </c>
      <c r="AB129" t="s">
        <v>628</v>
      </c>
      <c r="AC129" t="s">
        <v>135</v>
      </c>
      <c r="AD129" t="s">
        <v>123</v>
      </c>
      <c r="AE129" t="s">
        <v>123</v>
      </c>
      <c r="AF129" t="s">
        <v>554</v>
      </c>
      <c r="AG129" t="s">
        <v>137</v>
      </c>
      <c r="AH129" t="s">
        <v>123</v>
      </c>
      <c r="AI129" t="s">
        <v>199</v>
      </c>
      <c r="AJ129" t="s">
        <v>138</v>
      </c>
      <c r="AK129" t="s">
        <v>139</v>
      </c>
      <c r="AL129" t="s">
        <v>123</v>
      </c>
      <c r="AM129" t="s">
        <v>123</v>
      </c>
      <c r="AN129" t="s">
        <v>123</v>
      </c>
      <c r="AO129" t="s">
        <v>123</v>
      </c>
      <c r="AP129">
        <v>250</v>
      </c>
      <c r="AQ129">
        <v>50</v>
      </c>
      <c r="AR129">
        <v>10</v>
      </c>
      <c r="AS129" t="s">
        <v>123</v>
      </c>
      <c r="AT129" t="s">
        <v>123</v>
      </c>
      <c r="AU129" t="s">
        <v>123</v>
      </c>
      <c r="AV129" t="s">
        <v>123</v>
      </c>
      <c r="AW129" t="s">
        <v>123</v>
      </c>
      <c r="AX129" t="s">
        <v>123</v>
      </c>
      <c r="AY129" t="s">
        <v>123</v>
      </c>
      <c r="AZ129" t="s">
        <v>123</v>
      </c>
      <c r="BA129" t="s">
        <v>140</v>
      </c>
      <c r="BB129" t="s">
        <v>123</v>
      </c>
      <c r="BC129" t="s">
        <v>123</v>
      </c>
      <c r="BD129" t="s">
        <v>123</v>
      </c>
      <c r="BE129" t="s">
        <v>123</v>
      </c>
      <c r="BF129" t="s">
        <v>123</v>
      </c>
      <c r="BG129" t="s">
        <v>141</v>
      </c>
      <c r="BH129" t="s">
        <v>123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123</v>
      </c>
      <c r="BX129" t="s">
        <v>123</v>
      </c>
      <c r="BY129" s="1">
        <v>45965.250118055556</v>
      </c>
      <c r="BZ129">
        <v>1589</v>
      </c>
      <c r="CA129" t="s">
        <v>123</v>
      </c>
      <c r="CB129" t="s">
        <v>123</v>
      </c>
      <c r="CC129">
        <v>0</v>
      </c>
      <c r="CD129" t="s">
        <v>123</v>
      </c>
      <c r="CE129" t="s">
        <v>123</v>
      </c>
      <c r="CF129" t="s">
        <v>123</v>
      </c>
      <c r="CG129" t="s">
        <v>123</v>
      </c>
      <c r="CH129" t="s">
        <v>123</v>
      </c>
      <c r="CI129" t="s">
        <v>123</v>
      </c>
      <c r="CJ129" t="s">
        <v>123</v>
      </c>
      <c r="CK129">
        <v>2.5700000000000001E-2</v>
      </c>
      <c r="CL129">
        <v>2.3800000000000002E-2</v>
      </c>
      <c r="CM129">
        <v>2.9899999999999999E-2</v>
      </c>
      <c r="CN129">
        <v>2.7199999999999998E-2</v>
      </c>
      <c r="CO129" t="s">
        <v>123</v>
      </c>
      <c r="CP129" t="s">
        <v>123</v>
      </c>
      <c r="CQ129">
        <v>2.2100000000000002E-2</v>
      </c>
      <c r="CR129">
        <v>2.0799999999999999E-2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551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  <c r="DN129" t="s">
        <v>123</v>
      </c>
      <c r="DO129" t="s">
        <v>123</v>
      </c>
      <c r="DP129" t="s">
        <v>123</v>
      </c>
      <c r="DQ129" t="s">
        <v>123</v>
      </c>
      <c r="DR129" t="s">
        <v>123</v>
      </c>
      <c r="DS129" t="s">
        <v>123</v>
      </c>
    </row>
    <row r="130" spans="1:123" x14ac:dyDescent="0.3">
      <c r="A130">
        <v>129</v>
      </c>
      <c r="B130" t="s">
        <v>123</v>
      </c>
      <c r="C130" t="s">
        <v>123</v>
      </c>
      <c r="D130" t="s">
        <v>629</v>
      </c>
      <c r="E130" t="s">
        <v>123</v>
      </c>
      <c r="F130" t="s">
        <v>125</v>
      </c>
      <c r="G130" t="s">
        <v>126</v>
      </c>
      <c r="H130" t="s">
        <v>127</v>
      </c>
      <c r="I130" t="s">
        <v>199</v>
      </c>
      <c r="J130" t="s">
        <v>123</v>
      </c>
      <c r="K130" t="s">
        <v>630</v>
      </c>
      <c r="L130" t="s">
        <v>130</v>
      </c>
      <c r="M130" t="s">
        <v>631</v>
      </c>
      <c r="N130" t="s">
        <v>158</v>
      </c>
      <c r="O130" t="s">
        <v>159</v>
      </c>
      <c r="P130" t="s">
        <v>123</v>
      </c>
      <c r="Q130" t="s">
        <v>123</v>
      </c>
      <c r="R130" t="s">
        <v>123</v>
      </c>
      <c r="S130" t="s">
        <v>123</v>
      </c>
      <c r="T130" s="1">
        <v>46849</v>
      </c>
      <c r="U130" t="s">
        <v>123</v>
      </c>
      <c r="V130" t="s">
        <v>123</v>
      </c>
      <c r="W130" t="s">
        <v>123</v>
      </c>
      <c r="X130" t="s">
        <v>123</v>
      </c>
      <c r="Y130" t="s">
        <v>123</v>
      </c>
      <c r="Z130" t="s">
        <v>123</v>
      </c>
      <c r="AA130" t="s">
        <v>123</v>
      </c>
      <c r="AB130" t="s">
        <v>632</v>
      </c>
      <c r="AC130" t="s">
        <v>135</v>
      </c>
      <c r="AD130" t="s">
        <v>123</v>
      </c>
      <c r="AE130" t="s">
        <v>123</v>
      </c>
      <c r="AF130" t="s">
        <v>633</v>
      </c>
      <c r="AG130" t="s">
        <v>634</v>
      </c>
      <c r="AH130" t="s">
        <v>123</v>
      </c>
      <c r="AI130" t="s">
        <v>199</v>
      </c>
      <c r="AJ130" t="s">
        <v>186</v>
      </c>
      <c r="AK130" t="s">
        <v>139</v>
      </c>
      <c r="AL130" t="s">
        <v>123</v>
      </c>
      <c r="AM130" t="s">
        <v>123</v>
      </c>
      <c r="AN130" t="s">
        <v>123</v>
      </c>
      <c r="AO130" t="s">
        <v>123</v>
      </c>
      <c r="AP130">
        <v>250</v>
      </c>
      <c r="AQ130">
        <v>50</v>
      </c>
      <c r="AR130">
        <v>10</v>
      </c>
      <c r="AS130" t="s">
        <v>123</v>
      </c>
      <c r="AT130" t="s">
        <v>123</v>
      </c>
      <c r="AU130" t="s">
        <v>123</v>
      </c>
      <c r="AV130" t="s">
        <v>123</v>
      </c>
      <c r="AW130" t="s">
        <v>123</v>
      </c>
      <c r="AX130" t="s">
        <v>123</v>
      </c>
      <c r="AY130" t="s">
        <v>123</v>
      </c>
      <c r="AZ130" t="s">
        <v>123</v>
      </c>
      <c r="BA130" t="s">
        <v>635</v>
      </c>
      <c r="BB130" t="s">
        <v>123</v>
      </c>
      <c r="BC130" t="s">
        <v>123</v>
      </c>
      <c r="BD130" t="s">
        <v>123</v>
      </c>
      <c r="BE130" t="s">
        <v>123</v>
      </c>
      <c r="BF130" t="s">
        <v>123</v>
      </c>
      <c r="BG130" t="s">
        <v>636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s="1">
        <v>45965.250143171295</v>
      </c>
      <c r="BZ130">
        <v>1544</v>
      </c>
      <c r="CA130" t="s">
        <v>123</v>
      </c>
      <c r="CB130" t="s">
        <v>123</v>
      </c>
      <c r="CC130">
        <v>0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>
        <v>1.7000000000000001E-2</v>
      </c>
      <c r="CL130">
        <v>1.6400000000000001E-2</v>
      </c>
      <c r="CM130">
        <v>2.8000000000000001E-2</v>
      </c>
      <c r="CN130">
        <v>2.7099999999999999E-2</v>
      </c>
      <c r="CO130" t="s">
        <v>123</v>
      </c>
      <c r="CP130" t="s">
        <v>123</v>
      </c>
      <c r="CQ130">
        <v>9.9000000000000008E-3</v>
      </c>
      <c r="CR130">
        <v>9.5999999999999992E-3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205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  <c r="DN130" t="s">
        <v>123</v>
      </c>
      <c r="DO130" t="s">
        <v>123</v>
      </c>
      <c r="DP130" t="s">
        <v>123</v>
      </c>
      <c r="DQ130" t="s">
        <v>123</v>
      </c>
      <c r="DR130" t="s">
        <v>123</v>
      </c>
      <c r="DS130" t="s">
        <v>123</v>
      </c>
    </row>
    <row r="131" spans="1:123" x14ac:dyDescent="0.3">
      <c r="A131">
        <v>130</v>
      </c>
      <c r="B131" t="s">
        <v>123</v>
      </c>
      <c r="C131" t="s">
        <v>123</v>
      </c>
      <c r="D131" t="s">
        <v>637</v>
      </c>
      <c r="E131" t="s">
        <v>123</v>
      </c>
      <c r="F131" t="s">
        <v>125</v>
      </c>
      <c r="G131" t="s">
        <v>126</v>
      </c>
      <c r="H131" t="s">
        <v>127</v>
      </c>
      <c r="I131" t="s">
        <v>199</v>
      </c>
      <c r="J131" t="s">
        <v>123</v>
      </c>
      <c r="K131" t="s">
        <v>638</v>
      </c>
      <c r="L131" t="s">
        <v>130</v>
      </c>
      <c r="M131" t="s">
        <v>639</v>
      </c>
      <c r="N131" t="s">
        <v>158</v>
      </c>
      <c r="O131" t="s">
        <v>150</v>
      </c>
      <c r="P131" t="s">
        <v>123</v>
      </c>
      <c r="Q131" t="s">
        <v>123</v>
      </c>
      <c r="R131" t="s">
        <v>123</v>
      </c>
      <c r="S131" t="s">
        <v>123</v>
      </c>
      <c r="T131" s="1">
        <v>46545</v>
      </c>
      <c r="U131" t="s">
        <v>123</v>
      </c>
      <c r="V131" t="s">
        <v>123</v>
      </c>
      <c r="W131" t="s">
        <v>123</v>
      </c>
      <c r="X131" t="s">
        <v>123</v>
      </c>
      <c r="Y131" t="s">
        <v>123</v>
      </c>
      <c r="Z131" t="s">
        <v>123</v>
      </c>
      <c r="AA131" t="s">
        <v>123</v>
      </c>
      <c r="AB131" t="s">
        <v>640</v>
      </c>
      <c r="AC131" t="s">
        <v>135</v>
      </c>
      <c r="AD131" t="s">
        <v>123</v>
      </c>
      <c r="AE131" t="s">
        <v>123</v>
      </c>
      <c r="AF131" t="s">
        <v>641</v>
      </c>
      <c r="AG131" t="s">
        <v>642</v>
      </c>
      <c r="AH131" t="s">
        <v>123</v>
      </c>
      <c r="AI131" t="s">
        <v>199</v>
      </c>
      <c r="AJ131" t="s">
        <v>138</v>
      </c>
      <c r="AK131" t="s">
        <v>397</v>
      </c>
      <c r="AL131" t="s">
        <v>123</v>
      </c>
      <c r="AM131" t="s">
        <v>123</v>
      </c>
      <c r="AN131" t="s">
        <v>123</v>
      </c>
      <c r="AO131" t="s">
        <v>123</v>
      </c>
      <c r="AP131">
        <v>250</v>
      </c>
      <c r="AQ131">
        <v>50</v>
      </c>
      <c r="AR131">
        <v>10</v>
      </c>
      <c r="AS131" t="s">
        <v>123</v>
      </c>
      <c r="AT131" t="s">
        <v>123</v>
      </c>
      <c r="AU131" t="s">
        <v>123</v>
      </c>
      <c r="AV131" t="s">
        <v>123</v>
      </c>
      <c r="AW131" t="s">
        <v>123</v>
      </c>
      <c r="AX131" t="s">
        <v>123</v>
      </c>
      <c r="AY131" t="s">
        <v>123</v>
      </c>
      <c r="AZ131" t="s">
        <v>123</v>
      </c>
      <c r="BA131" t="s">
        <v>140</v>
      </c>
      <c r="BB131" t="s">
        <v>123</v>
      </c>
      <c r="BC131" t="s">
        <v>123</v>
      </c>
      <c r="BD131" t="s">
        <v>123</v>
      </c>
      <c r="BE131" t="s">
        <v>123</v>
      </c>
      <c r="BF131" t="s">
        <v>123</v>
      </c>
      <c r="BG131" t="s">
        <v>141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s="1">
        <v>45965.250191400461</v>
      </c>
      <c r="BZ131">
        <v>1568</v>
      </c>
      <c r="CA131" t="s">
        <v>123</v>
      </c>
      <c r="CB131" t="s">
        <v>123</v>
      </c>
      <c r="CC131">
        <v>0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>
        <v>1.6500000000000001E-2</v>
      </c>
      <c r="CL131">
        <v>1.9900000000000001E-2</v>
      </c>
      <c r="CM131">
        <v>3.0700000000000002E-2</v>
      </c>
      <c r="CN131">
        <v>3.5900000000000001E-2</v>
      </c>
      <c r="CO131" t="s">
        <v>123</v>
      </c>
      <c r="CP131" t="s">
        <v>123</v>
      </c>
      <c r="CQ131">
        <v>6.7000000000000002E-3</v>
      </c>
      <c r="CR131">
        <v>8.3999999999999995E-3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152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  <c r="DN131" t="s">
        <v>123</v>
      </c>
      <c r="DO131" t="s">
        <v>123</v>
      </c>
      <c r="DP131" t="s">
        <v>123</v>
      </c>
      <c r="DQ131" t="s">
        <v>123</v>
      </c>
      <c r="DR131" t="s">
        <v>123</v>
      </c>
      <c r="DS131" t="s">
        <v>123</v>
      </c>
    </row>
    <row r="132" spans="1:123" x14ac:dyDescent="0.3">
      <c r="A132">
        <v>131</v>
      </c>
      <c r="B132" t="s">
        <v>123</v>
      </c>
      <c r="C132" t="s">
        <v>123</v>
      </c>
      <c r="D132" t="s">
        <v>643</v>
      </c>
      <c r="E132" t="s">
        <v>123</v>
      </c>
      <c r="F132" t="s">
        <v>125</v>
      </c>
      <c r="G132" t="s">
        <v>126</v>
      </c>
      <c r="H132" t="s">
        <v>127</v>
      </c>
      <c r="I132" t="s">
        <v>128</v>
      </c>
      <c r="J132" t="s">
        <v>123</v>
      </c>
      <c r="K132" t="s">
        <v>644</v>
      </c>
      <c r="L132" t="s">
        <v>130</v>
      </c>
      <c r="M132" t="s">
        <v>645</v>
      </c>
      <c r="N132" t="s">
        <v>158</v>
      </c>
      <c r="O132" t="s">
        <v>159</v>
      </c>
      <c r="P132" t="s">
        <v>123</v>
      </c>
      <c r="Q132" t="s">
        <v>123</v>
      </c>
      <c r="R132" t="s">
        <v>123</v>
      </c>
      <c r="S132" t="s">
        <v>123</v>
      </c>
      <c r="T132" s="1">
        <v>46881</v>
      </c>
      <c r="U132" t="s">
        <v>123</v>
      </c>
      <c r="V132" t="s">
        <v>123</v>
      </c>
      <c r="W132" t="s">
        <v>123</v>
      </c>
      <c r="X132" t="s">
        <v>123</v>
      </c>
      <c r="Y132" t="s">
        <v>123</v>
      </c>
      <c r="Z132" t="s">
        <v>123</v>
      </c>
      <c r="AA132" t="s">
        <v>123</v>
      </c>
      <c r="AB132" t="s">
        <v>646</v>
      </c>
      <c r="AC132" t="s">
        <v>135</v>
      </c>
      <c r="AD132" t="s">
        <v>123</v>
      </c>
      <c r="AE132" t="s">
        <v>123</v>
      </c>
      <c r="AF132" t="s">
        <v>647</v>
      </c>
      <c r="AG132" t="s">
        <v>648</v>
      </c>
      <c r="AH132" t="s">
        <v>123</v>
      </c>
      <c r="AI132" t="s">
        <v>128</v>
      </c>
      <c r="AJ132" t="s">
        <v>138</v>
      </c>
      <c r="AK132" t="s">
        <v>163</v>
      </c>
      <c r="AL132" t="s">
        <v>123</v>
      </c>
      <c r="AM132" t="s">
        <v>123</v>
      </c>
      <c r="AN132" t="s">
        <v>123</v>
      </c>
      <c r="AO132" t="s">
        <v>123</v>
      </c>
      <c r="AP132">
        <v>250</v>
      </c>
      <c r="AQ132">
        <v>50</v>
      </c>
      <c r="AR132">
        <v>10</v>
      </c>
      <c r="AS132" t="s">
        <v>123</v>
      </c>
      <c r="AT132" t="s">
        <v>123</v>
      </c>
      <c r="AU132" t="s">
        <v>123</v>
      </c>
      <c r="AV132" t="s">
        <v>123</v>
      </c>
      <c r="AW132" t="s">
        <v>123</v>
      </c>
      <c r="AX132" t="s">
        <v>123</v>
      </c>
      <c r="AY132" t="s">
        <v>123</v>
      </c>
      <c r="AZ132" t="s">
        <v>123</v>
      </c>
      <c r="BA132" t="s">
        <v>140</v>
      </c>
      <c r="BB132" t="s">
        <v>123</v>
      </c>
      <c r="BC132" t="s">
        <v>123</v>
      </c>
      <c r="BD132" t="s">
        <v>123</v>
      </c>
      <c r="BE132" t="s">
        <v>123</v>
      </c>
      <c r="BF132" t="s">
        <v>123</v>
      </c>
      <c r="BG132" t="s">
        <v>141</v>
      </c>
      <c r="BH132" t="s">
        <v>123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123</v>
      </c>
      <c r="BX132" t="s">
        <v>123</v>
      </c>
      <c r="BY132" s="1">
        <v>45965.250236458334</v>
      </c>
      <c r="BZ132">
        <v>1493</v>
      </c>
      <c r="CA132" t="s">
        <v>123</v>
      </c>
      <c r="CB132" t="s">
        <v>123</v>
      </c>
      <c r="CC132">
        <v>0</v>
      </c>
      <c r="CD132" t="s">
        <v>123</v>
      </c>
      <c r="CE132" t="s">
        <v>123</v>
      </c>
      <c r="CF132" t="s">
        <v>123</v>
      </c>
      <c r="CG132" t="s">
        <v>123</v>
      </c>
      <c r="CH132" t="s">
        <v>123</v>
      </c>
      <c r="CI132" t="s">
        <v>123</v>
      </c>
      <c r="CJ132" t="s">
        <v>123</v>
      </c>
      <c r="CK132">
        <v>3.78E-2</v>
      </c>
      <c r="CL132" t="s">
        <v>123</v>
      </c>
      <c r="CM132">
        <v>5.5E-2</v>
      </c>
      <c r="CN132" t="s">
        <v>123</v>
      </c>
      <c r="CO132" t="s">
        <v>123</v>
      </c>
      <c r="CP132" t="s">
        <v>123</v>
      </c>
      <c r="CQ132">
        <v>2.4799999999999999E-2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649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  <c r="DN132" t="s">
        <v>123</v>
      </c>
      <c r="DO132" t="s">
        <v>123</v>
      </c>
      <c r="DP132" t="s">
        <v>123</v>
      </c>
      <c r="DQ132" t="s">
        <v>123</v>
      </c>
      <c r="DR132" t="s">
        <v>123</v>
      </c>
      <c r="DS132" t="s">
        <v>123</v>
      </c>
    </row>
    <row r="133" spans="1:123" x14ac:dyDescent="0.3">
      <c r="A133">
        <v>132</v>
      </c>
      <c r="B133" t="s">
        <v>123</v>
      </c>
      <c r="C133" t="s">
        <v>123</v>
      </c>
      <c r="D133" t="s">
        <v>650</v>
      </c>
      <c r="E133" t="s">
        <v>123</v>
      </c>
      <c r="F133" t="s">
        <v>125</v>
      </c>
      <c r="G133" t="s">
        <v>126</v>
      </c>
      <c r="H133" t="s">
        <v>127</v>
      </c>
      <c r="I133" t="s">
        <v>128</v>
      </c>
      <c r="J133" t="s">
        <v>123</v>
      </c>
      <c r="K133" t="s">
        <v>651</v>
      </c>
      <c r="L133" t="s">
        <v>130</v>
      </c>
      <c r="M133" t="s">
        <v>652</v>
      </c>
      <c r="N133" t="s">
        <v>158</v>
      </c>
      <c r="O133" t="s">
        <v>159</v>
      </c>
      <c r="P133" t="s">
        <v>123</v>
      </c>
      <c r="Q133" t="s">
        <v>123</v>
      </c>
      <c r="R133" t="s">
        <v>123</v>
      </c>
      <c r="S133" t="s">
        <v>123</v>
      </c>
      <c r="T133" s="1">
        <v>46911</v>
      </c>
      <c r="U133" t="s">
        <v>123</v>
      </c>
      <c r="V133" t="s">
        <v>123</v>
      </c>
      <c r="W133" t="s">
        <v>123</v>
      </c>
      <c r="X133" t="s">
        <v>123</v>
      </c>
      <c r="Y133" t="s">
        <v>123</v>
      </c>
      <c r="Z133" t="s">
        <v>123</v>
      </c>
      <c r="AA133" t="s">
        <v>123</v>
      </c>
      <c r="AB133" t="s">
        <v>653</v>
      </c>
      <c r="AC133" t="s">
        <v>135</v>
      </c>
      <c r="AD133" t="s">
        <v>123</v>
      </c>
      <c r="AE133" t="s">
        <v>123</v>
      </c>
      <c r="AF133" t="s">
        <v>654</v>
      </c>
      <c r="AG133" t="s">
        <v>655</v>
      </c>
      <c r="AH133" t="s">
        <v>123</v>
      </c>
      <c r="AI133" t="s">
        <v>128</v>
      </c>
      <c r="AJ133" t="s">
        <v>138</v>
      </c>
      <c r="AK133" t="s">
        <v>139</v>
      </c>
      <c r="AL133" t="s">
        <v>123</v>
      </c>
      <c r="AM133" t="s">
        <v>123</v>
      </c>
      <c r="AN133" t="s">
        <v>123</v>
      </c>
      <c r="AO133" t="s">
        <v>123</v>
      </c>
      <c r="AP133">
        <v>250</v>
      </c>
      <c r="AQ133">
        <v>50</v>
      </c>
      <c r="AR133">
        <v>10</v>
      </c>
      <c r="AS133" t="s">
        <v>123</v>
      </c>
      <c r="AT133" t="s">
        <v>123</v>
      </c>
      <c r="AU133" t="s">
        <v>123</v>
      </c>
      <c r="AV133" t="s">
        <v>123</v>
      </c>
      <c r="AW133" t="s">
        <v>123</v>
      </c>
      <c r="AX133" t="s">
        <v>123</v>
      </c>
      <c r="AY133" t="s">
        <v>123</v>
      </c>
      <c r="AZ133" t="s">
        <v>123</v>
      </c>
      <c r="BA133" t="s">
        <v>140</v>
      </c>
      <c r="BB133" t="s">
        <v>123</v>
      </c>
      <c r="BC133" t="s">
        <v>123</v>
      </c>
      <c r="BD133" t="s">
        <v>123</v>
      </c>
      <c r="BE133" t="s">
        <v>123</v>
      </c>
      <c r="BF133" t="s">
        <v>123</v>
      </c>
      <c r="BG133" t="s">
        <v>141</v>
      </c>
      <c r="BH133" t="s">
        <v>123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  <c r="BN133" t="s">
        <v>123</v>
      </c>
      <c r="BO133" t="s">
        <v>123</v>
      </c>
      <c r="BP133" t="s">
        <v>123</v>
      </c>
      <c r="BQ133" t="s">
        <v>123</v>
      </c>
      <c r="BR133" t="s">
        <v>123</v>
      </c>
      <c r="BS133" t="s">
        <v>123</v>
      </c>
      <c r="BT133" t="s">
        <v>123</v>
      </c>
      <c r="BU133" t="s">
        <v>123</v>
      </c>
      <c r="BV133" t="s">
        <v>123</v>
      </c>
      <c r="BW133" t="s">
        <v>123</v>
      </c>
      <c r="BX133" t="s">
        <v>123</v>
      </c>
      <c r="BY133" s="1">
        <v>45965.250286655093</v>
      </c>
      <c r="BZ133">
        <v>1503</v>
      </c>
      <c r="CA133" t="s">
        <v>123</v>
      </c>
      <c r="CB133" t="s">
        <v>123</v>
      </c>
      <c r="CC133">
        <v>0</v>
      </c>
      <c r="CD133" t="s">
        <v>123</v>
      </c>
      <c r="CE133" t="s">
        <v>123</v>
      </c>
      <c r="CF133" t="s">
        <v>123</v>
      </c>
      <c r="CG133" t="s">
        <v>123</v>
      </c>
      <c r="CH133" t="s">
        <v>123</v>
      </c>
      <c r="CI133" t="s">
        <v>123</v>
      </c>
      <c r="CJ133" t="s">
        <v>123</v>
      </c>
      <c r="CK133">
        <v>1.52E-2</v>
      </c>
      <c r="CL133">
        <v>1.8200000000000001E-2</v>
      </c>
      <c r="CM133">
        <v>1.72E-2</v>
      </c>
      <c r="CN133">
        <v>2.0500000000000001E-2</v>
      </c>
      <c r="CO133" t="s">
        <v>123</v>
      </c>
      <c r="CP133" t="s">
        <v>123</v>
      </c>
      <c r="CQ133">
        <v>1.3299999999999999E-2</v>
      </c>
      <c r="CR133">
        <v>1.5900000000000001E-2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152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  <c r="DN133" t="s">
        <v>123</v>
      </c>
      <c r="DO133" t="s">
        <v>123</v>
      </c>
      <c r="DP133" t="s">
        <v>123</v>
      </c>
      <c r="DQ133" t="s">
        <v>123</v>
      </c>
      <c r="DR133" t="s">
        <v>123</v>
      </c>
      <c r="DS133" t="s">
        <v>123</v>
      </c>
    </row>
    <row r="134" spans="1:123" x14ac:dyDescent="0.3">
      <c r="A134">
        <v>133</v>
      </c>
      <c r="B134" t="s">
        <v>123</v>
      </c>
      <c r="C134" t="s">
        <v>123</v>
      </c>
      <c r="D134" t="s">
        <v>656</v>
      </c>
      <c r="E134" t="s">
        <v>123</v>
      </c>
      <c r="F134" t="s">
        <v>125</v>
      </c>
      <c r="G134" t="s">
        <v>126</v>
      </c>
      <c r="H134" t="s">
        <v>127</v>
      </c>
      <c r="I134" t="s">
        <v>128</v>
      </c>
      <c r="J134" t="s">
        <v>123</v>
      </c>
      <c r="K134" t="s">
        <v>651</v>
      </c>
      <c r="L134" t="s">
        <v>130</v>
      </c>
      <c r="M134" t="s">
        <v>652</v>
      </c>
      <c r="N134" t="s">
        <v>180</v>
      </c>
      <c r="O134" t="s">
        <v>159</v>
      </c>
      <c r="P134" t="s">
        <v>123</v>
      </c>
      <c r="Q134" t="s">
        <v>123</v>
      </c>
      <c r="R134" t="s">
        <v>123</v>
      </c>
      <c r="S134" t="s">
        <v>123</v>
      </c>
      <c r="T134" s="1">
        <v>46911</v>
      </c>
      <c r="U134" t="s">
        <v>123</v>
      </c>
      <c r="V134" t="s">
        <v>123</v>
      </c>
      <c r="W134" t="s">
        <v>123</v>
      </c>
      <c r="X134" t="s">
        <v>123</v>
      </c>
      <c r="Y134" t="s">
        <v>123</v>
      </c>
      <c r="Z134" t="s">
        <v>123</v>
      </c>
      <c r="AA134" t="s">
        <v>123</v>
      </c>
      <c r="AB134" t="s">
        <v>657</v>
      </c>
      <c r="AC134" t="s">
        <v>135</v>
      </c>
      <c r="AD134" t="s">
        <v>123</v>
      </c>
      <c r="AE134" t="s">
        <v>123</v>
      </c>
      <c r="AF134" t="s">
        <v>658</v>
      </c>
      <c r="AG134" t="s">
        <v>659</v>
      </c>
      <c r="AH134" t="s">
        <v>123</v>
      </c>
      <c r="AI134" t="s">
        <v>128</v>
      </c>
      <c r="AJ134" t="s">
        <v>138</v>
      </c>
      <c r="AK134" t="s">
        <v>139</v>
      </c>
      <c r="AL134" t="s">
        <v>123</v>
      </c>
      <c r="AM134" t="s">
        <v>123</v>
      </c>
      <c r="AN134" t="s">
        <v>123</v>
      </c>
      <c r="AO134" t="s">
        <v>123</v>
      </c>
      <c r="AP134">
        <v>250</v>
      </c>
      <c r="AQ134">
        <v>50</v>
      </c>
      <c r="AR134">
        <v>10</v>
      </c>
      <c r="AS134" t="s">
        <v>123</v>
      </c>
      <c r="AT134" t="s">
        <v>123</v>
      </c>
      <c r="AU134" t="s">
        <v>123</v>
      </c>
      <c r="AV134" t="s">
        <v>123</v>
      </c>
      <c r="AW134" t="s">
        <v>123</v>
      </c>
      <c r="AX134" t="s">
        <v>123</v>
      </c>
      <c r="AY134" t="s">
        <v>123</v>
      </c>
      <c r="AZ134" t="s">
        <v>123</v>
      </c>
      <c r="BA134" t="s">
        <v>140</v>
      </c>
      <c r="BB134" t="s">
        <v>123</v>
      </c>
      <c r="BC134" t="s">
        <v>123</v>
      </c>
      <c r="BD134" t="s">
        <v>123</v>
      </c>
      <c r="BE134" t="s">
        <v>123</v>
      </c>
      <c r="BF134" t="s">
        <v>123</v>
      </c>
      <c r="BG134" t="s">
        <v>141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s="1">
        <v>45965.25031142361</v>
      </c>
      <c r="BZ134">
        <v>1503</v>
      </c>
      <c r="CA134" t="s">
        <v>123</v>
      </c>
      <c r="CB134" t="s">
        <v>123</v>
      </c>
      <c r="CC134">
        <v>0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>
        <v>1.37E-2</v>
      </c>
      <c r="CL134">
        <v>1.37E-2</v>
      </c>
      <c r="CM134">
        <v>1.46E-2</v>
      </c>
      <c r="CN134">
        <v>1.46E-2</v>
      </c>
      <c r="CO134" t="s">
        <v>123</v>
      </c>
      <c r="CP134" t="s">
        <v>123</v>
      </c>
      <c r="CQ134">
        <v>1.29E-2</v>
      </c>
      <c r="CR134">
        <v>1.29E-2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152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  <c r="DN134" t="s">
        <v>123</v>
      </c>
      <c r="DO134" t="s">
        <v>123</v>
      </c>
      <c r="DP134" t="s">
        <v>123</v>
      </c>
      <c r="DQ134" t="s">
        <v>123</v>
      </c>
      <c r="DR134" t="s">
        <v>123</v>
      </c>
      <c r="DS134" t="s">
        <v>123</v>
      </c>
    </row>
    <row r="135" spans="1:123" x14ac:dyDescent="0.3">
      <c r="A135">
        <v>134</v>
      </c>
      <c r="B135" t="s">
        <v>123</v>
      </c>
      <c r="C135" t="s">
        <v>123</v>
      </c>
      <c r="D135" t="s">
        <v>660</v>
      </c>
      <c r="E135" t="s">
        <v>123</v>
      </c>
      <c r="F135" t="s">
        <v>125</v>
      </c>
      <c r="G135" t="s">
        <v>126</v>
      </c>
      <c r="H135" t="s">
        <v>127</v>
      </c>
      <c r="I135" t="s">
        <v>128</v>
      </c>
      <c r="J135" t="s">
        <v>123</v>
      </c>
      <c r="K135" t="s">
        <v>651</v>
      </c>
      <c r="L135" t="s">
        <v>130</v>
      </c>
      <c r="M135" t="s">
        <v>652</v>
      </c>
      <c r="N135" t="s">
        <v>158</v>
      </c>
      <c r="O135" t="s">
        <v>133</v>
      </c>
      <c r="P135" t="s">
        <v>123</v>
      </c>
      <c r="Q135" t="s">
        <v>123</v>
      </c>
      <c r="R135" t="s">
        <v>123</v>
      </c>
      <c r="S135" t="s">
        <v>123</v>
      </c>
      <c r="T135" s="1">
        <v>46180</v>
      </c>
      <c r="U135" t="s">
        <v>123</v>
      </c>
      <c r="V135" t="s">
        <v>123</v>
      </c>
      <c r="W135" t="s">
        <v>123</v>
      </c>
      <c r="X135" t="s">
        <v>123</v>
      </c>
      <c r="Y135" t="s">
        <v>123</v>
      </c>
      <c r="Z135" t="s">
        <v>123</v>
      </c>
      <c r="AA135" t="s">
        <v>123</v>
      </c>
      <c r="AB135" t="s">
        <v>661</v>
      </c>
      <c r="AC135" t="s">
        <v>135</v>
      </c>
      <c r="AD135" t="s">
        <v>123</v>
      </c>
      <c r="AE135" t="s">
        <v>123</v>
      </c>
      <c r="AF135" t="s">
        <v>597</v>
      </c>
      <c r="AG135" t="s">
        <v>322</v>
      </c>
      <c r="AH135" t="s">
        <v>123</v>
      </c>
      <c r="AI135" t="s">
        <v>128</v>
      </c>
      <c r="AJ135" t="s">
        <v>138</v>
      </c>
      <c r="AK135" t="s">
        <v>139</v>
      </c>
      <c r="AL135" t="s">
        <v>123</v>
      </c>
      <c r="AM135" t="s">
        <v>123</v>
      </c>
      <c r="AN135" t="s">
        <v>123</v>
      </c>
      <c r="AO135" t="s">
        <v>123</v>
      </c>
      <c r="AP135">
        <v>250</v>
      </c>
      <c r="AQ135">
        <v>50</v>
      </c>
      <c r="AR135">
        <v>10</v>
      </c>
      <c r="AS135" t="s">
        <v>123</v>
      </c>
      <c r="AT135" t="s">
        <v>123</v>
      </c>
      <c r="AU135" t="s">
        <v>123</v>
      </c>
      <c r="AV135" t="s">
        <v>123</v>
      </c>
      <c r="AW135" t="s">
        <v>123</v>
      </c>
      <c r="AX135" t="s">
        <v>123</v>
      </c>
      <c r="AY135" t="s">
        <v>123</v>
      </c>
      <c r="AZ135" t="s">
        <v>123</v>
      </c>
      <c r="BA135" t="s">
        <v>140</v>
      </c>
      <c r="BB135" t="s">
        <v>123</v>
      </c>
      <c r="BC135" t="s">
        <v>123</v>
      </c>
      <c r="BD135" t="s">
        <v>123</v>
      </c>
      <c r="BE135" t="s">
        <v>123</v>
      </c>
      <c r="BF135" t="s">
        <v>123</v>
      </c>
      <c r="BG135" t="s">
        <v>141</v>
      </c>
      <c r="BH135" t="s">
        <v>123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123</v>
      </c>
      <c r="BX135" t="s">
        <v>123</v>
      </c>
      <c r="BY135" s="1">
        <v>45965.250358599536</v>
      </c>
      <c r="BZ135">
        <v>1503</v>
      </c>
      <c r="CA135" t="s">
        <v>123</v>
      </c>
      <c r="CB135" t="s">
        <v>123</v>
      </c>
      <c r="CC135">
        <v>0</v>
      </c>
      <c r="CD135" t="s">
        <v>123</v>
      </c>
      <c r="CE135" t="s">
        <v>123</v>
      </c>
      <c r="CF135" t="s">
        <v>123</v>
      </c>
      <c r="CG135" t="s">
        <v>123</v>
      </c>
      <c r="CH135" t="s">
        <v>123</v>
      </c>
      <c r="CI135" t="s">
        <v>123</v>
      </c>
      <c r="CJ135" t="s">
        <v>123</v>
      </c>
      <c r="CK135">
        <v>1.7299999999999999E-2</v>
      </c>
      <c r="CL135">
        <v>1.77E-2</v>
      </c>
      <c r="CM135">
        <v>2.1100000000000001E-2</v>
      </c>
      <c r="CN135">
        <v>2.1499999999999998E-2</v>
      </c>
      <c r="CO135" t="s">
        <v>123</v>
      </c>
      <c r="CP135" t="s">
        <v>123</v>
      </c>
      <c r="CQ135">
        <v>1.4E-2</v>
      </c>
      <c r="CR135">
        <v>1.44E-2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152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  <c r="DN135" t="s">
        <v>123</v>
      </c>
      <c r="DO135" t="s">
        <v>123</v>
      </c>
      <c r="DP135" t="s">
        <v>123</v>
      </c>
      <c r="DQ135" t="s">
        <v>123</v>
      </c>
      <c r="DR135" t="s">
        <v>123</v>
      </c>
      <c r="DS135" t="s">
        <v>123</v>
      </c>
    </row>
    <row r="136" spans="1:123" x14ac:dyDescent="0.3">
      <c r="A136">
        <v>135</v>
      </c>
      <c r="B136" t="s">
        <v>123</v>
      </c>
      <c r="C136" t="s">
        <v>123</v>
      </c>
      <c r="D136" t="s">
        <v>662</v>
      </c>
      <c r="E136" t="s">
        <v>123</v>
      </c>
      <c r="F136" t="s">
        <v>125</v>
      </c>
      <c r="G136" t="s">
        <v>126</v>
      </c>
      <c r="H136" t="s">
        <v>127</v>
      </c>
      <c r="I136" t="s">
        <v>128</v>
      </c>
      <c r="J136" t="s">
        <v>123</v>
      </c>
      <c r="K136" t="s">
        <v>651</v>
      </c>
      <c r="L136" t="s">
        <v>130</v>
      </c>
      <c r="M136" t="s">
        <v>652</v>
      </c>
      <c r="N136" t="s">
        <v>180</v>
      </c>
      <c r="O136" t="s">
        <v>133</v>
      </c>
      <c r="P136" t="s">
        <v>123</v>
      </c>
      <c r="Q136" t="s">
        <v>123</v>
      </c>
      <c r="R136" t="s">
        <v>123</v>
      </c>
      <c r="S136" t="s">
        <v>123</v>
      </c>
      <c r="T136" s="1">
        <v>46180</v>
      </c>
      <c r="U136" t="s">
        <v>123</v>
      </c>
      <c r="V136" t="s">
        <v>123</v>
      </c>
      <c r="W136" t="s">
        <v>123</v>
      </c>
      <c r="X136" t="s">
        <v>123</v>
      </c>
      <c r="Y136" t="s">
        <v>123</v>
      </c>
      <c r="Z136" t="s">
        <v>123</v>
      </c>
      <c r="AA136" t="s">
        <v>123</v>
      </c>
      <c r="AB136" t="s">
        <v>663</v>
      </c>
      <c r="AC136" t="s">
        <v>135</v>
      </c>
      <c r="AD136" t="s">
        <v>123</v>
      </c>
      <c r="AE136" t="s">
        <v>123</v>
      </c>
      <c r="AF136" t="s">
        <v>597</v>
      </c>
      <c r="AG136" t="s">
        <v>322</v>
      </c>
      <c r="AH136" t="s">
        <v>123</v>
      </c>
      <c r="AI136" t="s">
        <v>128</v>
      </c>
      <c r="AJ136" t="s">
        <v>138</v>
      </c>
      <c r="AK136" t="s">
        <v>139</v>
      </c>
      <c r="AL136" t="s">
        <v>123</v>
      </c>
      <c r="AM136" t="s">
        <v>123</v>
      </c>
      <c r="AN136" t="s">
        <v>123</v>
      </c>
      <c r="AO136" t="s">
        <v>123</v>
      </c>
      <c r="AP136">
        <v>250</v>
      </c>
      <c r="AQ136">
        <v>50</v>
      </c>
      <c r="AR136">
        <v>10</v>
      </c>
      <c r="AS136" t="s">
        <v>123</v>
      </c>
      <c r="AT136" t="s">
        <v>123</v>
      </c>
      <c r="AU136" t="s">
        <v>123</v>
      </c>
      <c r="AV136" t="s">
        <v>123</v>
      </c>
      <c r="AW136" t="s">
        <v>123</v>
      </c>
      <c r="AX136" t="s">
        <v>123</v>
      </c>
      <c r="AY136" t="s">
        <v>123</v>
      </c>
      <c r="AZ136" t="s">
        <v>123</v>
      </c>
      <c r="BA136" t="s">
        <v>140</v>
      </c>
      <c r="BB136" t="s">
        <v>123</v>
      </c>
      <c r="BC136" t="s">
        <v>123</v>
      </c>
      <c r="BD136" t="s">
        <v>123</v>
      </c>
      <c r="BE136" t="s">
        <v>123</v>
      </c>
      <c r="BF136" t="s">
        <v>123</v>
      </c>
      <c r="BG136" t="s">
        <v>141</v>
      </c>
      <c r="BH136" t="s">
        <v>123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123</v>
      </c>
      <c r="BX136" t="s">
        <v>123</v>
      </c>
      <c r="BY136" s="1">
        <v>45965.250381979167</v>
      </c>
      <c r="BZ136">
        <v>1503</v>
      </c>
      <c r="CA136" t="s">
        <v>123</v>
      </c>
      <c r="CB136" t="s">
        <v>123</v>
      </c>
      <c r="CC136">
        <v>0</v>
      </c>
      <c r="CD136" t="s">
        <v>123</v>
      </c>
      <c r="CE136" t="s">
        <v>123</v>
      </c>
      <c r="CF136" t="s">
        <v>123</v>
      </c>
      <c r="CG136" t="s">
        <v>123</v>
      </c>
      <c r="CH136" t="s">
        <v>123</v>
      </c>
      <c r="CI136" t="s">
        <v>123</v>
      </c>
      <c r="CJ136" t="s">
        <v>123</v>
      </c>
      <c r="CK136">
        <v>2.5100000000000001E-2</v>
      </c>
      <c r="CL136">
        <v>2.5399999999999999E-2</v>
      </c>
      <c r="CM136">
        <v>2.5999999999999999E-2</v>
      </c>
      <c r="CN136">
        <v>2.63E-2</v>
      </c>
      <c r="CO136" t="s">
        <v>123</v>
      </c>
      <c r="CP136" t="s">
        <v>123</v>
      </c>
      <c r="CQ136">
        <v>2.4199999999999999E-2</v>
      </c>
      <c r="CR136">
        <v>2.4500000000000001E-2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152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  <c r="DN136" t="s">
        <v>123</v>
      </c>
      <c r="DO136" t="s">
        <v>123</v>
      </c>
      <c r="DP136" t="s">
        <v>123</v>
      </c>
      <c r="DQ136" t="s">
        <v>123</v>
      </c>
      <c r="DR136" t="s">
        <v>123</v>
      </c>
      <c r="DS136" t="s">
        <v>123</v>
      </c>
    </row>
    <row r="137" spans="1:123" x14ac:dyDescent="0.3">
      <c r="A137">
        <v>136</v>
      </c>
      <c r="B137" t="s">
        <v>123</v>
      </c>
      <c r="C137" t="s">
        <v>123</v>
      </c>
      <c r="D137" t="s">
        <v>664</v>
      </c>
      <c r="E137" t="s">
        <v>123</v>
      </c>
      <c r="F137" t="s">
        <v>125</v>
      </c>
      <c r="G137" t="s">
        <v>126</v>
      </c>
      <c r="H137" t="s">
        <v>127</v>
      </c>
      <c r="I137" t="s">
        <v>128</v>
      </c>
      <c r="J137" t="s">
        <v>123</v>
      </c>
      <c r="K137" t="s">
        <v>651</v>
      </c>
      <c r="L137" t="s">
        <v>130</v>
      </c>
      <c r="M137" t="s">
        <v>652</v>
      </c>
      <c r="N137" t="s">
        <v>158</v>
      </c>
      <c r="O137" t="s">
        <v>150</v>
      </c>
      <c r="P137" t="s">
        <v>123</v>
      </c>
      <c r="Q137" t="s">
        <v>123</v>
      </c>
      <c r="R137" t="s">
        <v>123</v>
      </c>
      <c r="S137" t="s">
        <v>123</v>
      </c>
      <c r="T137" s="1">
        <v>46545</v>
      </c>
      <c r="U137" t="s">
        <v>123</v>
      </c>
      <c r="V137" t="s">
        <v>123</v>
      </c>
      <c r="W137" t="s">
        <v>123</v>
      </c>
      <c r="X137" t="s">
        <v>123</v>
      </c>
      <c r="Y137" t="s">
        <v>123</v>
      </c>
      <c r="Z137" t="s">
        <v>123</v>
      </c>
      <c r="AA137" t="s">
        <v>123</v>
      </c>
      <c r="AB137" t="s">
        <v>665</v>
      </c>
      <c r="AC137" t="s">
        <v>135</v>
      </c>
      <c r="AD137" t="s">
        <v>123</v>
      </c>
      <c r="AE137" t="s">
        <v>123</v>
      </c>
      <c r="AF137" t="s">
        <v>654</v>
      </c>
      <c r="AG137" t="s">
        <v>655</v>
      </c>
      <c r="AH137" t="s">
        <v>123</v>
      </c>
      <c r="AI137" t="s">
        <v>128</v>
      </c>
      <c r="AJ137" t="s">
        <v>138</v>
      </c>
      <c r="AK137" t="s">
        <v>139</v>
      </c>
      <c r="AL137" t="s">
        <v>123</v>
      </c>
      <c r="AM137" t="s">
        <v>123</v>
      </c>
      <c r="AN137" t="s">
        <v>123</v>
      </c>
      <c r="AO137" t="s">
        <v>123</v>
      </c>
      <c r="AP137">
        <v>250</v>
      </c>
      <c r="AQ137">
        <v>50</v>
      </c>
      <c r="AR137">
        <v>10</v>
      </c>
      <c r="AS137" t="s">
        <v>123</v>
      </c>
      <c r="AT137" t="s">
        <v>123</v>
      </c>
      <c r="AU137" t="s">
        <v>123</v>
      </c>
      <c r="AV137" t="s">
        <v>123</v>
      </c>
      <c r="AW137" t="s">
        <v>123</v>
      </c>
      <c r="AX137" t="s">
        <v>123</v>
      </c>
      <c r="AY137" t="s">
        <v>123</v>
      </c>
      <c r="AZ137" t="s">
        <v>123</v>
      </c>
      <c r="BA137" t="s">
        <v>140</v>
      </c>
      <c r="BB137" t="s">
        <v>123</v>
      </c>
      <c r="BC137" t="s">
        <v>123</v>
      </c>
      <c r="BD137" t="s">
        <v>123</v>
      </c>
      <c r="BE137" t="s">
        <v>123</v>
      </c>
      <c r="BF137" t="s">
        <v>123</v>
      </c>
      <c r="BG137" t="s">
        <v>141</v>
      </c>
      <c r="BH137" t="s">
        <v>123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123</v>
      </c>
      <c r="BX137" t="s">
        <v>123</v>
      </c>
      <c r="BY137" s="1">
        <v>45965.25042916667</v>
      </c>
      <c r="BZ137">
        <v>1503</v>
      </c>
      <c r="CA137" t="s">
        <v>123</v>
      </c>
      <c r="CB137" t="s">
        <v>123</v>
      </c>
      <c r="CC137">
        <v>0</v>
      </c>
      <c r="CD137" t="s">
        <v>123</v>
      </c>
      <c r="CE137" t="s">
        <v>123</v>
      </c>
      <c r="CF137" t="s">
        <v>123</v>
      </c>
      <c r="CG137" t="s">
        <v>123</v>
      </c>
      <c r="CH137" t="s">
        <v>123</v>
      </c>
      <c r="CI137" t="s">
        <v>123</v>
      </c>
      <c r="CJ137" t="s">
        <v>123</v>
      </c>
      <c r="CK137">
        <v>1.2500000000000001E-2</v>
      </c>
      <c r="CL137">
        <v>1.4999999999999999E-2</v>
      </c>
      <c r="CM137">
        <v>1.3599999999999999E-2</v>
      </c>
      <c r="CN137">
        <v>1.6400000000000001E-2</v>
      </c>
      <c r="CO137" t="s">
        <v>123</v>
      </c>
      <c r="CP137" t="s">
        <v>123</v>
      </c>
      <c r="CQ137">
        <v>1.1599999999999999E-2</v>
      </c>
      <c r="CR137">
        <v>1.4E-2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152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  <c r="DN137" t="s">
        <v>123</v>
      </c>
      <c r="DO137" t="s">
        <v>123</v>
      </c>
      <c r="DP137" t="s">
        <v>123</v>
      </c>
      <c r="DQ137" t="s">
        <v>123</v>
      </c>
      <c r="DR137" t="s">
        <v>123</v>
      </c>
      <c r="DS137" t="s">
        <v>123</v>
      </c>
    </row>
    <row r="138" spans="1:123" x14ac:dyDescent="0.3">
      <c r="A138">
        <v>137</v>
      </c>
      <c r="B138" t="s">
        <v>123</v>
      </c>
      <c r="C138" t="s">
        <v>123</v>
      </c>
      <c r="D138" t="s">
        <v>666</v>
      </c>
      <c r="E138" t="s">
        <v>123</v>
      </c>
      <c r="F138" t="s">
        <v>125</v>
      </c>
      <c r="G138" t="s">
        <v>126</v>
      </c>
      <c r="H138" t="s">
        <v>127</v>
      </c>
      <c r="I138" t="s">
        <v>128</v>
      </c>
      <c r="J138" t="s">
        <v>123</v>
      </c>
      <c r="K138" t="s">
        <v>651</v>
      </c>
      <c r="L138" t="s">
        <v>130</v>
      </c>
      <c r="M138" t="s">
        <v>652</v>
      </c>
      <c r="N138" t="s">
        <v>180</v>
      </c>
      <c r="O138" t="s">
        <v>150</v>
      </c>
      <c r="P138" t="s">
        <v>123</v>
      </c>
      <c r="Q138" t="s">
        <v>123</v>
      </c>
      <c r="R138" t="s">
        <v>123</v>
      </c>
      <c r="S138" t="s">
        <v>123</v>
      </c>
      <c r="T138" s="1">
        <v>46545</v>
      </c>
      <c r="U138" t="s">
        <v>123</v>
      </c>
      <c r="V138" t="s">
        <v>123</v>
      </c>
      <c r="W138" t="s">
        <v>123</v>
      </c>
      <c r="X138" t="s">
        <v>123</v>
      </c>
      <c r="Y138" t="s">
        <v>123</v>
      </c>
      <c r="Z138" t="s">
        <v>123</v>
      </c>
      <c r="AA138" t="s">
        <v>123</v>
      </c>
      <c r="AB138" t="s">
        <v>667</v>
      </c>
      <c r="AC138" t="s">
        <v>135</v>
      </c>
      <c r="AD138" t="s">
        <v>123</v>
      </c>
      <c r="AE138" t="s">
        <v>123</v>
      </c>
      <c r="AF138" t="s">
        <v>654</v>
      </c>
      <c r="AG138" t="s">
        <v>655</v>
      </c>
      <c r="AH138" t="s">
        <v>123</v>
      </c>
      <c r="AI138" t="s">
        <v>128</v>
      </c>
      <c r="AJ138" t="s">
        <v>138</v>
      </c>
      <c r="AK138" t="s">
        <v>139</v>
      </c>
      <c r="AL138" t="s">
        <v>123</v>
      </c>
      <c r="AM138" t="s">
        <v>123</v>
      </c>
      <c r="AN138" t="s">
        <v>123</v>
      </c>
      <c r="AO138" t="s">
        <v>123</v>
      </c>
      <c r="AP138">
        <v>250</v>
      </c>
      <c r="AQ138">
        <v>50</v>
      </c>
      <c r="AR138">
        <v>10</v>
      </c>
      <c r="AS138" t="s">
        <v>123</v>
      </c>
      <c r="AT138" t="s">
        <v>123</v>
      </c>
      <c r="AU138" t="s">
        <v>123</v>
      </c>
      <c r="AV138" t="s">
        <v>123</v>
      </c>
      <c r="AW138" t="s">
        <v>123</v>
      </c>
      <c r="AX138" t="s">
        <v>123</v>
      </c>
      <c r="AY138" t="s">
        <v>123</v>
      </c>
      <c r="AZ138" t="s">
        <v>123</v>
      </c>
      <c r="BA138" t="s">
        <v>140</v>
      </c>
      <c r="BB138" t="s">
        <v>123</v>
      </c>
      <c r="BC138" t="s">
        <v>123</v>
      </c>
      <c r="BD138" t="s">
        <v>123</v>
      </c>
      <c r="BE138" t="s">
        <v>123</v>
      </c>
      <c r="BF138" t="s">
        <v>123</v>
      </c>
      <c r="BG138" t="s">
        <v>141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s="1">
        <v>45965.250453587963</v>
      </c>
      <c r="BZ138">
        <v>1503</v>
      </c>
      <c r="CA138" t="s">
        <v>123</v>
      </c>
      <c r="CB138" t="s">
        <v>123</v>
      </c>
      <c r="CC138">
        <v>0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>
        <v>1.4999999999999999E-2</v>
      </c>
      <c r="CL138">
        <v>1.7999999999999999E-2</v>
      </c>
      <c r="CM138">
        <v>1.6299999999999999E-2</v>
      </c>
      <c r="CN138">
        <v>1.9800000000000002E-2</v>
      </c>
      <c r="CO138" t="s">
        <v>123</v>
      </c>
      <c r="CP138" t="s">
        <v>123</v>
      </c>
      <c r="CQ138">
        <v>1.3599999999999999E-2</v>
      </c>
      <c r="CR138">
        <v>1.6400000000000001E-2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152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  <c r="DN138" t="s">
        <v>123</v>
      </c>
      <c r="DO138" t="s">
        <v>123</v>
      </c>
      <c r="DP138" t="s">
        <v>123</v>
      </c>
      <c r="DQ138" t="s">
        <v>123</v>
      </c>
      <c r="DR138" t="s">
        <v>123</v>
      </c>
      <c r="DS138" t="s">
        <v>123</v>
      </c>
    </row>
    <row r="139" spans="1:123" x14ac:dyDescent="0.3">
      <c r="A139">
        <v>138</v>
      </c>
      <c r="B139" t="s">
        <v>123</v>
      </c>
      <c r="C139" t="s">
        <v>123</v>
      </c>
      <c r="D139" t="s">
        <v>668</v>
      </c>
      <c r="E139" t="s">
        <v>123</v>
      </c>
      <c r="F139" t="s">
        <v>125</v>
      </c>
      <c r="G139" t="s">
        <v>126</v>
      </c>
      <c r="H139" t="s">
        <v>127</v>
      </c>
      <c r="I139" t="s">
        <v>199</v>
      </c>
      <c r="J139" t="s">
        <v>123</v>
      </c>
      <c r="K139" t="s">
        <v>669</v>
      </c>
      <c r="L139" t="s">
        <v>130</v>
      </c>
      <c r="M139" t="s">
        <v>670</v>
      </c>
      <c r="N139" t="s">
        <v>158</v>
      </c>
      <c r="O139" t="s">
        <v>133</v>
      </c>
      <c r="P139" t="s">
        <v>123</v>
      </c>
      <c r="Q139" t="s">
        <v>123</v>
      </c>
      <c r="R139" t="s">
        <v>123</v>
      </c>
      <c r="S139" t="s">
        <v>123</v>
      </c>
      <c r="T139" s="1">
        <v>46395</v>
      </c>
      <c r="U139" t="s">
        <v>123</v>
      </c>
      <c r="V139" t="s">
        <v>123</v>
      </c>
      <c r="W139" t="s">
        <v>123</v>
      </c>
      <c r="X139" t="s">
        <v>123</v>
      </c>
      <c r="Y139" t="s">
        <v>123</v>
      </c>
      <c r="Z139" t="s">
        <v>123</v>
      </c>
      <c r="AA139" t="s">
        <v>123</v>
      </c>
      <c r="AB139" t="s">
        <v>671</v>
      </c>
      <c r="AC139" t="s">
        <v>135</v>
      </c>
      <c r="AD139" t="s">
        <v>123</v>
      </c>
      <c r="AE139" t="s">
        <v>123</v>
      </c>
      <c r="AF139" t="s">
        <v>203</v>
      </c>
      <c r="AG139" t="s">
        <v>204</v>
      </c>
      <c r="AH139" t="s">
        <v>123</v>
      </c>
      <c r="AI139" t="s">
        <v>199</v>
      </c>
      <c r="AJ139" t="s">
        <v>138</v>
      </c>
      <c r="AK139" t="s">
        <v>139</v>
      </c>
      <c r="AL139" t="s">
        <v>123</v>
      </c>
      <c r="AM139" t="s">
        <v>123</v>
      </c>
      <c r="AN139" t="s">
        <v>123</v>
      </c>
      <c r="AO139" t="s">
        <v>123</v>
      </c>
      <c r="AP139">
        <v>250</v>
      </c>
      <c r="AQ139">
        <v>50</v>
      </c>
      <c r="AR139">
        <v>10</v>
      </c>
      <c r="AS139" t="s">
        <v>123</v>
      </c>
      <c r="AT139" t="s">
        <v>123</v>
      </c>
      <c r="AU139" t="s">
        <v>123</v>
      </c>
      <c r="AV139" t="s">
        <v>123</v>
      </c>
      <c r="AW139" t="s">
        <v>123</v>
      </c>
      <c r="AX139" t="s">
        <v>123</v>
      </c>
      <c r="AY139" t="s">
        <v>123</v>
      </c>
      <c r="AZ139" t="s">
        <v>123</v>
      </c>
      <c r="BA139" t="s">
        <v>140</v>
      </c>
      <c r="BB139" t="s">
        <v>123</v>
      </c>
      <c r="BC139" t="s">
        <v>123</v>
      </c>
      <c r="BD139" t="s">
        <v>123</v>
      </c>
      <c r="BE139" t="s">
        <v>123</v>
      </c>
      <c r="BF139" t="s">
        <v>123</v>
      </c>
      <c r="BG139" t="s">
        <v>141</v>
      </c>
      <c r="BH139" t="s">
        <v>123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123</v>
      </c>
      <c r="BX139" t="s">
        <v>123</v>
      </c>
      <c r="BY139" s="1">
        <v>45965.250478043985</v>
      </c>
      <c r="BZ139">
        <v>1547</v>
      </c>
      <c r="CA139" t="s">
        <v>123</v>
      </c>
      <c r="CB139" t="s">
        <v>123</v>
      </c>
      <c r="CC139">
        <v>0</v>
      </c>
      <c r="CD139" t="s">
        <v>123</v>
      </c>
      <c r="CE139" t="s">
        <v>123</v>
      </c>
      <c r="CF139" t="s">
        <v>123</v>
      </c>
      <c r="CG139" t="s">
        <v>123</v>
      </c>
      <c r="CH139" t="s">
        <v>123</v>
      </c>
      <c r="CI139" t="s">
        <v>123</v>
      </c>
      <c r="CJ139" t="s">
        <v>123</v>
      </c>
      <c r="CK139">
        <v>9.7999999999999997E-3</v>
      </c>
      <c r="CL139">
        <v>1.0800000000000001E-2</v>
      </c>
      <c r="CM139">
        <v>1.32E-2</v>
      </c>
      <c r="CN139">
        <v>1.49E-2</v>
      </c>
      <c r="CO139" t="s">
        <v>123</v>
      </c>
      <c r="CP139" t="s">
        <v>123</v>
      </c>
      <c r="CQ139">
        <v>7.1000000000000004E-3</v>
      </c>
      <c r="CR139">
        <v>7.7999999999999996E-3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205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  <c r="DN139" t="s">
        <v>123</v>
      </c>
      <c r="DO139" t="s">
        <v>123</v>
      </c>
      <c r="DP139" t="s">
        <v>123</v>
      </c>
      <c r="DQ139" t="s">
        <v>123</v>
      </c>
      <c r="DR139" t="s">
        <v>123</v>
      </c>
      <c r="DS139" t="s">
        <v>123</v>
      </c>
    </row>
    <row r="140" spans="1:123" x14ac:dyDescent="0.3">
      <c r="A140">
        <v>139</v>
      </c>
      <c r="B140" t="s">
        <v>123</v>
      </c>
      <c r="C140" t="s">
        <v>123</v>
      </c>
      <c r="D140" t="s">
        <v>672</v>
      </c>
      <c r="E140" t="s">
        <v>123</v>
      </c>
      <c r="F140" t="s">
        <v>125</v>
      </c>
      <c r="G140" t="s">
        <v>126</v>
      </c>
      <c r="H140" t="s">
        <v>127</v>
      </c>
      <c r="I140" t="s">
        <v>199</v>
      </c>
      <c r="J140" t="s">
        <v>123</v>
      </c>
      <c r="K140" t="s">
        <v>669</v>
      </c>
      <c r="L140" t="s">
        <v>130</v>
      </c>
      <c r="M140" t="s">
        <v>670</v>
      </c>
      <c r="N140" t="s">
        <v>180</v>
      </c>
      <c r="O140" t="s">
        <v>133</v>
      </c>
      <c r="P140" t="s">
        <v>123</v>
      </c>
      <c r="Q140" t="s">
        <v>123</v>
      </c>
      <c r="R140" t="s">
        <v>123</v>
      </c>
      <c r="S140" t="s">
        <v>123</v>
      </c>
      <c r="T140" s="1">
        <v>46395</v>
      </c>
      <c r="U140" t="s">
        <v>123</v>
      </c>
      <c r="V140" t="s">
        <v>123</v>
      </c>
      <c r="W140" t="s">
        <v>123</v>
      </c>
      <c r="X140" t="s">
        <v>123</v>
      </c>
      <c r="Y140" t="s">
        <v>123</v>
      </c>
      <c r="Z140" t="s">
        <v>123</v>
      </c>
      <c r="AA140" t="s">
        <v>123</v>
      </c>
      <c r="AB140" t="s">
        <v>673</v>
      </c>
      <c r="AC140" t="s">
        <v>135</v>
      </c>
      <c r="AD140" t="s">
        <v>123</v>
      </c>
      <c r="AE140" t="s">
        <v>123</v>
      </c>
      <c r="AF140" t="s">
        <v>203</v>
      </c>
      <c r="AG140" t="s">
        <v>204</v>
      </c>
      <c r="AH140" t="s">
        <v>123</v>
      </c>
      <c r="AI140" t="s">
        <v>199</v>
      </c>
      <c r="AJ140" t="s">
        <v>138</v>
      </c>
      <c r="AK140" t="s">
        <v>139</v>
      </c>
      <c r="AL140" t="s">
        <v>123</v>
      </c>
      <c r="AM140" t="s">
        <v>123</v>
      </c>
      <c r="AN140" t="s">
        <v>123</v>
      </c>
      <c r="AO140" t="s">
        <v>123</v>
      </c>
      <c r="AP140">
        <v>250</v>
      </c>
      <c r="AQ140">
        <v>50</v>
      </c>
      <c r="AR140">
        <v>10</v>
      </c>
      <c r="AS140" t="s">
        <v>123</v>
      </c>
      <c r="AT140" t="s">
        <v>123</v>
      </c>
      <c r="AU140" t="s">
        <v>123</v>
      </c>
      <c r="AV140" t="s">
        <v>123</v>
      </c>
      <c r="AW140" t="s">
        <v>123</v>
      </c>
      <c r="AX140" t="s">
        <v>123</v>
      </c>
      <c r="AY140" t="s">
        <v>123</v>
      </c>
      <c r="AZ140" t="s">
        <v>123</v>
      </c>
      <c r="BA140" t="s">
        <v>140</v>
      </c>
      <c r="BB140" t="s">
        <v>123</v>
      </c>
      <c r="BC140" t="s">
        <v>123</v>
      </c>
      <c r="BD140" t="s">
        <v>123</v>
      </c>
      <c r="BE140" t="s">
        <v>123</v>
      </c>
      <c r="BF140" t="s">
        <v>123</v>
      </c>
      <c r="BG140" t="s">
        <v>141</v>
      </c>
      <c r="BH140" t="s">
        <v>123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123</v>
      </c>
      <c r="BX140" t="s">
        <v>123</v>
      </c>
      <c r="BY140" s="1">
        <v>45965.250501504626</v>
      </c>
      <c r="BZ140">
        <v>1547</v>
      </c>
      <c r="CA140" t="s">
        <v>123</v>
      </c>
      <c r="CB140" t="s">
        <v>123</v>
      </c>
      <c r="CC140">
        <v>0</v>
      </c>
      <c r="CD140" t="s">
        <v>123</v>
      </c>
      <c r="CE140" t="s">
        <v>123</v>
      </c>
      <c r="CF140" t="s">
        <v>123</v>
      </c>
      <c r="CG140" t="s">
        <v>123</v>
      </c>
      <c r="CH140" t="s">
        <v>123</v>
      </c>
      <c r="CI140" t="s">
        <v>123</v>
      </c>
      <c r="CJ140" t="s">
        <v>123</v>
      </c>
      <c r="CK140">
        <v>1.9099999999999999E-2</v>
      </c>
      <c r="CL140">
        <v>2.1499999999999998E-2</v>
      </c>
      <c r="CM140">
        <v>2.81E-2</v>
      </c>
      <c r="CN140">
        <v>3.1699999999999999E-2</v>
      </c>
      <c r="CO140" t="s">
        <v>123</v>
      </c>
      <c r="CP140" t="s">
        <v>123</v>
      </c>
      <c r="CQ140">
        <v>1.32E-2</v>
      </c>
      <c r="CR140">
        <v>1.4999999999999999E-2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205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  <c r="DN140" t="s">
        <v>123</v>
      </c>
      <c r="DO140" t="s">
        <v>123</v>
      </c>
      <c r="DP140" t="s">
        <v>123</v>
      </c>
      <c r="DQ140" t="s">
        <v>123</v>
      </c>
      <c r="DR140" t="s">
        <v>123</v>
      </c>
      <c r="DS140" t="s">
        <v>123</v>
      </c>
    </row>
    <row r="141" spans="1:123" x14ac:dyDescent="0.3">
      <c r="A141">
        <v>140</v>
      </c>
      <c r="B141" t="s">
        <v>123</v>
      </c>
      <c r="C141" t="s">
        <v>123</v>
      </c>
      <c r="D141" t="s">
        <v>674</v>
      </c>
      <c r="E141" t="s">
        <v>123</v>
      </c>
      <c r="F141" t="s">
        <v>125</v>
      </c>
      <c r="G141" t="s">
        <v>126</v>
      </c>
      <c r="H141" t="s">
        <v>127</v>
      </c>
      <c r="I141" t="s">
        <v>128</v>
      </c>
      <c r="J141" t="s">
        <v>123</v>
      </c>
      <c r="K141" t="s">
        <v>543</v>
      </c>
      <c r="L141" t="s">
        <v>130</v>
      </c>
      <c r="M141" t="s">
        <v>544</v>
      </c>
      <c r="N141" t="s">
        <v>158</v>
      </c>
      <c r="O141" t="s">
        <v>675</v>
      </c>
      <c r="P141" t="s">
        <v>123</v>
      </c>
      <c r="Q141" t="s">
        <v>123</v>
      </c>
      <c r="R141" t="s">
        <v>123</v>
      </c>
      <c r="S141" t="s">
        <v>123</v>
      </c>
      <c r="T141" s="1">
        <v>46759</v>
      </c>
      <c r="U141" t="s">
        <v>123</v>
      </c>
      <c r="V141" t="s">
        <v>123</v>
      </c>
      <c r="W141" t="s">
        <v>123</v>
      </c>
      <c r="X141" t="s">
        <v>123</v>
      </c>
      <c r="Y141" t="s">
        <v>123</v>
      </c>
      <c r="Z141" t="s">
        <v>123</v>
      </c>
      <c r="AA141" t="s">
        <v>123</v>
      </c>
      <c r="AB141" t="s">
        <v>676</v>
      </c>
      <c r="AC141" t="s">
        <v>135</v>
      </c>
      <c r="AD141" t="s">
        <v>123</v>
      </c>
      <c r="AE141" t="s">
        <v>123</v>
      </c>
      <c r="AF141" t="s">
        <v>176</v>
      </c>
      <c r="AG141" t="s">
        <v>177</v>
      </c>
      <c r="AH141" t="s">
        <v>123</v>
      </c>
      <c r="AI141" t="s">
        <v>128</v>
      </c>
      <c r="AJ141" t="s">
        <v>138</v>
      </c>
      <c r="AK141" t="s">
        <v>139</v>
      </c>
      <c r="AL141" t="s">
        <v>123</v>
      </c>
      <c r="AM141" t="s">
        <v>123</v>
      </c>
      <c r="AN141" t="s">
        <v>123</v>
      </c>
      <c r="AO141" t="s">
        <v>123</v>
      </c>
      <c r="AP141">
        <v>250</v>
      </c>
      <c r="AQ141">
        <v>50</v>
      </c>
      <c r="AR141">
        <v>10</v>
      </c>
      <c r="AS141" t="s">
        <v>123</v>
      </c>
      <c r="AT141" t="s">
        <v>123</v>
      </c>
      <c r="AU141" t="s">
        <v>123</v>
      </c>
      <c r="AV141" t="s">
        <v>123</v>
      </c>
      <c r="AW141" t="s">
        <v>123</v>
      </c>
      <c r="AX141" t="s">
        <v>123</v>
      </c>
      <c r="AY141" t="s">
        <v>123</v>
      </c>
      <c r="AZ141" t="s">
        <v>123</v>
      </c>
      <c r="BA141" t="s">
        <v>140</v>
      </c>
      <c r="BB141" t="s">
        <v>123</v>
      </c>
      <c r="BC141" t="s">
        <v>123</v>
      </c>
      <c r="BD141" t="s">
        <v>123</v>
      </c>
      <c r="BE141" t="s">
        <v>123</v>
      </c>
      <c r="BF141" t="s">
        <v>123</v>
      </c>
      <c r="BG141" t="s">
        <v>141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s="1">
        <v>45965.250525428244</v>
      </c>
      <c r="BZ141">
        <v>1485</v>
      </c>
      <c r="CA141" t="s">
        <v>123</v>
      </c>
      <c r="CB141" t="s">
        <v>123</v>
      </c>
      <c r="CC141">
        <v>0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>
        <v>5.8999999999999999E-3</v>
      </c>
      <c r="CL141">
        <v>7.0000000000000001E-3</v>
      </c>
      <c r="CM141">
        <v>7.4999999999999997E-3</v>
      </c>
      <c r="CN141">
        <v>9.1000000000000004E-3</v>
      </c>
      <c r="CO141" t="s">
        <v>123</v>
      </c>
      <c r="CP141" t="s">
        <v>123</v>
      </c>
      <c r="CQ141">
        <v>5.1999999999999998E-3</v>
      </c>
      <c r="CR141">
        <v>6.1000000000000004E-3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152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  <c r="DN141" t="s">
        <v>123</v>
      </c>
      <c r="DO141" t="s">
        <v>123</v>
      </c>
      <c r="DP141" t="s">
        <v>123</v>
      </c>
      <c r="DQ141" t="s">
        <v>123</v>
      </c>
      <c r="DR141" t="s">
        <v>123</v>
      </c>
      <c r="DS141" t="s">
        <v>123</v>
      </c>
    </row>
    <row r="142" spans="1:123" x14ac:dyDescent="0.3">
      <c r="A142">
        <v>141</v>
      </c>
      <c r="B142" t="s">
        <v>123</v>
      </c>
      <c r="C142" t="s">
        <v>123</v>
      </c>
      <c r="D142" t="s">
        <v>677</v>
      </c>
      <c r="E142" t="s">
        <v>123</v>
      </c>
      <c r="F142" t="s">
        <v>125</v>
      </c>
      <c r="G142" t="s">
        <v>126</v>
      </c>
      <c r="H142" t="s">
        <v>127</v>
      </c>
      <c r="I142" t="s">
        <v>199</v>
      </c>
      <c r="J142" t="s">
        <v>123</v>
      </c>
      <c r="K142" t="s">
        <v>200</v>
      </c>
      <c r="L142" t="s">
        <v>130</v>
      </c>
      <c r="M142" t="s">
        <v>201</v>
      </c>
      <c r="N142" t="s">
        <v>158</v>
      </c>
      <c r="O142" t="s">
        <v>159</v>
      </c>
      <c r="P142" t="s">
        <v>123</v>
      </c>
      <c r="Q142" t="s">
        <v>123</v>
      </c>
      <c r="R142" t="s">
        <v>123</v>
      </c>
      <c r="S142" t="s">
        <v>123</v>
      </c>
      <c r="T142" s="1">
        <v>46825</v>
      </c>
      <c r="U142" t="s">
        <v>123</v>
      </c>
      <c r="V142" t="s">
        <v>123</v>
      </c>
      <c r="W142" t="s">
        <v>123</v>
      </c>
      <c r="X142" t="s">
        <v>123</v>
      </c>
      <c r="Y142" t="s">
        <v>123</v>
      </c>
      <c r="Z142" t="s">
        <v>123</v>
      </c>
      <c r="AA142" t="s">
        <v>123</v>
      </c>
      <c r="AB142" t="s">
        <v>678</v>
      </c>
      <c r="AC142" t="s">
        <v>135</v>
      </c>
      <c r="AD142" t="s">
        <v>123</v>
      </c>
      <c r="AE142" t="s">
        <v>123</v>
      </c>
      <c r="AF142" t="s">
        <v>203</v>
      </c>
      <c r="AG142" t="s">
        <v>204</v>
      </c>
      <c r="AH142" t="s">
        <v>123</v>
      </c>
      <c r="AI142" t="s">
        <v>199</v>
      </c>
      <c r="AJ142" t="s">
        <v>186</v>
      </c>
      <c r="AK142" t="s">
        <v>139</v>
      </c>
      <c r="AL142" t="s">
        <v>123</v>
      </c>
      <c r="AM142" t="s">
        <v>123</v>
      </c>
      <c r="AN142" t="s">
        <v>123</v>
      </c>
      <c r="AO142" t="s">
        <v>123</v>
      </c>
      <c r="AP142">
        <v>250</v>
      </c>
      <c r="AQ142">
        <v>50</v>
      </c>
      <c r="AR142">
        <v>10</v>
      </c>
      <c r="AS142" t="s">
        <v>123</v>
      </c>
      <c r="AT142" t="s">
        <v>123</v>
      </c>
      <c r="AU142" t="s">
        <v>123</v>
      </c>
      <c r="AV142" t="s">
        <v>123</v>
      </c>
      <c r="AW142" t="s">
        <v>123</v>
      </c>
      <c r="AX142" t="s">
        <v>123</v>
      </c>
      <c r="AY142" t="s">
        <v>123</v>
      </c>
      <c r="AZ142" t="s">
        <v>123</v>
      </c>
      <c r="BA142" t="s">
        <v>140</v>
      </c>
      <c r="BB142" t="s">
        <v>123</v>
      </c>
      <c r="BC142" t="s">
        <v>123</v>
      </c>
      <c r="BD142" t="s">
        <v>123</v>
      </c>
      <c r="BE142" t="s">
        <v>123</v>
      </c>
      <c r="BF142" t="s">
        <v>123</v>
      </c>
      <c r="BG142" t="s">
        <v>141</v>
      </c>
      <c r="BH142" t="s">
        <v>123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123</v>
      </c>
      <c r="BX142" t="s">
        <v>123</v>
      </c>
      <c r="BY142" s="1">
        <v>45965.250551076388</v>
      </c>
      <c r="BZ142">
        <v>1459</v>
      </c>
      <c r="CA142" t="s">
        <v>123</v>
      </c>
      <c r="CB142" t="s">
        <v>123</v>
      </c>
      <c r="CC142">
        <v>0</v>
      </c>
      <c r="CD142" t="s">
        <v>123</v>
      </c>
      <c r="CE142" t="s">
        <v>123</v>
      </c>
      <c r="CF142" t="s">
        <v>123</v>
      </c>
      <c r="CG142" t="s">
        <v>123</v>
      </c>
      <c r="CH142" t="s">
        <v>123</v>
      </c>
      <c r="CI142" t="s">
        <v>123</v>
      </c>
      <c r="CJ142" t="s">
        <v>123</v>
      </c>
      <c r="CK142">
        <v>2.24E-2</v>
      </c>
      <c r="CL142">
        <v>2.52E-2</v>
      </c>
      <c r="CM142">
        <v>2.5999999999999999E-2</v>
      </c>
      <c r="CN142">
        <v>2.93E-2</v>
      </c>
      <c r="CO142" t="s">
        <v>123</v>
      </c>
      <c r="CP142" t="s">
        <v>123</v>
      </c>
      <c r="CQ142">
        <v>1.9599999999999999E-2</v>
      </c>
      <c r="CR142">
        <v>2.1700000000000001E-2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205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  <c r="DN142" t="s">
        <v>123</v>
      </c>
      <c r="DO142" t="s">
        <v>123</v>
      </c>
      <c r="DP142" t="s">
        <v>123</v>
      </c>
      <c r="DQ142" t="s">
        <v>123</v>
      </c>
      <c r="DR142" t="s">
        <v>123</v>
      </c>
      <c r="DS142" t="s">
        <v>123</v>
      </c>
    </row>
    <row r="143" spans="1:123" x14ac:dyDescent="0.3">
      <c r="A143">
        <v>142</v>
      </c>
      <c r="B143" t="s">
        <v>123</v>
      </c>
      <c r="C143" t="s">
        <v>123</v>
      </c>
      <c r="D143" t="s">
        <v>679</v>
      </c>
      <c r="E143" t="s">
        <v>123</v>
      </c>
      <c r="F143" t="s">
        <v>125</v>
      </c>
      <c r="G143" t="s">
        <v>126</v>
      </c>
      <c r="H143" t="s">
        <v>127</v>
      </c>
      <c r="I143" t="s">
        <v>128</v>
      </c>
      <c r="J143" t="s">
        <v>123</v>
      </c>
      <c r="K143" t="s">
        <v>680</v>
      </c>
      <c r="L143" t="s">
        <v>130</v>
      </c>
      <c r="M143" t="s">
        <v>681</v>
      </c>
      <c r="N143" t="s">
        <v>158</v>
      </c>
      <c r="O143" t="s">
        <v>133</v>
      </c>
      <c r="P143" t="s">
        <v>123</v>
      </c>
      <c r="Q143" t="s">
        <v>123</v>
      </c>
      <c r="R143" t="s">
        <v>123</v>
      </c>
      <c r="S143" t="s">
        <v>123</v>
      </c>
      <c r="T143" s="1">
        <v>46168</v>
      </c>
      <c r="U143" t="s">
        <v>123</v>
      </c>
      <c r="V143" t="s">
        <v>123</v>
      </c>
      <c r="W143" t="s">
        <v>123</v>
      </c>
      <c r="X143" t="s">
        <v>123</v>
      </c>
      <c r="Y143" t="s">
        <v>123</v>
      </c>
      <c r="Z143" t="s">
        <v>123</v>
      </c>
      <c r="AA143" t="s">
        <v>123</v>
      </c>
      <c r="AB143" t="s">
        <v>682</v>
      </c>
      <c r="AC143" t="s">
        <v>135</v>
      </c>
      <c r="AD143" t="s">
        <v>123</v>
      </c>
      <c r="AE143" t="s">
        <v>123</v>
      </c>
      <c r="AF143" t="s">
        <v>683</v>
      </c>
      <c r="AG143" t="s">
        <v>684</v>
      </c>
      <c r="AH143" t="s">
        <v>123</v>
      </c>
      <c r="AI143" t="s">
        <v>128</v>
      </c>
      <c r="AJ143" t="s">
        <v>138</v>
      </c>
      <c r="AK143" t="s">
        <v>139</v>
      </c>
      <c r="AL143" t="s">
        <v>123</v>
      </c>
      <c r="AM143" t="s">
        <v>123</v>
      </c>
      <c r="AN143" t="s">
        <v>123</v>
      </c>
      <c r="AO143" t="s">
        <v>123</v>
      </c>
      <c r="AP143">
        <v>250</v>
      </c>
      <c r="AQ143">
        <v>50</v>
      </c>
      <c r="AR143">
        <v>10</v>
      </c>
      <c r="AS143" t="s">
        <v>123</v>
      </c>
      <c r="AT143" t="s">
        <v>123</v>
      </c>
      <c r="AU143" t="s">
        <v>123</v>
      </c>
      <c r="AV143" t="s">
        <v>123</v>
      </c>
      <c r="AW143" t="s">
        <v>123</v>
      </c>
      <c r="AX143" t="s">
        <v>123</v>
      </c>
      <c r="AY143" t="s">
        <v>123</v>
      </c>
      <c r="AZ143" t="s">
        <v>123</v>
      </c>
      <c r="BA143" t="s">
        <v>140</v>
      </c>
      <c r="BB143" t="s">
        <v>123</v>
      </c>
      <c r="BC143" t="s">
        <v>123</v>
      </c>
      <c r="BD143" t="s">
        <v>123</v>
      </c>
      <c r="BE143" t="s">
        <v>123</v>
      </c>
      <c r="BF143" t="s">
        <v>123</v>
      </c>
      <c r="BG143" t="s">
        <v>141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s="1">
        <v>45965.250574421298</v>
      </c>
      <c r="BZ143">
        <v>1451</v>
      </c>
      <c r="CA143" t="s">
        <v>123</v>
      </c>
      <c r="CB143" t="s">
        <v>123</v>
      </c>
      <c r="CC143">
        <v>0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>
        <v>2.1399999999999999E-2</v>
      </c>
      <c r="CL143">
        <v>2.3099999999999999E-2</v>
      </c>
      <c r="CM143">
        <v>2.5000000000000001E-2</v>
      </c>
      <c r="CN143">
        <v>2.7099999999999999E-2</v>
      </c>
      <c r="CO143" t="s">
        <v>123</v>
      </c>
      <c r="CP143" t="s">
        <v>123</v>
      </c>
      <c r="CQ143">
        <v>1.8700000000000001E-2</v>
      </c>
      <c r="CR143">
        <v>0.02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205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  <c r="DN143" t="s">
        <v>123</v>
      </c>
      <c r="DO143" t="s">
        <v>123</v>
      </c>
      <c r="DP143" t="s">
        <v>123</v>
      </c>
      <c r="DQ143" t="s">
        <v>123</v>
      </c>
      <c r="DR143" t="s">
        <v>123</v>
      </c>
      <c r="DS143" t="s">
        <v>123</v>
      </c>
    </row>
    <row r="144" spans="1:123" x14ac:dyDescent="0.3">
      <c r="A144">
        <v>143</v>
      </c>
      <c r="B144" t="s">
        <v>123</v>
      </c>
      <c r="C144" t="s">
        <v>123</v>
      </c>
      <c r="D144" t="s">
        <v>685</v>
      </c>
      <c r="E144" t="s">
        <v>123</v>
      </c>
      <c r="F144" t="s">
        <v>125</v>
      </c>
      <c r="G144" t="s">
        <v>126</v>
      </c>
      <c r="H144" t="s">
        <v>127</v>
      </c>
      <c r="I144" t="s">
        <v>128</v>
      </c>
      <c r="J144" t="s">
        <v>123</v>
      </c>
      <c r="K144" t="s">
        <v>680</v>
      </c>
      <c r="L144" t="s">
        <v>130</v>
      </c>
      <c r="M144" t="s">
        <v>681</v>
      </c>
      <c r="N144" t="s">
        <v>180</v>
      </c>
      <c r="O144" t="s">
        <v>133</v>
      </c>
      <c r="P144" t="s">
        <v>123</v>
      </c>
      <c r="Q144" t="s">
        <v>123</v>
      </c>
      <c r="R144" t="s">
        <v>123</v>
      </c>
      <c r="S144" t="s">
        <v>123</v>
      </c>
      <c r="T144" s="1">
        <v>46168</v>
      </c>
      <c r="U144" t="s">
        <v>123</v>
      </c>
      <c r="V144" t="s">
        <v>123</v>
      </c>
      <c r="W144" t="s">
        <v>123</v>
      </c>
      <c r="X144" t="s">
        <v>123</v>
      </c>
      <c r="Y144" t="s">
        <v>123</v>
      </c>
      <c r="Z144" t="s">
        <v>123</v>
      </c>
      <c r="AA144" t="s">
        <v>123</v>
      </c>
      <c r="AB144" t="s">
        <v>686</v>
      </c>
      <c r="AC144" t="s">
        <v>135</v>
      </c>
      <c r="AD144" t="s">
        <v>123</v>
      </c>
      <c r="AE144" t="s">
        <v>123</v>
      </c>
      <c r="AF144" t="s">
        <v>683</v>
      </c>
      <c r="AG144" t="s">
        <v>684</v>
      </c>
      <c r="AH144" t="s">
        <v>123</v>
      </c>
      <c r="AI144" t="s">
        <v>128</v>
      </c>
      <c r="AJ144" t="s">
        <v>138</v>
      </c>
      <c r="AK144" t="s">
        <v>139</v>
      </c>
      <c r="AL144" t="s">
        <v>123</v>
      </c>
      <c r="AM144" t="s">
        <v>123</v>
      </c>
      <c r="AN144" t="s">
        <v>123</v>
      </c>
      <c r="AO144" t="s">
        <v>123</v>
      </c>
      <c r="AP144">
        <v>250</v>
      </c>
      <c r="AQ144">
        <v>50</v>
      </c>
      <c r="AR144">
        <v>10</v>
      </c>
      <c r="AS144" t="s">
        <v>123</v>
      </c>
      <c r="AT144" t="s">
        <v>123</v>
      </c>
      <c r="AU144" t="s">
        <v>123</v>
      </c>
      <c r="AV144" t="s">
        <v>123</v>
      </c>
      <c r="AW144" t="s">
        <v>123</v>
      </c>
      <c r="AX144" t="s">
        <v>123</v>
      </c>
      <c r="AY144" t="s">
        <v>123</v>
      </c>
      <c r="AZ144" t="s">
        <v>123</v>
      </c>
      <c r="BA144" t="s">
        <v>140</v>
      </c>
      <c r="BB144" t="s">
        <v>123</v>
      </c>
      <c r="BC144" t="s">
        <v>123</v>
      </c>
      <c r="BD144" t="s">
        <v>123</v>
      </c>
      <c r="BE144" t="s">
        <v>123</v>
      </c>
      <c r="BF144" t="s">
        <v>123</v>
      </c>
      <c r="BG144" t="s">
        <v>141</v>
      </c>
      <c r="BH144" t="s">
        <v>123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123</v>
      </c>
      <c r="BX144" t="s">
        <v>123</v>
      </c>
      <c r="BY144" s="1">
        <v>45965.250597534723</v>
      </c>
      <c r="BZ144">
        <v>1451</v>
      </c>
      <c r="CA144" t="s">
        <v>123</v>
      </c>
      <c r="CB144" t="s">
        <v>123</v>
      </c>
      <c r="CC144">
        <v>0</v>
      </c>
      <c r="CD144" t="s">
        <v>123</v>
      </c>
      <c r="CE144" t="s">
        <v>123</v>
      </c>
      <c r="CF144" t="s">
        <v>123</v>
      </c>
      <c r="CG144" t="s">
        <v>123</v>
      </c>
      <c r="CH144" t="s">
        <v>123</v>
      </c>
      <c r="CI144" t="s">
        <v>123</v>
      </c>
      <c r="CJ144" t="s">
        <v>123</v>
      </c>
      <c r="CK144">
        <v>3.09E-2</v>
      </c>
      <c r="CL144">
        <v>3.3700000000000001E-2</v>
      </c>
      <c r="CM144">
        <v>3.9100000000000003E-2</v>
      </c>
      <c r="CN144">
        <v>4.2099999999999999E-2</v>
      </c>
      <c r="CO144" t="s">
        <v>123</v>
      </c>
      <c r="CP144" t="s">
        <v>123</v>
      </c>
      <c r="CQ144">
        <v>2.5000000000000001E-2</v>
      </c>
      <c r="CR144">
        <v>2.7199999999999998E-2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205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  <c r="DN144" t="s">
        <v>123</v>
      </c>
      <c r="DO144" t="s">
        <v>123</v>
      </c>
      <c r="DP144" t="s">
        <v>123</v>
      </c>
      <c r="DQ144" t="s">
        <v>123</v>
      </c>
      <c r="DR144" t="s">
        <v>123</v>
      </c>
      <c r="DS144" t="s">
        <v>123</v>
      </c>
    </row>
    <row r="145" spans="1:123" x14ac:dyDescent="0.3">
      <c r="A145">
        <v>144</v>
      </c>
      <c r="B145" t="s">
        <v>123</v>
      </c>
      <c r="C145" t="s">
        <v>123</v>
      </c>
      <c r="D145" t="s">
        <v>687</v>
      </c>
      <c r="E145" t="s">
        <v>123</v>
      </c>
      <c r="F145" t="s">
        <v>125</v>
      </c>
      <c r="G145" t="s">
        <v>126</v>
      </c>
      <c r="H145" t="s">
        <v>127</v>
      </c>
      <c r="I145" t="s">
        <v>128</v>
      </c>
      <c r="J145" t="s">
        <v>123</v>
      </c>
      <c r="K145" t="s">
        <v>688</v>
      </c>
      <c r="L145" t="s">
        <v>130</v>
      </c>
      <c r="M145" t="s">
        <v>689</v>
      </c>
      <c r="N145" t="s">
        <v>158</v>
      </c>
      <c r="O145" t="s">
        <v>159</v>
      </c>
      <c r="P145" t="s">
        <v>123</v>
      </c>
      <c r="Q145" t="s">
        <v>123</v>
      </c>
      <c r="R145" t="s">
        <v>123</v>
      </c>
      <c r="S145" t="s">
        <v>123</v>
      </c>
      <c r="T145" s="1">
        <v>46911</v>
      </c>
      <c r="U145" t="s">
        <v>123</v>
      </c>
      <c r="V145" t="s">
        <v>123</v>
      </c>
      <c r="W145" t="s">
        <v>123</v>
      </c>
      <c r="X145" t="s">
        <v>123</v>
      </c>
      <c r="Y145" t="s">
        <v>123</v>
      </c>
      <c r="Z145" t="s">
        <v>123</v>
      </c>
      <c r="AA145" t="s">
        <v>123</v>
      </c>
      <c r="AB145" t="s">
        <v>690</v>
      </c>
      <c r="AC145" t="s">
        <v>135</v>
      </c>
      <c r="AD145" t="s">
        <v>123</v>
      </c>
      <c r="AE145" t="s">
        <v>123</v>
      </c>
      <c r="AF145" t="s">
        <v>691</v>
      </c>
      <c r="AG145" t="s">
        <v>692</v>
      </c>
      <c r="AH145" t="s">
        <v>123</v>
      </c>
      <c r="AI145" t="s">
        <v>128</v>
      </c>
      <c r="AJ145" t="s">
        <v>138</v>
      </c>
      <c r="AK145" t="s">
        <v>139</v>
      </c>
      <c r="AL145" t="s">
        <v>123</v>
      </c>
      <c r="AM145" t="s">
        <v>123</v>
      </c>
      <c r="AN145" t="s">
        <v>123</v>
      </c>
      <c r="AO145" t="s">
        <v>123</v>
      </c>
      <c r="AP145">
        <v>250</v>
      </c>
      <c r="AQ145">
        <v>50</v>
      </c>
      <c r="AR145">
        <v>10</v>
      </c>
      <c r="AS145" t="s">
        <v>123</v>
      </c>
      <c r="AT145" t="s">
        <v>123</v>
      </c>
      <c r="AU145" t="s">
        <v>123</v>
      </c>
      <c r="AV145" t="s">
        <v>123</v>
      </c>
      <c r="AW145" t="s">
        <v>123</v>
      </c>
      <c r="AX145" t="s">
        <v>123</v>
      </c>
      <c r="AY145" t="s">
        <v>123</v>
      </c>
      <c r="AZ145" t="s">
        <v>123</v>
      </c>
      <c r="BA145" t="s">
        <v>140</v>
      </c>
      <c r="BB145" t="s">
        <v>123</v>
      </c>
      <c r="BC145" t="s">
        <v>123</v>
      </c>
      <c r="BD145" t="s">
        <v>123</v>
      </c>
      <c r="BE145" t="s">
        <v>123</v>
      </c>
      <c r="BF145" t="s">
        <v>123</v>
      </c>
      <c r="BG145" t="s">
        <v>141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s="1">
        <v>45965.250620682869</v>
      </c>
      <c r="BZ145">
        <v>1570</v>
      </c>
      <c r="CA145" t="s">
        <v>123</v>
      </c>
      <c r="CB145" t="s">
        <v>123</v>
      </c>
      <c r="CC145">
        <v>0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>
        <v>1.0500000000000001E-2</v>
      </c>
      <c r="CL145">
        <v>1.24E-2</v>
      </c>
      <c r="CM145">
        <v>1.1599999999999999E-2</v>
      </c>
      <c r="CN145">
        <v>1.35E-2</v>
      </c>
      <c r="CO145" t="s">
        <v>123</v>
      </c>
      <c r="CP145" t="s">
        <v>123</v>
      </c>
      <c r="CQ145">
        <v>9.1999999999999998E-3</v>
      </c>
      <c r="CR145">
        <v>1.0999999999999999E-2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205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  <c r="DN145" t="s">
        <v>123</v>
      </c>
      <c r="DO145" t="s">
        <v>123</v>
      </c>
      <c r="DP145" t="s">
        <v>123</v>
      </c>
      <c r="DQ145" t="s">
        <v>123</v>
      </c>
      <c r="DR145" t="s">
        <v>123</v>
      </c>
      <c r="DS145" t="s">
        <v>123</v>
      </c>
    </row>
    <row r="146" spans="1:123" x14ac:dyDescent="0.3">
      <c r="A146">
        <v>145</v>
      </c>
      <c r="B146" t="s">
        <v>123</v>
      </c>
      <c r="C146" t="s">
        <v>123</v>
      </c>
      <c r="D146" t="s">
        <v>693</v>
      </c>
      <c r="E146" t="s">
        <v>123</v>
      </c>
      <c r="F146" t="s">
        <v>125</v>
      </c>
      <c r="G146" t="s">
        <v>126</v>
      </c>
      <c r="H146" t="s">
        <v>127</v>
      </c>
      <c r="I146" t="s">
        <v>128</v>
      </c>
      <c r="J146" t="s">
        <v>123</v>
      </c>
      <c r="K146" t="s">
        <v>688</v>
      </c>
      <c r="L146" t="s">
        <v>130</v>
      </c>
      <c r="M146" t="s">
        <v>689</v>
      </c>
      <c r="N146" t="s">
        <v>180</v>
      </c>
      <c r="O146" t="s">
        <v>159</v>
      </c>
      <c r="P146" t="s">
        <v>123</v>
      </c>
      <c r="Q146" t="s">
        <v>123</v>
      </c>
      <c r="R146" t="s">
        <v>123</v>
      </c>
      <c r="S146" t="s">
        <v>123</v>
      </c>
      <c r="T146" s="1">
        <v>46911</v>
      </c>
      <c r="U146" t="s">
        <v>123</v>
      </c>
      <c r="V146" t="s">
        <v>123</v>
      </c>
      <c r="W146" t="s">
        <v>123</v>
      </c>
      <c r="X146" t="s">
        <v>123</v>
      </c>
      <c r="Y146" t="s">
        <v>123</v>
      </c>
      <c r="Z146" t="s">
        <v>123</v>
      </c>
      <c r="AA146" t="s">
        <v>123</v>
      </c>
      <c r="AB146" t="s">
        <v>694</v>
      </c>
      <c r="AC146" t="s">
        <v>135</v>
      </c>
      <c r="AD146" t="s">
        <v>123</v>
      </c>
      <c r="AE146" t="s">
        <v>123</v>
      </c>
      <c r="AF146" t="s">
        <v>691</v>
      </c>
      <c r="AG146" t="s">
        <v>692</v>
      </c>
      <c r="AH146" t="s">
        <v>123</v>
      </c>
      <c r="AI146" t="s">
        <v>128</v>
      </c>
      <c r="AJ146" t="s">
        <v>138</v>
      </c>
      <c r="AK146" t="s">
        <v>139</v>
      </c>
      <c r="AL146" t="s">
        <v>123</v>
      </c>
      <c r="AM146" t="s">
        <v>123</v>
      </c>
      <c r="AN146" t="s">
        <v>123</v>
      </c>
      <c r="AO146" t="s">
        <v>123</v>
      </c>
      <c r="AP146">
        <v>250</v>
      </c>
      <c r="AQ146">
        <v>50</v>
      </c>
      <c r="AR146">
        <v>10</v>
      </c>
      <c r="AS146" t="s">
        <v>123</v>
      </c>
      <c r="AT146" t="s">
        <v>123</v>
      </c>
      <c r="AU146" t="s">
        <v>123</v>
      </c>
      <c r="AV146" t="s">
        <v>123</v>
      </c>
      <c r="AW146" t="s">
        <v>123</v>
      </c>
      <c r="AX146" t="s">
        <v>123</v>
      </c>
      <c r="AY146" t="s">
        <v>123</v>
      </c>
      <c r="AZ146" t="s">
        <v>123</v>
      </c>
      <c r="BA146" t="s">
        <v>140</v>
      </c>
      <c r="BB146" t="s">
        <v>123</v>
      </c>
      <c r="BC146" t="s">
        <v>123</v>
      </c>
      <c r="BD146" t="s">
        <v>123</v>
      </c>
      <c r="BE146" t="s">
        <v>123</v>
      </c>
      <c r="BF146" t="s">
        <v>123</v>
      </c>
      <c r="BG146" t="s">
        <v>141</v>
      </c>
      <c r="BH146" t="s">
        <v>123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123</v>
      </c>
      <c r="BX146" t="s">
        <v>123</v>
      </c>
      <c r="BY146" s="1">
        <v>45965.250658680554</v>
      </c>
      <c r="BZ146">
        <v>1570</v>
      </c>
      <c r="CA146" t="s">
        <v>123</v>
      </c>
      <c r="CB146" t="s">
        <v>123</v>
      </c>
      <c r="CC146">
        <v>0</v>
      </c>
      <c r="CD146" t="s">
        <v>123</v>
      </c>
      <c r="CE146" t="s">
        <v>123</v>
      </c>
      <c r="CF146" t="s">
        <v>123</v>
      </c>
      <c r="CG146" t="s">
        <v>123</v>
      </c>
      <c r="CH146" t="s">
        <v>123</v>
      </c>
      <c r="CI146" t="s">
        <v>123</v>
      </c>
      <c r="CJ146" t="s">
        <v>123</v>
      </c>
      <c r="CK146">
        <v>1.3299999999999999E-2</v>
      </c>
      <c r="CL146">
        <v>1.55E-2</v>
      </c>
      <c r="CM146">
        <v>1.5599999999999999E-2</v>
      </c>
      <c r="CN146">
        <v>1.8499999999999999E-2</v>
      </c>
      <c r="CO146" t="s">
        <v>123</v>
      </c>
      <c r="CP146" t="s">
        <v>123</v>
      </c>
      <c r="CQ146">
        <v>1.1599999999999999E-2</v>
      </c>
      <c r="CR146">
        <v>1.35E-2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205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  <c r="DN146" t="s">
        <v>123</v>
      </c>
      <c r="DO146" t="s">
        <v>123</v>
      </c>
      <c r="DP146" t="s">
        <v>123</v>
      </c>
      <c r="DQ146" t="s">
        <v>123</v>
      </c>
      <c r="DR146" t="s">
        <v>123</v>
      </c>
      <c r="DS146" t="s">
        <v>123</v>
      </c>
    </row>
    <row r="147" spans="1:123" x14ac:dyDescent="0.3">
      <c r="A147">
        <v>146</v>
      </c>
      <c r="B147" t="s">
        <v>123</v>
      </c>
      <c r="C147" t="s">
        <v>123</v>
      </c>
      <c r="D147" t="s">
        <v>695</v>
      </c>
      <c r="E147" t="s">
        <v>123</v>
      </c>
      <c r="F147" t="s">
        <v>125</v>
      </c>
      <c r="G147" t="s">
        <v>126</v>
      </c>
      <c r="H147" t="s">
        <v>127</v>
      </c>
      <c r="I147" t="s">
        <v>128</v>
      </c>
      <c r="J147" t="s">
        <v>123</v>
      </c>
      <c r="K147" t="s">
        <v>696</v>
      </c>
      <c r="L147" t="s">
        <v>130</v>
      </c>
      <c r="M147" t="s">
        <v>689</v>
      </c>
      <c r="N147" t="s">
        <v>158</v>
      </c>
      <c r="O147" t="s">
        <v>150</v>
      </c>
      <c r="P147" t="s">
        <v>123</v>
      </c>
      <c r="Q147" t="s">
        <v>123</v>
      </c>
      <c r="R147" t="s">
        <v>123</v>
      </c>
      <c r="S147" t="s">
        <v>123</v>
      </c>
      <c r="T147" s="1">
        <v>46545</v>
      </c>
      <c r="U147" t="s">
        <v>123</v>
      </c>
      <c r="V147" t="s">
        <v>123</v>
      </c>
      <c r="W147" t="s">
        <v>123</v>
      </c>
      <c r="X147" t="s">
        <v>123</v>
      </c>
      <c r="Y147" t="s">
        <v>123</v>
      </c>
      <c r="Z147" t="s">
        <v>123</v>
      </c>
      <c r="AA147" t="s">
        <v>123</v>
      </c>
      <c r="AB147" t="s">
        <v>697</v>
      </c>
      <c r="AC147" t="s">
        <v>135</v>
      </c>
      <c r="AD147" t="s">
        <v>123</v>
      </c>
      <c r="AE147" t="s">
        <v>123</v>
      </c>
      <c r="AF147" t="s">
        <v>691</v>
      </c>
      <c r="AG147" t="s">
        <v>692</v>
      </c>
      <c r="AH147" t="s">
        <v>123</v>
      </c>
      <c r="AI147" t="s">
        <v>128</v>
      </c>
      <c r="AJ147" t="s">
        <v>138</v>
      </c>
      <c r="AK147" t="s">
        <v>139</v>
      </c>
      <c r="AL147" t="s">
        <v>123</v>
      </c>
      <c r="AM147" t="s">
        <v>123</v>
      </c>
      <c r="AN147" t="s">
        <v>123</v>
      </c>
      <c r="AO147" t="s">
        <v>123</v>
      </c>
      <c r="AP147">
        <v>250</v>
      </c>
      <c r="AQ147">
        <v>50</v>
      </c>
      <c r="AR147">
        <v>10</v>
      </c>
      <c r="AS147" t="s">
        <v>123</v>
      </c>
      <c r="AT147" t="s">
        <v>123</v>
      </c>
      <c r="AU147" t="s">
        <v>123</v>
      </c>
      <c r="AV147" t="s">
        <v>123</v>
      </c>
      <c r="AW147" t="s">
        <v>123</v>
      </c>
      <c r="AX147" t="s">
        <v>123</v>
      </c>
      <c r="AY147" t="s">
        <v>123</v>
      </c>
      <c r="AZ147" t="s">
        <v>123</v>
      </c>
      <c r="BA147" t="s">
        <v>140</v>
      </c>
      <c r="BB147" t="s">
        <v>123</v>
      </c>
      <c r="BC147" t="s">
        <v>123</v>
      </c>
      <c r="BD147" t="s">
        <v>123</v>
      </c>
      <c r="BE147" t="s">
        <v>123</v>
      </c>
      <c r="BF147" t="s">
        <v>123</v>
      </c>
      <c r="BG147" t="s">
        <v>141</v>
      </c>
      <c r="BH147" t="s">
        <v>123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123</v>
      </c>
      <c r="BX147" t="s">
        <v>123</v>
      </c>
      <c r="BY147" s="1">
        <v>45965.250696215277</v>
      </c>
      <c r="BZ147">
        <v>1569</v>
      </c>
      <c r="CA147" t="s">
        <v>123</v>
      </c>
      <c r="CB147" t="s">
        <v>123</v>
      </c>
      <c r="CC147">
        <v>0</v>
      </c>
      <c r="CD147" t="s">
        <v>123</v>
      </c>
      <c r="CE147" t="s">
        <v>123</v>
      </c>
      <c r="CF147" t="s">
        <v>123</v>
      </c>
      <c r="CG147" t="s">
        <v>123</v>
      </c>
      <c r="CH147" t="s">
        <v>123</v>
      </c>
      <c r="CI147" t="s">
        <v>123</v>
      </c>
      <c r="CJ147" t="s">
        <v>123</v>
      </c>
      <c r="CK147">
        <v>1.06E-2</v>
      </c>
      <c r="CL147">
        <v>1.24E-2</v>
      </c>
      <c r="CM147">
        <v>1.23E-2</v>
      </c>
      <c r="CN147">
        <v>1.4200000000000001E-2</v>
      </c>
      <c r="CO147" t="s">
        <v>123</v>
      </c>
      <c r="CP147" t="s">
        <v>123</v>
      </c>
      <c r="CQ147">
        <v>8.9999999999999993E-3</v>
      </c>
      <c r="CR147">
        <v>1.0500000000000001E-2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205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  <c r="DN147" t="s">
        <v>123</v>
      </c>
      <c r="DO147" t="s">
        <v>123</v>
      </c>
      <c r="DP147" t="s">
        <v>123</v>
      </c>
      <c r="DQ147" t="s">
        <v>123</v>
      </c>
      <c r="DR147" t="s">
        <v>123</v>
      </c>
      <c r="DS147" t="s">
        <v>123</v>
      </c>
    </row>
    <row r="148" spans="1:123" x14ac:dyDescent="0.3">
      <c r="A148">
        <v>147</v>
      </c>
      <c r="B148" t="s">
        <v>123</v>
      </c>
      <c r="C148" t="s">
        <v>123</v>
      </c>
      <c r="D148" t="s">
        <v>698</v>
      </c>
      <c r="E148" t="s">
        <v>123</v>
      </c>
      <c r="F148" t="s">
        <v>125</v>
      </c>
      <c r="G148" t="s">
        <v>126</v>
      </c>
      <c r="H148" t="s">
        <v>127</v>
      </c>
      <c r="I148" t="s">
        <v>128</v>
      </c>
      <c r="J148" t="s">
        <v>123</v>
      </c>
      <c r="K148" t="s">
        <v>696</v>
      </c>
      <c r="L148" t="s">
        <v>130</v>
      </c>
      <c r="M148" t="s">
        <v>689</v>
      </c>
      <c r="N148" t="s">
        <v>158</v>
      </c>
      <c r="O148" t="s">
        <v>699</v>
      </c>
      <c r="P148" t="s">
        <v>123</v>
      </c>
      <c r="Q148" t="s">
        <v>123</v>
      </c>
      <c r="R148" t="s">
        <v>123</v>
      </c>
      <c r="S148" t="s">
        <v>123</v>
      </c>
      <c r="T148" s="1">
        <v>46178</v>
      </c>
      <c r="U148" t="s">
        <v>123</v>
      </c>
      <c r="V148" t="s">
        <v>123</v>
      </c>
      <c r="W148" t="s">
        <v>123</v>
      </c>
      <c r="X148" t="s">
        <v>123</v>
      </c>
      <c r="Y148" t="s">
        <v>123</v>
      </c>
      <c r="Z148" t="s">
        <v>123</v>
      </c>
      <c r="AA148" t="s">
        <v>123</v>
      </c>
      <c r="AB148" t="s">
        <v>700</v>
      </c>
      <c r="AC148" t="s">
        <v>135</v>
      </c>
      <c r="AD148" t="s">
        <v>123</v>
      </c>
      <c r="AE148" t="s">
        <v>123</v>
      </c>
      <c r="AF148" t="s">
        <v>691</v>
      </c>
      <c r="AG148" t="s">
        <v>692</v>
      </c>
      <c r="AH148" t="s">
        <v>123</v>
      </c>
      <c r="AI148" t="s">
        <v>128</v>
      </c>
      <c r="AJ148" t="s">
        <v>138</v>
      </c>
      <c r="AK148" t="s">
        <v>139</v>
      </c>
      <c r="AL148" t="s">
        <v>123</v>
      </c>
      <c r="AM148" t="s">
        <v>123</v>
      </c>
      <c r="AN148" t="s">
        <v>123</v>
      </c>
      <c r="AO148" t="s">
        <v>123</v>
      </c>
      <c r="AP148">
        <v>250</v>
      </c>
      <c r="AQ148">
        <v>50</v>
      </c>
      <c r="AR148">
        <v>10</v>
      </c>
      <c r="AS148" t="s">
        <v>123</v>
      </c>
      <c r="AT148" t="s">
        <v>123</v>
      </c>
      <c r="AU148" t="s">
        <v>123</v>
      </c>
      <c r="AV148" t="s">
        <v>123</v>
      </c>
      <c r="AW148" t="s">
        <v>123</v>
      </c>
      <c r="AX148" t="s">
        <v>123</v>
      </c>
      <c r="AY148" t="s">
        <v>123</v>
      </c>
      <c r="AZ148" t="s">
        <v>123</v>
      </c>
      <c r="BA148" t="s">
        <v>140</v>
      </c>
      <c r="BB148" t="s">
        <v>123</v>
      </c>
      <c r="BC148" t="s">
        <v>123</v>
      </c>
      <c r="BD148" t="s">
        <v>123</v>
      </c>
      <c r="BE148" t="s">
        <v>123</v>
      </c>
      <c r="BF148" t="s">
        <v>123</v>
      </c>
      <c r="BG148" t="s">
        <v>141</v>
      </c>
      <c r="BH148" t="s">
        <v>123</v>
      </c>
      <c r="BI148" t="s">
        <v>123</v>
      </c>
      <c r="BJ148" t="s">
        <v>123</v>
      </c>
      <c r="BK148" t="s">
        <v>123</v>
      </c>
      <c r="BL148" t="s">
        <v>123</v>
      </c>
      <c r="BM148" t="s">
        <v>123</v>
      </c>
      <c r="BN148" t="s">
        <v>123</v>
      </c>
      <c r="BO148" t="s">
        <v>123</v>
      </c>
      <c r="BP148" t="s">
        <v>123</v>
      </c>
      <c r="BQ148" t="s">
        <v>123</v>
      </c>
      <c r="BR148" t="s">
        <v>123</v>
      </c>
      <c r="BS148" t="s">
        <v>123</v>
      </c>
      <c r="BT148" t="s">
        <v>123</v>
      </c>
      <c r="BU148" t="s">
        <v>123</v>
      </c>
      <c r="BV148" t="s">
        <v>123</v>
      </c>
      <c r="BW148" t="s">
        <v>123</v>
      </c>
      <c r="BX148" t="s">
        <v>123</v>
      </c>
      <c r="BY148" s="1">
        <v>45965.250722719909</v>
      </c>
      <c r="BZ148">
        <v>1569</v>
      </c>
      <c r="CA148" t="s">
        <v>123</v>
      </c>
      <c r="CB148" t="s">
        <v>123</v>
      </c>
      <c r="CC148">
        <v>0</v>
      </c>
      <c r="CD148" t="s">
        <v>123</v>
      </c>
      <c r="CE148" t="s">
        <v>123</v>
      </c>
      <c r="CF148" t="s">
        <v>123</v>
      </c>
      <c r="CG148" t="s">
        <v>123</v>
      </c>
      <c r="CH148" t="s">
        <v>123</v>
      </c>
      <c r="CI148" t="s">
        <v>123</v>
      </c>
      <c r="CJ148" t="s">
        <v>123</v>
      </c>
      <c r="CK148">
        <v>1.0500000000000001E-2</v>
      </c>
      <c r="CL148">
        <v>1.24E-2</v>
      </c>
      <c r="CM148">
        <v>1.12E-2</v>
      </c>
      <c r="CN148">
        <v>1.3299999999999999E-2</v>
      </c>
      <c r="CO148" t="s">
        <v>123</v>
      </c>
      <c r="CP148" t="s">
        <v>123</v>
      </c>
      <c r="CQ148">
        <v>9.5999999999999992E-3</v>
      </c>
      <c r="CR148">
        <v>1.1299999999999999E-2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205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  <c r="DN148" t="s">
        <v>123</v>
      </c>
      <c r="DO148" t="s">
        <v>123</v>
      </c>
      <c r="DP148" t="s">
        <v>123</v>
      </c>
      <c r="DQ148" t="s">
        <v>123</v>
      </c>
      <c r="DR148" t="s">
        <v>123</v>
      </c>
      <c r="DS148" t="s">
        <v>123</v>
      </c>
    </row>
    <row r="149" spans="1:123" x14ac:dyDescent="0.3">
      <c r="A149">
        <v>148</v>
      </c>
      <c r="B149" t="s">
        <v>123</v>
      </c>
      <c r="C149" t="s">
        <v>123</v>
      </c>
      <c r="D149" t="s">
        <v>701</v>
      </c>
      <c r="E149" t="s">
        <v>123</v>
      </c>
      <c r="F149" t="s">
        <v>125</v>
      </c>
      <c r="G149" t="s">
        <v>126</v>
      </c>
      <c r="H149" t="s">
        <v>127</v>
      </c>
      <c r="I149" t="s">
        <v>128</v>
      </c>
      <c r="J149" t="s">
        <v>123</v>
      </c>
      <c r="K149" t="s">
        <v>696</v>
      </c>
      <c r="L149" t="s">
        <v>130</v>
      </c>
      <c r="M149" t="s">
        <v>689</v>
      </c>
      <c r="N149" t="s">
        <v>158</v>
      </c>
      <c r="O149" t="s">
        <v>133</v>
      </c>
      <c r="P149" t="s">
        <v>123</v>
      </c>
      <c r="Q149" t="s">
        <v>123</v>
      </c>
      <c r="R149" t="s">
        <v>123</v>
      </c>
      <c r="S149" t="s">
        <v>123</v>
      </c>
      <c r="T149" s="1">
        <v>46136</v>
      </c>
      <c r="U149" t="s">
        <v>123</v>
      </c>
      <c r="V149" t="s">
        <v>123</v>
      </c>
      <c r="W149" t="s">
        <v>123</v>
      </c>
      <c r="X149" t="s">
        <v>123</v>
      </c>
      <c r="Y149" t="s">
        <v>123</v>
      </c>
      <c r="Z149" t="s">
        <v>123</v>
      </c>
      <c r="AA149" t="s">
        <v>123</v>
      </c>
      <c r="AB149" t="s">
        <v>702</v>
      </c>
      <c r="AC149" t="s">
        <v>135</v>
      </c>
      <c r="AD149" t="s">
        <v>123</v>
      </c>
      <c r="AE149" t="s">
        <v>123</v>
      </c>
      <c r="AF149" t="s">
        <v>691</v>
      </c>
      <c r="AG149" t="s">
        <v>692</v>
      </c>
      <c r="AH149" t="s">
        <v>123</v>
      </c>
      <c r="AI149" t="s">
        <v>128</v>
      </c>
      <c r="AJ149" t="s">
        <v>138</v>
      </c>
      <c r="AK149" t="s">
        <v>139</v>
      </c>
      <c r="AL149" t="s">
        <v>123</v>
      </c>
      <c r="AM149" t="s">
        <v>123</v>
      </c>
      <c r="AN149" t="s">
        <v>123</v>
      </c>
      <c r="AO149" t="s">
        <v>123</v>
      </c>
      <c r="AP149">
        <v>250</v>
      </c>
      <c r="AQ149">
        <v>50</v>
      </c>
      <c r="AR149">
        <v>10</v>
      </c>
      <c r="AS149" t="s">
        <v>123</v>
      </c>
      <c r="AT149" t="s">
        <v>123</v>
      </c>
      <c r="AU149" t="s">
        <v>123</v>
      </c>
      <c r="AV149" t="s">
        <v>123</v>
      </c>
      <c r="AW149" t="s">
        <v>123</v>
      </c>
      <c r="AX149" t="s">
        <v>123</v>
      </c>
      <c r="AY149" t="s">
        <v>123</v>
      </c>
      <c r="AZ149" t="s">
        <v>123</v>
      </c>
      <c r="BA149" t="s">
        <v>140</v>
      </c>
      <c r="BB149" t="s">
        <v>123</v>
      </c>
      <c r="BC149" t="s">
        <v>123</v>
      </c>
      <c r="BD149" t="s">
        <v>123</v>
      </c>
      <c r="BE149" t="s">
        <v>123</v>
      </c>
      <c r="BF149" t="s">
        <v>123</v>
      </c>
      <c r="BG149" t="s">
        <v>141</v>
      </c>
      <c r="BH149" t="s">
        <v>123</v>
      </c>
      <c r="BI149" t="s">
        <v>123</v>
      </c>
      <c r="BJ149" t="s">
        <v>123</v>
      </c>
      <c r="BK149" t="s">
        <v>123</v>
      </c>
      <c r="BL149" t="s">
        <v>123</v>
      </c>
      <c r="BM149" t="s">
        <v>123</v>
      </c>
      <c r="BN149" t="s">
        <v>123</v>
      </c>
      <c r="BO149" t="s">
        <v>123</v>
      </c>
      <c r="BP149" t="s">
        <v>123</v>
      </c>
      <c r="BQ149" t="s">
        <v>123</v>
      </c>
      <c r="BR149" t="s">
        <v>123</v>
      </c>
      <c r="BS149" t="s">
        <v>123</v>
      </c>
      <c r="BT149" t="s">
        <v>123</v>
      </c>
      <c r="BU149" t="s">
        <v>123</v>
      </c>
      <c r="BV149" t="s">
        <v>123</v>
      </c>
      <c r="BW149" t="s">
        <v>123</v>
      </c>
      <c r="BX149" t="s">
        <v>123</v>
      </c>
      <c r="BY149" s="1">
        <v>45965.250748113423</v>
      </c>
      <c r="BZ149">
        <v>1569</v>
      </c>
      <c r="CA149" t="s">
        <v>123</v>
      </c>
      <c r="CB149" t="s">
        <v>123</v>
      </c>
      <c r="CC149">
        <v>0</v>
      </c>
      <c r="CD149" t="s">
        <v>123</v>
      </c>
      <c r="CE149" t="s">
        <v>123</v>
      </c>
      <c r="CF149" t="s">
        <v>123</v>
      </c>
      <c r="CG149" t="s">
        <v>123</v>
      </c>
      <c r="CH149" t="s">
        <v>123</v>
      </c>
      <c r="CI149" t="s">
        <v>123</v>
      </c>
      <c r="CJ149" t="s">
        <v>123</v>
      </c>
      <c r="CK149">
        <v>1.3599999999999999E-2</v>
      </c>
      <c r="CL149">
        <v>1.5699999999999999E-2</v>
      </c>
      <c r="CM149">
        <v>1.9599999999999999E-2</v>
      </c>
      <c r="CN149">
        <v>2.24E-2</v>
      </c>
      <c r="CO149" t="s">
        <v>123</v>
      </c>
      <c r="CP149" t="s">
        <v>123</v>
      </c>
      <c r="CQ149">
        <v>1.12E-2</v>
      </c>
      <c r="CR149">
        <v>1.3299999999999999E-2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205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  <c r="DN149" t="s">
        <v>123</v>
      </c>
      <c r="DO149" t="s">
        <v>123</v>
      </c>
      <c r="DP149" t="s">
        <v>123</v>
      </c>
      <c r="DQ149" t="s">
        <v>123</v>
      </c>
      <c r="DR149" t="s">
        <v>123</v>
      </c>
      <c r="DS149" t="s">
        <v>123</v>
      </c>
    </row>
    <row r="150" spans="1:123" x14ac:dyDescent="0.3">
      <c r="A150">
        <v>149</v>
      </c>
      <c r="B150" t="s">
        <v>123</v>
      </c>
      <c r="C150" t="s">
        <v>123</v>
      </c>
      <c r="D150" t="s">
        <v>703</v>
      </c>
      <c r="E150" t="s">
        <v>123</v>
      </c>
      <c r="F150" t="s">
        <v>125</v>
      </c>
      <c r="G150" t="s">
        <v>126</v>
      </c>
      <c r="H150" t="s">
        <v>127</v>
      </c>
      <c r="I150" t="s">
        <v>128</v>
      </c>
      <c r="J150" t="s">
        <v>123</v>
      </c>
      <c r="K150" t="s">
        <v>704</v>
      </c>
      <c r="L150" t="s">
        <v>130</v>
      </c>
      <c r="M150" t="s">
        <v>705</v>
      </c>
      <c r="N150">
        <v>1</v>
      </c>
      <c r="O150" t="s">
        <v>133</v>
      </c>
      <c r="P150" t="s">
        <v>123</v>
      </c>
      <c r="Q150" t="s">
        <v>123</v>
      </c>
      <c r="R150" t="s">
        <v>123</v>
      </c>
      <c r="S150" t="s">
        <v>123</v>
      </c>
      <c r="T150" s="1">
        <v>46882</v>
      </c>
      <c r="U150" t="s">
        <v>123</v>
      </c>
      <c r="V150" t="s">
        <v>123</v>
      </c>
      <c r="W150" t="s">
        <v>123</v>
      </c>
      <c r="X150" t="s">
        <v>123</v>
      </c>
      <c r="Y150" t="s">
        <v>123</v>
      </c>
      <c r="Z150" t="s">
        <v>123</v>
      </c>
      <c r="AA150" t="s">
        <v>123</v>
      </c>
      <c r="AB150" t="s">
        <v>706</v>
      </c>
      <c r="AC150" t="s">
        <v>135</v>
      </c>
      <c r="AD150" t="s">
        <v>123</v>
      </c>
      <c r="AE150" t="s">
        <v>123</v>
      </c>
      <c r="AF150" t="s">
        <v>707</v>
      </c>
      <c r="AG150" t="s">
        <v>708</v>
      </c>
      <c r="AH150" t="s">
        <v>123</v>
      </c>
      <c r="AI150" t="s">
        <v>128</v>
      </c>
      <c r="AJ150" t="s">
        <v>186</v>
      </c>
      <c r="AK150" t="s">
        <v>139</v>
      </c>
      <c r="AL150" t="s">
        <v>123</v>
      </c>
      <c r="AM150" t="s">
        <v>123</v>
      </c>
      <c r="AN150" t="s">
        <v>123</v>
      </c>
      <c r="AO150" t="s">
        <v>123</v>
      </c>
      <c r="AP150">
        <v>250</v>
      </c>
      <c r="AQ150">
        <v>50</v>
      </c>
      <c r="AR150">
        <v>10</v>
      </c>
      <c r="AS150" t="s">
        <v>123</v>
      </c>
      <c r="AT150" t="s">
        <v>123</v>
      </c>
      <c r="AU150" t="s">
        <v>123</v>
      </c>
      <c r="AV150" t="s">
        <v>123</v>
      </c>
      <c r="AW150" t="s">
        <v>123</v>
      </c>
      <c r="AX150" t="s">
        <v>123</v>
      </c>
      <c r="AY150" t="s">
        <v>123</v>
      </c>
      <c r="AZ150" t="s">
        <v>123</v>
      </c>
      <c r="BA150" t="s">
        <v>237</v>
      </c>
      <c r="BB150" t="s">
        <v>123</v>
      </c>
      <c r="BC150" t="s">
        <v>123</v>
      </c>
      <c r="BD150" t="s">
        <v>123</v>
      </c>
      <c r="BE150" t="s">
        <v>123</v>
      </c>
      <c r="BF150" t="s">
        <v>123</v>
      </c>
      <c r="BG150" t="s">
        <v>399</v>
      </c>
      <c r="BH150" t="s">
        <v>123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123</v>
      </c>
      <c r="BX150" t="s">
        <v>123</v>
      </c>
      <c r="BY150" s="1">
        <v>45965.250772534724</v>
      </c>
      <c r="BZ150">
        <v>1556</v>
      </c>
      <c r="CA150" t="s">
        <v>123</v>
      </c>
      <c r="CB150" t="s">
        <v>123</v>
      </c>
      <c r="CC150">
        <v>0</v>
      </c>
      <c r="CD150" t="s">
        <v>123</v>
      </c>
      <c r="CE150" t="s">
        <v>123</v>
      </c>
      <c r="CF150" t="s">
        <v>123</v>
      </c>
      <c r="CG150" t="s">
        <v>123</v>
      </c>
      <c r="CH150" t="s">
        <v>123</v>
      </c>
      <c r="CI150" t="s">
        <v>123</v>
      </c>
      <c r="CJ150" t="s">
        <v>123</v>
      </c>
      <c r="CK150">
        <v>7.9000000000000008E-3</v>
      </c>
      <c r="CL150" t="s">
        <v>123</v>
      </c>
      <c r="CM150">
        <v>8.3999999999999995E-3</v>
      </c>
      <c r="CN150" t="s">
        <v>123</v>
      </c>
      <c r="CO150" t="s">
        <v>123</v>
      </c>
      <c r="CP150" t="s">
        <v>123</v>
      </c>
      <c r="CQ150">
        <v>7.7000000000000002E-3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205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  <c r="DN150" t="s">
        <v>123</v>
      </c>
      <c r="DO150" t="s">
        <v>123</v>
      </c>
      <c r="DP150" t="s">
        <v>123</v>
      </c>
      <c r="DQ150" t="s">
        <v>123</v>
      </c>
      <c r="DR150" t="s">
        <v>123</v>
      </c>
      <c r="DS150" t="s">
        <v>123</v>
      </c>
    </row>
    <row r="151" spans="1:123" x14ac:dyDescent="0.3">
      <c r="A151">
        <v>150</v>
      </c>
      <c r="B151" t="s">
        <v>123</v>
      </c>
      <c r="C151" t="s">
        <v>123</v>
      </c>
      <c r="D151" t="s">
        <v>709</v>
      </c>
      <c r="E151" t="s">
        <v>123</v>
      </c>
      <c r="F151" t="s">
        <v>125</v>
      </c>
      <c r="G151" t="s">
        <v>126</v>
      </c>
      <c r="H151" t="s">
        <v>127</v>
      </c>
      <c r="I151" t="s">
        <v>128</v>
      </c>
      <c r="J151" t="s">
        <v>123</v>
      </c>
      <c r="K151" t="s">
        <v>704</v>
      </c>
      <c r="L151" t="s">
        <v>130</v>
      </c>
      <c r="M151" t="s">
        <v>705</v>
      </c>
      <c r="N151">
        <v>2</v>
      </c>
      <c r="O151" t="s">
        <v>133</v>
      </c>
      <c r="P151" t="s">
        <v>123</v>
      </c>
      <c r="Q151" t="s">
        <v>123</v>
      </c>
      <c r="R151" t="s">
        <v>123</v>
      </c>
      <c r="S151" t="s">
        <v>123</v>
      </c>
      <c r="T151" s="1">
        <v>46882</v>
      </c>
      <c r="U151" t="s">
        <v>123</v>
      </c>
      <c r="V151" t="s">
        <v>123</v>
      </c>
      <c r="W151" t="s">
        <v>123</v>
      </c>
      <c r="X151" t="s">
        <v>123</v>
      </c>
      <c r="Y151" t="s">
        <v>123</v>
      </c>
      <c r="Z151" t="s">
        <v>123</v>
      </c>
      <c r="AA151" t="s">
        <v>123</v>
      </c>
      <c r="AB151" t="s">
        <v>710</v>
      </c>
      <c r="AC151" t="s">
        <v>135</v>
      </c>
      <c r="AD151" t="s">
        <v>123</v>
      </c>
      <c r="AE151" t="s">
        <v>123</v>
      </c>
      <c r="AF151" t="s">
        <v>707</v>
      </c>
      <c r="AG151" t="s">
        <v>708</v>
      </c>
      <c r="AH151" t="s">
        <v>123</v>
      </c>
      <c r="AI151" t="s">
        <v>128</v>
      </c>
      <c r="AJ151" t="s">
        <v>186</v>
      </c>
      <c r="AK151" t="s">
        <v>139</v>
      </c>
      <c r="AL151" t="s">
        <v>123</v>
      </c>
      <c r="AM151" t="s">
        <v>123</v>
      </c>
      <c r="AN151" t="s">
        <v>123</v>
      </c>
      <c r="AO151" t="s">
        <v>123</v>
      </c>
      <c r="AP151">
        <v>250</v>
      </c>
      <c r="AQ151">
        <v>50</v>
      </c>
      <c r="AR151">
        <v>10</v>
      </c>
      <c r="AS151" t="s">
        <v>123</v>
      </c>
      <c r="AT151" t="s">
        <v>123</v>
      </c>
      <c r="AU151" t="s">
        <v>123</v>
      </c>
      <c r="AV151" t="s">
        <v>123</v>
      </c>
      <c r="AW151" t="s">
        <v>123</v>
      </c>
      <c r="AX151" t="s">
        <v>123</v>
      </c>
      <c r="AY151" t="s">
        <v>123</v>
      </c>
      <c r="AZ151" t="s">
        <v>123</v>
      </c>
      <c r="BA151" t="s">
        <v>237</v>
      </c>
      <c r="BB151" t="s">
        <v>123</v>
      </c>
      <c r="BC151" t="s">
        <v>123</v>
      </c>
      <c r="BD151" t="s">
        <v>123</v>
      </c>
      <c r="BE151" t="s">
        <v>123</v>
      </c>
      <c r="BF151" t="s">
        <v>123</v>
      </c>
      <c r="BG151" t="s">
        <v>399</v>
      </c>
      <c r="BH151" t="s">
        <v>123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123</v>
      </c>
      <c r="BX151" t="s">
        <v>123</v>
      </c>
      <c r="BY151" s="1">
        <v>45965.250803738425</v>
      </c>
      <c r="BZ151">
        <v>1556</v>
      </c>
      <c r="CA151" t="s">
        <v>123</v>
      </c>
      <c r="CB151" t="s">
        <v>123</v>
      </c>
      <c r="CC151">
        <v>0</v>
      </c>
      <c r="CD151" t="s">
        <v>123</v>
      </c>
      <c r="CE151" t="s">
        <v>123</v>
      </c>
      <c r="CF151" t="s">
        <v>123</v>
      </c>
      <c r="CG151" t="s">
        <v>123</v>
      </c>
      <c r="CH151" t="s">
        <v>123</v>
      </c>
      <c r="CI151" t="s">
        <v>123</v>
      </c>
      <c r="CJ151" t="s">
        <v>123</v>
      </c>
      <c r="CK151">
        <v>1.54E-2</v>
      </c>
      <c r="CL151" t="s">
        <v>123</v>
      </c>
      <c r="CM151">
        <v>1.7000000000000001E-2</v>
      </c>
      <c r="CN151" t="s">
        <v>123</v>
      </c>
      <c r="CO151" t="s">
        <v>123</v>
      </c>
      <c r="CP151" t="s">
        <v>123</v>
      </c>
      <c r="CQ151">
        <v>1.43E-2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205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  <c r="DN151" t="s">
        <v>123</v>
      </c>
      <c r="DO151" t="s">
        <v>123</v>
      </c>
      <c r="DP151" t="s">
        <v>123</v>
      </c>
      <c r="DQ151" t="s">
        <v>123</v>
      </c>
      <c r="DR151" t="s">
        <v>123</v>
      </c>
      <c r="DS151" t="s">
        <v>123</v>
      </c>
    </row>
    <row r="152" spans="1:123" x14ac:dyDescent="0.3">
      <c r="A152">
        <v>151</v>
      </c>
      <c r="B152" t="s">
        <v>123</v>
      </c>
      <c r="C152" t="s">
        <v>123</v>
      </c>
      <c r="D152" t="s">
        <v>711</v>
      </c>
      <c r="E152" t="s">
        <v>123</v>
      </c>
      <c r="F152" t="s">
        <v>125</v>
      </c>
      <c r="G152" t="s">
        <v>126</v>
      </c>
      <c r="H152" t="s">
        <v>127</v>
      </c>
      <c r="I152" t="s">
        <v>128</v>
      </c>
      <c r="J152" t="s">
        <v>123</v>
      </c>
      <c r="K152" t="s">
        <v>712</v>
      </c>
      <c r="L152" t="s">
        <v>130</v>
      </c>
      <c r="M152" t="s">
        <v>713</v>
      </c>
      <c r="N152">
        <v>1</v>
      </c>
      <c r="O152" t="s">
        <v>150</v>
      </c>
      <c r="P152" t="s">
        <v>123</v>
      </c>
      <c r="Q152" t="s">
        <v>123</v>
      </c>
      <c r="R152" t="s">
        <v>123</v>
      </c>
      <c r="S152" t="s">
        <v>123</v>
      </c>
      <c r="T152" s="1">
        <v>47212</v>
      </c>
      <c r="U152" t="s">
        <v>123</v>
      </c>
      <c r="V152" t="s">
        <v>123</v>
      </c>
      <c r="W152" t="s">
        <v>123</v>
      </c>
      <c r="X152" t="s">
        <v>123</v>
      </c>
      <c r="Y152" t="s">
        <v>123</v>
      </c>
      <c r="Z152" t="s">
        <v>123</v>
      </c>
      <c r="AA152" t="s">
        <v>123</v>
      </c>
      <c r="AB152" t="s">
        <v>714</v>
      </c>
      <c r="AC152" t="s">
        <v>135</v>
      </c>
      <c r="AD152" t="s">
        <v>123</v>
      </c>
      <c r="AE152" t="s">
        <v>123</v>
      </c>
      <c r="AF152" t="s">
        <v>707</v>
      </c>
      <c r="AG152" t="s">
        <v>708</v>
      </c>
      <c r="AH152" t="s">
        <v>123</v>
      </c>
      <c r="AI152" t="s">
        <v>128</v>
      </c>
      <c r="AJ152" t="s">
        <v>715</v>
      </c>
      <c r="AK152" t="s">
        <v>139</v>
      </c>
      <c r="AL152" t="s">
        <v>123</v>
      </c>
      <c r="AM152" t="s">
        <v>123</v>
      </c>
      <c r="AN152" t="s">
        <v>123</v>
      </c>
      <c r="AO152" t="s">
        <v>123</v>
      </c>
      <c r="AP152">
        <v>250</v>
      </c>
      <c r="AQ152">
        <v>50</v>
      </c>
      <c r="AR152">
        <v>10</v>
      </c>
      <c r="AS152" t="s">
        <v>123</v>
      </c>
      <c r="AT152" t="s">
        <v>123</v>
      </c>
      <c r="AU152" t="s">
        <v>123</v>
      </c>
      <c r="AV152" t="s">
        <v>123</v>
      </c>
      <c r="AW152" t="s">
        <v>123</v>
      </c>
      <c r="AX152" t="s">
        <v>123</v>
      </c>
      <c r="AY152" t="s">
        <v>123</v>
      </c>
      <c r="AZ152" t="s">
        <v>123</v>
      </c>
      <c r="BA152" t="s">
        <v>398</v>
      </c>
      <c r="BB152" t="s">
        <v>123</v>
      </c>
      <c r="BC152" t="s">
        <v>123</v>
      </c>
      <c r="BD152" t="s">
        <v>123</v>
      </c>
      <c r="BE152" t="s">
        <v>123</v>
      </c>
      <c r="BF152" t="s">
        <v>123</v>
      </c>
      <c r="BG152" t="s">
        <v>399</v>
      </c>
      <c r="BH152" t="s">
        <v>123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123</v>
      </c>
      <c r="BX152" t="s">
        <v>123</v>
      </c>
      <c r="BY152" s="1">
        <v>45965.250851238423</v>
      </c>
      <c r="BZ152">
        <v>1556</v>
      </c>
      <c r="CA152" t="s">
        <v>123</v>
      </c>
      <c r="CB152" t="s">
        <v>123</v>
      </c>
      <c r="CC152">
        <v>0</v>
      </c>
      <c r="CD152" t="s">
        <v>123</v>
      </c>
      <c r="CE152" t="s">
        <v>123</v>
      </c>
      <c r="CF152" t="s">
        <v>123</v>
      </c>
      <c r="CG152" t="s">
        <v>123</v>
      </c>
      <c r="CH152" t="s">
        <v>123</v>
      </c>
      <c r="CI152" t="s">
        <v>123</v>
      </c>
      <c r="CJ152" t="s">
        <v>123</v>
      </c>
      <c r="CK152">
        <v>7.9000000000000008E-3</v>
      </c>
      <c r="CL152" t="s">
        <v>123</v>
      </c>
      <c r="CM152">
        <v>8.2000000000000007E-3</v>
      </c>
      <c r="CN152" t="s">
        <v>123</v>
      </c>
      <c r="CO152" t="s">
        <v>123</v>
      </c>
      <c r="CP152" t="s">
        <v>123</v>
      </c>
      <c r="CQ152">
        <v>7.7000000000000002E-3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152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  <c r="DN152" t="s">
        <v>123</v>
      </c>
      <c r="DO152" t="s">
        <v>123</v>
      </c>
      <c r="DP152" t="s">
        <v>123</v>
      </c>
      <c r="DQ152" t="s">
        <v>123</v>
      </c>
      <c r="DR152" t="s">
        <v>123</v>
      </c>
      <c r="DS152" t="s">
        <v>123</v>
      </c>
    </row>
    <row r="153" spans="1:123" x14ac:dyDescent="0.3">
      <c r="A153">
        <v>152</v>
      </c>
      <c r="B153" t="s">
        <v>123</v>
      </c>
      <c r="C153" t="s">
        <v>123</v>
      </c>
      <c r="D153" t="s">
        <v>716</v>
      </c>
      <c r="E153" t="s">
        <v>123</v>
      </c>
      <c r="F153" t="s">
        <v>125</v>
      </c>
      <c r="G153" t="s">
        <v>126</v>
      </c>
      <c r="H153" t="s">
        <v>127</v>
      </c>
      <c r="I153" t="s">
        <v>128</v>
      </c>
      <c r="J153" t="s">
        <v>123</v>
      </c>
      <c r="K153" t="s">
        <v>712</v>
      </c>
      <c r="L153" t="s">
        <v>130</v>
      </c>
      <c r="M153" t="s">
        <v>713</v>
      </c>
      <c r="N153">
        <v>1</v>
      </c>
      <c r="O153" t="s">
        <v>159</v>
      </c>
      <c r="P153" t="s">
        <v>123</v>
      </c>
      <c r="Q153" t="s">
        <v>123</v>
      </c>
      <c r="R153" t="s">
        <v>123</v>
      </c>
      <c r="S153" t="s">
        <v>123</v>
      </c>
      <c r="T153" s="1">
        <v>47596</v>
      </c>
      <c r="U153" t="s">
        <v>123</v>
      </c>
      <c r="V153" t="s">
        <v>123</v>
      </c>
      <c r="W153" t="s">
        <v>123</v>
      </c>
      <c r="X153" t="s">
        <v>123</v>
      </c>
      <c r="Y153" t="s">
        <v>123</v>
      </c>
      <c r="Z153" t="s">
        <v>123</v>
      </c>
      <c r="AA153" t="s">
        <v>123</v>
      </c>
      <c r="AB153" t="s">
        <v>717</v>
      </c>
      <c r="AC153" t="s">
        <v>135</v>
      </c>
      <c r="AD153" t="s">
        <v>123</v>
      </c>
      <c r="AE153" t="s">
        <v>123</v>
      </c>
      <c r="AF153" t="s">
        <v>707</v>
      </c>
      <c r="AG153" t="s">
        <v>708</v>
      </c>
      <c r="AH153" t="s">
        <v>123</v>
      </c>
      <c r="AI153" t="s">
        <v>128</v>
      </c>
      <c r="AJ153" t="s">
        <v>715</v>
      </c>
      <c r="AK153" t="s">
        <v>139</v>
      </c>
      <c r="AL153" t="s">
        <v>123</v>
      </c>
      <c r="AM153" t="s">
        <v>123</v>
      </c>
      <c r="AN153" t="s">
        <v>123</v>
      </c>
      <c r="AO153" t="s">
        <v>123</v>
      </c>
      <c r="AP153">
        <v>250</v>
      </c>
      <c r="AQ153">
        <v>50</v>
      </c>
      <c r="AR153">
        <v>10</v>
      </c>
      <c r="AS153" t="s">
        <v>123</v>
      </c>
      <c r="AT153" t="s">
        <v>123</v>
      </c>
      <c r="AU153" t="s">
        <v>123</v>
      </c>
      <c r="AV153" t="s">
        <v>123</v>
      </c>
      <c r="AW153" t="s">
        <v>123</v>
      </c>
      <c r="AX153" t="s">
        <v>123</v>
      </c>
      <c r="AY153" t="s">
        <v>123</v>
      </c>
      <c r="AZ153" t="s">
        <v>123</v>
      </c>
      <c r="BA153" t="s">
        <v>718</v>
      </c>
      <c r="BB153" t="s">
        <v>123</v>
      </c>
      <c r="BC153" t="s">
        <v>123</v>
      </c>
      <c r="BD153" t="s">
        <v>123</v>
      </c>
      <c r="BE153" t="s">
        <v>123</v>
      </c>
      <c r="BF153" t="s">
        <v>123</v>
      </c>
      <c r="BG153" t="s">
        <v>399</v>
      </c>
      <c r="BH153" t="s">
        <v>123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123</v>
      </c>
      <c r="BX153" t="s">
        <v>123</v>
      </c>
      <c r="BY153" s="1">
        <v>45965.250882025466</v>
      </c>
      <c r="BZ153">
        <v>1556</v>
      </c>
      <c r="CA153" t="s">
        <v>123</v>
      </c>
      <c r="CB153" t="s">
        <v>123</v>
      </c>
      <c r="CC153">
        <v>0</v>
      </c>
      <c r="CD153" t="s">
        <v>123</v>
      </c>
      <c r="CE153" t="s">
        <v>123</v>
      </c>
      <c r="CF153" t="s">
        <v>123</v>
      </c>
      <c r="CG153" t="s">
        <v>123</v>
      </c>
      <c r="CH153" t="s">
        <v>123</v>
      </c>
      <c r="CI153" t="s">
        <v>123</v>
      </c>
      <c r="CJ153" t="s">
        <v>123</v>
      </c>
      <c r="CK153">
        <v>7.4000000000000003E-3</v>
      </c>
      <c r="CL153" t="s">
        <v>123</v>
      </c>
      <c r="CM153">
        <v>7.7000000000000002E-3</v>
      </c>
      <c r="CN153" t="s">
        <v>123</v>
      </c>
      <c r="CO153" t="s">
        <v>123</v>
      </c>
      <c r="CP153" t="s">
        <v>123</v>
      </c>
      <c r="CQ153">
        <v>6.8999999999999999E-3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152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  <c r="DN153" t="s">
        <v>123</v>
      </c>
      <c r="DO153" t="s">
        <v>123</v>
      </c>
      <c r="DP153" t="s">
        <v>123</v>
      </c>
      <c r="DQ153" t="s">
        <v>123</v>
      </c>
      <c r="DR153" t="s">
        <v>123</v>
      </c>
      <c r="DS153" t="s">
        <v>123</v>
      </c>
    </row>
    <row r="154" spans="1:123" x14ac:dyDescent="0.3">
      <c r="A154">
        <v>153</v>
      </c>
      <c r="B154" t="s">
        <v>123</v>
      </c>
      <c r="C154" t="s">
        <v>123</v>
      </c>
      <c r="D154" t="s">
        <v>719</v>
      </c>
      <c r="E154" t="s">
        <v>123</v>
      </c>
      <c r="F154" t="s">
        <v>125</v>
      </c>
      <c r="G154" t="s">
        <v>126</v>
      </c>
      <c r="H154" t="s">
        <v>127</v>
      </c>
      <c r="I154" t="s">
        <v>128</v>
      </c>
      <c r="J154" t="s">
        <v>123</v>
      </c>
      <c r="K154" t="s">
        <v>712</v>
      </c>
      <c r="L154" t="s">
        <v>130</v>
      </c>
      <c r="M154" t="s">
        <v>713</v>
      </c>
      <c r="N154">
        <v>1</v>
      </c>
      <c r="O154" t="s">
        <v>720</v>
      </c>
      <c r="P154" t="s">
        <v>123</v>
      </c>
      <c r="Q154" t="s">
        <v>123</v>
      </c>
      <c r="R154" t="s">
        <v>123</v>
      </c>
      <c r="S154" t="s">
        <v>123</v>
      </c>
      <c r="T154" s="1">
        <v>46308</v>
      </c>
      <c r="U154" t="s">
        <v>123</v>
      </c>
      <c r="V154" t="s">
        <v>123</v>
      </c>
      <c r="W154" t="s">
        <v>123</v>
      </c>
      <c r="X154" t="s">
        <v>123</v>
      </c>
      <c r="Y154" t="s">
        <v>123</v>
      </c>
      <c r="Z154" t="s">
        <v>123</v>
      </c>
      <c r="AA154" t="s">
        <v>123</v>
      </c>
      <c r="AB154" t="s">
        <v>721</v>
      </c>
      <c r="AC154" t="s">
        <v>135</v>
      </c>
      <c r="AD154" t="s">
        <v>123</v>
      </c>
      <c r="AE154" t="s">
        <v>123</v>
      </c>
      <c r="AF154" t="s">
        <v>707</v>
      </c>
      <c r="AG154" t="s">
        <v>708</v>
      </c>
      <c r="AH154" t="s">
        <v>123</v>
      </c>
      <c r="AI154" t="s">
        <v>128</v>
      </c>
      <c r="AJ154" t="s">
        <v>715</v>
      </c>
      <c r="AK154" t="s">
        <v>139</v>
      </c>
      <c r="AL154" t="s">
        <v>123</v>
      </c>
      <c r="AM154" t="s">
        <v>123</v>
      </c>
      <c r="AN154" t="s">
        <v>123</v>
      </c>
      <c r="AO154" t="s">
        <v>123</v>
      </c>
      <c r="AP154">
        <v>250</v>
      </c>
      <c r="AQ154">
        <v>50</v>
      </c>
      <c r="AR154">
        <v>10</v>
      </c>
      <c r="AS154" t="s">
        <v>123</v>
      </c>
      <c r="AT154" t="s">
        <v>123</v>
      </c>
      <c r="AU154" t="s">
        <v>123</v>
      </c>
      <c r="AV154" t="s">
        <v>123</v>
      </c>
      <c r="AW154" t="s">
        <v>123</v>
      </c>
      <c r="AX154" t="s">
        <v>123</v>
      </c>
      <c r="AY154" t="s">
        <v>123</v>
      </c>
      <c r="AZ154" t="s">
        <v>123</v>
      </c>
      <c r="BA154" t="s">
        <v>140</v>
      </c>
      <c r="BB154" t="s">
        <v>123</v>
      </c>
      <c r="BC154" t="s">
        <v>123</v>
      </c>
      <c r="BD154" t="s">
        <v>123</v>
      </c>
      <c r="BE154" t="s">
        <v>123</v>
      </c>
      <c r="BF154" t="s">
        <v>123</v>
      </c>
      <c r="BG154" t="s">
        <v>141</v>
      </c>
      <c r="BH154" t="s">
        <v>123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123</v>
      </c>
      <c r="BX154" t="s">
        <v>123</v>
      </c>
      <c r="BY154" s="1">
        <v>45965.250912962962</v>
      </c>
      <c r="BZ154">
        <v>1556</v>
      </c>
      <c r="CA154" t="s">
        <v>123</v>
      </c>
      <c r="CB154" t="s">
        <v>123</v>
      </c>
      <c r="CC154">
        <v>0</v>
      </c>
      <c r="CD154" t="s">
        <v>123</v>
      </c>
      <c r="CE154" t="s">
        <v>123</v>
      </c>
      <c r="CF154" t="s">
        <v>123</v>
      </c>
      <c r="CG154" t="s">
        <v>123</v>
      </c>
      <c r="CH154" t="s">
        <v>123</v>
      </c>
      <c r="CI154" t="s">
        <v>123</v>
      </c>
      <c r="CJ154" t="s">
        <v>123</v>
      </c>
      <c r="CK154">
        <v>7.3000000000000001E-3</v>
      </c>
      <c r="CL154" t="s">
        <v>123</v>
      </c>
      <c r="CM154">
        <v>7.7000000000000002E-3</v>
      </c>
      <c r="CN154" t="s">
        <v>123</v>
      </c>
      <c r="CO154" t="s">
        <v>123</v>
      </c>
      <c r="CP154" t="s">
        <v>123</v>
      </c>
      <c r="CQ154">
        <v>6.7999999999999996E-3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152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  <c r="DN154" t="s">
        <v>123</v>
      </c>
      <c r="DO154" t="s">
        <v>123</v>
      </c>
      <c r="DP154" t="s">
        <v>123</v>
      </c>
      <c r="DQ154" t="s">
        <v>123</v>
      </c>
      <c r="DR154" t="s">
        <v>123</v>
      </c>
      <c r="DS154" t="s">
        <v>123</v>
      </c>
    </row>
    <row r="155" spans="1:123" x14ac:dyDescent="0.3">
      <c r="A155">
        <v>154</v>
      </c>
      <c r="B155" t="s">
        <v>123</v>
      </c>
      <c r="C155" t="s">
        <v>123</v>
      </c>
      <c r="D155" t="s">
        <v>722</v>
      </c>
      <c r="E155" t="s">
        <v>123</v>
      </c>
      <c r="F155" t="s">
        <v>125</v>
      </c>
      <c r="G155" t="s">
        <v>126</v>
      </c>
      <c r="H155" t="s">
        <v>127</v>
      </c>
      <c r="I155" t="s">
        <v>128</v>
      </c>
      <c r="J155" t="s">
        <v>123</v>
      </c>
      <c r="K155" t="s">
        <v>712</v>
      </c>
      <c r="L155" t="s">
        <v>130</v>
      </c>
      <c r="M155" t="s">
        <v>713</v>
      </c>
      <c r="N155">
        <v>2</v>
      </c>
      <c r="O155" t="s">
        <v>720</v>
      </c>
      <c r="P155" t="s">
        <v>123</v>
      </c>
      <c r="Q155" t="s">
        <v>123</v>
      </c>
      <c r="R155" t="s">
        <v>123</v>
      </c>
      <c r="S155" t="s">
        <v>123</v>
      </c>
      <c r="T155" s="1">
        <v>46308</v>
      </c>
      <c r="U155" t="s">
        <v>123</v>
      </c>
      <c r="V155" t="s">
        <v>123</v>
      </c>
      <c r="W155" t="s">
        <v>123</v>
      </c>
      <c r="X155" t="s">
        <v>123</v>
      </c>
      <c r="Y155" t="s">
        <v>123</v>
      </c>
      <c r="Z155" t="s">
        <v>123</v>
      </c>
      <c r="AA155" t="s">
        <v>123</v>
      </c>
      <c r="AB155" t="s">
        <v>723</v>
      </c>
      <c r="AC155" t="s">
        <v>135</v>
      </c>
      <c r="AD155" t="s">
        <v>123</v>
      </c>
      <c r="AE155" t="s">
        <v>123</v>
      </c>
      <c r="AF155" t="s">
        <v>707</v>
      </c>
      <c r="AG155" t="s">
        <v>708</v>
      </c>
      <c r="AH155" t="s">
        <v>123</v>
      </c>
      <c r="AI155" t="s">
        <v>128</v>
      </c>
      <c r="AJ155" t="s">
        <v>715</v>
      </c>
      <c r="AK155" t="s">
        <v>139</v>
      </c>
      <c r="AL155" t="s">
        <v>123</v>
      </c>
      <c r="AM155" t="s">
        <v>123</v>
      </c>
      <c r="AN155" t="s">
        <v>123</v>
      </c>
      <c r="AO155" t="s">
        <v>123</v>
      </c>
      <c r="AP155">
        <v>250</v>
      </c>
      <c r="AQ155">
        <v>50</v>
      </c>
      <c r="AR155">
        <v>10</v>
      </c>
      <c r="AS155" t="s">
        <v>123</v>
      </c>
      <c r="AT155" t="s">
        <v>123</v>
      </c>
      <c r="AU155" t="s">
        <v>123</v>
      </c>
      <c r="AV155" t="s">
        <v>123</v>
      </c>
      <c r="AW155" t="s">
        <v>123</v>
      </c>
      <c r="AX155" t="s">
        <v>123</v>
      </c>
      <c r="AY155" t="s">
        <v>123</v>
      </c>
      <c r="AZ155" t="s">
        <v>123</v>
      </c>
      <c r="BA155" t="s">
        <v>140</v>
      </c>
      <c r="BB155" t="s">
        <v>123</v>
      </c>
      <c r="BC155" t="s">
        <v>123</v>
      </c>
      <c r="BD155" t="s">
        <v>123</v>
      </c>
      <c r="BE155" t="s">
        <v>123</v>
      </c>
      <c r="BF155" t="s">
        <v>123</v>
      </c>
      <c r="BG155" t="s">
        <v>141</v>
      </c>
      <c r="BH155" t="s">
        <v>123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123</v>
      </c>
      <c r="BX155" t="s">
        <v>123</v>
      </c>
      <c r="BY155" s="1">
        <v>45965.250944444444</v>
      </c>
      <c r="BZ155">
        <v>1556</v>
      </c>
      <c r="CA155" t="s">
        <v>123</v>
      </c>
      <c r="CB155" t="s">
        <v>123</v>
      </c>
      <c r="CC155">
        <v>0</v>
      </c>
      <c r="CD155" t="s">
        <v>123</v>
      </c>
      <c r="CE155" t="s">
        <v>123</v>
      </c>
      <c r="CF155" t="s">
        <v>123</v>
      </c>
      <c r="CG155" t="s">
        <v>123</v>
      </c>
      <c r="CH155" t="s">
        <v>123</v>
      </c>
      <c r="CI155" t="s">
        <v>123</v>
      </c>
      <c r="CJ155" t="s">
        <v>123</v>
      </c>
      <c r="CK155">
        <v>1.26E-2</v>
      </c>
      <c r="CL155" t="s">
        <v>123</v>
      </c>
      <c r="CM155">
        <v>1.4200000000000001E-2</v>
      </c>
      <c r="CN155" t="s">
        <v>123</v>
      </c>
      <c r="CO155" t="s">
        <v>123</v>
      </c>
      <c r="CP155" t="s">
        <v>123</v>
      </c>
      <c r="CQ155">
        <v>1.0999999999999999E-2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152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  <c r="DN155" t="s">
        <v>123</v>
      </c>
      <c r="DO155" t="s">
        <v>123</v>
      </c>
      <c r="DP155" t="s">
        <v>123</v>
      </c>
      <c r="DQ155" t="s">
        <v>123</v>
      </c>
      <c r="DR155" t="s">
        <v>123</v>
      </c>
      <c r="DS155" t="s">
        <v>123</v>
      </c>
    </row>
    <row r="156" spans="1:123" x14ac:dyDescent="0.3">
      <c r="A156">
        <v>155</v>
      </c>
      <c r="B156" t="s">
        <v>123</v>
      </c>
      <c r="C156" t="s">
        <v>123</v>
      </c>
      <c r="D156" t="s">
        <v>724</v>
      </c>
      <c r="E156" t="s">
        <v>123</v>
      </c>
      <c r="F156" t="s">
        <v>125</v>
      </c>
      <c r="G156" t="s">
        <v>126</v>
      </c>
      <c r="H156" t="s">
        <v>127</v>
      </c>
      <c r="I156" t="s">
        <v>128</v>
      </c>
      <c r="J156" t="s">
        <v>123</v>
      </c>
      <c r="K156" t="s">
        <v>725</v>
      </c>
      <c r="L156" t="s">
        <v>130</v>
      </c>
      <c r="M156" t="s">
        <v>726</v>
      </c>
      <c r="N156" t="s">
        <v>158</v>
      </c>
      <c r="O156" t="s">
        <v>150</v>
      </c>
      <c r="P156" t="s">
        <v>123</v>
      </c>
      <c r="Q156" t="s">
        <v>123</v>
      </c>
      <c r="R156" t="s">
        <v>123</v>
      </c>
      <c r="S156" t="s">
        <v>123</v>
      </c>
      <c r="T156" s="1">
        <v>46546</v>
      </c>
      <c r="U156" t="s">
        <v>123</v>
      </c>
      <c r="V156" t="s">
        <v>123</v>
      </c>
      <c r="W156" t="s">
        <v>123</v>
      </c>
      <c r="X156" t="s">
        <v>123</v>
      </c>
      <c r="Y156" t="s">
        <v>123</v>
      </c>
      <c r="Z156" t="s">
        <v>123</v>
      </c>
      <c r="AA156" t="s">
        <v>123</v>
      </c>
      <c r="AB156" t="s">
        <v>727</v>
      </c>
      <c r="AC156" t="s">
        <v>135</v>
      </c>
      <c r="AD156" t="s">
        <v>123</v>
      </c>
      <c r="AE156" t="s">
        <v>123</v>
      </c>
      <c r="AF156" t="s">
        <v>227</v>
      </c>
      <c r="AG156" t="s">
        <v>228</v>
      </c>
      <c r="AH156" t="s">
        <v>123</v>
      </c>
      <c r="AI156" t="s">
        <v>128</v>
      </c>
      <c r="AJ156" t="s">
        <v>186</v>
      </c>
      <c r="AK156" t="s">
        <v>163</v>
      </c>
      <c r="AL156" t="s">
        <v>123</v>
      </c>
      <c r="AM156" t="s">
        <v>123</v>
      </c>
      <c r="AN156" t="s">
        <v>123</v>
      </c>
      <c r="AO156" t="s">
        <v>123</v>
      </c>
      <c r="AP156">
        <v>250</v>
      </c>
      <c r="AQ156">
        <v>50</v>
      </c>
      <c r="AR156">
        <v>10</v>
      </c>
      <c r="AS156" t="s">
        <v>123</v>
      </c>
      <c r="AT156" t="s">
        <v>123</v>
      </c>
      <c r="AU156" t="s">
        <v>123</v>
      </c>
      <c r="AV156" t="s">
        <v>123</v>
      </c>
      <c r="AW156" t="s">
        <v>123</v>
      </c>
      <c r="AX156" t="s">
        <v>123</v>
      </c>
      <c r="AY156" t="s">
        <v>123</v>
      </c>
      <c r="AZ156" t="s">
        <v>123</v>
      </c>
      <c r="BA156" t="s">
        <v>237</v>
      </c>
      <c r="BB156" t="s">
        <v>123</v>
      </c>
      <c r="BC156" t="s">
        <v>123</v>
      </c>
      <c r="BD156" t="s">
        <v>123</v>
      </c>
      <c r="BE156" t="s">
        <v>123</v>
      </c>
      <c r="BF156" t="s">
        <v>123</v>
      </c>
      <c r="BG156" t="s">
        <v>399</v>
      </c>
      <c r="BH156" t="s">
        <v>123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123</v>
      </c>
      <c r="BX156" t="s">
        <v>123</v>
      </c>
      <c r="BY156" s="1">
        <v>45965.250975034724</v>
      </c>
      <c r="BZ156">
        <v>1489</v>
      </c>
      <c r="CA156" t="s">
        <v>123</v>
      </c>
      <c r="CB156" t="s">
        <v>123</v>
      </c>
      <c r="CC156">
        <v>0</v>
      </c>
      <c r="CD156" t="s">
        <v>123</v>
      </c>
      <c r="CE156" t="s">
        <v>123</v>
      </c>
      <c r="CF156" t="s">
        <v>123</v>
      </c>
      <c r="CG156" t="s">
        <v>123</v>
      </c>
      <c r="CH156" t="s">
        <v>123</v>
      </c>
      <c r="CI156" t="s">
        <v>123</v>
      </c>
      <c r="CJ156" t="s">
        <v>123</v>
      </c>
      <c r="CK156">
        <v>3.8699999999999998E-2</v>
      </c>
      <c r="CL156">
        <v>4.2500000000000003E-2</v>
      </c>
      <c r="CM156">
        <v>4.5400000000000003E-2</v>
      </c>
      <c r="CN156">
        <v>4.9599999999999998E-2</v>
      </c>
      <c r="CO156" t="s">
        <v>123</v>
      </c>
      <c r="CP156" t="s">
        <v>123</v>
      </c>
      <c r="CQ156">
        <v>3.32E-2</v>
      </c>
      <c r="CR156">
        <v>3.6499999999999998E-2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205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  <c r="DN156" t="s">
        <v>123</v>
      </c>
      <c r="DO156" t="s">
        <v>123</v>
      </c>
      <c r="DP156" t="s">
        <v>123</v>
      </c>
      <c r="DQ156" t="s">
        <v>123</v>
      </c>
      <c r="DR156" t="s">
        <v>123</v>
      </c>
      <c r="DS156" t="s">
        <v>123</v>
      </c>
    </row>
    <row r="157" spans="1:123" x14ac:dyDescent="0.3">
      <c r="A157">
        <v>156</v>
      </c>
      <c r="B157" t="s">
        <v>123</v>
      </c>
      <c r="C157" t="s">
        <v>123</v>
      </c>
      <c r="D157" t="s">
        <v>728</v>
      </c>
      <c r="E157" t="s">
        <v>123</v>
      </c>
      <c r="F157" t="s">
        <v>125</v>
      </c>
      <c r="G157" t="s">
        <v>126</v>
      </c>
      <c r="H157" t="s">
        <v>127</v>
      </c>
      <c r="I157" t="s">
        <v>128</v>
      </c>
      <c r="J157" t="s">
        <v>123</v>
      </c>
      <c r="K157" t="s">
        <v>729</v>
      </c>
      <c r="L157" t="s">
        <v>130</v>
      </c>
      <c r="M157" t="s">
        <v>730</v>
      </c>
      <c r="N157" t="s">
        <v>158</v>
      </c>
      <c r="O157" t="s">
        <v>720</v>
      </c>
      <c r="P157" t="s">
        <v>123</v>
      </c>
      <c r="Q157" t="s">
        <v>123</v>
      </c>
      <c r="R157" t="s">
        <v>123</v>
      </c>
      <c r="S157" t="s">
        <v>123</v>
      </c>
      <c r="T157" s="1">
        <v>46037</v>
      </c>
      <c r="U157" t="s">
        <v>123</v>
      </c>
      <c r="V157" t="s">
        <v>123</v>
      </c>
      <c r="W157" t="s">
        <v>123</v>
      </c>
      <c r="X157" t="s">
        <v>123</v>
      </c>
      <c r="Y157" t="s">
        <v>123</v>
      </c>
      <c r="Z157" t="s">
        <v>123</v>
      </c>
      <c r="AA157" t="s">
        <v>123</v>
      </c>
      <c r="AB157" t="s">
        <v>731</v>
      </c>
      <c r="AC157" t="s">
        <v>135</v>
      </c>
      <c r="AD157" t="s">
        <v>123</v>
      </c>
      <c r="AE157" t="s">
        <v>123</v>
      </c>
      <c r="AF157" t="s">
        <v>732</v>
      </c>
      <c r="AG157" t="s">
        <v>733</v>
      </c>
      <c r="AH157" t="s">
        <v>123</v>
      </c>
      <c r="AI157" t="s">
        <v>128</v>
      </c>
      <c r="AJ157" t="s">
        <v>138</v>
      </c>
      <c r="AK157" t="s">
        <v>139</v>
      </c>
      <c r="AL157" t="s">
        <v>123</v>
      </c>
      <c r="AM157" t="s">
        <v>123</v>
      </c>
      <c r="AN157" t="s">
        <v>123</v>
      </c>
      <c r="AO157" t="s">
        <v>123</v>
      </c>
      <c r="AP157">
        <v>250</v>
      </c>
      <c r="AQ157">
        <v>50</v>
      </c>
      <c r="AR157">
        <v>10</v>
      </c>
      <c r="AS157" t="s">
        <v>123</v>
      </c>
      <c r="AT157" t="s">
        <v>123</v>
      </c>
      <c r="AU157" t="s">
        <v>123</v>
      </c>
      <c r="AV157" t="s">
        <v>123</v>
      </c>
      <c r="AW157" t="s">
        <v>123</v>
      </c>
      <c r="AX157" t="s">
        <v>123</v>
      </c>
      <c r="AY157" t="s">
        <v>123</v>
      </c>
      <c r="AZ157" t="s">
        <v>123</v>
      </c>
      <c r="BA157" t="s">
        <v>237</v>
      </c>
      <c r="BB157" t="s">
        <v>123</v>
      </c>
      <c r="BC157" t="s">
        <v>123</v>
      </c>
      <c r="BD157" t="s">
        <v>123</v>
      </c>
      <c r="BE157" t="s">
        <v>123</v>
      </c>
      <c r="BF157" t="s">
        <v>123</v>
      </c>
      <c r="BG157" t="s">
        <v>734</v>
      </c>
      <c r="BH157" t="s">
        <v>123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123</v>
      </c>
      <c r="BX157" t="s">
        <v>123</v>
      </c>
      <c r="BY157" s="1">
        <v>45965.251047534723</v>
      </c>
      <c r="BZ157">
        <v>1522</v>
      </c>
      <c r="CA157" t="s">
        <v>123</v>
      </c>
      <c r="CB157" t="s">
        <v>123</v>
      </c>
      <c r="CC157">
        <v>0</v>
      </c>
      <c r="CD157" t="s">
        <v>123</v>
      </c>
      <c r="CE157" t="s">
        <v>123</v>
      </c>
      <c r="CF157" t="s">
        <v>123</v>
      </c>
      <c r="CG157" t="s">
        <v>123</v>
      </c>
      <c r="CH157" t="s">
        <v>123</v>
      </c>
      <c r="CI157" t="s">
        <v>123</v>
      </c>
      <c r="CJ157" t="s">
        <v>123</v>
      </c>
      <c r="CK157">
        <v>1.83E-2</v>
      </c>
      <c r="CL157" t="s">
        <v>123</v>
      </c>
      <c r="CM157">
        <v>2.8000000000000001E-2</v>
      </c>
      <c r="CN157" t="s">
        <v>123</v>
      </c>
      <c r="CO157" t="s">
        <v>123</v>
      </c>
      <c r="CP157" t="s">
        <v>123</v>
      </c>
      <c r="CQ157">
        <v>1.0999999999999999E-2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205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  <c r="DN157" t="s">
        <v>123</v>
      </c>
      <c r="DO157" t="s">
        <v>123</v>
      </c>
      <c r="DP157" t="s">
        <v>123</v>
      </c>
      <c r="DQ157" t="s">
        <v>123</v>
      </c>
      <c r="DR157" t="s">
        <v>123</v>
      </c>
      <c r="DS157" t="s">
        <v>123</v>
      </c>
    </row>
    <row r="158" spans="1:123" x14ac:dyDescent="0.3">
      <c r="A158">
        <v>157</v>
      </c>
      <c r="B158" t="s">
        <v>123</v>
      </c>
      <c r="C158" t="s">
        <v>123</v>
      </c>
      <c r="D158" t="s">
        <v>735</v>
      </c>
      <c r="E158" t="s">
        <v>123</v>
      </c>
      <c r="F158" t="s">
        <v>125</v>
      </c>
      <c r="G158" t="s">
        <v>126</v>
      </c>
      <c r="H158" t="s">
        <v>127</v>
      </c>
      <c r="I158" t="s">
        <v>128</v>
      </c>
      <c r="J158" t="s">
        <v>123</v>
      </c>
      <c r="K158" t="s">
        <v>729</v>
      </c>
      <c r="L158" t="s">
        <v>130</v>
      </c>
      <c r="M158" t="s">
        <v>730</v>
      </c>
      <c r="N158" t="s">
        <v>180</v>
      </c>
      <c r="O158" t="s">
        <v>720</v>
      </c>
      <c r="P158" t="s">
        <v>123</v>
      </c>
      <c r="Q158" t="s">
        <v>123</v>
      </c>
      <c r="R158" t="s">
        <v>123</v>
      </c>
      <c r="S158" t="s">
        <v>123</v>
      </c>
      <c r="T158" s="1">
        <v>46037</v>
      </c>
      <c r="U158" t="s">
        <v>123</v>
      </c>
      <c r="V158" t="s">
        <v>123</v>
      </c>
      <c r="W158" t="s">
        <v>123</v>
      </c>
      <c r="X158" t="s">
        <v>123</v>
      </c>
      <c r="Y158" t="s">
        <v>123</v>
      </c>
      <c r="Z158" t="s">
        <v>123</v>
      </c>
      <c r="AA158" t="s">
        <v>123</v>
      </c>
      <c r="AB158" t="s">
        <v>736</v>
      </c>
      <c r="AC158" t="s">
        <v>135</v>
      </c>
      <c r="AD158" t="s">
        <v>123</v>
      </c>
      <c r="AE158" t="s">
        <v>123</v>
      </c>
      <c r="AF158" t="s">
        <v>737</v>
      </c>
      <c r="AG158" t="s">
        <v>733</v>
      </c>
      <c r="AH158" t="s">
        <v>123</v>
      </c>
      <c r="AI158" t="s">
        <v>128</v>
      </c>
      <c r="AJ158" t="s">
        <v>138</v>
      </c>
      <c r="AK158" t="s">
        <v>139</v>
      </c>
      <c r="AL158" t="s">
        <v>123</v>
      </c>
      <c r="AM158" t="s">
        <v>123</v>
      </c>
      <c r="AN158" t="s">
        <v>123</v>
      </c>
      <c r="AO158" t="s">
        <v>123</v>
      </c>
      <c r="AP158">
        <v>250</v>
      </c>
      <c r="AQ158">
        <v>50</v>
      </c>
      <c r="AR158">
        <v>10</v>
      </c>
      <c r="AS158" t="s">
        <v>123</v>
      </c>
      <c r="AT158" t="s">
        <v>123</v>
      </c>
      <c r="AU158" t="s">
        <v>123</v>
      </c>
      <c r="AV158" t="s">
        <v>123</v>
      </c>
      <c r="AW158" t="s">
        <v>123</v>
      </c>
      <c r="AX158" t="s">
        <v>123</v>
      </c>
      <c r="AY158" t="s">
        <v>123</v>
      </c>
      <c r="AZ158" t="s">
        <v>123</v>
      </c>
      <c r="BA158" t="s">
        <v>237</v>
      </c>
      <c r="BB158" t="s">
        <v>123</v>
      </c>
      <c r="BC158" t="s">
        <v>123</v>
      </c>
      <c r="BD158" t="s">
        <v>123</v>
      </c>
      <c r="BE158" t="s">
        <v>123</v>
      </c>
      <c r="BF158" t="s">
        <v>123</v>
      </c>
      <c r="BG158" t="s">
        <v>734</v>
      </c>
      <c r="BH158" t="s">
        <v>123</v>
      </c>
      <c r="BI158" t="s">
        <v>123</v>
      </c>
      <c r="BJ158" t="s">
        <v>123</v>
      </c>
      <c r="BK158" t="s">
        <v>123</v>
      </c>
      <c r="BL158" t="s">
        <v>123</v>
      </c>
      <c r="BM158" t="s">
        <v>123</v>
      </c>
      <c r="BN158" t="s">
        <v>123</v>
      </c>
      <c r="BO158" t="s">
        <v>123</v>
      </c>
      <c r="BP158" t="s">
        <v>123</v>
      </c>
      <c r="BQ158" t="s">
        <v>123</v>
      </c>
      <c r="BR158" t="s">
        <v>123</v>
      </c>
      <c r="BS158" t="s">
        <v>123</v>
      </c>
      <c r="BT158" t="s">
        <v>123</v>
      </c>
      <c r="BU158" t="s">
        <v>123</v>
      </c>
      <c r="BV158" t="s">
        <v>123</v>
      </c>
      <c r="BW158" t="s">
        <v>123</v>
      </c>
      <c r="BX158" t="s">
        <v>123</v>
      </c>
      <c r="BY158" s="1">
        <v>45965.25109730324</v>
      </c>
      <c r="BZ158">
        <v>1522</v>
      </c>
      <c r="CA158" t="s">
        <v>123</v>
      </c>
      <c r="CB158" t="s">
        <v>123</v>
      </c>
      <c r="CC158">
        <v>0</v>
      </c>
      <c r="CD158" t="s">
        <v>123</v>
      </c>
      <c r="CE158" t="s">
        <v>123</v>
      </c>
      <c r="CF158" t="s">
        <v>123</v>
      </c>
      <c r="CG158" t="s">
        <v>123</v>
      </c>
      <c r="CH158" t="s">
        <v>123</v>
      </c>
      <c r="CI158" t="s">
        <v>123</v>
      </c>
      <c r="CJ158" t="s">
        <v>123</v>
      </c>
      <c r="CK158">
        <v>8.0500000000000002E-2</v>
      </c>
      <c r="CL158" t="s">
        <v>123</v>
      </c>
      <c r="CM158">
        <v>0.10009999999999999</v>
      </c>
      <c r="CN158" t="s">
        <v>123</v>
      </c>
      <c r="CO158" t="s">
        <v>123</v>
      </c>
      <c r="CP158" t="s">
        <v>123</v>
      </c>
      <c r="CQ158">
        <v>6.5799999999999997E-2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205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  <c r="DN158" t="s">
        <v>123</v>
      </c>
      <c r="DO158" t="s">
        <v>123</v>
      </c>
      <c r="DP158" t="s">
        <v>123</v>
      </c>
      <c r="DQ158" t="s">
        <v>123</v>
      </c>
      <c r="DR158" t="s">
        <v>123</v>
      </c>
      <c r="DS158" t="s">
        <v>123</v>
      </c>
    </row>
    <row r="159" spans="1:123" x14ac:dyDescent="0.3">
      <c r="A159">
        <v>158</v>
      </c>
      <c r="B159" t="s">
        <v>123</v>
      </c>
      <c r="C159" t="s">
        <v>123</v>
      </c>
      <c r="D159" t="s">
        <v>738</v>
      </c>
      <c r="E159" t="s">
        <v>123</v>
      </c>
      <c r="F159" t="s">
        <v>125</v>
      </c>
      <c r="G159" t="s">
        <v>126</v>
      </c>
      <c r="H159" t="s">
        <v>127</v>
      </c>
      <c r="I159" t="s">
        <v>128</v>
      </c>
      <c r="J159" t="s">
        <v>123</v>
      </c>
      <c r="K159" t="s">
        <v>739</v>
      </c>
      <c r="L159" t="s">
        <v>130</v>
      </c>
      <c r="M159" t="s">
        <v>740</v>
      </c>
      <c r="N159" t="s">
        <v>158</v>
      </c>
      <c r="O159" t="s">
        <v>133</v>
      </c>
      <c r="P159" t="s">
        <v>123</v>
      </c>
      <c r="Q159" t="s">
        <v>123</v>
      </c>
      <c r="R159" t="s">
        <v>123</v>
      </c>
      <c r="S159" t="s">
        <v>123</v>
      </c>
      <c r="T159" s="1">
        <v>46773</v>
      </c>
      <c r="U159" t="s">
        <v>123</v>
      </c>
      <c r="V159" t="s">
        <v>123</v>
      </c>
      <c r="W159" t="s">
        <v>123</v>
      </c>
      <c r="X159" t="s">
        <v>123</v>
      </c>
      <c r="Y159" t="s">
        <v>123</v>
      </c>
      <c r="Z159" t="s">
        <v>123</v>
      </c>
      <c r="AA159" t="s">
        <v>123</v>
      </c>
      <c r="AB159" t="s">
        <v>741</v>
      </c>
      <c r="AC159" t="s">
        <v>135</v>
      </c>
      <c r="AD159" t="s">
        <v>123</v>
      </c>
      <c r="AE159" t="s">
        <v>123</v>
      </c>
      <c r="AF159" t="s">
        <v>737</v>
      </c>
      <c r="AG159" t="s">
        <v>733</v>
      </c>
      <c r="AH159" t="s">
        <v>123</v>
      </c>
      <c r="AI159" t="s">
        <v>128</v>
      </c>
      <c r="AJ159" t="s">
        <v>138</v>
      </c>
      <c r="AK159" t="s">
        <v>139</v>
      </c>
      <c r="AL159" t="s">
        <v>123</v>
      </c>
      <c r="AM159" t="s">
        <v>123</v>
      </c>
      <c r="AN159" t="s">
        <v>123</v>
      </c>
      <c r="AO159" t="s">
        <v>123</v>
      </c>
      <c r="AP159">
        <v>250</v>
      </c>
      <c r="AQ159">
        <v>50</v>
      </c>
      <c r="AR159">
        <v>10</v>
      </c>
      <c r="AS159" t="s">
        <v>123</v>
      </c>
      <c r="AT159" t="s">
        <v>123</v>
      </c>
      <c r="AU159" t="s">
        <v>123</v>
      </c>
      <c r="AV159" t="s">
        <v>123</v>
      </c>
      <c r="AW159" t="s">
        <v>123</v>
      </c>
      <c r="AX159" t="s">
        <v>123</v>
      </c>
      <c r="AY159" t="s">
        <v>123</v>
      </c>
      <c r="AZ159" t="s">
        <v>123</v>
      </c>
      <c r="BA159" t="s">
        <v>237</v>
      </c>
      <c r="BB159" t="s">
        <v>123</v>
      </c>
      <c r="BC159" t="s">
        <v>123</v>
      </c>
      <c r="BD159" t="s">
        <v>123</v>
      </c>
      <c r="BE159" t="s">
        <v>123</v>
      </c>
      <c r="BF159" t="s">
        <v>123</v>
      </c>
      <c r="BG159" t="s">
        <v>734</v>
      </c>
      <c r="BH159" t="s">
        <v>123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123</v>
      </c>
      <c r="BX159" t="s">
        <v>123</v>
      </c>
      <c r="BY159" s="1">
        <v>45965.251146215276</v>
      </c>
      <c r="BZ159">
        <v>1522</v>
      </c>
      <c r="CA159" t="s">
        <v>123</v>
      </c>
      <c r="CB159" t="s">
        <v>123</v>
      </c>
      <c r="CC159">
        <v>0</v>
      </c>
      <c r="CD159" t="s">
        <v>123</v>
      </c>
      <c r="CE159" t="s">
        <v>123</v>
      </c>
      <c r="CF159" t="s">
        <v>123</v>
      </c>
      <c r="CG159" t="s">
        <v>123</v>
      </c>
      <c r="CH159" t="s">
        <v>123</v>
      </c>
      <c r="CI159" t="s">
        <v>123</v>
      </c>
      <c r="CJ159" t="s">
        <v>123</v>
      </c>
      <c r="CK159">
        <v>4.3499999999999997E-2</v>
      </c>
      <c r="CL159" t="s">
        <v>123</v>
      </c>
      <c r="CM159">
        <v>6.4399999999999999E-2</v>
      </c>
      <c r="CN159" t="s">
        <v>123</v>
      </c>
      <c r="CO159" t="s">
        <v>123</v>
      </c>
      <c r="CP159" t="s">
        <v>123</v>
      </c>
      <c r="CQ159">
        <v>3.0599999999999999E-2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187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  <c r="DN159" t="s">
        <v>123</v>
      </c>
      <c r="DO159" t="s">
        <v>123</v>
      </c>
      <c r="DP159" t="s">
        <v>123</v>
      </c>
      <c r="DQ159" t="s">
        <v>123</v>
      </c>
      <c r="DR159" t="s">
        <v>123</v>
      </c>
      <c r="DS159" t="s">
        <v>123</v>
      </c>
    </row>
    <row r="160" spans="1:123" x14ac:dyDescent="0.3">
      <c r="A160">
        <v>159</v>
      </c>
      <c r="B160" t="s">
        <v>123</v>
      </c>
      <c r="C160" t="s">
        <v>123</v>
      </c>
      <c r="D160" t="s">
        <v>742</v>
      </c>
      <c r="E160" t="s">
        <v>123</v>
      </c>
      <c r="F160" t="s">
        <v>125</v>
      </c>
      <c r="G160" t="s">
        <v>126</v>
      </c>
      <c r="H160" t="s">
        <v>127</v>
      </c>
      <c r="I160" t="s">
        <v>128</v>
      </c>
      <c r="J160" t="s">
        <v>123</v>
      </c>
      <c r="K160" t="s">
        <v>739</v>
      </c>
      <c r="L160" t="s">
        <v>130</v>
      </c>
      <c r="M160" t="s">
        <v>740</v>
      </c>
      <c r="N160" t="s">
        <v>180</v>
      </c>
      <c r="O160" t="s">
        <v>133</v>
      </c>
      <c r="P160" t="s">
        <v>123</v>
      </c>
      <c r="Q160" t="s">
        <v>123</v>
      </c>
      <c r="R160" t="s">
        <v>123</v>
      </c>
      <c r="S160" t="s">
        <v>123</v>
      </c>
      <c r="T160" s="1">
        <v>46043</v>
      </c>
      <c r="U160" t="s">
        <v>123</v>
      </c>
      <c r="V160" t="s">
        <v>123</v>
      </c>
      <c r="W160" t="s">
        <v>123</v>
      </c>
      <c r="X160" t="s">
        <v>123</v>
      </c>
      <c r="Y160" t="s">
        <v>123</v>
      </c>
      <c r="Z160" t="s">
        <v>123</v>
      </c>
      <c r="AA160" t="s">
        <v>123</v>
      </c>
      <c r="AB160" t="s">
        <v>743</v>
      </c>
      <c r="AC160" t="s">
        <v>135</v>
      </c>
      <c r="AD160" t="s">
        <v>123</v>
      </c>
      <c r="AE160" t="s">
        <v>123</v>
      </c>
      <c r="AF160" t="s">
        <v>737</v>
      </c>
      <c r="AG160" t="s">
        <v>733</v>
      </c>
      <c r="AH160" t="s">
        <v>123</v>
      </c>
      <c r="AI160" t="s">
        <v>128</v>
      </c>
      <c r="AJ160" t="s">
        <v>138</v>
      </c>
      <c r="AK160" t="s">
        <v>139</v>
      </c>
      <c r="AL160" t="s">
        <v>123</v>
      </c>
      <c r="AM160" t="s">
        <v>123</v>
      </c>
      <c r="AN160" t="s">
        <v>123</v>
      </c>
      <c r="AO160" t="s">
        <v>123</v>
      </c>
      <c r="AP160">
        <v>250</v>
      </c>
      <c r="AQ160">
        <v>50</v>
      </c>
      <c r="AR160">
        <v>10</v>
      </c>
      <c r="AS160" t="s">
        <v>123</v>
      </c>
      <c r="AT160" t="s">
        <v>123</v>
      </c>
      <c r="AU160" t="s">
        <v>123</v>
      </c>
      <c r="AV160" t="s">
        <v>123</v>
      </c>
      <c r="AW160" t="s">
        <v>123</v>
      </c>
      <c r="AX160" t="s">
        <v>123</v>
      </c>
      <c r="AY160" t="s">
        <v>123</v>
      </c>
      <c r="AZ160" t="s">
        <v>123</v>
      </c>
      <c r="BA160" t="s">
        <v>237</v>
      </c>
      <c r="BB160" t="s">
        <v>123</v>
      </c>
      <c r="BC160" t="s">
        <v>123</v>
      </c>
      <c r="BD160" t="s">
        <v>123</v>
      </c>
      <c r="BE160" t="s">
        <v>123</v>
      </c>
      <c r="BF160" t="s">
        <v>123</v>
      </c>
      <c r="BG160" t="s">
        <v>734</v>
      </c>
      <c r="BH160" t="s">
        <v>123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123</v>
      </c>
      <c r="BX160" t="s">
        <v>123</v>
      </c>
      <c r="BY160" s="1">
        <v>45965.251193865741</v>
      </c>
      <c r="BZ160">
        <v>1522</v>
      </c>
      <c r="CA160" t="s">
        <v>123</v>
      </c>
      <c r="CB160" t="s">
        <v>123</v>
      </c>
      <c r="CC160">
        <v>0</v>
      </c>
      <c r="CD160" t="s">
        <v>123</v>
      </c>
      <c r="CE160" t="s">
        <v>123</v>
      </c>
      <c r="CF160" t="s">
        <v>123</v>
      </c>
      <c r="CG160" t="s">
        <v>123</v>
      </c>
      <c r="CH160" t="s">
        <v>123</v>
      </c>
      <c r="CI160" t="s">
        <v>123</v>
      </c>
      <c r="CJ160" t="s">
        <v>123</v>
      </c>
      <c r="CK160">
        <v>8.0799999999999997E-2</v>
      </c>
      <c r="CL160" t="s">
        <v>123</v>
      </c>
      <c r="CM160">
        <v>0.10639999999999999</v>
      </c>
      <c r="CN160" t="s">
        <v>123</v>
      </c>
      <c r="CO160" t="s">
        <v>123</v>
      </c>
      <c r="CP160" t="s">
        <v>123</v>
      </c>
      <c r="CQ160">
        <v>6.5000000000000002E-2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187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  <c r="DN160" t="s">
        <v>123</v>
      </c>
      <c r="DO160" t="s">
        <v>123</v>
      </c>
      <c r="DP160" t="s">
        <v>123</v>
      </c>
      <c r="DQ160" t="s">
        <v>123</v>
      </c>
      <c r="DR160" t="s">
        <v>123</v>
      </c>
      <c r="DS160" t="s">
        <v>123</v>
      </c>
    </row>
    <row r="161" spans="1:123" x14ac:dyDescent="0.3">
      <c r="A161">
        <v>160</v>
      </c>
      <c r="B161" t="s">
        <v>123</v>
      </c>
      <c r="C161" t="s">
        <v>123</v>
      </c>
      <c r="D161" t="s">
        <v>744</v>
      </c>
      <c r="E161" t="s">
        <v>123</v>
      </c>
      <c r="F161" t="s">
        <v>125</v>
      </c>
      <c r="G161" t="s">
        <v>126</v>
      </c>
      <c r="H161" t="s">
        <v>127</v>
      </c>
      <c r="I161" t="s">
        <v>128</v>
      </c>
      <c r="J161" t="s">
        <v>123</v>
      </c>
      <c r="K161" t="s">
        <v>745</v>
      </c>
      <c r="L161" t="s">
        <v>130</v>
      </c>
      <c r="M161" t="s">
        <v>746</v>
      </c>
      <c r="N161" t="s">
        <v>158</v>
      </c>
      <c r="O161" t="s">
        <v>159</v>
      </c>
      <c r="P161" t="s">
        <v>123</v>
      </c>
      <c r="Q161" t="s">
        <v>123</v>
      </c>
      <c r="R161" t="s">
        <v>123</v>
      </c>
      <c r="S161" t="s">
        <v>123</v>
      </c>
      <c r="T161" s="1">
        <v>46911</v>
      </c>
      <c r="U161" t="s">
        <v>123</v>
      </c>
      <c r="V161" t="s">
        <v>123</v>
      </c>
      <c r="W161" t="s">
        <v>123</v>
      </c>
      <c r="X161" t="s">
        <v>123</v>
      </c>
      <c r="Y161" t="s">
        <v>123</v>
      </c>
      <c r="Z161" t="s">
        <v>123</v>
      </c>
      <c r="AA161" t="s">
        <v>123</v>
      </c>
      <c r="AB161" t="s">
        <v>747</v>
      </c>
      <c r="AC161" t="s">
        <v>135</v>
      </c>
      <c r="AD161" t="s">
        <v>123</v>
      </c>
      <c r="AE161" t="s">
        <v>123</v>
      </c>
      <c r="AF161" t="s">
        <v>748</v>
      </c>
      <c r="AG161" t="s">
        <v>749</v>
      </c>
      <c r="AH161" t="s">
        <v>123</v>
      </c>
      <c r="AI161" t="s">
        <v>128</v>
      </c>
      <c r="AJ161" t="s">
        <v>186</v>
      </c>
      <c r="AK161" t="s">
        <v>139</v>
      </c>
      <c r="AL161" t="s">
        <v>123</v>
      </c>
      <c r="AM161" t="s">
        <v>123</v>
      </c>
      <c r="AN161" t="s">
        <v>123</v>
      </c>
      <c r="AO161" t="s">
        <v>123</v>
      </c>
      <c r="AP161">
        <v>250</v>
      </c>
      <c r="AQ161">
        <v>50</v>
      </c>
      <c r="AR161">
        <v>10</v>
      </c>
      <c r="AS161" t="s">
        <v>123</v>
      </c>
      <c r="AT161" t="s">
        <v>123</v>
      </c>
      <c r="AU161" t="s">
        <v>123</v>
      </c>
      <c r="AV161" t="s">
        <v>123</v>
      </c>
      <c r="AW161" t="s">
        <v>123</v>
      </c>
      <c r="AX161" t="s">
        <v>123</v>
      </c>
      <c r="AY161" t="s">
        <v>123</v>
      </c>
      <c r="AZ161" t="s">
        <v>123</v>
      </c>
      <c r="BA161" t="s">
        <v>140</v>
      </c>
      <c r="BB161" t="s">
        <v>123</v>
      </c>
      <c r="BC161" t="s">
        <v>123</v>
      </c>
      <c r="BD161" t="s">
        <v>123</v>
      </c>
      <c r="BE161" t="s">
        <v>123</v>
      </c>
      <c r="BF161" t="s">
        <v>123</v>
      </c>
      <c r="BG161" t="s">
        <v>141</v>
      </c>
      <c r="BH161" t="s">
        <v>123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123</v>
      </c>
      <c r="BX161" t="s">
        <v>123</v>
      </c>
      <c r="BY161" s="1">
        <v>45965.25124189815</v>
      </c>
      <c r="BZ161">
        <v>1476</v>
      </c>
      <c r="CA161" t="s">
        <v>123</v>
      </c>
      <c r="CB161" t="s">
        <v>123</v>
      </c>
      <c r="CC161">
        <v>0</v>
      </c>
      <c r="CD161" t="s">
        <v>123</v>
      </c>
      <c r="CE161" t="s">
        <v>123</v>
      </c>
      <c r="CF161" t="s">
        <v>123</v>
      </c>
      <c r="CG161" t="s">
        <v>123</v>
      </c>
      <c r="CH161" t="s">
        <v>123</v>
      </c>
      <c r="CI161" t="s">
        <v>123</v>
      </c>
      <c r="CJ161" t="s">
        <v>123</v>
      </c>
      <c r="CK161">
        <v>1.84E-2</v>
      </c>
      <c r="CL161">
        <v>2.0199999999999999E-2</v>
      </c>
      <c r="CM161">
        <v>2.1899999999999999E-2</v>
      </c>
      <c r="CN161">
        <v>2.4E-2</v>
      </c>
      <c r="CO161" t="s">
        <v>123</v>
      </c>
      <c r="CP161" t="s">
        <v>123</v>
      </c>
      <c r="CQ161">
        <v>1.5800000000000002E-2</v>
      </c>
      <c r="CR161">
        <v>1.7399999999999999E-2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244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  <c r="DN161" t="s">
        <v>123</v>
      </c>
      <c r="DO161" t="s">
        <v>123</v>
      </c>
      <c r="DP161" t="s">
        <v>123</v>
      </c>
      <c r="DQ161" t="s">
        <v>123</v>
      </c>
      <c r="DR161" t="s">
        <v>123</v>
      </c>
      <c r="DS161" t="s">
        <v>123</v>
      </c>
    </row>
    <row r="162" spans="1:123" x14ac:dyDescent="0.3">
      <c r="A162">
        <v>161</v>
      </c>
      <c r="B162" t="s">
        <v>123</v>
      </c>
      <c r="C162" t="s">
        <v>123</v>
      </c>
      <c r="D162" t="s">
        <v>750</v>
      </c>
      <c r="E162" t="s">
        <v>123</v>
      </c>
      <c r="F162" t="s">
        <v>125</v>
      </c>
      <c r="G162" t="s">
        <v>126</v>
      </c>
      <c r="H162" t="s">
        <v>127</v>
      </c>
      <c r="I162" t="s">
        <v>128</v>
      </c>
      <c r="J162" t="s">
        <v>123</v>
      </c>
      <c r="K162" t="s">
        <v>745</v>
      </c>
      <c r="L162" t="s">
        <v>130</v>
      </c>
      <c r="M162" t="s">
        <v>746</v>
      </c>
      <c r="N162" t="s">
        <v>180</v>
      </c>
      <c r="O162" t="s">
        <v>159</v>
      </c>
      <c r="P162" t="s">
        <v>123</v>
      </c>
      <c r="Q162" t="s">
        <v>123</v>
      </c>
      <c r="R162" t="s">
        <v>123</v>
      </c>
      <c r="S162" t="s">
        <v>123</v>
      </c>
      <c r="T162" s="1">
        <v>46911</v>
      </c>
      <c r="U162" t="s">
        <v>123</v>
      </c>
      <c r="V162" t="s">
        <v>123</v>
      </c>
      <c r="W162" t="s">
        <v>123</v>
      </c>
      <c r="X162" t="s">
        <v>123</v>
      </c>
      <c r="Y162" t="s">
        <v>123</v>
      </c>
      <c r="Z162" t="s">
        <v>123</v>
      </c>
      <c r="AA162" t="s">
        <v>123</v>
      </c>
      <c r="AB162" t="s">
        <v>751</v>
      </c>
      <c r="AC162" t="s">
        <v>135</v>
      </c>
      <c r="AD162" t="s">
        <v>123</v>
      </c>
      <c r="AE162" t="s">
        <v>123</v>
      </c>
      <c r="AF162" t="s">
        <v>748</v>
      </c>
      <c r="AG162" t="s">
        <v>749</v>
      </c>
      <c r="AH162" t="s">
        <v>123</v>
      </c>
      <c r="AI162" t="s">
        <v>128</v>
      </c>
      <c r="AJ162" t="s">
        <v>186</v>
      </c>
      <c r="AK162" t="s">
        <v>139</v>
      </c>
      <c r="AL162" t="s">
        <v>123</v>
      </c>
      <c r="AM162" t="s">
        <v>123</v>
      </c>
      <c r="AN162" t="s">
        <v>123</v>
      </c>
      <c r="AO162" t="s">
        <v>123</v>
      </c>
      <c r="AP162">
        <v>250</v>
      </c>
      <c r="AQ162">
        <v>50</v>
      </c>
      <c r="AR162">
        <v>10</v>
      </c>
      <c r="AS162" t="s">
        <v>123</v>
      </c>
      <c r="AT162" t="s">
        <v>123</v>
      </c>
      <c r="AU162" t="s">
        <v>123</v>
      </c>
      <c r="AV162" t="s">
        <v>123</v>
      </c>
      <c r="AW162" t="s">
        <v>123</v>
      </c>
      <c r="AX162" t="s">
        <v>123</v>
      </c>
      <c r="AY162" t="s">
        <v>123</v>
      </c>
      <c r="AZ162" t="s">
        <v>123</v>
      </c>
      <c r="BA162" t="s">
        <v>140</v>
      </c>
      <c r="BB162" t="s">
        <v>123</v>
      </c>
      <c r="BC162" t="s">
        <v>123</v>
      </c>
      <c r="BD162" t="s">
        <v>123</v>
      </c>
      <c r="BE162" t="s">
        <v>123</v>
      </c>
      <c r="BF162" t="s">
        <v>123</v>
      </c>
      <c r="BG162" t="s">
        <v>141</v>
      </c>
      <c r="BH162" t="s">
        <v>123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123</v>
      </c>
      <c r="BX162" t="s">
        <v>123</v>
      </c>
      <c r="BY162" s="1">
        <v>45965.251289618056</v>
      </c>
      <c r="BZ162">
        <v>1476</v>
      </c>
      <c r="CA162" t="s">
        <v>123</v>
      </c>
      <c r="CB162" t="s">
        <v>123</v>
      </c>
      <c r="CC162">
        <v>0</v>
      </c>
      <c r="CD162" t="s">
        <v>123</v>
      </c>
      <c r="CE162" t="s">
        <v>123</v>
      </c>
      <c r="CF162" t="s">
        <v>123</v>
      </c>
      <c r="CG162" t="s">
        <v>123</v>
      </c>
      <c r="CH162" t="s">
        <v>123</v>
      </c>
      <c r="CI162" t="s">
        <v>123</v>
      </c>
      <c r="CJ162" t="s">
        <v>123</v>
      </c>
      <c r="CK162">
        <v>3.1800000000000002E-2</v>
      </c>
      <c r="CL162">
        <v>3.4700000000000002E-2</v>
      </c>
      <c r="CM162">
        <v>3.6700000000000003E-2</v>
      </c>
      <c r="CN162">
        <v>3.9800000000000002E-2</v>
      </c>
      <c r="CO162" t="s">
        <v>123</v>
      </c>
      <c r="CP162" t="s">
        <v>123</v>
      </c>
      <c r="CQ162">
        <v>2.8000000000000001E-2</v>
      </c>
      <c r="CR162">
        <v>3.0599999999999999E-2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244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  <c r="DN162" t="s">
        <v>123</v>
      </c>
      <c r="DO162" t="s">
        <v>123</v>
      </c>
      <c r="DP162" t="s">
        <v>123</v>
      </c>
      <c r="DQ162" t="s">
        <v>123</v>
      </c>
      <c r="DR162" t="s">
        <v>123</v>
      </c>
      <c r="DS162" t="s">
        <v>123</v>
      </c>
    </row>
    <row r="163" spans="1:123" x14ac:dyDescent="0.3">
      <c r="A163">
        <v>162</v>
      </c>
      <c r="B163" t="s">
        <v>123</v>
      </c>
      <c r="C163" t="s">
        <v>123</v>
      </c>
      <c r="D163" t="s">
        <v>752</v>
      </c>
      <c r="E163" t="s">
        <v>123</v>
      </c>
      <c r="F163" t="s">
        <v>125</v>
      </c>
      <c r="G163" t="s">
        <v>126</v>
      </c>
      <c r="H163" t="s">
        <v>127</v>
      </c>
      <c r="I163" t="s">
        <v>128</v>
      </c>
      <c r="J163" t="s">
        <v>123</v>
      </c>
      <c r="K163" t="s">
        <v>745</v>
      </c>
      <c r="L163" t="s">
        <v>130</v>
      </c>
      <c r="M163" t="s">
        <v>746</v>
      </c>
      <c r="N163" t="s">
        <v>248</v>
      </c>
      <c r="O163" t="s">
        <v>159</v>
      </c>
      <c r="P163" t="s">
        <v>123</v>
      </c>
      <c r="Q163" t="s">
        <v>123</v>
      </c>
      <c r="R163" t="s">
        <v>123</v>
      </c>
      <c r="S163" t="s">
        <v>123</v>
      </c>
      <c r="T163" s="1">
        <v>46911</v>
      </c>
      <c r="U163" t="s">
        <v>123</v>
      </c>
      <c r="V163" t="s">
        <v>123</v>
      </c>
      <c r="W163" t="s">
        <v>123</v>
      </c>
      <c r="X163" t="s">
        <v>123</v>
      </c>
      <c r="Y163" t="s">
        <v>123</v>
      </c>
      <c r="Z163" t="s">
        <v>123</v>
      </c>
      <c r="AA163" t="s">
        <v>123</v>
      </c>
      <c r="AB163" t="s">
        <v>753</v>
      </c>
      <c r="AC163" t="s">
        <v>135</v>
      </c>
      <c r="AD163" t="s">
        <v>123</v>
      </c>
      <c r="AE163" t="s">
        <v>123</v>
      </c>
      <c r="AF163" t="s">
        <v>748</v>
      </c>
      <c r="AG163" t="s">
        <v>749</v>
      </c>
      <c r="AH163" t="s">
        <v>123</v>
      </c>
      <c r="AI163" t="s">
        <v>128</v>
      </c>
      <c r="AJ163" t="s">
        <v>186</v>
      </c>
      <c r="AK163" t="s">
        <v>139</v>
      </c>
      <c r="AL163" t="s">
        <v>123</v>
      </c>
      <c r="AM163" t="s">
        <v>123</v>
      </c>
      <c r="AN163" t="s">
        <v>123</v>
      </c>
      <c r="AO163" t="s">
        <v>123</v>
      </c>
      <c r="AP163">
        <v>250</v>
      </c>
      <c r="AQ163">
        <v>50</v>
      </c>
      <c r="AR163">
        <v>10</v>
      </c>
      <c r="AS163" t="s">
        <v>123</v>
      </c>
      <c r="AT163" t="s">
        <v>123</v>
      </c>
      <c r="AU163" t="s">
        <v>123</v>
      </c>
      <c r="AV163" t="s">
        <v>123</v>
      </c>
      <c r="AW163" t="s">
        <v>123</v>
      </c>
      <c r="AX163" t="s">
        <v>123</v>
      </c>
      <c r="AY163" t="s">
        <v>123</v>
      </c>
      <c r="AZ163" t="s">
        <v>123</v>
      </c>
      <c r="BA163" t="s">
        <v>140</v>
      </c>
      <c r="BB163" t="s">
        <v>123</v>
      </c>
      <c r="BC163" t="s">
        <v>123</v>
      </c>
      <c r="BD163" t="s">
        <v>123</v>
      </c>
      <c r="BE163" t="s">
        <v>123</v>
      </c>
      <c r="BF163" t="s">
        <v>123</v>
      </c>
      <c r="BG163" t="s">
        <v>141</v>
      </c>
      <c r="BH163" t="s">
        <v>123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123</v>
      </c>
      <c r="BX163" t="s">
        <v>123</v>
      </c>
      <c r="BY163" s="1">
        <v>45965.251337615744</v>
      </c>
      <c r="BZ163">
        <v>1476</v>
      </c>
      <c r="CA163" t="s">
        <v>123</v>
      </c>
      <c r="CB163" t="s">
        <v>123</v>
      </c>
      <c r="CC163">
        <v>0</v>
      </c>
      <c r="CD163" t="s">
        <v>123</v>
      </c>
      <c r="CE163" t="s">
        <v>123</v>
      </c>
      <c r="CF163" t="s">
        <v>123</v>
      </c>
      <c r="CG163" t="s">
        <v>123</v>
      </c>
      <c r="CH163" t="s">
        <v>123</v>
      </c>
      <c r="CI163" t="s">
        <v>123</v>
      </c>
      <c r="CJ163" t="s">
        <v>123</v>
      </c>
      <c r="CK163">
        <v>4.4999999999999998E-2</v>
      </c>
      <c r="CL163">
        <v>4.8399999999999999E-2</v>
      </c>
      <c r="CM163">
        <v>5.5E-2</v>
      </c>
      <c r="CN163">
        <v>5.8999999999999997E-2</v>
      </c>
      <c r="CO163" t="s">
        <v>123</v>
      </c>
      <c r="CP163" t="s">
        <v>123</v>
      </c>
      <c r="CQ163">
        <v>3.6700000000000003E-2</v>
      </c>
      <c r="CR163">
        <v>3.9800000000000002E-2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244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  <c r="DN163" t="s">
        <v>123</v>
      </c>
      <c r="DO163" t="s">
        <v>123</v>
      </c>
      <c r="DP163" t="s">
        <v>123</v>
      </c>
      <c r="DQ163" t="s">
        <v>123</v>
      </c>
      <c r="DR163" t="s">
        <v>123</v>
      </c>
      <c r="DS163" t="s">
        <v>123</v>
      </c>
    </row>
    <row r="164" spans="1:123" x14ac:dyDescent="0.3">
      <c r="A164">
        <v>163</v>
      </c>
      <c r="B164" t="s">
        <v>123</v>
      </c>
      <c r="C164" t="s">
        <v>123</v>
      </c>
      <c r="D164" t="s">
        <v>754</v>
      </c>
      <c r="E164" t="s">
        <v>123</v>
      </c>
      <c r="F164" t="s">
        <v>125</v>
      </c>
      <c r="G164" t="s">
        <v>126</v>
      </c>
      <c r="H164" t="s">
        <v>127</v>
      </c>
      <c r="I164" t="s">
        <v>128</v>
      </c>
      <c r="J164" t="s">
        <v>123</v>
      </c>
      <c r="K164" t="s">
        <v>755</v>
      </c>
      <c r="L164" t="s">
        <v>130</v>
      </c>
      <c r="M164" t="s">
        <v>746</v>
      </c>
      <c r="N164" t="s">
        <v>158</v>
      </c>
      <c r="O164" t="s">
        <v>378</v>
      </c>
      <c r="P164" t="s">
        <v>123</v>
      </c>
      <c r="Q164" t="s">
        <v>123</v>
      </c>
      <c r="R164" t="s">
        <v>123</v>
      </c>
      <c r="S164" t="s">
        <v>123</v>
      </c>
      <c r="T164" s="1">
        <v>46545</v>
      </c>
      <c r="U164" t="s">
        <v>123</v>
      </c>
      <c r="V164" t="s">
        <v>123</v>
      </c>
      <c r="W164" t="s">
        <v>123</v>
      </c>
      <c r="X164" t="s">
        <v>123</v>
      </c>
      <c r="Y164" t="s">
        <v>123</v>
      </c>
      <c r="Z164" t="s">
        <v>123</v>
      </c>
      <c r="AA164" t="s">
        <v>123</v>
      </c>
      <c r="AB164" t="s">
        <v>756</v>
      </c>
      <c r="AC164" t="s">
        <v>135</v>
      </c>
      <c r="AD164" t="s">
        <v>123</v>
      </c>
      <c r="AE164" t="s">
        <v>123</v>
      </c>
      <c r="AF164" t="s">
        <v>757</v>
      </c>
      <c r="AG164" t="s">
        <v>749</v>
      </c>
      <c r="AH164" t="s">
        <v>123</v>
      </c>
      <c r="AI164" t="s">
        <v>128</v>
      </c>
      <c r="AJ164" t="s">
        <v>138</v>
      </c>
      <c r="AK164" t="s">
        <v>139</v>
      </c>
      <c r="AL164" t="s">
        <v>123</v>
      </c>
      <c r="AM164" t="s">
        <v>123</v>
      </c>
      <c r="AN164" t="s">
        <v>123</v>
      </c>
      <c r="AO164" t="s">
        <v>123</v>
      </c>
      <c r="AP164">
        <v>250</v>
      </c>
      <c r="AQ164">
        <v>50</v>
      </c>
      <c r="AR164">
        <v>10</v>
      </c>
      <c r="AS164" t="s">
        <v>123</v>
      </c>
      <c r="AT164" t="s">
        <v>123</v>
      </c>
      <c r="AU164" t="s">
        <v>123</v>
      </c>
      <c r="AV164" t="s">
        <v>123</v>
      </c>
      <c r="AW164" t="s">
        <v>123</v>
      </c>
      <c r="AX164" t="s">
        <v>123</v>
      </c>
      <c r="AY164" t="s">
        <v>123</v>
      </c>
      <c r="AZ164" t="s">
        <v>123</v>
      </c>
      <c r="BA164" t="s">
        <v>140</v>
      </c>
      <c r="BB164" t="s">
        <v>123</v>
      </c>
      <c r="BC164" t="s">
        <v>123</v>
      </c>
      <c r="BD164" t="s">
        <v>123</v>
      </c>
      <c r="BE164" t="s">
        <v>123</v>
      </c>
      <c r="BF164" t="s">
        <v>123</v>
      </c>
      <c r="BG164" t="s">
        <v>141</v>
      </c>
      <c r="BH164" t="s">
        <v>123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123</v>
      </c>
      <c r="BX164" t="s">
        <v>123</v>
      </c>
      <c r="BY164" s="1">
        <v>45965.251386840275</v>
      </c>
      <c r="BZ164">
        <v>1497</v>
      </c>
      <c r="CA164" t="s">
        <v>123</v>
      </c>
      <c r="CB164" t="s">
        <v>123</v>
      </c>
      <c r="CC164">
        <v>0</v>
      </c>
      <c r="CD164" t="s">
        <v>123</v>
      </c>
      <c r="CE164" t="s">
        <v>123</v>
      </c>
      <c r="CF164" t="s">
        <v>123</v>
      </c>
      <c r="CG164" t="s">
        <v>123</v>
      </c>
      <c r="CH164" t="s">
        <v>123</v>
      </c>
      <c r="CI164" t="s">
        <v>123</v>
      </c>
      <c r="CJ164" t="s">
        <v>123</v>
      </c>
      <c r="CK164">
        <v>4.07E-2</v>
      </c>
      <c r="CL164">
        <v>4.2999999999999997E-2</v>
      </c>
      <c r="CM164">
        <v>6.4399999999999999E-2</v>
      </c>
      <c r="CN164">
        <v>6.7699999999999996E-2</v>
      </c>
      <c r="CO164" t="s">
        <v>123</v>
      </c>
      <c r="CP164" t="s">
        <v>123</v>
      </c>
      <c r="CQ164">
        <v>2.7099999999999999E-2</v>
      </c>
      <c r="CR164">
        <v>2.8799999999999999E-2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244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  <c r="DN164" t="s">
        <v>123</v>
      </c>
      <c r="DO164" t="s">
        <v>123</v>
      </c>
      <c r="DP164" t="s">
        <v>123</v>
      </c>
      <c r="DQ164" t="s">
        <v>123</v>
      </c>
      <c r="DR164" t="s">
        <v>123</v>
      </c>
      <c r="DS164" t="s">
        <v>123</v>
      </c>
    </row>
    <row r="165" spans="1:123" x14ac:dyDescent="0.3">
      <c r="A165">
        <v>164</v>
      </c>
      <c r="B165" t="s">
        <v>123</v>
      </c>
      <c r="C165" t="s">
        <v>123</v>
      </c>
      <c r="D165" t="s">
        <v>758</v>
      </c>
      <c r="E165" t="s">
        <v>123</v>
      </c>
      <c r="F165" t="s">
        <v>125</v>
      </c>
      <c r="G165" t="s">
        <v>126</v>
      </c>
      <c r="H165" t="s">
        <v>127</v>
      </c>
      <c r="I165" t="s">
        <v>128</v>
      </c>
      <c r="J165" t="s">
        <v>123</v>
      </c>
      <c r="K165" t="s">
        <v>759</v>
      </c>
      <c r="L165" t="s">
        <v>130</v>
      </c>
      <c r="M165" t="s">
        <v>760</v>
      </c>
      <c r="N165" t="s">
        <v>158</v>
      </c>
      <c r="O165" t="s">
        <v>159</v>
      </c>
      <c r="P165" t="s">
        <v>123</v>
      </c>
      <c r="Q165" t="s">
        <v>123</v>
      </c>
      <c r="R165" t="s">
        <v>123</v>
      </c>
      <c r="S165" t="s">
        <v>123</v>
      </c>
      <c r="T165" s="1">
        <v>46825</v>
      </c>
      <c r="U165" t="s">
        <v>123</v>
      </c>
      <c r="V165" t="s">
        <v>123</v>
      </c>
      <c r="W165" t="s">
        <v>123</v>
      </c>
      <c r="X165" t="s">
        <v>123</v>
      </c>
      <c r="Y165" t="s">
        <v>123</v>
      </c>
      <c r="Z165" t="s">
        <v>123</v>
      </c>
      <c r="AA165" t="s">
        <v>123</v>
      </c>
      <c r="AB165" t="s">
        <v>761</v>
      </c>
      <c r="AC165" t="s">
        <v>135</v>
      </c>
      <c r="AD165" t="s">
        <v>123</v>
      </c>
      <c r="AE165" t="s">
        <v>123</v>
      </c>
      <c r="AF165" t="s">
        <v>176</v>
      </c>
      <c r="AG165" t="s">
        <v>177</v>
      </c>
      <c r="AH165" t="s">
        <v>123</v>
      </c>
      <c r="AI165" t="s">
        <v>128</v>
      </c>
      <c r="AJ165" t="s">
        <v>138</v>
      </c>
      <c r="AK165" t="s">
        <v>139</v>
      </c>
      <c r="AL165" t="s">
        <v>123</v>
      </c>
      <c r="AM165" t="s">
        <v>123</v>
      </c>
      <c r="AN165" t="s">
        <v>123</v>
      </c>
      <c r="AO165" t="s">
        <v>123</v>
      </c>
      <c r="AP165">
        <v>250</v>
      </c>
      <c r="AQ165">
        <v>50</v>
      </c>
      <c r="AR165">
        <v>10</v>
      </c>
      <c r="AS165" t="s">
        <v>123</v>
      </c>
      <c r="AT165" t="s">
        <v>123</v>
      </c>
      <c r="AU165" t="s">
        <v>123</v>
      </c>
      <c r="AV165" t="s">
        <v>123</v>
      </c>
      <c r="AW165" t="s">
        <v>123</v>
      </c>
      <c r="AX165" t="s">
        <v>123</v>
      </c>
      <c r="AY165" t="s">
        <v>123</v>
      </c>
      <c r="AZ165" t="s">
        <v>123</v>
      </c>
      <c r="BA165" t="s">
        <v>140</v>
      </c>
      <c r="BB165" t="s">
        <v>123</v>
      </c>
      <c r="BC165" t="s">
        <v>123</v>
      </c>
      <c r="BD165" t="s">
        <v>123</v>
      </c>
      <c r="BE165" t="s">
        <v>123</v>
      </c>
      <c r="BF165" t="s">
        <v>123</v>
      </c>
      <c r="BG165" t="s">
        <v>141</v>
      </c>
      <c r="BH165" t="s">
        <v>123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123</v>
      </c>
      <c r="BX165" t="s">
        <v>123</v>
      </c>
      <c r="BY165" s="1">
        <v>45965.251436689818</v>
      </c>
      <c r="BZ165">
        <v>1554</v>
      </c>
      <c r="CA165" t="s">
        <v>123</v>
      </c>
      <c r="CB165" t="s">
        <v>123</v>
      </c>
      <c r="CC165">
        <v>0</v>
      </c>
      <c r="CD165" t="s">
        <v>123</v>
      </c>
      <c r="CE165" t="s">
        <v>123</v>
      </c>
      <c r="CF165" t="s">
        <v>123</v>
      </c>
      <c r="CG165" t="s">
        <v>123</v>
      </c>
      <c r="CH165" t="s">
        <v>123</v>
      </c>
      <c r="CI165" t="s">
        <v>123</v>
      </c>
      <c r="CJ165" t="s">
        <v>123</v>
      </c>
      <c r="CK165">
        <v>1.5100000000000001E-2</v>
      </c>
      <c r="CL165">
        <v>1.72E-2</v>
      </c>
      <c r="CM165">
        <v>1.7000000000000001E-2</v>
      </c>
      <c r="CN165">
        <v>1.9599999999999999E-2</v>
      </c>
      <c r="CO165" t="s">
        <v>123</v>
      </c>
      <c r="CP165" t="s">
        <v>123</v>
      </c>
      <c r="CQ165">
        <v>1.34E-2</v>
      </c>
      <c r="CR165">
        <v>1.4999999999999999E-2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178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  <c r="DN165" t="s">
        <v>123</v>
      </c>
      <c r="DO165" t="s">
        <v>123</v>
      </c>
      <c r="DP165" t="s">
        <v>123</v>
      </c>
      <c r="DQ165" t="s">
        <v>123</v>
      </c>
      <c r="DR165" t="s">
        <v>123</v>
      </c>
      <c r="DS165" t="s">
        <v>123</v>
      </c>
    </row>
    <row r="166" spans="1:123" x14ac:dyDescent="0.3">
      <c r="A166">
        <v>165</v>
      </c>
      <c r="B166" t="s">
        <v>123</v>
      </c>
      <c r="C166" t="s">
        <v>123</v>
      </c>
      <c r="D166" t="s">
        <v>762</v>
      </c>
      <c r="E166" t="s">
        <v>123</v>
      </c>
      <c r="F166" t="s">
        <v>125</v>
      </c>
      <c r="G166" t="s">
        <v>126</v>
      </c>
      <c r="H166" t="s">
        <v>127</v>
      </c>
      <c r="I166" t="s">
        <v>128</v>
      </c>
      <c r="J166" t="s">
        <v>123</v>
      </c>
      <c r="K166" t="s">
        <v>759</v>
      </c>
      <c r="L166" t="s">
        <v>130</v>
      </c>
      <c r="M166" t="s">
        <v>760</v>
      </c>
      <c r="N166" t="s">
        <v>180</v>
      </c>
      <c r="O166" t="s">
        <v>159</v>
      </c>
      <c r="P166" t="s">
        <v>123</v>
      </c>
      <c r="Q166" t="s">
        <v>123</v>
      </c>
      <c r="R166" t="s">
        <v>123</v>
      </c>
      <c r="S166" t="s">
        <v>123</v>
      </c>
      <c r="T166" s="1">
        <v>46825</v>
      </c>
      <c r="U166" t="s">
        <v>123</v>
      </c>
      <c r="V166" t="s">
        <v>123</v>
      </c>
      <c r="W166" t="s">
        <v>123</v>
      </c>
      <c r="X166" t="s">
        <v>123</v>
      </c>
      <c r="Y166" t="s">
        <v>123</v>
      </c>
      <c r="Z166" t="s">
        <v>123</v>
      </c>
      <c r="AA166" t="s">
        <v>123</v>
      </c>
      <c r="AB166" t="s">
        <v>763</v>
      </c>
      <c r="AC166" t="s">
        <v>135</v>
      </c>
      <c r="AD166" t="s">
        <v>123</v>
      </c>
      <c r="AE166" t="s">
        <v>123</v>
      </c>
      <c r="AF166" t="s">
        <v>176</v>
      </c>
      <c r="AG166" t="s">
        <v>177</v>
      </c>
      <c r="AH166" t="s">
        <v>123</v>
      </c>
      <c r="AI166" t="s">
        <v>128</v>
      </c>
      <c r="AJ166" t="s">
        <v>138</v>
      </c>
      <c r="AK166" t="s">
        <v>139</v>
      </c>
      <c r="AL166" t="s">
        <v>123</v>
      </c>
      <c r="AM166" t="s">
        <v>123</v>
      </c>
      <c r="AN166" t="s">
        <v>123</v>
      </c>
      <c r="AO166" t="s">
        <v>123</v>
      </c>
      <c r="AP166">
        <v>250</v>
      </c>
      <c r="AQ166">
        <v>50</v>
      </c>
      <c r="AR166">
        <v>10</v>
      </c>
      <c r="AS166" t="s">
        <v>123</v>
      </c>
      <c r="AT166" t="s">
        <v>123</v>
      </c>
      <c r="AU166" t="s">
        <v>123</v>
      </c>
      <c r="AV166" t="s">
        <v>123</v>
      </c>
      <c r="AW166" t="s">
        <v>123</v>
      </c>
      <c r="AX166" t="s">
        <v>123</v>
      </c>
      <c r="AY166" t="s">
        <v>123</v>
      </c>
      <c r="AZ166" t="s">
        <v>123</v>
      </c>
      <c r="BA166" t="s">
        <v>140</v>
      </c>
      <c r="BB166" t="s">
        <v>123</v>
      </c>
      <c r="BC166" t="s">
        <v>123</v>
      </c>
      <c r="BD166" t="s">
        <v>123</v>
      </c>
      <c r="BE166" t="s">
        <v>123</v>
      </c>
      <c r="BF166" t="s">
        <v>123</v>
      </c>
      <c r="BG166" t="s">
        <v>141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s="1">
        <v>45965.25146122685</v>
      </c>
      <c r="BZ166">
        <v>1554</v>
      </c>
      <c r="CA166" t="s">
        <v>123</v>
      </c>
      <c r="CB166" t="s">
        <v>123</v>
      </c>
      <c r="CC166">
        <v>0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>
        <v>2.0299999999999999E-2</v>
      </c>
      <c r="CL166">
        <v>2.3400000000000001E-2</v>
      </c>
      <c r="CM166">
        <v>2.5399999999999999E-2</v>
      </c>
      <c r="CN166">
        <v>2.93E-2</v>
      </c>
      <c r="CO166" t="s">
        <v>123</v>
      </c>
      <c r="CP166" t="s">
        <v>123</v>
      </c>
      <c r="CQ166">
        <v>1.7100000000000001E-2</v>
      </c>
      <c r="CR166">
        <v>1.9699999999999999E-2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178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  <c r="DN166" t="s">
        <v>123</v>
      </c>
      <c r="DO166" t="s">
        <v>123</v>
      </c>
      <c r="DP166" t="s">
        <v>123</v>
      </c>
      <c r="DQ166" t="s">
        <v>123</v>
      </c>
      <c r="DR166" t="s">
        <v>123</v>
      </c>
      <c r="DS166" t="s">
        <v>123</v>
      </c>
    </row>
    <row r="167" spans="1:123" x14ac:dyDescent="0.3">
      <c r="A167">
        <v>166</v>
      </c>
      <c r="B167" t="s">
        <v>123</v>
      </c>
      <c r="C167" t="s">
        <v>123</v>
      </c>
      <c r="D167" t="s">
        <v>764</v>
      </c>
      <c r="E167" t="s">
        <v>123</v>
      </c>
      <c r="F167" t="s">
        <v>125</v>
      </c>
      <c r="G167" t="s">
        <v>126</v>
      </c>
      <c r="H167" t="s">
        <v>127</v>
      </c>
      <c r="I167" t="s">
        <v>128</v>
      </c>
      <c r="J167" t="s">
        <v>123</v>
      </c>
      <c r="K167" t="s">
        <v>759</v>
      </c>
      <c r="L167" t="s">
        <v>130</v>
      </c>
      <c r="M167" t="s">
        <v>760</v>
      </c>
      <c r="N167" t="s">
        <v>158</v>
      </c>
      <c r="O167" t="s">
        <v>133</v>
      </c>
      <c r="P167" t="s">
        <v>123</v>
      </c>
      <c r="Q167" t="s">
        <v>123</v>
      </c>
      <c r="R167" t="s">
        <v>123</v>
      </c>
      <c r="S167" t="s">
        <v>123</v>
      </c>
      <c r="T167" s="1">
        <v>46119</v>
      </c>
      <c r="U167" t="s">
        <v>123</v>
      </c>
      <c r="V167" t="s">
        <v>123</v>
      </c>
      <c r="W167" t="s">
        <v>123</v>
      </c>
      <c r="X167" t="s">
        <v>123</v>
      </c>
      <c r="Y167" t="s">
        <v>123</v>
      </c>
      <c r="Z167" t="s">
        <v>123</v>
      </c>
      <c r="AA167" t="s">
        <v>123</v>
      </c>
      <c r="AB167" t="s">
        <v>765</v>
      </c>
      <c r="AC167" t="s">
        <v>135</v>
      </c>
      <c r="AD167" t="s">
        <v>123</v>
      </c>
      <c r="AE167" t="s">
        <v>123</v>
      </c>
      <c r="AF167" t="s">
        <v>176</v>
      </c>
      <c r="AG167" t="s">
        <v>177</v>
      </c>
      <c r="AH167" t="s">
        <v>123</v>
      </c>
      <c r="AI167" t="s">
        <v>128</v>
      </c>
      <c r="AJ167" t="s">
        <v>138</v>
      </c>
      <c r="AK167" t="s">
        <v>139</v>
      </c>
      <c r="AL167" t="s">
        <v>123</v>
      </c>
      <c r="AM167" t="s">
        <v>123</v>
      </c>
      <c r="AN167" t="s">
        <v>123</v>
      </c>
      <c r="AO167" t="s">
        <v>123</v>
      </c>
      <c r="AP167">
        <v>250</v>
      </c>
      <c r="AQ167">
        <v>50</v>
      </c>
      <c r="AR167">
        <v>10</v>
      </c>
      <c r="AS167" t="s">
        <v>123</v>
      </c>
      <c r="AT167" t="s">
        <v>123</v>
      </c>
      <c r="AU167" t="s">
        <v>123</v>
      </c>
      <c r="AV167" t="s">
        <v>123</v>
      </c>
      <c r="AW167" t="s">
        <v>123</v>
      </c>
      <c r="AX167" t="s">
        <v>123</v>
      </c>
      <c r="AY167" t="s">
        <v>123</v>
      </c>
      <c r="AZ167" t="s">
        <v>123</v>
      </c>
      <c r="BA167" t="s">
        <v>140</v>
      </c>
      <c r="BB167" t="s">
        <v>123</v>
      </c>
      <c r="BC167" t="s">
        <v>123</v>
      </c>
      <c r="BD167" t="s">
        <v>123</v>
      </c>
      <c r="BE167" t="s">
        <v>123</v>
      </c>
      <c r="BF167" t="s">
        <v>123</v>
      </c>
      <c r="BG167" t="s">
        <v>141</v>
      </c>
      <c r="BH167" t="s">
        <v>123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123</v>
      </c>
      <c r="BX167" t="s">
        <v>123</v>
      </c>
      <c r="BY167" s="1">
        <v>45965.251485682871</v>
      </c>
      <c r="BZ167">
        <v>1554</v>
      </c>
      <c r="CA167" t="s">
        <v>123</v>
      </c>
      <c r="CB167" t="s">
        <v>123</v>
      </c>
      <c r="CC167">
        <v>0</v>
      </c>
      <c r="CD167" t="s">
        <v>123</v>
      </c>
      <c r="CE167" t="s">
        <v>123</v>
      </c>
      <c r="CF167" t="s">
        <v>123</v>
      </c>
      <c r="CG167" t="s">
        <v>123</v>
      </c>
      <c r="CH167" t="s">
        <v>123</v>
      </c>
      <c r="CI167" t="s">
        <v>123</v>
      </c>
      <c r="CJ167" t="s">
        <v>123</v>
      </c>
      <c r="CK167">
        <v>1.04E-2</v>
      </c>
      <c r="CL167">
        <v>1.18E-2</v>
      </c>
      <c r="CM167">
        <v>1.3599999999999999E-2</v>
      </c>
      <c r="CN167">
        <v>1.5299999999999999E-2</v>
      </c>
      <c r="CO167" t="s">
        <v>123</v>
      </c>
      <c r="CP167" t="s">
        <v>123</v>
      </c>
      <c r="CQ167">
        <v>7.7000000000000002E-3</v>
      </c>
      <c r="CR167">
        <v>8.8999999999999999E-3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766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  <c r="DN167" t="s">
        <v>123</v>
      </c>
      <c r="DO167" t="s">
        <v>123</v>
      </c>
      <c r="DP167" t="s">
        <v>123</v>
      </c>
      <c r="DQ167" t="s">
        <v>123</v>
      </c>
      <c r="DR167" t="s">
        <v>123</v>
      </c>
      <c r="DS167" t="s">
        <v>123</v>
      </c>
    </row>
    <row r="168" spans="1:123" x14ac:dyDescent="0.3">
      <c r="A168">
        <v>167</v>
      </c>
      <c r="B168" t="s">
        <v>123</v>
      </c>
      <c r="C168" t="s">
        <v>123</v>
      </c>
      <c r="D168" t="s">
        <v>767</v>
      </c>
      <c r="E168" t="s">
        <v>123</v>
      </c>
      <c r="F168" t="s">
        <v>125</v>
      </c>
      <c r="G168" t="s">
        <v>126</v>
      </c>
      <c r="H168" t="s">
        <v>127</v>
      </c>
      <c r="I168" t="s">
        <v>128</v>
      </c>
      <c r="J168" t="s">
        <v>123</v>
      </c>
      <c r="K168" t="s">
        <v>768</v>
      </c>
      <c r="L168" t="s">
        <v>130</v>
      </c>
      <c r="M168" t="s">
        <v>769</v>
      </c>
      <c r="N168" t="s">
        <v>158</v>
      </c>
      <c r="O168" t="s">
        <v>159</v>
      </c>
      <c r="P168" t="s">
        <v>123</v>
      </c>
      <c r="Q168" t="s">
        <v>123</v>
      </c>
      <c r="R168" t="s">
        <v>123</v>
      </c>
      <c r="S168" t="s">
        <v>123</v>
      </c>
      <c r="T168" s="1">
        <v>46939</v>
      </c>
      <c r="U168" t="s">
        <v>123</v>
      </c>
      <c r="V168" t="s">
        <v>123</v>
      </c>
      <c r="W168" t="s">
        <v>123</v>
      </c>
      <c r="X168" t="s">
        <v>123</v>
      </c>
      <c r="Y168" t="s">
        <v>123</v>
      </c>
      <c r="Z168" t="s">
        <v>123</v>
      </c>
      <c r="AA168" t="s">
        <v>123</v>
      </c>
      <c r="AB168" t="s">
        <v>770</v>
      </c>
      <c r="AC168" t="s">
        <v>135</v>
      </c>
      <c r="AD168" t="s">
        <v>123</v>
      </c>
      <c r="AE168" t="s">
        <v>123</v>
      </c>
      <c r="AF168" t="s">
        <v>227</v>
      </c>
      <c r="AG168" t="s">
        <v>228</v>
      </c>
      <c r="AH168" t="s">
        <v>123</v>
      </c>
      <c r="AI168" t="s">
        <v>128</v>
      </c>
      <c r="AJ168" t="s">
        <v>186</v>
      </c>
      <c r="AK168" t="s">
        <v>163</v>
      </c>
      <c r="AL168" t="s">
        <v>123</v>
      </c>
      <c r="AM168" t="s">
        <v>123</v>
      </c>
      <c r="AN168" t="s">
        <v>123</v>
      </c>
      <c r="AO168" t="s">
        <v>123</v>
      </c>
      <c r="AP168">
        <v>250</v>
      </c>
      <c r="AQ168">
        <v>50</v>
      </c>
      <c r="AR168">
        <v>10</v>
      </c>
      <c r="AS168" t="s">
        <v>123</v>
      </c>
      <c r="AT168" t="s">
        <v>123</v>
      </c>
      <c r="AU168" t="s">
        <v>123</v>
      </c>
      <c r="AV168" t="s">
        <v>123</v>
      </c>
      <c r="AW168" t="s">
        <v>123</v>
      </c>
      <c r="AX168" t="s">
        <v>123</v>
      </c>
      <c r="AY168" t="s">
        <v>123</v>
      </c>
      <c r="AZ168" t="s">
        <v>123</v>
      </c>
      <c r="BA168" t="s">
        <v>140</v>
      </c>
      <c r="BB168" t="s">
        <v>123</v>
      </c>
      <c r="BC168" t="s">
        <v>123</v>
      </c>
      <c r="BD168" t="s">
        <v>123</v>
      </c>
      <c r="BE168" t="s">
        <v>123</v>
      </c>
      <c r="BF168" t="s">
        <v>123</v>
      </c>
      <c r="BG168" t="s">
        <v>141</v>
      </c>
      <c r="BH168" t="s">
        <v>123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123</v>
      </c>
      <c r="BX168" t="s">
        <v>123</v>
      </c>
      <c r="BY168" s="1">
        <v>45965.251509837966</v>
      </c>
      <c r="BZ168">
        <v>1524</v>
      </c>
      <c r="CA168" t="s">
        <v>123</v>
      </c>
      <c r="CB168" t="s">
        <v>123</v>
      </c>
      <c r="CC168">
        <v>0</v>
      </c>
      <c r="CD168" t="s">
        <v>123</v>
      </c>
      <c r="CE168" t="s">
        <v>123</v>
      </c>
      <c r="CF168" t="s">
        <v>123</v>
      </c>
      <c r="CG168" t="s">
        <v>123</v>
      </c>
      <c r="CH168" t="s">
        <v>123</v>
      </c>
      <c r="CI168" t="s">
        <v>123</v>
      </c>
      <c r="CJ168" t="s">
        <v>123</v>
      </c>
      <c r="CK168">
        <v>4.48E-2</v>
      </c>
      <c r="CL168">
        <v>5.0900000000000001E-2</v>
      </c>
      <c r="CM168">
        <v>5.4699999999999999E-2</v>
      </c>
      <c r="CN168">
        <v>6.2199999999999998E-2</v>
      </c>
      <c r="CO168" t="s">
        <v>123</v>
      </c>
      <c r="CP168" t="s">
        <v>123</v>
      </c>
      <c r="CQ168">
        <v>3.6999999999999998E-2</v>
      </c>
      <c r="CR168">
        <v>4.1399999999999999E-2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205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  <c r="DN168" t="s">
        <v>123</v>
      </c>
      <c r="DO168" t="s">
        <v>123</v>
      </c>
      <c r="DP168" t="s">
        <v>123</v>
      </c>
      <c r="DQ168" t="s">
        <v>123</v>
      </c>
      <c r="DR168" t="s">
        <v>123</v>
      </c>
      <c r="DS168" t="s">
        <v>123</v>
      </c>
    </row>
    <row r="169" spans="1:123" x14ac:dyDescent="0.3">
      <c r="A169">
        <v>168</v>
      </c>
      <c r="B169" t="s">
        <v>123</v>
      </c>
      <c r="C169" t="s">
        <v>123</v>
      </c>
      <c r="D169" t="s">
        <v>771</v>
      </c>
      <c r="E169" t="s">
        <v>123</v>
      </c>
      <c r="F169" t="s">
        <v>125</v>
      </c>
      <c r="G169" t="s">
        <v>126</v>
      </c>
      <c r="H169" t="s">
        <v>127</v>
      </c>
      <c r="I169" t="s">
        <v>128</v>
      </c>
      <c r="J169" t="s">
        <v>123</v>
      </c>
      <c r="K169" t="s">
        <v>377</v>
      </c>
      <c r="L169" t="s">
        <v>130</v>
      </c>
      <c r="M169" t="s">
        <v>358</v>
      </c>
      <c r="N169" t="s">
        <v>158</v>
      </c>
      <c r="O169" t="s">
        <v>443</v>
      </c>
      <c r="P169" t="s">
        <v>123</v>
      </c>
      <c r="Q169" t="s">
        <v>123</v>
      </c>
      <c r="R169" t="s">
        <v>123</v>
      </c>
      <c r="S169" t="s">
        <v>123</v>
      </c>
      <c r="T169" s="1">
        <v>46013</v>
      </c>
      <c r="U169" t="s">
        <v>123</v>
      </c>
      <c r="V169" t="s">
        <v>123</v>
      </c>
      <c r="W169" t="s">
        <v>123</v>
      </c>
      <c r="X169" t="s">
        <v>123</v>
      </c>
      <c r="Y169" t="s">
        <v>123</v>
      </c>
      <c r="Z169" t="s">
        <v>123</v>
      </c>
      <c r="AA169" t="s">
        <v>123</v>
      </c>
      <c r="AB169" t="s">
        <v>772</v>
      </c>
      <c r="AC169" t="s">
        <v>135</v>
      </c>
      <c r="AD169" t="s">
        <v>123</v>
      </c>
      <c r="AE169" t="s">
        <v>123</v>
      </c>
      <c r="AF169" t="s">
        <v>380</v>
      </c>
      <c r="AG169" t="s">
        <v>381</v>
      </c>
      <c r="AH169" t="s">
        <v>123</v>
      </c>
      <c r="AI169" t="s">
        <v>128</v>
      </c>
      <c r="AJ169" t="s">
        <v>138</v>
      </c>
      <c r="AK169" t="s">
        <v>139</v>
      </c>
      <c r="AL169" t="s">
        <v>123</v>
      </c>
      <c r="AM169" t="s">
        <v>123</v>
      </c>
      <c r="AN169" t="s">
        <v>123</v>
      </c>
      <c r="AO169" t="s">
        <v>123</v>
      </c>
      <c r="AP169">
        <v>250</v>
      </c>
      <c r="AQ169">
        <v>50</v>
      </c>
      <c r="AR169">
        <v>10</v>
      </c>
      <c r="AS169" t="s">
        <v>123</v>
      </c>
      <c r="AT169" t="s">
        <v>123</v>
      </c>
      <c r="AU169" t="s">
        <v>123</v>
      </c>
      <c r="AV169" t="s">
        <v>123</v>
      </c>
      <c r="AW169" t="s">
        <v>123</v>
      </c>
      <c r="AX169" t="s">
        <v>123</v>
      </c>
      <c r="AY169" t="s">
        <v>123</v>
      </c>
      <c r="AZ169" t="s">
        <v>123</v>
      </c>
      <c r="BA169" t="s">
        <v>140</v>
      </c>
      <c r="BB169" t="s">
        <v>123</v>
      </c>
      <c r="BC169" t="s">
        <v>123</v>
      </c>
      <c r="BD169" t="s">
        <v>123</v>
      </c>
      <c r="BE169" t="s">
        <v>123</v>
      </c>
      <c r="BF169" t="s">
        <v>123</v>
      </c>
      <c r="BG169" t="s">
        <v>141</v>
      </c>
      <c r="BH169" t="s">
        <v>123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123</v>
      </c>
      <c r="BX169" t="s">
        <v>123</v>
      </c>
      <c r="BY169" s="1">
        <v>45965.251582638892</v>
      </c>
      <c r="BZ169">
        <v>1552</v>
      </c>
      <c r="CA169" t="s">
        <v>123</v>
      </c>
      <c r="CB169" t="s">
        <v>123</v>
      </c>
      <c r="CC169">
        <v>0</v>
      </c>
      <c r="CD169" t="s">
        <v>123</v>
      </c>
      <c r="CE169" t="s">
        <v>123</v>
      </c>
      <c r="CF169" t="s">
        <v>123</v>
      </c>
      <c r="CG169" t="s">
        <v>123</v>
      </c>
      <c r="CH169" t="s">
        <v>123</v>
      </c>
      <c r="CI169" t="s">
        <v>123</v>
      </c>
      <c r="CJ169" t="s">
        <v>123</v>
      </c>
      <c r="CK169">
        <v>1.83E-2</v>
      </c>
      <c r="CL169">
        <v>2.06E-2</v>
      </c>
      <c r="CM169">
        <v>3.6600000000000001E-2</v>
      </c>
      <c r="CN169">
        <v>4.02E-2</v>
      </c>
      <c r="CO169" t="s">
        <v>123</v>
      </c>
      <c r="CP169" t="s">
        <v>123</v>
      </c>
      <c r="CQ169">
        <v>1.0699999999999999E-2</v>
      </c>
      <c r="CR169">
        <v>1.21E-2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382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  <c r="DN169" t="s">
        <v>123</v>
      </c>
      <c r="DO169" t="s">
        <v>123</v>
      </c>
      <c r="DP169" t="s">
        <v>123</v>
      </c>
      <c r="DQ169" t="s">
        <v>123</v>
      </c>
      <c r="DR169" t="s">
        <v>123</v>
      </c>
      <c r="DS169" t="s">
        <v>123</v>
      </c>
    </row>
    <row r="170" spans="1:123" x14ac:dyDescent="0.3">
      <c r="A170">
        <v>169</v>
      </c>
      <c r="B170" t="s">
        <v>123</v>
      </c>
      <c r="C170" t="s">
        <v>123</v>
      </c>
      <c r="D170" t="s">
        <v>773</v>
      </c>
      <c r="E170" t="s">
        <v>123</v>
      </c>
      <c r="F170" t="s">
        <v>125</v>
      </c>
      <c r="G170" t="s">
        <v>126</v>
      </c>
      <c r="H170" t="s">
        <v>127</v>
      </c>
      <c r="I170" t="s">
        <v>128</v>
      </c>
      <c r="J170" t="s">
        <v>123</v>
      </c>
      <c r="K170" t="s">
        <v>774</v>
      </c>
      <c r="L170" t="s">
        <v>130</v>
      </c>
      <c r="M170" t="s">
        <v>775</v>
      </c>
      <c r="N170" t="s">
        <v>132</v>
      </c>
      <c r="O170" t="s">
        <v>159</v>
      </c>
      <c r="P170" t="s">
        <v>123</v>
      </c>
      <c r="Q170" t="s">
        <v>123</v>
      </c>
      <c r="R170" t="s">
        <v>123</v>
      </c>
      <c r="S170" t="s">
        <v>123</v>
      </c>
      <c r="T170" s="1">
        <v>46544</v>
      </c>
      <c r="U170" t="s">
        <v>123</v>
      </c>
      <c r="V170" t="s">
        <v>123</v>
      </c>
      <c r="W170" t="s">
        <v>123</v>
      </c>
      <c r="X170" t="s">
        <v>123</v>
      </c>
      <c r="Y170" t="s">
        <v>123</v>
      </c>
      <c r="Z170" t="s">
        <v>123</v>
      </c>
      <c r="AA170" t="s">
        <v>123</v>
      </c>
      <c r="AB170" t="s">
        <v>776</v>
      </c>
      <c r="AC170" t="s">
        <v>135</v>
      </c>
      <c r="AD170" t="s">
        <v>123</v>
      </c>
      <c r="AE170" t="s">
        <v>123</v>
      </c>
      <c r="AF170" t="s">
        <v>777</v>
      </c>
      <c r="AG170" t="s">
        <v>778</v>
      </c>
      <c r="AH170" t="s">
        <v>123</v>
      </c>
      <c r="AI170" t="s">
        <v>128</v>
      </c>
      <c r="AJ170" t="s">
        <v>138</v>
      </c>
      <c r="AK170" t="s">
        <v>139</v>
      </c>
      <c r="AL170" t="s">
        <v>123</v>
      </c>
      <c r="AM170" t="s">
        <v>123</v>
      </c>
      <c r="AN170" t="s">
        <v>123</v>
      </c>
      <c r="AO170" t="s">
        <v>123</v>
      </c>
      <c r="AP170">
        <v>250</v>
      </c>
      <c r="AQ170">
        <v>50</v>
      </c>
      <c r="AR170">
        <v>10</v>
      </c>
      <c r="AS170" t="s">
        <v>123</v>
      </c>
      <c r="AT170" t="s">
        <v>123</v>
      </c>
      <c r="AU170" t="s">
        <v>123</v>
      </c>
      <c r="AV170" t="s">
        <v>123</v>
      </c>
      <c r="AW170" t="s">
        <v>123</v>
      </c>
      <c r="AX170" t="s">
        <v>123</v>
      </c>
      <c r="AY170" t="s">
        <v>123</v>
      </c>
      <c r="AZ170" t="s">
        <v>123</v>
      </c>
      <c r="BA170" t="s">
        <v>140</v>
      </c>
      <c r="BB170" t="s">
        <v>123</v>
      </c>
      <c r="BC170" t="s">
        <v>123</v>
      </c>
      <c r="BD170" t="s">
        <v>123</v>
      </c>
      <c r="BE170" t="s">
        <v>123</v>
      </c>
      <c r="BF170" t="s">
        <v>123</v>
      </c>
      <c r="BG170" t="s">
        <v>141</v>
      </c>
      <c r="BH170" t="s">
        <v>123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123</v>
      </c>
      <c r="BX170" t="s">
        <v>123</v>
      </c>
      <c r="BY170" s="1">
        <v>45965.251607060185</v>
      </c>
      <c r="BZ170">
        <v>1525</v>
      </c>
      <c r="CA170" t="s">
        <v>123</v>
      </c>
      <c r="CB170" t="s">
        <v>123</v>
      </c>
      <c r="CC170">
        <v>0</v>
      </c>
      <c r="CD170" t="s">
        <v>123</v>
      </c>
      <c r="CE170" t="s">
        <v>123</v>
      </c>
      <c r="CF170" t="s">
        <v>123</v>
      </c>
      <c r="CG170" t="s">
        <v>123</v>
      </c>
      <c r="CH170" t="s">
        <v>123</v>
      </c>
      <c r="CI170" t="s">
        <v>123</v>
      </c>
      <c r="CJ170" t="s">
        <v>123</v>
      </c>
      <c r="CK170">
        <v>1.5800000000000002E-2</v>
      </c>
      <c r="CL170">
        <v>1.77E-2</v>
      </c>
      <c r="CM170">
        <v>1.77E-2</v>
      </c>
      <c r="CN170">
        <v>0.02</v>
      </c>
      <c r="CO170" t="s">
        <v>123</v>
      </c>
      <c r="CP170" t="s">
        <v>123</v>
      </c>
      <c r="CQ170">
        <v>1.38E-2</v>
      </c>
      <c r="CR170">
        <v>1.5699999999999999E-2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244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  <c r="DN170" t="s">
        <v>123</v>
      </c>
      <c r="DO170" t="s">
        <v>123</v>
      </c>
      <c r="DP170" t="s">
        <v>123</v>
      </c>
      <c r="DQ170" t="s">
        <v>123</v>
      </c>
      <c r="DR170" t="s">
        <v>123</v>
      </c>
      <c r="DS170" t="s">
        <v>123</v>
      </c>
    </row>
    <row r="171" spans="1:123" x14ac:dyDescent="0.3">
      <c r="A171">
        <v>170</v>
      </c>
      <c r="B171" t="s">
        <v>123</v>
      </c>
      <c r="C171" t="s">
        <v>123</v>
      </c>
      <c r="D171" t="s">
        <v>779</v>
      </c>
      <c r="E171" t="s">
        <v>123</v>
      </c>
      <c r="F171" t="s">
        <v>125</v>
      </c>
      <c r="G171" t="s">
        <v>126</v>
      </c>
      <c r="H171" t="s">
        <v>127</v>
      </c>
      <c r="I171" t="s">
        <v>128</v>
      </c>
      <c r="J171" t="s">
        <v>123</v>
      </c>
      <c r="K171" t="s">
        <v>774</v>
      </c>
      <c r="L171" t="s">
        <v>130</v>
      </c>
      <c r="M171" t="s">
        <v>775</v>
      </c>
      <c r="N171" t="s">
        <v>144</v>
      </c>
      <c r="O171" t="s">
        <v>159</v>
      </c>
      <c r="P171" t="s">
        <v>123</v>
      </c>
      <c r="Q171" t="s">
        <v>123</v>
      </c>
      <c r="R171" t="s">
        <v>123</v>
      </c>
      <c r="S171" t="s">
        <v>123</v>
      </c>
      <c r="T171" s="1">
        <v>46544</v>
      </c>
      <c r="U171" t="s">
        <v>123</v>
      </c>
      <c r="V171" t="s">
        <v>123</v>
      </c>
      <c r="W171" t="s">
        <v>123</v>
      </c>
      <c r="X171" t="s">
        <v>123</v>
      </c>
      <c r="Y171" t="s">
        <v>123</v>
      </c>
      <c r="Z171" t="s">
        <v>123</v>
      </c>
      <c r="AA171" t="s">
        <v>123</v>
      </c>
      <c r="AB171" t="s">
        <v>780</v>
      </c>
      <c r="AC171" t="s">
        <v>135</v>
      </c>
      <c r="AD171" t="s">
        <v>123</v>
      </c>
      <c r="AE171" t="s">
        <v>123</v>
      </c>
      <c r="AF171" t="s">
        <v>777</v>
      </c>
      <c r="AG171" t="s">
        <v>778</v>
      </c>
      <c r="AH171" t="s">
        <v>123</v>
      </c>
      <c r="AI171" t="s">
        <v>128</v>
      </c>
      <c r="AJ171" t="s">
        <v>138</v>
      </c>
      <c r="AK171" t="s">
        <v>139</v>
      </c>
      <c r="AL171" t="s">
        <v>123</v>
      </c>
      <c r="AM171" t="s">
        <v>123</v>
      </c>
      <c r="AN171" t="s">
        <v>123</v>
      </c>
      <c r="AO171" t="s">
        <v>123</v>
      </c>
      <c r="AP171">
        <v>250</v>
      </c>
      <c r="AQ171">
        <v>50</v>
      </c>
      <c r="AR171">
        <v>10</v>
      </c>
      <c r="AS171" t="s">
        <v>123</v>
      </c>
      <c r="AT171" t="s">
        <v>123</v>
      </c>
      <c r="AU171" t="s">
        <v>123</v>
      </c>
      <c r="AV171" t="s">
        <v>123</v>
      </c>
      <c r="AW171" t="s">
        <v>123</v>
      </c>
      <c r="AX171" t="s">
        <v>123</v>
      </c>
      <c r="AY171" t="s">
        <v>123</v>
      </c>
      <c r="AZ171" t="s">
        <v>123</v>
      </c>
      <c r="BA171" t="s">
        <v>140</v>
      </c>
      <c r="BB171" t="s">
        <v>123</v>
      </c>
      <c r="BC171" t="s">
        <v>123</v>
      </c>
      <c r="BD171" t="s">
        <v>123</v>
      </c>
      <c r="BE171" t="s">
        <v>123</v>
      </c>
      <c r="BF171" t="s">
        <v>123</v>
      </c>
      <c r="BG171" t="s">
        <v>141</v>
      </c>
      <c r="BH171" t="s">
        <v>123</v>
      </c>
      <c r="BI171" t="s">
        <v>123</v>
      </c>
      <c r="BJ171" t="s">
        <v>123</v>
      </c>
      <c r="BK171" t="s">
        <v>123</v>
      </c>
      <c r="BL171" t="s">
        <v>123</v>
      </c>
      <c r="BM171" t="s">
        <v>123</v>
      </c>
      <c r="BN171" t="s">
        <v>123</v>
      </c>
      <c r="BO171" t="s">
        <v>123</v>
      </c>
      <c r="BP171" t="s">
        <v>123</v>
      </c>
      <c r="BQ171" t="s">
        <v>123</v>
      </c>
      <c r="BR171" t="s">
        <v>123</v>
      </c>
      <c r="BS171" t="s">
        <v>123</v>
      </c>
      <c r="BT171" t="s">
        <v>123</v>
      </c>
      <c r="BU171" t="s">
        <v>123</v>
      </c>
      <c r="BV171" t="s">
        <v>123</v>
      </c>
      <c r="BW171" t="s">
        <v>123</v>
      </c>
      <c r="BX171" t="s">
        <v>123</v>
      </c>
      <c r="BY171" s="1">
        <v>45965.251638576388</v>
      </c>
      <c r="BZ171">
        <v>1525</v>
      </c>
      <c r="CA171" t="s">
        <v>123</v>
      </c>
      <c r="CB171" t="s">
        <v>123</v>
      </c>
      <c r="CC171">
        <v>0</v>
      </c>
      <c r="CD171" t="s">
        <v>123</v>
      </c>
      <c r="CE171" t="s">
        <v>123</v>
      </c>
      <c r="CF171" t="s">
        <v>123</v>
      </c>
      <c r="CG171" t="s">
        <v>123</v>
      </c>
      <c r="CH171" t="s">
        <v>123</v>
      </c>
      <c r="CI171" t="s">
        <v>123</v>
      </c>
      <c r="CJ171" t="s">
        <v>123</v>
      </c>
      <c r="CK171">
        <v>2.01E-2</v>
      </c>
      <c r="CL171">
        <v>2.29E-2</v>
      </c>
      <c r="CM171">
        <v>2.2499999999999999E-2</v>
      </c>
      <c r="CN171">
        <v>2.5899999999999999E-2</v>
      </c>
      <c r="CO171" t="s">
        <v>123</v>
      </c>
      <c r="CP171" t="s">
        <v>123</v>
      </c>
      <c r="CQ171">
        <v>1.77E-2</v>
      </c>
      <c r="CR171">
        <v>0.02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244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  <c r="DN171" t="s">
        <v>123</v>
      </c>
      <c r="DO171" t="s">
        <v>123</v>
      </c>
      <c r="DP171" t="s">
        <v>123</v>
      </c>
      <c r="DQ171" t="s">
        <v>123</v>
      </c>
      <c r="DR171" t="s">
        <v>123</v>
      </c>
      <c r="DS171" t="s">
        <v>123</v>
      </c>
    </row>
    <row r="172" spans="1:123" x14ac:dyDescent="0.3">
      <c r="A172">
        <v>171</v>
      </c>
      <c r="B172" t="s">
        <v>123</v>
      </c>
      <c r="C172" t="s">
        <v>123</v>
      </c>
      <c r="D172" t="s">
        <v>781</v>
      </c>
      <c r="E172" t="s">
        <v>123</v>
      </c>
      <c r="F172" t="s">
        <v>125</v>
      </c>
      <c r="G172" t="s">
        <v>126</v>
      </c>
      <c r="H172" t="s">
        <v>127</v>
      </c>
      <c r="I172" t="s">
        <v>128</v>
      </c>
      <c r="J172" t="s">
        <v>123</v>
      </c>
      <c r="K172" t="s">
        <v>774</v>
      </c>
      <c r="L172" t="s">
        <v>130</v>
      </c>
      <c r="M172" t="s">
        <v>775</v>
      </c>
      <c r="N172" t="s">
        <v>248</v>
      </c>
      <c r="O172" t="s">
        <v>159</v>
      </c>
      <c r="P172" t="s">
        <v>123</v>
      </c>
      <c r="Q172" t="s">
        <v>123</v>
      </c>
      <c r="R172" t="s">
        <v>123</v>
      </c>
      <c r="S172" t="s">
        <v>123</v>
      </c>
      <c r="T172" s="1">
        <v>46910</v>
      </c>
      <c r="U172" t="s">
        <v>123</v>
      </c>
      <c r="V172" t="s">
        <v>123</v>
      </c>
      <c r="W172" t="s">
        <v>123</v>
      </c>
      <c r="X172" t="s">
        <v>123</v>
      </c>
      <c r="Y172" t="s">
        <v>123</v>
      </c>
      <c r="Z172" t="s">
        <v>123</v>
      </c>
      <c r="AA172" t="s">
        <v>123</v>
      </c>
      <c r="AB172" t="s">
        <v>782</v>
      </c>
      <c r="AC172" t="s">
        <v>135</v>
      </c>
      <c r="AD172" t="s">
        <v>123</v>
      </c>
      <c r="AE172" t="s">
        <v>123</v>
      </c>
      <c r="AF172" t="s">
        <v>777</v>
      </c>
      <c r="AG172" t="s">
        <v>778</v>
      </c>
      <c r="AH172" t="s">
        <v>123</v>
      </c>
      <c r="AI172" t="s">
        <v>128</v>
      </c>
      <c r="AJ172" t="s">
        <v>138</v>
      </c>
      <c r="AK172" t="s">
        <v>139</v>
      </c>
      <c r="AL172" t="s">
        <v>123</v>
      </c>
      <c r="AM172" t="s">
        <v>123</v>
      </c>
      <c r="AN172" t="s">
        <v>123</v>
      </c>
      <c r="AO172" t="s">
        <v>123</v>
      </c>
      <c r="AP172">
        <v>250</v>
      </c>
      <c r="AQ172">
        <v>50</v>
      </c>
      <c r="AR172">
        <v>10</v>
      </c>
      <c r="AS172" t="s">
        <v>123</v>
      </c>
      <c r="AT172" t="s">
        <v>123</v>
      </c>
      <c r="AU172" t="s">
        <v>123</v>
      </c>
      <c r="AV172" t="s">
        <v>123</v>
      </c>
      <c r="AW172" t="s">
        <v>123</v>
      </c>
      <c r="AX172" t="s">
        <v>123</v>
      </c>
      <c r="AY172" t="s">
        <v>123</v>
      </c>
      <c r="AZ172" t="s">
        <v>123</v>
      </c>
      <c r="BA172" t="s">
        <v>140</v>
      </c>
      <c r="BB172" t="s">
        <v>123</v>
      </c>
      <c r="BC172" t="s">
        <v>123</v>
      </c>
      <c r="BD172" t="s">
        <v>123</v>
      </c>
      <c r="BE172" t="s">
        <v>123</v>
      </c>
      <c r="BF172" t="s">
        <v>123</v>
      </c>
      <c r="BG172" t="s">
        <v>141</v>
      </c>
      <c r="BH172" t="s">
        <v>123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123</v>
      </c>
      <c r="BX172" t="s">
        <v>123</v>
      </c>
      <c r="BY172" s="1">
        <v>45965.251669756944</v>
      </c>
      <c r="BZ172">
        <v>1525</v>
      </c>
      <c r="CA172" t="s">
        <v>123</v>
      </c>
      <c r="CB172" t="s">
        <v>123</v>
      </c>
      <c r="CC172">
        <v>0</v>
      </c>
      <c r="CD172" t="s">
        <v>123</v>
      </c>
      <c r="CE172" t="s">
        <v>123</v>
      </c>
      <c r="CF172" t="s">
        <v>123</v>
      </c>
      <c r="CG172" t="s">
        <v>123</v>
      </c>
      <c r="CH172" t="s">
        <v>123</v>
      </c>
      <c r="CI172" t="s">
        <v>123</v>
      </c>
      <c r="CJ172" t="s">
        <v>123</v>
      </c>
      <c r="CK172">
        <v>2.5499999999999998E-2</v>
      </c>
      <c r="CL172">
        <v>2.9399999999999999E-2</v>
      </c>
      <c r="CM172">
        <v>2.92E-2</v>
      </c>
      <c r="CN172">
        <v>3.3599999999999998E-2</v>
      </c>
      <c r="CO172" t="s">
        <v>123</v>
      </c>
      <c r="CP172" t="s">
        <v>123</v>
      </c>
      <c r="CQ172">
        <v>2.2499999999999999E-2</v>
      </c>
      <c r="CR172">
        <v>2.5899999999999999E-2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244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  <c r="DN172" t="s">
        <v>123</v>
      </c>
      <c r="DO172" t="s">
        <v>123</v>
      </c>
      <c r="DP172" t="s">
        <v>123</v>
      </c>
      <c r="DQ172" t="s">
        <v>123</v>
      </c>
      <c r="DR172" t="s">
        <v>123</v>
      </c>
      <c r="DS172" t="s">
        <v>123</v>
      </c>
    </row>
    <row r="173" spans="1:123" x14ac:dyDescent="0.3">
      <c r="A173">
        <v>172</v>
      </c>
      <c r="B173" t="s">
        <v>123</v>
      </c>
      <c r="C173" t="s">
        <v>123</v>
      </c>
      <c r="D173" t="s">
        <v>783</v>
      </c>
      <c r="E173" t="s">
        <v>123</v>
      </c>
      <c r="F173" t="s">
        <v>125</v>
      </c>
      <c r="G173" t="s">
        <v>126</v>
      </c>
      <c r="H173" t="s">
        <v>127</v>
      </c>
      <c r="I173" t="s">
        <v>128</v>
      </c>
      <c r="J173" t="s">
        <v>123</v>
      </c>
      <c r="K173" t="s">
        <v>774</v>
      </c>
      <c r="L173" t="s">
        <v>130</v>
      </c>
      <c r="M173" t="s">
        <v>775</v>
      </c>
      <c r="N173" t="s">
        <v>590</v>
      </c>
      <c r="O173" t="s">
        <v>159</v>
      </c>
      <c r="P173" t="s">
        <v>123</v>
      </c>
      <c r="Q173" t="s">
        <v>123</v>
      </c>
      <c r="R173" t="s">
        <v>123</v>
      </c>
      <c r="S173" t="s">
        <v>123</v>
      </c>
      <c r="T173" s="1">
        <v>46544</v>
      </c>
      <c r="U173" t="s">
        <v>123</v>
      </c>
      <c r="V173" t="s">
        <v>123</v>
      </c>
      <c r="W173" t="s">
        <v>123</v>
      </c>
      <c r="X173" t="s">
        <v>123</v>
      </c>
      <c r="Y173" t="s">
        <v>123</v>
      </c>
      <c r="Z173" t="s">
        <v>123</v>
      </c>
      <c r="AA173" t="s">
        <v>123</v>
      </c>
      <c r="AB173" t="s">
        <v>784</v>
      </c>
      <c r="AC173" t="s">
        <v>135</v>
      </c>
      <c r="AD173" t="s">
        <v>123</v>
      </c>
      <c r="AE173" t="s">
        <v>123</v>
      </c>
      <c r="AF173" t="s">
        <v>785</v>
      </c>
      <c r="AG173" t="s">
        <v>786</v>
      </c>
      <c r="AH173" t="s">
        <v>123</v>
      </c>
      <c r="AI173" t="s">
        <v>128</v>
      </c>
      <c r="AJ173" t="s">
        <v>138</v>
      </c>
      <c r="AK173" t="s">
        <v>139</v>
      </c>
      <c r="AL173" t="s">
        <v>123</v>
      </c>
      <c r="AM173" t="s">
        <v>123</v>
      </c>
      <c r="AN173" t="s">
        <v>123</v>
      </c>
      <c r="AO173" t="s">
        <v>123</v>
      </c>
      <c r="AP173">
        <v>250</v>
      </c>
      <c r="AQ173">
        <v>50</v>
      </c>
      <c r="AR173">
        <v>10</v>
      </c>
      <c r="AS173" t="s">
        <v>123</v>
      </c>
      <c r="AT173" t="s">
        <v>123</v>
      </c>
      <c r="AU173" t="s">
        <v>123</v>
      </c>
      <c r="AV173" t="s">
        <v>123</v>
      </c>
      <c r="AW173" t="s">
        <v>123</v>
      </c>
      <c r="AX173" t="s">
        <v>123</v>
      </c>
      <c r="AY173" t="s">
        <v>123</v>
      </c>
      <c r="AZ173" t="s">
        <v>123</v>
      </c>
      <c r="BA173" t="s">
        <v>140</v>
      </c>
      <c r="BB173" t="s">
        <v>123</v>
      </c>
      <c r="BC173" t="s">
        <v>123</v>
      </c>
      <c r="BD173" t="s">
        <v>123</v>
      </c>
      <c r="BE173" t="s">
        <v>123</v>
      </c>
      <c r="BF173" t="s">
        <v>123</v>
      </c>
      <c r="BG173" t="s">
        <v>141</v>
      </c>
      <c r="BH173" t="s">
        <v>123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123</v>
      </c>
      <c r="BX173" t="s">
        <v>123</v>
      </c>
      <c r="BY173" s="1">
        <v>45965.251699652777</v>
      </c>
      <c r="BZ173">
        <v>1525</v>
      </c>
      <c r="CA173" t="s">
        <v>123</v>
      </c>
      <c r="CB173" t="s">
        <v>123</v>
      </c>
      <c r="CC173">
        <v>0</v>
      </c>
      <c r="CD173" t="s">
        <v>123</v>
      </c>
      <c r="CE173" t="s">
        <v>123</v>
      </c>
      <c r="CF173" t="s">
        <v>123</v>
      </c>
      <c r="CG173" t="s">
        <v>123</v>
      </c>
      <c r="CH173" t="s">
        <v>123</v>
      </c>
      <c r="CI173" t="s">
        <v>123</v>
      </c>
      <c r="CJ173" t="s">
        <v>123</v>
      </c>
      <c r="CK173">
        <v>4.5199999999999997E-2</v>
      </c>
      <c r="CL173">
        <v>5.0900000000000001E-2</v>
      </c>
      <c r="CM173">
        <v>7.3499999999999996E-2</v>
      </c>
      <c r="CN173">
        <v>8.2100000000000006E-2</v>
      </c>
      <c r="CO173" t="s">
        <v>123</v>
      </c>
      <c r="CP173" t="s">
        <v>123</v>
      </c>
      <c r="CQ173">
        <v>3.61E-2</v>
      </c>
      <c r="CR173">
        <v>4.0899999999999999E-2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244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  <c r="DN173" t="s">
        <v>123</v>
      </c>
      <c r="DO173" t="s">
        <v>123</v>
      </c>
      <c r="DP173" t="s">
        <v>123</v>
      </c>
      <c r="DQ173" t="s">
        <v>123</v>
      </c>
      <c r="DR173" t="s">
        <v>123</v>
      </c>
      <c r="DS173" t="s">
        <v>123</v>
      </c>
    </row>
    <row r="174" spans="1:123" x14ac:dyDescent="0.3">
      <c r="A174">
        <v>173</v>
      </c>
      <c r="B174" t="s">
        <v>123</v>
      </c>
      <c r="C174" t="s">
        <v>123</v>
      </c>
      <c r="D174" t="s">
        <v>787</v>
      </c>
      <c r="E174" t="s">
        <v>123</v>
      </c>
      <c r="F174" t="s">
        <v>125</v>
      </c>
      <c r="G174" t="s">
        <v>126</v>
      </c>
      <c r="H174" t="s">
        <v>127</v>
      </c>
      <c r="I174" t="s">
        <v>128</v>
      </c>
      <c r="J174" t="s">
        <v>123</v>
      </c>
      <c r="K174" t="s">
        <v>774</v>
      </c>
      <c r="L174" t="s">
        <v>130</v>
      </c>
      <c r="M174" t="s">
        <v>775</v>
      </c>
      <c r="N174" t="s">
        <v>435</v>
      </c>
      <c r="O174" t="s">
        <v>159</v>
      </c>
      <c r="P174" t="s">
        <v>123</v>
      </c>
      <c r="Q174" t="s">
        <v>123</v>
      </c>
      <c r="R174" t="s">
        <v>123</v>
      </c>
      <c r="S174" t="s">
        <v>123</v>
      </c>
      <c r="T174" s="1">
        <v>46910</v>
      </c>
      <c r="U174" t="s">
        <v>123</v>
      </c>
      <c r="V174" t="s">
        <v>123</v>
      </c>
      <c r="W174" t="s">
        <v>123</v>
      </c>
      <c r="X174" t="s">
        <v>123</v>
      </c>
      <c r="Y174" t="s">
        <v>123</v>
      </c>
      <c r="Z174" t="s">
        <v>123</v>
      </c>
      <c r="AA174" t="s">
        <v>123</v>
      </c>
      <c r="AB174" t="s">
        <v>788</v>
      </c>
      <c r="AC174" t="s">
        <v>135</v>
      </c>
      <c r="AD174" t="s">
        <v>123</v>
      </c>
      <c r="AE174" t="s">
        <v>123</v>
      </c>
      <c r="AF174" t="s">
        <v>777</v>
      </c>
      <c r="AG174" t="s">
        <v>778</v>
      </c>
      <c r="AH174" t="s">
        <v>123</v>
      </c>
      <c r="AI174" t="s">
        <v>128</v>
      </c>
      <c r="AJ174" t="s">
        <v>138</v>
      </c>
      <c r="AK174" t="s">
        <v>139</v>
      </c>
      <c r="AL174" t="s">
        <v>123</v>
      </c>
      <c r="AM174" t="s">
        <v>123</v>
      </c>
      <c r="AN174" t="s">
        <v>123</v>
      </c>
      <c r="AO174" t="s">
        <v>123</v>
      </c>
      <c r="AP174">
        <v>250</v>
      </c>
      <c r="AQ174">
        <v>50</v>
      </c>
      <c r="AR174">
        <v>10</v>
      </c>
      <c r="AS174" t="s">
        <v>123</v>
      </c>
      <c r="AT174" t="s">
        <v>123</v>
      </c>
      <c r="AU174" t="s">
        <v>123</v>
      </c>
      <c r="AV174" t="s">
        <v>123</v>
      </c>
      <c r="AW174" t="s">
        <v>123</v>
      </c>
      <c r="AX174" t="s">
        <v>123</v>
      </c>
      <c r="AY174" t="s">
        <v>123</v>
      </c>
      <c r="AZ174" t="s">
        <v>123</v>
      </c>
      <c r="BA174" t="s">
        <v>140</v>
      </c>
      <c r="BB174" t="s">
        <v>123</v>
      </c>
      <c r="BC174" t="s">
        <v>123</v>
      </c>
      <c r="BD174" t="s">
        <v>123</v>
      </c>
      <c r="BE174" t="s">
        <v>123</v>
      </c>
      <c r="BF174" t="s">
        <v>123</v>
      </c>
      <c r="BG174" t="s">
        <v>141</v>
      </c>
      <c r="BH174" t="s">
        <v>123</v>
      </c>
      <c r="BI174" t="s">
        <v>123</v>
      </c>
      <c r="BJ174" t="s">
        <v>123</v>
      </c>
      <c r="BK174" t="s">
        <v>123</v>
      </c>
      <c r="BL174" t="s">
        <v>123</v>
      </c>
      <c r="BM174" t="s">
        <v>123</v>
      </c>
      <c r="BN174" t="s">
        <v>123</v>
      </c>
      <c r="BO174" t="s">
        <v>123</v>
      </c>
      <c r="BP174" t="s">
        <v>123</v>
      </c>
      <c r="BQ174" t="s">
        <v>123</v>
      </c>
      <c r="BR174" t="s">
        <v>123</v>
      </c>
      <c r="BS174" t="s">
        <v>123</v>
      </c>
      <c r="BT174" t="s">
        <v>123</v>
      </c>
      <c r="BU174" t="s">
        <v>123</v>
      </c>
      <c r="BV174" t="s">
        <v>123</v>
      </c>
      <c r="BW174" t="s">
        <v>123</v>
      </c>
      <c r="BX174" t="s">
        <v>123</v>
      </c>
      <c r="BY174" s="1">
        <v>45965.251724618058</v>
      </c>
      <c r="BZ174">
        <v>1525</v>
      </c>
      <c r="CA174" t="s">
        <v>123</v>
      </c>
      <c r="CB174" t="s">
        <v>123</v>
      </c>
      <c r="CC174">
        <v>0</v>
      </c>
      <c r="CD174" t="s">
        <v>123</v>
      </c>
      <c r="CE174" t="s">
        <v>123</v>
      </c>
      <c r="CF174" t="s">
        <v>123</v>
      </c>
      <c r="CG174" t="s">
        <v>123</v>
      </c>
      <c r="CH174" t="s">
        <v>123</v>
      </c>
      <c r="CI174" t="s">
        <v>123</v>
      </c>
      <c r="CJ174" t="s">
        <v>123</v>
      </c>
      <c r="CK174">
        <v>1.5800000000000002E-2</v>
      </c>
      <c r="CL174">
        <v>1.77E-2</v>
      </c>
      <c r="CM174">
        <v>1.77E-2</v>
      </c>
      <c r="CN174">
        <v>0.02</v>
      </c>
      <c r="CO174" t="s">
        <v>123</v>
      </c>
      <c r="CP174" t="s">
        <v>123</v>
      </c>
      <c r="CQ174">
        <v>1.38E-2</v>
      </c>
      <c r="CR174">
        <v>1.5699999999999999E-2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244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  <c r="DN174" t="s">
        <v>123</v>
      </c>
      <c r="DO174" t="s">
        <v>123</v>
      </c>
      <c r="DP174" t="s">
        <v>123</v>
      </c>
      <c r="DQ174" t="s">
        <v>123</v>
      </c>
      <c r="DR174" t="s">
        <v>123</v>
      </c>
      <c r="DS174" t="s">
        <v>123</v>
      </c>
    </row>
    <row r="175" spans="1:123" x14ac:dyDescent="0.3">
      <c r="A175">
        <v>174</v>
      </c>
      <c r="B175" t="s">
        <v>123</v>
      </c>
      <c r="C175" t="s">
        <v>123</v>
      </c>
      <c r="D175" t="s">
        <v>789</v>
      </c>
      <c r="E175" t="s">
        <v>123</v>
      </c>
      <c r="F175" t="s">
        <v>125</v>
      </c>
      <c r="G175" t="s">
        <v>126</v>
      </c>
      <c r="H175" t="s">
        <v>127</v>
      </c>
      <c r="I175" t="s">
        <v>128</v>
      </c>
      <c r="J175" t="s">
        <v>123</v>
      </c>
      <c r="K175" t="s">
        <v>774</v>
      </c>
      <c r="L175" t="s">
        <v>130</v>
      </c>
      <c r="M175" t="s">
        <v>775</v>
      </c>
      <c r="N175" t="s">
        <v>438</v>
      </c>
      <c r="O175" t="s">
        <v>159</v>
      </c>
      <c r="P175" t="s">
        <v>123</v>
      </c>
      <c r="Q175" t="s">
        <v>123</v>
      </c>
      <c r="R175" t="s">
        <v>123</v>
      </c>
      <c r="S175" t="s">
        <v>123</v>
      </c>
      <c r="T175" s="1">
        <v>46910</v>
      </c>
      <c r="U175" t="s">
        <v>123</v>
      </c>
      <c r="V175" t="s">
        <v>123</v>
      </c>
      <c r="W175" t="s">
        <v>123</v>
      </c>
      <c r="X175" t="s">
        <v>123</v>
      </c>
      <c r="Y175" t="s">
        <v>123</v>
      </c>
      <c r="Z175" t="s">
        <v>123</v>
      </c>
      <c r="AA175" t="s">
        <v>123</v>
      </c>
      <c r="AB175" t="s">
        <v>790</v>
      </c>
      <c r="AC175" t="s">
        <v>135</v>
      </c>
      <c r="AD175" t="s">
        <v>123</v>
      </c>
      <c r="AE175" t="s">
        <v>123</v>
      </c>
      <c r="AF175" t="s">
        <v>777</v>
      </c>
      <c r="AG175" t="s">
        <v>778</v>
      </c>
      <c r="AH175" t="s">
        <v>123</v>
      </c>
      <c r="AI175" t="s">
        <v>128</v>
      </c>
      <c r="AJ175" t="s">
        <v>138</v>
      </c>
      <c r="AK175" t="s">
        <v>139</v>
      </c>
      <c r="AL175" t="s">
        <v>123</v>
      </c>
      <c r="AM175" t="s">
        <v>123</v>
      </c>
      <c r="AN175" t="s">
        <v>123</v>
      </c>
      <c r="AO175" t="s">
        <v>123</v>
      </c>
      <c r="AP175">
        <v>250</v>
      </c>
      <c r="AQ175">
        <v>50</v>
      </c>
      <c r="AR175">
        <v>10</v>
      </c>
      <c r="AS175" t="s">
        <v>123</v>
      </c>
      <c r="AT175" t="s">
        <v>123</v>
      </c>
      <c r="AU175" t="s">
        <v>123</v>
      </c>
      <c r="AV175" t="s">
        <v>123</v>
      </c>
      <c r="AW175" t="s">
        <v>123</v>
      </c>
      <c r="AX175" t="s">
        <v>123</v>
      </c>
      <c r="AY175" t="s">
        <v>123</v>
      </c>
      <c r="AZ175" t="s">
        <v>123</v>
      </c>
      <c r="BA175" t="s">
        <v>140</v>
      </c>
      <c r="BB175" t="s">
        <v>123</v>
      </c>
      <c r="BC175" t="s">
        <v>123</v>
      </c>
      <c r="BD175" t="s">
        <v>123</v>
      </c>
      <c r="BE175" t="s">
        <v>123</v>
      </c>
      <c r="BF175" t="s">
        <v>123</v>
      </c>
      <c r="BG175" t="s">
        <v>141</v>
      </c>
      <c r="BH175" t="s">
        <v>123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123</v>
      </c>
      <c r="BX175" t="s">
        <v>123</v>
      </c>
      <c r="BY175" s="1">
        <v>45965.251757442129</v>
      </c>
      <c r="BZ175">
        <v>1525</v>
      </c>
      <c r="CA175" t="s">
        <v>123</v>
      </c>
      <c r="CB175" t="s">
        <v>123</v>
      </c>
      <c r="CC175">
        <v>0</v>
      </c>
      <c r="CD175" t="s">
        <v>123</v>
      </c>
      <c r="CE175" t="s">
        <v>123</v>
      </c>
      <c r="CF175" t="s">
        <v>123</v>
      </c>
      <c r="CG175" t="s">
        <v>123</v>
      </c>
      <c r="CH175" t="s">
        <v>123</v>
      </c>
      <c r="CI175" t="s">
        <v>123</v>
      </c>
      <c r="CJ175" t="s">
        <v>123</v>
      </c>
      <c r="CK175">
        <v>2.01E-2</v>
      </c>
      <c r="CL175">
        <v>2.29E-2</v>
      </c>
      <c r="CM175">
        <v>2.2499999999999999E-2</v>
      </c>
      <c r="CN175">
        <v>2.5899999999999999E-2</v>
      </c>
      <c r="CO175" t="s">
        <v>123</v>
      </c>
      <c r="CP175" t="s">
        <v>123</v>
      </c>
      <c r="CQ175">
        <v>1.77E-2</v>
      </c>
      <c r="CR175">
        <v>0.02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244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  <c r="DN175" t="s">
        <v>123</v>
      </c>
      <c r="DO175" t="s">
        <v>123</v>
      </c>
      <c r="DP175" t="s">
        <v>123</v>
      </c>
      <c r="DQ175" t="s">
        <v>123</v>
      </c>
      <c r="DR175" t="s">
        <v>123</v>
      </c>
      <c r="DS175" t="s">
        <v>123</v>
      </c>
    </row>
    <row r="176" spans="1:123" x14ac:dyDescent="0.3">
      <c r="A176">
        <v>175</v>
      </c>
      <c r="B176" t="s">
        <v>123</v>
      </c>
      <c r="C176" t="s">
        <v>123</v>
      </c>
      <c r="D176" t="s">
        <v>791</v>
      </c>
      <c r="E176" t="s">
        <v>123</v>
      </c>
      <c r="F176" t="s">
        <v>125</v>
      </c>
      <c r="G176" t="s">
        <v>126</v>
      </c>
      <c r="H176" t="s">
        <v>127</v>
      </c>
      <c r="I176" t="s">
        <v>128</v>
      </c>
      <c r="J176" t="s">
        <v>123</v>
      </c>
      <c r="K176" t="s">
        <v>792</v>
      </c>
      <c r="L176" t="s">
        <v>130</v>
      </c>
      <c r="M176" t="s">
        <v>793</v>
      </c>
      <c r="N176" t="s">
        <v>158</v>
      </c>
      <c r="O176" t="s">
        <v>150</v>
      </c>
      <c r="P176" t="s">
        <v>123</v>
      </c>
      <c r="Q176" t="s">
        <v>123</v>
      </c>
      <c r="R176" t="s">
        <v>123</v>
      </c>
      <c r="S176" t="s">
        <v>123</v>
      </c>
      <c r="T176" s="1">
        <v>46179</v>
      </c>
      <c r="U176" t="s">
        <v>123</v>
      </c>
      <c r="V176" t="s">
        <v>123</v>
      </c>
      <c r="W176" t="s">
        <v>123</v>
      </c>
      <c r="X176" t="s">
        <v>123</v>
      </c>
      <c r="Y176" t="s">
        <v>123</v>
      </c>
      <c r="Z176" t="s">
        <v>123</v>
      </c>
      <c r="AA176" t="s">
        <v>123</v>
      </c>
      <c r="AB176" t="s">
        <v>794</v>
      </c>
      <c r="AC176" t="s">
        <v>135</v>
      </c>
      <c r="AD176" t="s">
        <v>123</v>
      </c>
      <c r="AE176" t="s">
        <v>123</v>
      </c>
      <c r="AF176" t="s">
        <v>785</v>
      </c>
      <c r="AG176" t="s">
        <v>786</v>
      </c>
      <c r="AH176" t="s">
        <v>123</v>
      </c>
      <c r="AI176" t="s">
        <v>128</v>
      </c>
      <c r="AJ176" t="s">
        <v>186</v>
      </c>
      <c r="AK176" t="s">
        <v>139</v>
      </c>
      <c r="AL176" t="s">
        <v>123</v>
      </c>
      <c r="AM176" t="s">
        <v>123</v>
      </c>
      <c r="AN176" t="s">
        <v>123</v>
      </c>
      <c r="AO176" t="s">
        <v>123</v>
      </c>
      <c r="AP176">
        <v>250</v>
      </c>
      <c r="AQ176">
        <v>50</v>
      </c>
      <c r="AR176">
        <v>10</v>
      </c>
      <c r="AS176" t="s">
        <v>123</v>
      </c>
      <c r="AT176" t="s">
        <v>123</v>
      </c>
      <c r="AU176" t="s">
        <v>123</v>
      </c>
      <c r="AV176" t="s">
        <v>123</v>
      </c>
      <c r="AW176" t="s">
        <v>123</v>
      </c>
      <c r="AX176" t="s">
        <v>123</v>
      </c>
      <c r="AY176" t="s">
        <v>123</v>
      </c>
      <c r="AZ176" t="s">
        <v>123</v>
      </c>
      <c r="BA176" t="s">
        <v>140</v>
      </c>
      <c r="BB176" t="s">
        <v>123</v>
      </c>
      <c r="BC176" t="s">
        <v>123</v>
      </c>
      <c r="BD176" t="s">
        <v>123</v>
      </c>
      <c r="BE176" t="s">
        <v>123</v>
      </c>
      <c r="BF176" t="s">
        <v>123</v>
      </c>
      <c r="BG176" t="s">
        <v>141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s="1">
        <v>45965.251789236114</v>
      </c>
      <c r="BZ176">
        <v>1525</v>
      </c>
      <c r="CA176" t="s">
        <v>123</v>
      </c>
      <c r="CB176" t="s">
        <v>123</v>
      </c>
      <c r="CC176">
        <v>0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>
        <v>2.2000000000000001E-3</v>
      </c>
      <c r="CL176">
        <v>2.8E-3</v>
      </c>
      <c r="CM176">
        <v>8.8000000000000005E-3</v>
      </c>
      <c r="CN176">
        <v>1.0800000000000001E-2</v>
      </c>
      <c r="CO176" t="s">
        <v>123</v>
      </c>
      <c r="CP176" t="s">
        <v>123</v>
      </c>
      <c r="CQ176">
        <v>1E-4</v>
      </c>
      <c r="CR176">
        <v>1E-4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244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  <c r="DN176" t="s">
        <v>123</v>
      </c>
      <c r="DO176" t="s">
        <v>123</v>
      </c>
      <c r="DP176" t="s">
        <v>123</v>
      </c>
      <c r="DQ176" t="s">
        <v>123</v>
      </c>
      <c r="DR176" t="s">
        <v>123</v>
      </c>
      <c r="DS176" t="s">
        <v>123</v>
      </c>
    </row>
    <row r="177" spans="1:123" x14ac:dyDescent="0.3">
      <c r="A177">
        <v>176</v>
      </c>
      <c r="B177" t="s">
        <v>123</v>
      </c>
      <c r="C177" t="s">
        <v>123</v>
      </c>
      <c r="D177" t="s">
        <v>795</v>
      </c>
      <c r="E177" t="s">
        <v>123</v>
      </c>
      <c r="F177" t="s">
        <v>125</v>
      </c>
      <c r="G177" t="s">
        <v>126</v>
      </c>
      <c r="H177" t="s">
        <v>127</v>
      </c>
      <c r="I177" t="s">
        <v>128</v>
      </c>
      <c r="J177" t="s">
        <v>123</v>
      </c>
      <c r="K177" t="s">
        <v>792</v>
      </c>
      <c r="L177" t="s">
        <v>130</v>
      </c>
      <c r="M177" t="s">
        <v>793</v>
      </c>
      <c r="N177" t="s">
        <v>180</v>
      </c>
      <c r="O177" t="s">
        <v>150</v>
      </c>
      <c r="P177" t="s">
        <v>123</v>
      </c>
      <c r="Q177" t="s">
        <v>123</v>
      </c>
      <c r="R177" t="s">
        <v>123</v>
      </c>
      <c r="S177" t="s">
        <v>123</v>
      </c>
      <c r="T177" s="1">
        <v>46179</v>
      </c>
      <c r="U177" t="s">
        <v>123</v>
      </c>
      <c r="V177" t="s">
        <v>123</v>
      </c>
      <c r="W177" t="s">
        <v>123</v>
      </c>
      <c r="X177" t="s">
        <v>123</v>
      </c>
      <c r="Y177" t="s">
        <v>123</v>
      </c>
      <c r="Z177" t="s">
        <v>123</v>
      </c>
      <c r="AA177" t="s">
        <v>123</v>
      </c>
      <c r="AB177" t="s">
        <v>796</v>
      </c>
      <c r="AC177" t="s">
        <v>135</v>
      </c>
      <c r="AD177" t="s">
        <v>123</v>
      </c>
      <c r="AE177" t="s">
        <v>123</v>
      </c>
      <c r="AF177" t="s">
        <v>785</v>
      </c>
      <c r="AG177" t="s">
        <v>786</v>
      </c>
      <c r="AH177" t="s">
        <v>123</v>
      </c>
      <c r="AI177" t="s">
        <v>128</v>
      </c>
      <c r="AJ177" t="s">
        <v>138</v>
      </c>
      <c r="AK177" t="s">
        <v>139</v>
      </c>
      <c r="AL177" t="s">
        <v>123</v>
      </c>
      <c r="AM177" t="s">
        <v>123</v>
      </c>
      <c r="AN177" t="s">
        <v>123</v>
      </c>
      <c r="AO177" t="s">
        <v>123</v>
      </c>
      <c r="AP177">
        <v>250</v>
      </c>
      <c r="AQ177">
        <v>50</v>
      </c>
      <c r="AR177">
        <v>10</v>
      </c>
      <c r="AS177" t="s">
        <v>123</v>
      </c>
      <c r="AT177" t="s">
        <v>123</v>
      </c>
      <c r="AU177" t="s">
        <v>123</v>
      </c>
      <c r="AV177" t="s">
        <v>123</v>
      </c>
      <c r="AW177" t="s">
        <v>123</v>
      </c>
      <c r="AX177" t="s">
        <v>123</v>
      </c>
      <c r="AY177" t="s">
        <v>123</v>
      </c>
      <c r="AZ177" t="s">
        <v>123</v>
      </c>
      <c r="BA177" t="s">
        <v>140</v>
      </c>
      <c r="BB177" t="s">
        <v>123</v>
      </c>
      <c r="BC177" t="s">
        <v>123</v>
      </c>
      <c r="BD177" t="s">
        <v>123</v>
      </c>
      <c r="BE177" t="s">
        <v>123</v>
      </c>
      <c r="BF177" t="s">
        <v>123</v>
      </c>
      <c r="BG177" t="s">
        <v>141</v>
      </c>
      <c r="BH177" t="s">
        <v>123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123</v>
      </c>
      <c r="BX177" t="s">
        <v>123</v>
      </c>
      <c r="BY177" s="1">
        <v>45965.25181454861</v>
      </c>
      <c r="BZ177">
        <v>1525</v>
      </c>
      <c r="CA177" t="s">
        <v>123</v>
      </c>
      <c r="CB177" t="s">
        <v>123</v>
      </c>
      <c r="CC177">
        <v>0</v>
      </c>
      <c r="CD177" t="s">
        <v>123</v>
      </c>
      <c r="CE177" t="s">
        <v>123</v>
      </c>
      <c r="CF177" t="s">
        <v>123</v>
      </c>
      <c r="CG177" t="s">
        <v>123</v>
      </c>
      <c r="CH177" t="s">
        <v>123</v>
      </c>
      <c r="CI177" t="s">
        <v>123</v>
      </c>
      <c r="CJ177" t="s">
        <v>123</v>
      </c>
      <c r="CK177">
        <v>2.35E-2</v>
      </c>
      <c r="CL177">
        <v>2.6800000000000001E-2</v>
      </c>
      <c r="CM177">
        <v>2.58E-2</v>
      </c>
      <c r="CN177">
        <v>2.93E-2</v>
      </c>
      <c r="CO177" t="s">
        <v>123</v>
      </c>
      <c r="CP177" t="s">
        <v>123</v>
      </c>
      <c r="CQ177">
        <v>2.1000000000000001E-2</v>
      </c>
      <c r="CR177">
        <v>2.3800000000000002E-2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244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  <c r="DN177" t="s">
        <v>123</v>
      </c>
      <c r="DO177" t="s">
        <v>123</v>
      </c>
      <c r="DP177" t="s">
        <v>123</v>
      </c>
      <c r="DQ177" t="s">
        <v>123</v>
      </c>
      <c r="DR177" t="s">
        <v>123</v>
      </c>
      <c r="DS177" t="s">
        <v>123</v>
      </c>
    </row>
    <row r="178" spans="1:123" x14ac:dyDescent="0.3">
      <c r="A178">
        <v>177</v>
      </c>
      <c r="B178" t="s">
        <v>123</v>
      </c>
      <c r="C178" t="s">
        <v>123</v>
      </c>
      <c r="D178" t="s">
        <v>797</v>
      </c>
      <c r="E178" t="s">
        <v>123</v>
      </c>
      <c r="F178" t="s">
        <v>125</v>
      </c>
      <c r="G178" t="s">
        <v>126</v>
      </c>
      <c r="H178" t="s">
        <v>127</v>
      </c>
      <c r="I178" t="s">
        <v>128</v>
      </c>
      <c r="J178" t="s">
        <v>123</v>
      </c>
      <c r="K178" t="s">
        <v>792</v>
      </c>
      <c r="L178" t="s">
        <v>130</v>
      </c>
      <c r="M178" t="s">
        <v>793</v>
      </c>
      <c r="N178" t="s">
        <v>248</v>
      </c>
      <c r="O178" t="s">
        <v>150</v>
      </c>
      <c r="P178" t="s">
        <v>123</v>
      </c>
      <c r="Q178" t="s">
        <v>123</v>
      </c>
      <c r="R178" t="s">
        <v>123</v>
      </c>
      <c r="S178" t="s">
        <v>123</v>
      </c>
      <c r="T178" s="1">
        <v>46179</v>
      </c>
      <c r="U178" t="s">
        <v>123</v>
      </c>
      <c r="V178" t="s">
        <v>123</v>
      </c>
      <c r="W178" t="s">
        <v>123</v>
      </c>
      <c r="X178" t="s">
        <v>123</v>
      </c>
      <c r="Y178" t="s">
        <v>123</v>
      </c>
      <c r="Z178" t="s">
        <v>123</v>
      </c>
      <c r="AA178" t="s">
        <v>123</v>
      </c>
      <c r="AB178" t="s">
        <v>798</v>
      </c>
      <c r="AC178" t="s">
        <v>135</v>
      </c>
      <c r="AD178" t="s">
        <v>123</v>
      </c>
      <c r="AE178" t="s">
        <v>123</v>
      </c>
      <c r="AF178" t="s">
        <v>785</v>
      </c>
      <c r="AG178" t="s">
        <v>786</v>
      </c>
      <c r="AH178" t="s">
        <v>123</v>
      </c>
      <c r="AI178" t="s">
        <v>128</v>
      </c>
      <c r="AJ178" t="s">
        <v>138</v>
      </c>
      <c r="AK178" t="s">
        <v>139</v>
      </c>
      <c r="AL178" t="s">
        <v>123</v>
      </c>
      <c r="AM178" t="s">
        <v>123</v>
      </c>
      <c r="AN178" t="s">
        <v>123</v>
      </c>
      <c r="AO178" t="s">
        <v>123</v>
      </c>
      <c r="AP178">
        <v>250</v>
      </c>
      <c r="AQ178">
        <v>50</v>
      </c>
      <c r="AR178">
        <v>10</v>
      </c>
      <c r="AS178" t="s">
        <v>123</v>
      </c>
      <c r="AT178" t="s">
        <v>123</v>
      </c>
      <c r="AU178" t="s">
        <v>123</v>
      </c>
      <c r="AV178" t="s">
        <v>123</v>
      </c>
      <c r="AW178" t="s">
        <v>123</v>
      </c>
      <c r="AX178" t="s">
        <v>123</v>
      </c>
      <c r="AY178" t="s">
        <v>123</v>
      </c>
      <c r="AZ178" t="s">
        <v>123</v>
      </c>
      <c r="BA178" t="s">
        <v>140</v>
      </c>
      <c r="BB178" t="s">
        <v>123</v>
      </c>
      <c r="BC178" t="s">
        <v>123</v>
      </c>
      <c r="BD178" t="s">
        <v>123</v>
      </c>
      <c r="BE178" t="s">
        <v>123</v>
      </c>
      <c r="BF178" t="s">
        <v>123</v>
      </c>
      <c r="BG178" t="s">
        <v>141</v>
      </c>
      <c r="BH178" t="s">
        <v>123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123</v>
      </c>
      <c r="BX178" t="s">
        <v>123</v>
      </c>
      <c r="BY178" s="1">
        <v>45965.251838622688</v>
      </c>
      <c r="BZ178">
        <v>1525</v>
      </c>
      <c r="CA178" t="s">
        <v>123</v>
      </c>
      <c r="CB178" t="s">
        <v>123</v>
      </c>
      <c r="CC178">
        <v>0</v>
      </c>
      <c r="CD178" t="s">
        <v>123</v>
      </c>
      <c r="CE178" t="s">
        <v>123</v>
      </c>
      <c r="CF178" t="s">
        <v>123</v>
      </c>
      <c r="CG178" t="s">
        <v>123</v>
      </c>
      <c r="CH178" t="s">
        <v>123</v>
      </c>
      <c r="CI178" t="s">
        <v>123</v>
      </c>
      <c r="CJ178" t="s">
        <v>123</v>
      </c>
      <c r="CK178">
        <v>2.3800000000000002E-2</v>
      </c>
      <c r="CL178">
        <v>2.7199999999999998E-2</v>
      </c>
      <c r="CM178">
        <v>2.64E-2</v>
      </c>
      <c r="CN178">
        <v>3.0200000000000001E-2</v>
      </c>
      <c r="CO178" t="s">
        <v>123</v>
      </c>
      <c r="CP178" t="s">
        <v>123</v>
      </c>
      <c r="CQ178">
        <v>2.1100000000000001E-2</v>
      </c>
      <c r="CR178">
        <v>2.4E-2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244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  <c r="DN178" t="s">
        <v>123</v>
      </c>
      <c r="DO178" t="s">
        <v>123</v>
      </c>
      <c r="DP178" t="s">
        <v>123</v>
      </c>
      <c r="DQ178" t="s">
        <v>123</v>
      </c>
      <c r="DR178" t="s">
        <v>123</v>
      </c>
      <c r="DS178" t="s">
        <v>123</v>
      </c>
    </row>
    <row r="179" spans="1:123" x14ac:dyDescent="0.3">
      <c r="A179">
        <v>178</v>
      </c>
      <c r="B179" t="s">
        <v>123</v>
      </c>
      <c r="C179" t="s">
        <v>123</v>
      </c>
      <c r="D179" t="s">
        <v>799</v>
      </c>
      <c r="E179" t="s">
        <v>123</v>
      </c>
      <c r="F179" t="s">
        <v>125</v>
      </c>
      <c r="G179" t="s">
        <v>126</v>
      </c>
      <c r="H179" t="s">
        <v>127</v>
      </c>
      <c r="I179" t="s">
        <v>128</v>
      </c>
      <c r="J179" t="s">
        <v>123</v>
      </c>
      <c r="K179" t="s">
        <v>792</v>
      </c>
      <c r="L179" t="s">
        <v>130</v>
      </c>
      <c r="M179" t="s">
        <v>793</v>
      </c>
      <c r="N179" t="s">
        <v>590</v>
      </c>
      <c r="O179" t="s">
        <v>150</v>
      </c>
      <c r="P179" t="s">
        <v>123</v>
      </c>
      <c r="Q179" t="s">
        <v>123</v>
      </c>
      <c r="R179" t="s">
        <v>123</v>
      </c>
      <c r="S179" t="s">
        <v>123</v>
      </c>
      <c r="T179" s="1">
        <v>46179</v>
      </c>
      <c r="U179" t="s">
        <v>123</v>
      </c>
      <c r="V179" t="s">
        <v>123</v>
      </c>
      <c r="W179" t="s">
        <v>123</v>
      </c>
      <c r="X179" t="s">
        <v>123</v>
      </c>
      <c r="Y179" t="s">
        <v>123</v>
      </c>
      <c r="Z179" t="s">
        <v>123</v>
      </c>
      <c r="AA179" t="s">
        <v>123</v>
      </c>
      <c r="AB179" t="s">
        <v>800</v>
      </c>
      <c r="AC179" t="s">
        <v>135</v>
      </c>
      <c r="AD179" t="s">
        <v>123</v>
      </c>
      <c r="AE179" t="s">
        <v>123</v>
      </c>
      <c r="AF179" t="s">
        <v>785</v>
      </c>
      <c r="AG179" t="s">
        <v>786</v>
      </c>
      <c r="AH179" t="s">
        <v>123</v>
      </c>
      <c r="AI179" t="s">
        <v>128</v>
      </c>
      <c r="AJ179" t="s">
        <v>138</v>
      </c>
      <c r="AK179" t="s">
        <v>139</v>
      </c>
      <c r="AL179" t="s">
        <v>123</v>
      </c>
      <c r="AM179" t="s">
        <v>123</v>
      </c>
      <c r="AN179" t="s">
        <v>123</v>
      </c>
      <c r="AO179" t="s">
        <v>123</v>
      </c>
      <c r="AP179">
        <v>250</v>
      </c>
      <c r="AQ179">
        <v>50</v>
      </c>
      <c r="AR179">
        <v>10</v>
      </c>
      <c r="AS179" t="s">
        <v>123</v>
      </c>
      <c r="AT179" t="s">
        <v>123</v>
      </c>
      <c r="AU179" t="s">
        <v>123</v>
      </c>
      <c r="AV179" t="s">
        <v>123</v>
      </c>
      <c r="AW179" t="s">
        <v>123</v>
      </c>
      <c r="AX179" t="s">
        <v>123</v>
      </c>
      <c r="AY179" t="s">
        <v>123</v>
      </c>
      <c r="AZ179" t="s">
        <v>123</v>
      </c>
      <c r="BA179" t="s">
        <v>140</v>
      </c>
      <c r="BB179" t="s">
        <v>123</v>
      </c>
      <c r="BC179" t="s">
        <v>123</v>
      </c>
      <c r="BD179" t="s">
        <v>123</v>
      </c>
      <c r="BE179" t="s">
        <v>123</v>
      </c>
      <c r="BF179" t="s">
        <v>123</v>
      </c>
      <c r="BG179" t="s">
        <v>141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s="1">
        <v>45965.251867326391</v>
      </c>
      <c r="BZ179">
        <v>1525</v>
      </c>
      <c r="CA179" t="s">
        <v>123</v>
      </c>
      <c r="CB179" t="s">
        <v>123</v>
      </c>
      <c r="CC179">
        <v>0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>
        <v>3.56E-2</v>
      </c>
      <c r="CL179">
        <v>0.04</v>
      </c>
      <c r="CM179">
        <v>6.3500000000000001E-2</v>
      </c>
      <c r="CN179">
        <v>7.0800000000000002E-2</v>
      </c>
      <c r="CO179" t="s">
        <v>123</v>
      </c>
      <c r="CP179" t="s">
        <v>123</v>
      </c>
      <c r="CQ179">
        <v>2.58E-2</v>
      </c>
      <c r="CR179">
        <v>2.93E-2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244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  <c r="DN179" t="s">
        <v>123</v>
      </c>
      <c r="DO179" t="s">
        <v>123</v>
      </c>
      <c r="DP179" t="s">
        <v>123</v>
      </c>
      <c r="DQ179" t="s">
        <v>123</v>
      </c>
      <c r="DR179" t="s">
        <v>123</v>
      </c>
      <c r="DS179" t="s">
        <v>123</v>
      </c>
    </row>
    <row r="180" spans="1:123" x14ac:dyDescent="0.3">
      <c r="A180">
        <v>179</v>
      </c>
      <c r="B180" t="s">
        <v>123</v>
      </c>
      <c r="C180" t="s">
        <v>123</v>
      </c>
      <c r="D180" t="s">
        <v>801</v>
      </c>
      <c r="E180" t="s">
        <v>123</v>
      </c>
      <c r="F180" t="s">
        <v>125</v>
      </c>
      <c r="G180" t="s">
        <v>126</v>
      </c>
      <c r="H180" t="s">
        <v>127</v>
      </c>
      <c r="I180" t="s">
        <v>128</v>
      </c>
      <c r="J180" t="s">
        <v>123</v>
      </c>
      <c r="K180" t="s">
        <v>802</v>
      </c>
      <c r="L180" t="s">
        <v>130</v>
      </c>
      <c r="M180" t="s">
        <v>803</v>
      </c>
      <c r="N180" t="s">
        <v>158</v>
      </c>
      <c r="O180" t="s">
        <v>133</v>
      </c>
      <c r="P180" t="s">
        <v>123</v>
      </c>
      <c r="Q180" t="s">
        <v>123</v>
      </c>
      <c r="R180" t="s">
        <v>123</v>
      </c>
      <c r="S180" t="s">
        <v>123</v>
      </c>
      <c r="T180" s="1">
        <v>46394</v>
      </c>
      <c r="U180" t="s">
        <v>123</v>
      </c>
      <c r="V180" t="s">
        <v>123</v>
      </c>
      <c r="W180" t="s">
        <v>123</v>
      </c>
      <c r="X180" t="s">
        <v>123</v>
      </c>
      <c r="Y180" t="s">
        <v>123</v>
      </c>
      <c r="Z180" t="s">
        <v>123</v>
      </c>
      <c r="AA180" t="s">
        <v>123</v>
      </c>
      <c r="AB180" t="s">
        <v>804</v>
      </c>
      <c r="AC180" t="s">
        <v>135</v>
      </c>
      <c r="AD180" t="s">
        <v>123</v>
      </c>
      <c r="AE180" t="s">
        <v>123</v>
      </c>
      <c r="AF180" t="s">
        <v>169</v>
      </c>
      <c r="AG180" t="s">
        <v>170</v>
      </c>
      <c r="AH180" t="s">
        <v>123</v>
      </c>
      <c r="AI180" t="s">
        <v>128</v>
      </c>
      <c r="AJ180" t="s">
        <v>186</v>
      </c>
      <c r="AK180" t="s">
        <v>163</v>
      </c>
      <c r="AL180" t="s">
        <v>123</v>
      </c>
      <c r="AM180" t="s">
        <v>123</v>
      </c>
      <c r="AN180" t="s">
        <v>123</v>
      </c>
      <c r="AO180" t="s">
        <v>123</v>
      </c>
      <c r="AP180">
        <v>250</v>
      </c>
      <c r="AQ180">
        <v>50</v>
      </c>
      <c r="AR180">
        <v>10</v>
      </c>
      <c r="AS180" t="s">
        <v>123</v>
      </c>
      <c r="AT180" t="s">
        <v>123</v>
      </c>
      <c r="AU180" t="s">
        <v>123</v>
      </c>
      <c r="AV180" t="s">
        <v>123</v>
      </c>
      <c r="AW180" t="s">
        <v>123</v>
      </c>
      <c r="AX180" t="s">
        <v>123</v>
      </c>
      <c r="AY180" t="s">
        <v>123</v>
      </c>
      <c r="AZ180" t="s">
        <v>123</v>
      </c>
      <c r="BA180" t="s">
        <v>140</v>
      </c>
      <c r="BB180" t="s">
        <v>123</v>
      </c>
      <c r="BC180" t="s">
        <v>123</v>
      </c>
      <c r="BD180" t="s">
        <v>123</v>
      </c>
      <c r="BE180" t="s">
        <v>123</v>
      </c>
      <c r="BF180" t="s">
        <v>123</v>
      </c>
      <c r="BG180" t="s">
        <v>141</v>
      </c>
      <c r="BH180" t="s">
        <v>123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123</v>
      </c>
      <c r="BX180" t="s">
        <v>123</v>
      </c>
      <c r="BY180" s="1">
        <v>45965.251891666667</v>
      </c>
      <c r="BZ180">
        <v>1542</v>
      </c>
      <c r="CA180" t="s">
        <v>123</v>
      </c>
      <c r="CB180" t="s">
        <v>123</v>
      </c>
      <c r="CC180">
        <v>0</v>
      </c>
      <c r="CD180" t="s">
        <v>123</v>
      </c>
      <c r="CE180" t="s">
        <v>123</v>
      </c>
      <c r="CF180" t="s">
        <v>123</v>
      </c>
      <c r="CG180" t="s">
        <v>123</v>
      </c>
      <c r="CH180" t="s">
        <v>123</v>
      </c>
      <c r="CI180" t="s">
        <v>123</v>
      </c>
      <c r="CJ180" t="s">
        <v>123</v>
      </c>
      <c r="CK180">
        <v>2.6599999999999999E-2</v>
      </c>
      <c r="CL180">
        <v>2.9600000000000001E-2</v>
      </c>
      <c r="CM180">
        <v>3.5299999999999998E-2</v>
      </c>
      <c r="CN180">
        <v>3.9399999999999998E-2</v>
      </c>
      <c r="CO180" t="s">
        <v>123</v>
      </c>
      <c r="CP180" t="s">
        <v>123</v>
      </c>
      <c r="CQ180">
        <v>1.8499999999999999E-2</v>
      </c>
      <c r="CR180">
        <v>2.07E-2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152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  <c r="DN180" t="s">
        <v>123</v>
      </c>
      <c r="DO180" t="s">
        <v>123</v>
      </c>
      <c r="DP180" t="s">
        <v>123</v>
      </c>
      <c r="DQ180" t="s">
        <v>123</v>
      </c>
      <c r="DR180" t="s">
        <v>123</v>
      </c>
      <c r="DS180" t="s">
        <v>123</v>
      </c>
    </row>
    <row r="181" spans="1:123" x14ac:dyDescent="0.3">
      <c r="A181">
        <v>180</v>
      </c>
      <c r="B181" t="s">
        <v>123</v>
      </c>
      <c r="C181" t="s">
        <v>123</v>
      </c>
      <c r="D181" t="s">
        <v>805</v>
      </c>
      <c r="E181" t="s">
        <v>123</v>
      </c>
      <c r="F181" t="s">
        <v>125</v>
      </c>
      <c r="G181" t="s">
        <v>126</v>
      </c>
      <c r="H181" t="s">
        <v>127</v>
      </c>
      <c r="I181" t="s">
        <v>128</v>
      </c>
      <c r="J181" t="s">
        <v>123</v>
      </c>
      <c r="K181" t="s">
        <v>802</v>
      </c>
      <c r="L181" t="s">
        <v>130</v>
      </c>
      <c r="M181" t="s">
        <v>803</v>
      </c>
      <c r="N181" t="s">
        <v>158</v>
      </c>
      <c r="O181" t="s">
        <v>159</v>
      </c>
      <c r="P181" t="s">
        <v>123</v>
      </c>
      <c r="Q181" t="s">
        <v>123</v>
      </c>
      <c r="R181" t="s">
        <v>123</v>
      </c>
      <c r="S181" t="s">
        <v>123</v>
      </c>
      <c r="T181" s="1">
        <v>47175</v>
      </c>
      <c r="U181" t="s">
        <v>123</v>
      </c>
      <c r="V181" t="s">
        <v>123</v>
      </c>
      <c r="W181" t="s">
        <v>123</v>
      </c>
      <c r="X181" t="s">
        <v>123</v>
      </c>
      <c r="Y181" t="s">
        <v>123</v>
      </c>
      <c r="Z181" t="s">
        <v>123</v>
      </c>
      <c r="AA181" t="s">
        <v>123</v>
      </c>
      <c r="AB181" t="s">
        <v>806</v>
      </c>
      <c r="AC181" t="s">
        <v>135</v>
      </c>
      <c r="AD181" t="s">
        <v>123</v>
      </c>
      <c r="AE181" t="s">
        <v>123</v>
      </c>
      <c r="AF181" t="s">
        <v>169</v>
      </c>
      <c r="AG181" t="s">
        <v>170</v>
      </c>
      <c r="AH181" t="s">
        <v>123</v>
      </c>
      <c r="AI181" t="s">
        <v>128</v>
      </c>
      <c r="AJ181" t="s">
        <v>186</v>
      </c>
      <c r="AK181" t="s">
        <v>163</v>
      </c>
      <c r="AL181" t="s">
        <v>123</v>
      </c>
      <c r="AM181" t="s">
        <v>123</v>
      </c>
      <c r="AN181" t="s">
        <v>123</v>
      </c>
      <c r="AO181" t="s">
        <v>123</v>
      </c>
      <c r="AP181">
        <v>250</v>
      </c>
      <c r="AQ181">
        <v>50</v>
      </c>
      <c r="AR181">
        <v>10</v>
      </c>
      <c r="AS181" t="s">
        <v>123</v>
      </c>
      <c r="AT181" t="s">
        <v>123</v>
      </c>
      <c r="AU181" t="s">
        <v>123</v>
      </c>
      <c r="AV181" t="s">
        <v>123</v>
      </c>
      <c r="AW181" t="s">
        <v>123</v>
      </c>
      <c r="AX181" t="s">
        <v>123</v>
      </c>
      <c r="AY181" t="s">
        <v>123</v>
      </c>
      <c r="AZ181" t="s">
        <v>123</v>
      </c>
      <c r="BA181" t="s">
        <v>140</v>
      </c>
      <c r="BB181" t="s">
        <v>123</v>
      </c>
      <c r="BC181" t="s">
        <v>123</v>
      </c>
      <c r="BD181" t="s">
        <v>123</v>
      </c>
      <c r="BE181" t="s">
        <v>123</v>
      </c>
      <c r="BF181" t="s">
        <v>123</v>
      </c>
      <c r="BG181" t="s">
        <v>141</v>
      </c>
      <c r="BH181" t="s">
        <v>123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123</v>
      </c>
      <c r="BX181" t="s">
        <v>123</v>
      </c>
      <c r="BY181" s="1">
        <v>45965.25198857639</v>
      </c>
      <c r="BZ181">
        <v>1542</v>
      </c>
      <c r="CA181" t="s">
        <v>123</v>
      </c>
      <c r="CB181" t="s">
        <v>123</v>
      </c>
      <c r="CC181">
        <v>0</v>
      </c>
      <c r="CD181" t="s">
        <v>123</v>
      </c>
      <c r="CE181" t="s">
        <v>123</v>
      </c>
      <c r="CF181" t="s">
        <v>123</v>
      </c>
      <c r="CG181" t="s">
        <v>123</v>
      </c>
      <c r="CH181" t="s">
        <v>123</v>
      </c>
      <c r="CI181" t="s">
        <v>123</v>
      </c>
      <c r="CJ181" t="s">
        <v>123</v>
      </c>
      <c r="CK181">
        <v>1.35E-2</v>
      </c>
      <c r="CL181">
        <v>1.47E-2</v>
      </c>
      <c r="CM181">
        <v>1.7299999999999999E-2</v>
      </c>
      <c r="CN181">
        <v>1.89E-2</v>
      </c>
      <c r="CO181" t="s">
        <v>123</v>
      </c>
      <c r="CP181" t="s">
        <v>123</v>
      </c>
      <c r="CQ181">
        <v>1.0200000000000001E-2</v>
      </c>
      <c r="CR181">
        <v>1.12E-2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152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  <c r="DN181" t="s">
        <v>123</v>
      </c>
      <c r="DO181" t="s">
        <v>123</v>
      </c>
      <c r="DP181" t="s">
        <v>123</v>
      </c>
      <c r="DQ181" t="s">
        <v>123</v>
      </c>
      <c r="DR181" t="s">
        <v>123</v>
      </c>
      <c r="DS181" t="s">
        <v>123</v>
      </c>
    </row>
    <row r="182" spans="1:123" x14ac:dyDescent="0.3">
      <c r="A182">
        <v>181</v>
      </c>
      <c r="B182" t="s">
        <v>123</v>
      </c>
      <c r="C182" t="s">
        <v>123</v>
      </c>
      <c r="D182" t="s">
        <v>807</v>
      </c>
      <c r="E182" t="s">
        <v>123</v>
      </c>
      <c r="F182" t="s">
        <v>125</v>
      </c>
      <c r="G182" t="s">
        <v>126</v>
      </c>
      <c r="H182" t="s">
        <v>127</v>
      </c>
      <c r="I182" t="s">
        <v>128</v>
      </c>
      <c r="J182" t="s">
        <v>123</v>
      </c>
      <c r="K182" t="s">
        <v>802</v>
      </c>
      <c r="L182" t="s">
        <v>130</v>
      </c>
      <c r="M182" t="s">
        <v>803</v>
      </c>
      <c r="N182" t="s">
        <v>180</v>
      </c>
      <c r="O182" t="s">
        <v>159</v>
      </c>
      <c r="P182" t="s">
        <v>123</v>
      </c>
      <c r="Q182" t="s">
        <v>123</v>
      </c>
      <c r="R182" t="s">
        <v>123</v>
      </c>
      <c r="S182" t="s">
        <v>123</v>
      </c>
      <c r="T182" s="1">
        <v>47175</v>
      </c>
      <c r="U182" t="s">
        <v>123</v>
      </c>
      <c r="V182" t="s">
        <v>123</v>
      </c>
      <c r="W182" t="s">
        <v>123</v>
      </c>
      <c r="X182" t="s">
        <v>123</v>
      </c>
      <c r="Y182" t="s">
        <v>123</v>
      </c>
      <c r="Z182" t="s">
        <v>123</v>
      </c>
      <c r="AA182" t="s">
        <v>123</v>
      </c>
      <c r="AB182" t="s">
        <v>808</v>
      </c>
      <c r="AC182" t="s">
        <v>135</v>
      </c>
      <c r="AD182" t="s">
        <v>123</v>
      </c>
      <c r="AE182" t="s">
        <v>123</v>
      </c>
      <c r="AF182" t="s">
        <v>169</v>
      </c>
      <c r="AG182" t="s">
        <v>170</v>
      </c>
      <c r="AH182" t="s">
        <v>123</v>
      </c>
      <c r="AI182" t="s">
        <v>128</v>
      </c>
      <c r="AJ182" t="s">
        <v>138</v>
      </c>
      <c r="AK182" t="s">
        <v>163</v>
      </c>
      <c r="AL182" t="s">
        <v>123</v>
      </c>
      <c r="AM182" t="s">
        <v>123</v>
      </c>
      <c r="AN182" t="s">
        <v>123</v>
      </c>
      <c r="AO182" t="s">
        <v>123</v>
      </c>
      <c r="AP182">
        <v>250</v>
      </c>
      <c r="AQ182">
        <v>50</v>
      </c>
      <c r="AR182">
        <v>10</v>
      </c>
      <c r="AS182" t="s">
        <v>123</v>
      </c>
      <c r="AT182" t="s">
        <v>123</v>
      </c>
      <c r="AU182" t="s">
        <v>123</v>
      </c>
      <c r="AV182" t="s">
        <v>123</v>
      </c>
      <c r="AW182" t="s">
        <v>123</v>
      </c>
      <c r="AX182" t="s">
        <v>123</v>
      </c>
      <c r="AY182" t="s">
        <v>123</v>
      </c>
      <c r="AZ182" t="s">
        <v>123</v>
      </c>
      <c r="BA182" t="s">
        <v>140</v>
      </c>
      <c r="BB182" t="s">
        <v>123</v>
      </c>
      <c r="BC182" t="s">
        <v>123</v>
      </c>
      <c r="BD182" t="s">
        <v>123</v>
      </c>
      <c r="BE182" t="s">
        <v>123</v>
      </c>
      <c r="BF182" t="s">
        <v>123</v>
      </c>
      <c r="BG182" t="s">
        <v>141</v>
      </c>
      <c r="BH182" t="s">
        <v>123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123</v>
      </c>
      <c r="BX182" t="s">
        <v>123</v>
      </c>
      <c r="BY182" s="1">
        <v>45965.252047372684</v>
      </c>
      <c r="BZ182">
        <v>1542</v>
      </c>
      <c r="CA182" t="s">
        <v>123</v>
      </c>
      <c r="CB182" t="s">
        <v>123</v>
      </c>
      <c r="CC182">
        <v>0</v>
      </c>
      <c r="CD182" t="s">
        <v>123</v>
      </c>
      <c r="CE182" t="s">
        <v>123</v>
      </c>
      <c r="CF182" t="s">
        <v>123</v>
      </c>
      <c r="CG182" t="s">
        <v>123</v>
      </c>
      <c r="CH182" t="s">
        <v>123</v>
      </c>
      <c r="CI182" t="s">
        <v>123</v>
      </c>
      <c r="CJ182" t="s">
        <v>123</v>
      </c>
      <c r="CK182">
        <v>1.89E-2</v>
      </c>
      <c r="CL182">
        <v>2.2700000000000001E-2</v>
      </c>
      <c r="CM182">
        <v>2.5499999999999998E-2</v>
      </c>
      <c r="CN182">
        <v>3.1099999999999999E-2</v>
      </c>
      <c r="CO182" t="s">
        <v>123</v>
      </c>
      <c r="CP182" t="s">
        <v>123</v>
      </c>
      <c r="CQ182">
        <v>1.32E-2</v>
      </c>
      <c r="CR182">
        <v>1.5699999999999999E-2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152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  <c r="DN182" t="s">
        <v>123</v>
      </c>
      <c r="DO182" t="s">
        <v>123</v>
      </c>
      <c r="DP182" t="s">
        <v>123</v>
      </c>
      <c r="DQ182" t="s">
        <v>123</v>
      </c>
      <c r="DR182" t="s">
        <v>123</v>
      </c>
      <c r="DS182" t="s">
        <v>123</v>
      </c>
    </row>
    <row r="183" spans="1:123" x14ac:dyDescent="0.3">
      <c r="A183">
        <v>182</v>
      </c>
      <c r="B183" t="s">
        <v>123</v>
      </c>
      <c r="C183" t="s">
        <v>123</v>
      </c>
      <c r="D183" t="s">
        <v>809</v>
      </c>
      <c r="E183" t="s">
        <v>123</v>
      </c>
      <c r="F183" t="s">
        <v>125</v>
      </c>
      <c r="G183" t="s">
        <v>126</v>
      </c>
      <c r="H183" t="s">
        <v>127</v>
      </c>
      <c r="I183" t="s">
        <v>128</v>
      </c>
      <c r="J183" t="s">
        <v>123</v>
      </c>
      <c r="K183" t="s">
        <v>680</v>
      </c>
      <c r="L183" t="s">
        <v>130</v>
      </c>
      <c r="M183" t="s">
        <v>681</v>
      </c>
      <c r="N183" t="s">
        <v>158</v>
      </c>
      <c r="O183" t="s">
        <v>150</v>
      </c>
      <c r="P183" t="s">
        <v>123</v>
      </c>
      <c r="Q183" t="s">
        <v>123</v>
      </c>
      <c r="R183" t="s">
        <v>123</v>
      </c>
      <c r="S183" t="s">
        <v>123</v>
      </c>
      <c r="T183" s="1">
        <v>46507</v>
      </c>
      <c r="U183" t="s">
        <v>123</v>
      </c>
      <c r="V183" t="s">
        <v>123</v>
      </c>
      <c r="W183" t="s">
        <v>123</v>
      </c>
      <c r="X183" t="s">
        <v>123</v>
      </c>
      <c r="Y183" t="s">
        <v>123</v>
      </c>
      <c r="Z183" t="s">
        <v>123</v>
      </c>
      <c r="AA183" t="s">
        <v>123</v>
      </c>
      <c r="AB183" t="s">
        <v>810</v>
      </c>
      <c r="AC183" t="s">
        <v>135</v>
      </c>
      <c r="AD183" t="s">
        <v>123</v>
      </c>
      <c r="AE183" t="s">
        <v>123</v>
      </c>
      <c r="AF183" t="s">
        <v>683</v>
      </c>
      <c r="AG183" t="s">
        <v>684</v>
      </c>
      <c r="AH183" t="s">
        <v>123</v>
      </c>
      <c r="AI183" t="s">
        <v>128</v>
      </c>
      <c r="AJ183" t="s">
        <v>138</v>
      </c>
      <c r="AK183" t="s">
        <v>139</v>
      </c>
      <c r="AL183" t="s">
        <v>123</v>
      </c>
      <c r="AM183" t="s">
        <v>123</v>
      </c>
      <c r="AN183" t="s">
        <v>123</v>
      </c>
      <c r="AO183" t="s">
        <v>123</v>
      </c>
      <c r="AP183">
        <v>250</v>
      </c>
      <c r="AQ183">
        <v>50</v>
      </c>
      <c r="AR183">
        <v>10</v>
      </c>
      <c r="AS183" t="s">
        <v>123</v>
      </c>
      <c r="AT183" t="s">
        <v>123</v>
      </c>
      <c r="AU183" t="s">
        <v>123</v>
      </c>
      <c r="AV183" t="s">
        <v>123</v>
      </c>
      <c r="AW183" t="s">
        <v>123</v>
      </c>
      <c r="AX183" t="s">
        <v>123</v>
      </c>
      <c r="AY183" t="s">
        <v>123</v>
      </c>
      <c r="AZ183" t="s">
        <v>123</v>
      </c>
      <c r="BA183" t="s">
        <v>140</v>
      </c>
      <c r="BB183" t="s">
        <v>123</v>
      </c>
      <c r="BC183" t="s">
        <v>123</v>
      </c>
      <c r="BD183" t="s">
        <v>123</v>
      </c>
      <c r="BE183" t="s">
        <v>123</v>
      </c>
      <c r="BF183" t="s">
        <v>123</v>
      </c>
      <c r="BG183" t="s">
        <v>141</v>
      </c>
      <c r="BH183" t="s">
        <v>123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123</v>
      </c>
      <c r="BX183" t="s">
        <v>123</v>
      </c>
      <c r="BY183" s="1">
        <v>45965.252127233798</v>
      </c>
      <c r="BZ183">
        <v>1451</v>
      </c>
      <c r="CA183" t="s">
        <v>123</v>
      </c>
      <c r="CB183" t="s">
        <v>123</v>
      </c>
      <c r="CC183">
        <v>0</v>
      </c>
      <c r="CD183" t="s">
        <v>123</v>
      </c>
      <c r="CE183" t="s">
        <v>123</v>
      </c>
      <c r="CF183" t="s">
        <v>123</v>
      </c>
      <c r="CG183" t="s">
        <v>123</v>
      </c>
      <c r="CH183" t="s">
        <v>123</v>
      </c>
      <c r="CI183" t="s">
        <v>123</v>
      </c>
      <c r="CJ183" t="s">
        <v>123</v>
      </c>
      <c r="CK183">
        <v>1.14E-2</v>
      </c>
      <c r="CL183">
        <v>1.26E-2</v>
      </c>
      <c r="CM183">
        <v>1.47E-2</v>
      </c>
      <c r="CN183">
        <v>1.5900000000000001E-2</v>
      </c>
      <c r="CO183" t="s">
        <v>123</v>
      </c>
      <c r="CP183" t="s">
        <v>123</v>
      </c>
      <c r="CQ183">
        <v>8.8999999999999999E-3</v>
      </c>
      <c r="CR183">
        <v>0.01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205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  <c r="DN183" t="s">
        <v>123</v>
      </c>
      <c r="DO183" t="s">
        <v>123</v>
      </c>
      <c r="DP183" t="s">
        <v>123</v>
      </c>
      <c r="DQ183" t="s">
        <v>123</v>
      </c>
      <c r="DR183" t="s">
        <v>123</v>
      </c>
      <c r="DS183" t="s">
        <v>123</v>
      </c>
    </row>
    <row r="184" spans="1:123" x14ac:dyDescent="0.3">
      <c r="A184">
        <v>183</v>
      </c>
      <c r="B184" t="s">
        <v>123</v>
      </c>
      <c r="C184" t="s">
        <v>123</v>
      </c>
      <c r="D184" t="s">
        <v>811</v>
      </c>
      <c r="E184" t="s">
        <v>123</v>
      </c>
      <c r="F184" t="s">
        <v>125</v>
      </c>
      <c r="G184" t="s">
        <v>126</v>
      </c>
      <c r="H184" t="s">
        <v>127</v>
      </c>
      <c r="I184" t="s">
        <v>128</v>
      </c>
      <c r="J184" t="s">
        <v>123</v>
      </c>
      <c r="K184" t="s">
        <v>680</v>
      </c>
      <c r="L184" t="s">
        <v>130</v>
      </c>
      <c r="M184" t="s">
        <v>681</v>
      </c>
      <c r="N184" t="s">
        <v>180</v>
      </c>
      <c r="O184" t="s">
        <v>150</v>
      </c>
      <c r="P184" t="s">
        <v>123</v>
      </c>
      <c r="Q184" t="s">
        <v>123</v>
      </c>
      <c r="R184" t="s">
        <v>123</v>
      </c>
      <c r="S184" t="s">
        <v>123</v>
      </c>
      <c r="T184" s="1">
        <v>46507</v>
      </c>
      <c r="U184" t="s">
        <v>123</v>
      </c>
      <c r="V184" t="s">
        <v>123</v>
      </c>
      <c r="W184" t="s">
        <v>123</v>
      </c>
      <c r="X184" t="s">
        <v>123</v>
      </c>
      <c r="Y184" t="s">
        <v>123</v>
      </c>
      <c r="Z184" t="s">
        <v>123</v>
      </c>
      <c r="AA184" t="s">
        <v>123</v>
      </c>
      <c r="AB184" t="s">
        <v>812</v>
      </c>
      <c r="AC184" t="s">
        <v>135</v>
      </c>
      <c r="AD184" t="s">
        <v>123</v>
      </c>
      <c r="AE184" t="s">
        <v>123</v>
      </c>
      <c r="AF184" t="s">
        <v>683</v>
      </c>
      <c r="AG184" t="s">
        <v>684</v>
      </c>
      <c r="AH184" t="s">
        <v>123</v>
      </c>
      <c r="AI184" t="s">
        <v>128</v>
      </c>
      <c r="AJ184" t="s">
        <v>138</v>
      </c>
      <c r="AK184" t="s">
        <v>139</v>
      </c>
      <c r="AL184" t="s">
        <v>123</v>
      </c>
      <c r="AM184" t="s">
        <v>123</v>
      </c>
      <c r="AN184" t="s">
        <v>123</v>
      </c>
      <c r="AO184" t="s">
        <v>123</v>
      </c>
      <c r="AP184">
        <v>250</v>
      </c>
      <c r="AQ184">
        <v>50</v>
      </c>
      <c r="AR184">
        <v>10</v>
      </c>
      <c r="AS184" t="s">
        <v>123</v>
      </c>
      <c r="AT184" t="s">
        <v>123</v>
      </c>
      <c r="AU184" t="s">
        <v>123</v>
      </c>
      <c r="AV184" t="s">
        <v>123</v>
      </c>
      <c r="AW184" t="s">
        <v>123</v>
      </c>
      <c r="AX184" t="s">
        <v>123</v>
      </c>
      <c r="AY184" t="s">
        <v>123</v>
      </c>
      <c r="AZ184" t="s">
        <v>123</v>
      </c>
      <c r="BA184" t="s">
        <v>140</v>
      </c>
      <c r="BB184" t="s">
        <v>123</v>
      </c>
      <c r="BC184" t="s">
        <v>123</v>
      </c>
      <c r="BD184" t="s">
        <v>123</v>
      </c>
      <c r="BE184" t="s">
        <v>123</v>
      </c>
      <c r="BF184" t="s">
        <v>123</v>
      </c>
      <c r="BG184" t="s">
        <v>141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s="1">
        <v>45965.252151157409</v>
      </c>
      <c r="BZ184">
        <v>1451</v>
      </c>
      <c r="CA184" t="s">
        <v>123</v>
      </c>
      <c r="CB184" t="s">
        <v>123</v>
      </c>
      <c r="CC184">
        <v>0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>
        <v>3.1899999999999998E-2</v>
      </c>
      <c r="CL184">
        <v>3.4700000000000002E-2</v>
      </c>
      <c r="CM184">
        <v>4.0899999999999999E-2</v>
      </c>
      <c r="CN184">
        <v>4.3999999999999997E-2</v>
      </c>
      <c r="CO184" t="s">
        <v>123</v>
      </c>
      <c r="CP184" t="s">
        <v>123</v>
      </c>
      <c r="CQ184">
        <v>2.5999999999999999E-2</v>
      </c>
      <c r="CR184">
        <v>2.8299999999999999E-2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205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  <c r="DN184" t="s">
        <v>123</v>
      </c>
      <c r="DO184" t="s">
        <v>123</v>
      </c>
      <c r="DP184" t="s">
        <v>123</v>
      </c>
      <c r="DQ184" t="s">
        <v>123</v>
      </c>
      <c r="DR184" t="s">
        <v>123</v>
      </c>
      <c r="DS184" t="s">
        <v>123</v>
      </c>
    </row>
    <row r="185" spans="1:123" x14ac:dyDescent="0.3">
      <c r="A185">
        <v>184</v>
      </c>
      <c r="B185" t="s">
        <v>123</v>
      </c>
      <c r="C185" t="s">
        <v>123</v>
      </c>
      <c r="D185" t="s">
        <v>813</v>
      </c>
      <c r="E185" t="s">
        <v>123</v>
      </c>
      <c r="F185" t="s">
        <v>125</v>
      </c>
      <c r="G185" t="s">
        <v>126</v>
      </c>
      <c r="H185" t="s">
        <v>127</v>
      </c>
      <c r="I185" t="s">
        <v>128</v>
      </c>
      <c r="J185" t="s">
        <v>123</v>
      </c>
      <c r="K185" t="s">
        <v>680</v>
      </c>
      <c r="L185" t="s">
        <v>130</v>
      </c>
      <c r="M185" t="s">
        <v>681</v>
      </c>
      <c r="N185" t="s">
        <v>158</v>
      </c>
      <c r="O185" t="s">
        <v>159</v>
      </c>
      <c r="P185" t="s">
        <v>123</v>
      </c>
      <c r="Q185" t="s">
        <v>123</v>
      </c>
      <c r="R185" t="s">
        <v>123</v>
      </c>
      <c r="S185" t="s">
        <v>123</v>
      </c>
      <c r="T185" s="1">
        <v>46881</v>
      </c>
      <c r="U185" t="s">
        <v>123</v>
      </c>
      <c r="V185" t="s">
        <v>123</v>
      </c>
      <c r="W185" t="s">
        <v>123</v>
      </c>
      <c r="X185" t="s">
        <v>123</v>
      </c>
      <c r="Y185" t="s">
        <v>123</v>
      </c>
      <c r="Z185" t="s">
        <v>123</v>
      </c>
      <c r="AA185" t="s">
        <v>123</v>
      </c>
      <c r="AB185" t="s">
        <v>814</v>
      </c>
      <c r="AC185" t="s">
        <v>135</v>
      </c>
      <c r="AD185" t="s">
        <v>123</v>
      </c>
      <c r="AE185" t="s">
        <v>123</v>
      </c>
      <c r="AF185" t="s">
        <v>683</v>
      </c>
      <c r="AG185" t="s">
        <v>684</v>
      </c>
      <c r="AH185" t="s">
        <v>123</v>
      </c>
      <c r="AI185" t="s">
        <v>128</v>
      </c>
      <c r="AJ185" t="s">
        <v>138</v>
      </c>
      <c r="AK185" t="s">
        <v>139</v>
      </c>
      <c r="AL185" t="s">
        <v>123</v>
      </c>
      <c r="AM185" t="s">
        <v>123</v>
      </c>
      <c r="AN185" t="s">
        <v>123</v>
      </c>
      <c r="AO185" t="s">
        <v>123</v>
      </c>
      <c r="AP185">
        <v>250</v>
      </c>
      <c r="AQ185">
        <v>50</v>
      </c>
      <c r="AR185">
        <v>10</v>
      </c>
      <c r="AS185" t="s">
        <v>123</v>
      </c>
      <c r="AT185" t="s">
        <v>123</v>
      </c>
      <c r="AU185" t="s">
        <v>123</v>
      </c>
      <c r="AV185" t="s">
        <v>123</v>
      </c>
      <c r="AW185" t="s">
        <v>123</v>
      </c>
      <c r="AX185" t="s">
        <v>123</v>
      </c>
      <c r="AY185" t="s">
        <v>123</v>
      </c>
      <c r="AZ185" t="s">
        <v>123</v>
      </c>
      <c r="BA185" t="s">
        <v>140</v>
      </c>
      <c r="BB185" t="s">
        <v>123</v>
      </c>
      <c r="BC185" t="s">
        <v>123</v>
      </c>
      <c r="BD185" t="s">
        <v>123</v>
      </c>
      <c r="BE185" t="s">
        <v>123</v>
      </c>
      <c r="BF185" t="s">
        <v>123</v>
      </c>
      <c r="BG185" t="s">
        <v>141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s="1">
        <v>45965.252174456022</v>
      </c>
      <c r="BZ185">
        <v>1451</v>
      </c>
      <c r="CA185" t="s">
        <v>123</v>
      </c>
      <c r="CB185" t="s">
        <v>123</v>
      </c>
      <c r="CC185">
        <v>0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>
        <v>1.6899999999999998E-2</v>
      </c>
      <c r="CL185">
        <v>1.8200000000000001E-2</v>
      </c>
      <c r="CM185">
        <v>1.9300000000000001E-2</v>
      </c>
      <c r="CN185">
        <v>2.07E-2</v>
      </c>
      <c r="CO185" t="s">
        <v>123</v>
      </c>
      <c r="CP185" t="s">
        <v>123</v>
      </c>
      <c r="CQ185">
        <v>1.4E-2</v>
      </c>
      <c r="CR185">
        <v>1.52E-2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205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  <c r="DN185" t="s">
        <v>123</v>
      </c>
      <c r="DO185" t="s">
        <v>123</v>
      </c>
      <c r="DP185" t="s">
        <v>123</v>
      </c>
      <c r="DQ185" t="s">
        <v>123</v>
      </c>
      <c r="DR185" t="s">
        <v>123</v>
      </c>
      <c r="DS185" t="s">
        <v>123</v>
      </c>
    </row>
    <row r="186" spans="1:123" x14ac:dyDescent="0.3">
      <c r="A186">
        <v>185</v>
      </c>
      <c r="B186" t="s">
        <v>123</v>
      </c>
      <c r="C186" t="s">
        <v>123</v>
      </c>
      <c r="D186" t="s">
        <v>815</v>
      </c>
      <c r="E186" t="s">
        <v>123</v>
      </c>
      <c r="F186" t="s">
        <v>125</v>
      </c>
      <c r="G186" t="s">
        <v>126</v>
      </c>
      <c r="H186" t="s">
        <v>127</v>
      </c>
      <c r="I186" t="s">
        <v>128</v>
      </c>
      <c r="J186" t="s">
        <v>123</v>
      </c>
      <c r="K186" t="s">
        <v>816</v>
      </c>
      <c r="L186" t="s">
        <v>130</v>
      </c>
      <c r="M186" t="s">
        <v>817</v>
      </c>
      <c r="N186" t="s">
        <v>158</v>
      </c>
      <c r="O186" t="s">
        <v>150</v>
      </c>
      <c r="P186" t="s">
        <v>123</v>
      </c>
      <c r="Q186" t="s">
        <v>123</v>
      </c>
      <c r="R186" t="s">
        <v>123</v>
      </c>
      <c r="S186" t="s">
        <v>123</v>
      </c>
      <c r="T186" s="1">
        <v>46742</v>
      </c>
      <c r="U186" t="s">
        <v>123</v>
      </c>
      <c r="V186" t="s">
        <v>123</v>
      </c>
      <c r="W186" t="s">
        <v>123</v>
      </c>
      <c r="X186" t="s">
        <v>123</v>
      </c>
      <c r="Y186" t="s">
        <v>123</v>
      </c>
      <c r="Z186" t="s">
        <v>123</v>
      </c>
      <c r="AA186" t="s">
        <v>123</v>
      </c>
      <c r="AB186" t="s">
        <v>818</v>
      </c>
      <c r="AC186" t="s">
        <v>135</v>
      </c>
      <c r="AD186" t="s">
        <v>123</v>
      </c>
      <c r="AE186" t="s">
        <v>123</v>
      </c>
      <c r="AF186" t="s">
        <v>819</v>
      </c>
      <c r="AG186" t="s">
        <v>820</v>
      </c>
      <c r="AH186" t="s">
        <v>123</v>
      </c>
      <c r="AI186" t="s">
        <v>128</v>
      </c>
      <c r="AJ186" t="s">
        <v>138</v>
      </c>
      <c r="AK186" t="s">
        <v>139</v>
      </c>
      <c r="AL186" t="s">
        <v>123</v>
      </c>
      <c r="AM186" t="s">
        <v>123</v>
      </c>
      <c r="AN186" t="s">
        <v>123</v>
      </c>
      <c r="AO186" t="s">
        <v>123</v>
      </c>
      <c r="AP186">
        <v>250</v>
      </c>
      <c r="AQ186">
        <v>50</v>
      </c>
      <c r="AR186">
        <v>10</v>
      </c>
      <c r="AS186" t="s">
        <v>123</v>
      </c>
      <c r="AT186" t="s">
        <v>123</v>
      </c>
      <c r="AU186" t="s">
        <v>123</v>
      </c>
      <c r="AV186" t="s">
        <v>123</v>
      </c>
      <c r="AW186" t="s">
        <v>123</v>
      </c>
      <c r="AX186" t="s">
        <v>123</v>
      </c>
      <c r="AY186" t="s">
        <v>123</v>
      </c>
      <c r="AZ186" t="s">
        <v>123</v>
      </c>
      <c r="BA186" t="s">
        <v>140</v>
      </c>
      <c r="BB186" t="s">
        <v>123</v>
      </c>
      <c r="BC186" t="s">
        <v>123</v>
      </c>
      <c r="BD186" t="s">
        <v>123</v>
      </c>
      <c r="BE186" t="s">
        <v>123</v>
      </c>
      <c r="BF186" t="s">
        <v>123</v>
      </c>
      <c r="BG186" t="s">
        <v>141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s="1">
        <v>45965.252198113427</v>
      </c>
      <c r="BZ186">
        <v>1557</v>
      </c>
      <c r="CA186" t="s">
        <v>123</v>
      </c>
      <c r="CB186" t="s">
        <v>123</v>
      </c>
      <c r="CC186">
        <v>0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>
        <v>2.6429999999999999E-2</v>
      </c>
      <c r="CL186" t="s">
        <v>123</v>
      </c>
      <c r="CM186">
        <v>3.1009999999999999E-2</v>
      </c>
      <c r="CN186" t="s">
        <v>123</v>
      </c>
      <c r="CO186" t="s">
        <v>123</v>
      </c>
      <c r="CP186" t="s">
        <v>123</v>
      </c>
      <c r="CQ186">
        <v>2.2890000000000001E-2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272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  <c r="DN186" t="s">
        <v>123</v>
      </c>
      <c r="DO186" t="s">
        <v>123</v>
      </c>
      <c r="DP186" t="s">
        <v>123</v>
      </c>
      <c r="DQ186" t="s">
        <v>123</v>
      </c>
      <c r="DR186" t="s">
        <v>123</v>
      </c>
      <c r="DS186" t="s">
        <v>123</v>
      </c>
    </row>
    <row r="187" spans="1:123" x14ac:dyDescent="0.3">
      <c r="A187">
        <v>186</v>
      </c>
      <c r="B187" t="s">
        <v>123</v>
      </c>
      <c r="C187" t="s">
        <v>123</v>
      </c>
      <c r="D187" t="s">
        <v>821</v>
      </c>
      <c r="E187" t="s">
        <v>123</v>
      </c>
      <c r="F187" t="s">
        <v>125</v>
      </c>
      <c r="G187" t="s">
        <v>126</v>
      </c>
      <c r="H187" t="s">
        <v>127</v>
      </c>
      <c r="I187" t="s">
        <v>128</v>
      </c>
      <c r="J187" t="s">
        <v>123</v>
      </c>
      <c r="K187" t="s">
        <v>822</v>
      </c>
      <c r="L187" t="s">
        <v>130</v>
      </c>
      <c r="M187" t="s">
        <v>823</v>
      </c>
      <c r="N187" t="s">
        <v>158</v>
      </c>
      <c r="O187" t="s">
        <v>133</v>
      </c>
      <c r="P187" t="s">
        <v>123</v>
      </c>
      <c r="Q187" t="s">
        <v>123</v>
      </c>
      <c r="R187" t="s">
        <v>123</v>
      </c>
      <c r="S187" t="s">
        <v>123</v>
      </c>
      <c r="T187" s="1">
        <v>46211</v>
      </c>
      <c r="U187" t="s">
        <v>123</v>
      </c>
      <c r="V187" t="s">
        <v>123</v>
      </c>
      <c r="W187" t="s">
        <v>123</v>
      </c>
      <c r="X187" t="s">
        <v>123</v>
      </c>
      <c r="Y187" t="s">
        <v>123</v>
      </c>
      <c r="Z187" t="s">
        <v>123</v>
      </c>
      <c r="AA187" t="s">
        <v>123</v>
      </c>
      <c r="AB187" t="s">
        <v>824</v>
      </c>
      <c r="AC187" t="s">
        <v>135</v>
      </c>
      <c r="AD187" t="s">
        <v>123</v>
      </c>
      <c r="AE187" t="s">
        <v>123</v>
      </c>
      <c r="AF187" t="s">
        <v>825</v>
      </c>
      <c r="AG187" t="s">
        <v>826</v>
      </c>
      <c r="AH187" t="s">
        <v>123</v>
      </c>
      <c r="AI187" t="s">
        <v>128</v>
      </c>
      <c r="AJ187" t="s">
        <v>138</v>
      </c>
      <c r="AK187" t="s">
        <v>139</v>
      </c>
      <c r="AL187" t="s">
        <v>123</v>
      </c>
      <c r="AM187" t="s">
        <v>123</v>
      </c>
      <c r="AN187" t="s">
        <v>123</v>
      </c>
      <c r="AO187" t="s">
        <v>123</v>
      </c>
      <c r="AP187">
        <v>250</v>
      </c>
      <c r="AQ187">
        <v>50</v>
      </c>
      <c r="AR187">
        <v>10</v>
      </c>
      <c r="AS187" t="s">
        <v>123</v>
      </c>
      <c r="AT187" t="s">
        <v>123</v>
      </c>
      <c r="AU187" t="s">
        <v>123</v>
      </c>
      <c r="AV187" t="s">
        <v>123</v>
      </c>
      <c r="AW187" t="s">
        <v>123</v>
      </c>
      <c r="AX187" t="s">
        <v>123</v>
      </c>
      <c r="AY187" t="s">
        <v>123</v>
      </c>
      <c r="AZ187" t="s">
        <v>123</v>
      </c>
      <c r="BA187" t="s">
        <v>140</v>
      </c>
      <c r="BB187" t="s">
        <v>123</v>
      </c>
      <c r="BC187" t="s">
        <v>123</v>
      </c>
      <c r="BD187" t="s">
        <v>123</v>
      </c>
      <c r="BE187" t="s">
        <v>123</v>
      </c>
      <c r="BF187" t="s">
        <v>123</v>
      </c>
      <c r="BG187" t="s">
        <v>141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s="1">
        <v>45965.252223993055</v>
      </c>
      <c r="BZ187">
        <v>1534</v>
      </c>
      <c r="CA187" t="s">
        <v>123</v>
      </c>
      <c r="CB187" t="s">
        <v>123</v>
      </c>
      <c r="CC187">
        <v>0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>
        <v>8.8000000000000005E-3</v>
      </c>
      <c r="CL187">
        <v>9.2999999999999992E-3</v>
      </c>
      <c r="CM187">
        <v>1.03E-2</v>
      </c>
      <c r="CN187">
        <v>1.09E-2</v>
      </c>
      <c r="CO187" t="s">
        <v>123</v>
      </c>
      <c r="CP187" t="s">
        <v>123</v>
      </c>
      <c r="CQ187">
        <v>7.7000000000000002E-3</v>
      </c>
      <c r="CR187">
        <v>8.2000000000000007E-3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205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  <c r="DN187" t="s">
        <v>123</v>
      </c>
      <c r="DO187" t="s">
        <v>123</v>
      </c>
      <c r="DP187" t="s">
        <v>123</v>
      </c>
      <c r="DQ187" t="s">
        <v>123</v>
      </c>
      <c r="DR187" t="s">
        <v>123</v>
      </c>
      <c r="DS187" t="s">
        <v>123</v>
      </c>
    </row>
    <row r="188" spans="1:123" x14ac:dyDescent="0.3">
      <c r="A188">
        <v>187</v>
      </c>
      <c r="B188" t="s">
        <v>123</v>
      </c>
      <c r="C188" t="s">
        <v>123</v>
      </c>
      <c r="D188" t="s">
        <v>827</v>
      </c>
      <c r="E188" t="s">
        <v>123</v>
      </c>
      <c r="F188" t="s">
        <v>125</v>
      </c>
      <c r="G188" t="s">
        <v>126</v>
      </c>
      <c r="H188" t="s">
        <v>127</v>
      </c>
      <c r="I188" t="s">
        <v>128</v>
      </c>
      <c r="J188" t="s">
        <v>123</v>
      </c>
      <c r="K188" t="s">
        <v>822</v>
      </c>
      <c r="L188" t="s">
        <v>130</v>
      </c>
      <c r="M188" t="s">
        <v>823</v>
      </c>
      <c r="N188" t="s">
        <v>180</v>
      </c>
      <c r="O188" t="s">
        <v>133</v>
      </c>
      <c r="P188" t="s">
        <v>123</v>
      </c>
      <c r="Q188" t="s">
        <v>123</v>
      </c>
      <c r="R188" t="s">
        <v>123</v>
      </c>
      <c r="S188" t="s">
        <v>123</v>
      </c>
      <c r="T188" s="1">
        <v>46211</v>
      </c>
      <c r="U188" t="s">
        <v>123</v>
      </c>
      <c r="V188" t="s">
        <v>123</v>
      </c>
      <c r="W188" t="s">
        <v>123</v>
      </c>
      <c r="X188" t="s">
        <v>123</v>
      </c>
      <c r="Y188" t="s">
        <v>123</v>
      </c>
      <c r="Z188" t="s">
        <v>123</v>
      </c>
      <c r="AA188" t="s">
        <v>123</v>
      </c>
      <c r="AB188" t="s">
        <v>828</v>
      </c>
      <c r="AC188" t="s">
        <v>135</v>
      </c>
      <c r="AD188" t="s">
        <v>123</v>
      </c>
      <c r="AE188" t="s">
        <v>123</v>
      </c>
      <c r="AF188" t="s">
        <v>825</v>
      </c>
      <c r="AG188" t="s">
        <v>826</v>
      </c>
      <c r="AH188" t="s">
        <v>123</v>
      </c>
      <c r="AI188" t="s">
        <v>128</v>
      </c>
      <c r="AJ188" t="s">
        <v>138</v>
      </c>
      <c r="AK188" t="s">
        <v>139</v>
      </c>
      <c r="AL188" t="s">
        <v>123</v>
      </c>
      <c r="AM188" t="s">
        <v>123</v>
      </c>
      <c r="AN188" t="s">
        <v>123</v>
      </c>
      <c r="AO188" t="s">
        <v>123</v>
      </c>
      <c r="AP188">
        <v>250</v>
      </c>
      <c r="AQ188">
        <v>50</v>
      </c>
      <c r="AR188">
        <v>10</v>
      </c>
      <c r="AS188" t="s">
        <v>123</v>
      </c>
      <c r="AT188" t="s">
        <v>123</v>
      </c>
      <c r="AU188" t="s">
        <v>123</v>
      </c>
      <c r="AV188" t="s">
        <v>123</v>
      </c>
      <c r="AW188" t="s">
        <v>123</v>
      </c>
      <c r="AX188" t="s">
        <v>123</v>
      </c>
      <c r="AY188" t="s">
        <v>123</v>
      </c>
      <c r="AZ188" t="s">
        <v>123</v>
      </c>
      <c r="BA188" t="s">
        <v>140</v>
      </c>
      <c r="BB188" t="s">
        <v>123</v>
      </c>
      <c r="BC188" t="s">
        <v>123</v>
      </c>
      <c r="BD188" t="s">
        <v>123</v>
      </c>
      <c r="BE188" t="s">
        <v>123</v>
      </c>
      <c r="BF188" t="s">
        <v>123</v>
      </c>
      <c r="BG188" t="s">
        <v>141</v>
      </c>
      <c r="BH188" t="s">
        <v>123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123</v>
      </c>
      <c r="BX188" t="s">
        <v>123</v>
      </c>
      <c r="BY188" s="1">
        <v>45965.252247916666</v>
      </c>
      <c r="BZ188">
        <v>1534</v>
      </c>
      <c r="CA188" t="s">
        <v>123</v>
      </c>
      <c r="CB188" t="s">
        <v>123</v>
      </c>
      <c r="CC188">
        <v>0</v>
      </c>
      <c r="CD188" t="s">
        <v>123</v>
      </c>
      <c r="CE188" t="s">
        <v>123</v>
      </c>
      <c r="CF188" t="s">
        <v>123</v>
      </c>
      <c r="CG188" t="s">
        <v>123</v>
      </c>
      <c r="CH188" t="s">
        <v>123</v>
      </c>
      <c r="CI188" t="s">
        <v>123</v>
      </c>
      <c r="CJ188" t="s">
        <v>123</v>
      </c>
      <c r="CK188">
        <v>1.3599999999999999E-2</v>
      </c>
      <c r="CL188">
        <v>1.43E-2</v>
      </c>
      <c r="CM188">
        <v>1.9300000000000001E-2</v>
      </c>
      <c r="CN188">
        <v>2.01E-2</v>
      </c>
      <c r="CO188" t="s">
        <v>123</v>
      </c>
      <c r="CP188" t="s">
        <v>123</v>
      </c>
      <c r="CQ188">
        <v>1.03E-2</v>
      </c>
      <c r="CR188">
        <v>1.09E-2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205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  <c r="DN188" t="s">
        <v>123</v>
      </c>
      <c r="DO188" t="s">
        <v>123</v>
      </c>
      <c r="DP188" t="s">
        <v>123</v>
      </c>
      <c r="DQ188" t="s">
        <v>123</v>
      </c>
      <c r="DR188" t="s">
        <v>123</v>
      </c>
      <c r="DS188" t="s">
        <v>123</v>
      </c>
    </row>
    <row r="189" spans="1:123" x14ac:dyDescent="0.3">
      <c r="A189">
        <v>188</v>
      </c>
      <c r="B189" t="s">
        <v>123</v>
      </c>
      <c r="C189" t="s">
        <v>123</v>
      </c>
      <c r="D189" t="s">
        <v>829</v>
      </c>
      <c r="E189" t="s">
        <v>123</v>
      </c>
      <c r="F189" t="s">
        <v>125</v>
      </c>
      <c r="G189" t="s">
        <v>126</v>
      </c>
      <c r="H189" t="s">
        <v>127</v>
      </c>
      <c r="I189" t="s">
        <v>128</v>
      </c>
      <c r="J189" t="s">
        <v>123</v>
      </c>
      <c r="K189" t="s">
        <v>830</v>
      </c>
      <c r="L189" t="s">
        <v>130</v>
      </c>
      <c r="M189" t="s">
        <v>831</v>
      </c>
      <c r="N189" t="s">
        <v>158</v>
      </c>
      <c r="O189" t="s">
        <v>159</v>
      </c>
      <c r="P189" t="s">
        <v>123</v>
      </c>
      <c r="Q189" t="s">
        <v>123</v>
      </c>
      <c r="R189" t="s">
        <v>123</v>
      </c>
      <c r="S189" t="s">
        <v>123</v>
      </c>
      <c r="T189" s="1">
        <v>46956</v>
      </c>
      <c r="U189" t="s">
        <v>123</v>
      </c>
      <c r="V189" t="s">
        <v>123</v>
      </c>
      <c r="W189" t="s">
        <v>123</v>
      </c>
      <c r="X189" t="s">
        <v>123</v>
      </c>
      <c r="Y189" t="s">
        <v>123</v>
      </c>
      <c r="Z189" t="s">
        <v>123</v>
      </c>
      <c r="AA189" t="s">
        <v>123</v>
      </c>
      <c r="AB189" t="s">
        <v>832</v>
      </c>
      <c r="AC189" t="s">
        <v>135</v>
      </c>
      <c r="AD189" t="s">
        <v>123</v>
      </c>
      <c r="AE189" t="s">
        <v>123</v>
      </c>
      <c r="AF189" t="s">
        <v>833</v>
      </c>
      <c r="AG189" t="s">
        <v>162</v>
      </c>
      <c r="AH189" t="s">
        <v>123</v>
      </c>
      <c r="AI189" t="s">
        <v>128</v>
      </c>
      <c r="AJ189" t="s">
        <v>138</v>
      </c>
      <c r="AK189" t="s">
        <v>139</v>
      </c>
      <c r="AL189" t="s">
        <v>123</v>
      </c>
      <c r="AM189" t="s">
        <v>123</v>
      </c>
      <c r="AN189" t="s">
        <v>123</v>
      </c>
      <c r="AO189" t="s">
        <v>123</v>
      </c>
      <c r="AP189">
        <v>250</v>
      </c>
      <c r="AQ189">
        <v>50</v>
      </c>
      <c r="AR189">
        <v>10</v>
      </c>
      <c r="AS189" t="s">
        <v>123</v>
      </c>
      <c r="AT189" t="s">
        <v>123</v>
      </c>
      <c r="AU189" t="s">
        <v>123</v>
      </c>
      <c r="AV189" t="s">
        <v>123</v>
      </c>
      <c r="AW189" t="s">
        <v>123</v>
      </c>
      <c r="AX189" t="s">
        <v>123</v>
      </c>
      <c r="AY189" t="s">
        <v>123</v>
      </c>
      <c r="AZ189" t="s">
        <v>123</v>
      </c>
      <c r="BA189" t="s">
        <v>140</v>
      </c>
      <c r="BB189" t="s">
        <v>123</v>
      </c>
      <c r="BC189" t="s">
        <v>123</v>
      </c>
      <c r="BD189" t="s">
        <v>123</v>
      </c>
      <c r="BE189" t="s">
        <v>123</v>
      </c>
      <c r="BF189" t="s">
        <v>123</v>
      </c>
      <c r="BG189" t="s">
        <v>141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s="1">
        <v>45965.252271527781</v>
      </c>
      <c r="BZ189">
        <v>1595</v>
      </c>
      <c r="CA189" t="s">
        <v>123</v>
      </c>
      <c r="CB189" t="s">
        <v>123</v>
      </c>
      <c r="CC189">
        <v>0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>
        <v>1.0800000000000001E-2</v>
      </c>
      <c r="CL189">
        <v>6.1999999999999998E-3</v>
      </c>
      <c r="CM189">
        <v>1.1599999999999999E-2</v>
      </c>
      <c r="CN189">
        <v>6.7999999999999996E-3</v>
      </c>
      <c r="CO189" t="s">
        <v>123</v>
      </c>
      <c r="CP189" t="s">
        <v>123</v>
      </c>
      <c r="CQ189">
        <v>9.7999999999999997E-3</v>
      </c>
      <c r="CR189">
        <v>5.7999999999999996E-3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152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  <c r="DN189" t="s">
        <v>123</v>
      </c>
      <c r="DO189" t="s">
        <v>123</v>
      </c>
      <c r="DP189" t="s">
        <v>123</v>
      </c>
      <c r="DQ189" t="s">
        <v>123</v>
      </c>
      <c r="DR189" t="s">
        <v>123</v>
      </c>
      <c r="DS189" t="s">
        <v>123</v>
      </c>
    </row>
    <row r="190" spans="1:123" x14ac:dyDescent="0.3">
      <c r="A190">
        <v>189</v>
      </c>
      <c r="B190" t="s">
        <v>123</v>
      </c>
      <c r="C190" t="s">
        <v>123</v>
      </c>
      <c r="D190" t="s">
        <v>834</v>
      </c>
      <c r="E190" t="s">
        <v>123</v>
      </c>
      <c r="F190" t="s">
        <v>125</v>
      </c>
      <c r="G190" t="s">
        <v>126</v>
      </c>
      <c r="H190" t="s">
        <v>127</v>
      </c>
      <c r="I190" t="s">
        <v>128</v>
      </c>
      <c r="J190" t="s">
        <v>123</v>
      </c>
      <c r="K190" t="s">
        <v>441</v>
      </c>
      <c r="L190" t="s">
        <v>130</v>
      </c>
      <c r="M190" t="s">
        <v>442</v>
      </c>
      <c r="N190" t="s">
        <v>158</v>
      </c>
      <c r="O190" t="s">
        <v>720</v>
      </c>
      <c r="P190" t="s">
        <v>123</v>
      </c>
      <c r="Q190" t="s">
        <v>123</v>
      </c>
      <c r="R190" t="s">
        <v>123</v>
      </c>
      <c r="S190" t="s">
        <v>123</v>
      </c>
      <c r="T190" s="1">
        <v>45999</v>
      </c>
      <c r="U190" t="s">
        <v>123</v>
      </c>
      <c r="V190" t="s">
        <v>123</v>
      </c>
      <c r="W190" t="s">
        <v>123</v>
      </c>
      <c r="X190" t="s">
        <v>123</v>
      </c>
      <c r="Y190" t="s">
        <v>123</v>
      </c>
      <c r="Z190" t="s">
        <v>123</v>
      </c>
      <c r="AA190" t="s">
        <v>123</v>
      </c>
      <c r="AB190" t="s">
        <v>835</v>
      </c>
      <c r="AC190" t="s">
        <v>135</v>
      </c>
      <c r="AD190" t="s">
        <v>123</v>
      </c>
      <c r="AE190" t="s">
        <v>123</v>
      </c>
      <c r="AF190" t="s">
        <v>281</v>
      </c>
      <c r="AG190" t="s">
        <v>282</v>
      </c>
      <c r="AH190" t="s">
        <v>123</v>
      </c>
      <c r="AI190" t="s">
        <v>128</v>
      </c>
      <c r="AJ190" t="s">
        <v>138</v>
      </c>
      <c r="AK190" t="s">
        <v>163</v>
      </c>
      <c r="AL190" t="s">
        <v>123</v>
      </c>
      <c r="AM190" t="s">
        <v>123</v>
      </c>
      <c r="AN190" t="s">
        <v>123</v>
      </c>
      <c r="AO190" t="s">
        <v>123</v>
      </c>
      <c r="AP190">
        <v>250</v>
      </c>
      <c r="AQ190">
        <v>50</v>
      </c>
      <c r="AR190">
        <v>10</v>
      </c>
      <c r="AS190" t="s">
        <v>123</v>
      </c>
      <c r="AT190" t="s">
        <v>123</v>
      </c>
      <c r="AU190" t="s">
        <v>123</v>
      </c>
      <c r="AV190" t="s">
        <v>123</v>
      </c>
      <c r="AW190" t="s">
        <v>123</v>
      </c>
      <c r="AX190" t="s">
        <v>123</v>
      </c>
      <c r="AY190" t="s">
        <v>123</v>
      </c>
      <c r="AZ190" t="s">
        <v>123</v>
      </c>
      <c r="BA190" t="s">
        <v>237</v>
      </c>
      <c r="BB190" t="s">
        <v>123</v>
      </c>
      <c r="BC190" t="s">
        <v>123</v>
      </c>
      <c r="BD190" t="s">
        <v>123</v>
      </c>
      <c r="BE190" t="s">
        <v>123</v>
      </c>
      <c r="BF190" t="s">
        <v>123</v>
      </c>
      <c r="BG190" t="s">
        <v>399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s="1">
        <v>45965.252327812501</v>
      </c>
      <c r="BZ190">
        <v>1453</v>
      </c>
      <c r="CA190" t="s">
        <v>123</v>
      </c>
      <c r="CB190" t="s">
        <v>123</v>
      </c>
      <c r="CC190">
        <v>0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>
        <v>2.98E-2</v>
      </c>
      <c r="CL190">
        <v>3.32E-2</v>
      </c>
      <c r="CM190">
        <v>3.85E-2</v>
      </c>
      <c r="CN190">
        <v>4.2900000000000001E-2</v>
      </c>
      <c r="CO190" t="s">
        <v>123</v>
      </c>
      <c r="CP190" t="s">
        <v>123</v>
      </c>
      <c r="CQ190">
        <v>2.3900000000000001E-2</v>
      </c>
      <c r="CR190">
        <v>2.64E-2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214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  <c r="DN190" t="s">
        <v>123</v>
      </c>
      <c r="DO190" t="s">
        <v>123</v>
      </c>
      <c r="DP190" t="s">
        <v>123</v>
      </c>
      <c r="DQ190" t="s">
        <v>123</v>
      </c>
      <c r="DR190" t="s">
        <v>123</v>
      </c>
      <c r="DS190" t="s">
        <v>123</v>
      </c>
    </row>
    <row r="191" spans="1:123" x14ac:dyDescent="0.3">
      <c r="A191">
        <v>190</v>
      </c>
      <c r="B191" t="s">
        <v>123</v>
      </c>
      <c r="C191" t="s">
        <v>123</v>
      </c>
      <c r="D191" t="s">
        <v>836</v>
      </c>
      <c r="E191" t="s">
        <v>123</v>
      </c>
      <c r="F191" t="s">
        <v>125</v>
      </c>
      <c r="G191" t="s">
        <v>126</v>
      </c>
      <c r="H191" t="s">
        <v>127</v>
      </c>
      <c r="I191" t="s">
        <v>128</v>
      </c>
      <c r="J191" t="s">
        <v>123</v>
      </c>
      <c r="K191" t="s">
        <v>441</v>
      </c>
      <c r="L191" t="s">
        <v>130</v>
      </c>
      <c r="M191" t="s">
        <v>442</v>
      </c>
      <c r="N191" t="s">
        <v>158</v>
      </c>
      <c r="O191" t="s">
        <v>159</v>
      </c>
      <c r="P191" t="s">
        <v>123</v>
      </c>
      <c r="Q191" t="s">
        <v>123</v>
      </c>
      <c r="R191" t="s">
        <v>123</v>
      </c>
      <c r="S191" t="s">
        <v>123</v>
      </c>
      <c r="T191" s="1">
        <v>46787</v>
      </c>
      <c r="U191" t="s">
        <v>123</v>
      </c>
      <c r="V191" t="s">
        <v>123</v>
      </c>
      <c r="W191" t="s">
        <v>123</v>
      </c>
      <c r="X191" t="s">
        <v>123</v>
      </c>
      <c r="Y191" t="s">
        <v>123</v>
      </c>
      <c r="Z191" t="s">
        <v>123</v>
      </c>
      <c r="AA191" t="s">
        <v>123</v>
      </c>
      <c r="AB191" t="s">
        <v>837</v>
      </c>
      <c r="AC191" t="s">
        <v>135</v>
      </c>
      <c r="AD191" t="s">
        <v>123</v>
      </c>
      <c r="AE191" t="s">
        <v>123</v>
      </c>
      <c r="AF191" t="s">
        <v>838</v>
      </c>
      <c r="AG191" t="s">
        <v>839</v>
      </c>
      <c r="AH191" t="s">
        <v>123</v>
      </c>
      <c r="AI191" t="s">
        <v>128</v>
      </c>
      <c r="AJ191" t="s">
        <v>186</v>
      </c>
      <c r="AK191" t="s">
        <v>163</v>
      </c>
      <c r="AL191" t="s">
        <v>123</v>
      </c>
      <c r="AM191" t="s">
        <v>123</v>
      </c>
      <c r="AN191" t="s">
        <v>123</v>
      </c>
      <c r="AO191" t="s">
        <v>123</v>
      </c>
      <c r="AP191">
        <v>250</v>
      </c>
      <c r="AQ191">
        <v>50</v>
      </c>
      <c r="AR191">
        <v>10</v>
      </c>
      <c r="AS191" t="s">
        <v>123</v>
      </c>
      <c r="AT191" t="s">
        <v>123</v>
      </c>
      <c r="AU191" t="s">
        <v>123</v>
      </c>
      <c r="AV191" t="s">
        <v>123</v>
      </c>
      <c r="AW191" t="s">
        <v>123</v>
      </c>
      <c r="AX191" t="s">
        <v>123</v>
      </c>
      <c r="AY191" t="s">
        <v>123</v>
      </c>
      <c r="AZ191" t="s">
        <v>123</v>
      </c>
      <c r="BA191" t="s">
        <v>140</v>
      </c>
      <c r="BB191" t="s">
        <v>123</v>
      </c>
      <c r="BC191" t="s">
        <v>123</v>
      </c>
      <c r="BD191" t="s">
        <v>123</v>
      </c>
      <c r="BE191" t="s">
        <v>123</v>
      </c>
      <c r="BF191" t="s">
        <v>123</v>
      </c>
      <c r="BG191" t="s">
        <v>141</v>
      </c>
      <c r="BH191" t="s">
        <v>123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123</v>
      </c>
      <c r="BX191" t="s">
        <v>123</v>
      </c>
      <c r="BY191" s="1">
        <v>45965.252377546298</v>
      </c>
      <c r="BZ191">
        <v>1453</v>
      </c>
      <c r="CA191" t="s">
        <v>123</v>
      </c>
      <c r="CB191" t="s">
        <v>123</v>
      </c>
      <c r="CC191">
        <v>0</v>
      </c>
      <c r="CD191" t="s">
        <v>123</v>
      </c>
      <c r="CE191" t="s">
        <v>123</v>
      </c>
      <c r="CF191" t="s">
        <v>123</v>
      </c>
      <c r="CG191" t="s">
        <v>123</v>
      </c>
      <c r="CH191" t="s">
        <v>123</v>
      </c>
      <c r="CI191" t="s">
        <v>123</v>
      </c>
      <c r="CJ191" t="s">
        <v>123</v>
      </c>
      <c r="CK191">
        <v>3.8699999999999998E-2</v>
      </c>
      <c r="CL191">
        <v>3.9899999999999998E-2</v>
      </c>
      <c r="CM191">
        <v>4.99E-2</v>
      </c>
      <c r="CN191">
        <v>5.1999999999999998E-2</v>
      </c>
      <c r="CO191" t="s">
        <v>123</v>
      </c>
      <c r="CP191" t="s">
        <v>123</v>
      </c>
      <c r="CQ191">
        <v>3.0800000000000001E-2</v>
      </c>
      <c r="CR191">
        <v>3.1600000000000003E-2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214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  <c r="DN191" t="s">
        <v>123</v>
      </c>
      <c r="DO191" t="s">
        <v>123</v>
      </c>
      <c r="DP191" t="s">
        <v>123</v>
      </c>
      <c r="DQ191" t="s">
        <v>123</v>
      </c>
      <c r="DR191" t="s">
        <v>123</v>
      </c>
      <c r="DS191" t="s">
        <v>123</v>
      </c>
    </row>
    <row r="192" spans="1:123" x14ac:dyDescent="0.3">
      <c r="A192">
        <v>191</v>
      </c>
      <c r="B192" t="s">
        <v>123</v>
      </c>
      <c r="C192" t="s">
        <v>123</v>
      </c>
      <c r="D192" t="s">
        <v>840</v>
      </c>
      <c r="E192" t="s">
        <v>123</v>
      </c>
      <c r="F192" t="s">
        <v>125</v>
      </c>
      <c r="G192" t="s">
        <v>126</v>
      </c>
      <c r="H192" t="s">
        <v>127</v>
      </c>
      <c r="I192" t="s">
        <v>128</v>
      </c>
      <c r="J192" t="s">
        <v>123</v>
      </c>
      <c r="K192" t="s">
        <v>441</v>
      </c>
      <c r="L192" t="s">
        <v>130</v>
      </c>
      <c r="M192" t="s">
        <v>442</v>
      </c>
      <c r="N192" t="s">
        <v>180</v>
      </c>
      <c r="O192" t="s">
        <v>159</v>
      </c>
      <c r="P192" t="s">
        <v>123</v>
      </c>
      <c r="Q192" t="s">
        <v>123</v>
      </c>
      <c r="R192" t="s">
        <v>123</v>
      </c>
      <c r="S192" t="s">
        <v>123</v>
      </c>
      <c r="T192" s="1">
        <v>46787</v>
      </c>
      <c r="U192" t="s">
        <v>123</v>
      </c>
      <c r="V192" t="s">
        <v>123</v>
      </c>
      <c r="W192" t="s">
        <v>123</v>
      </c>
      <c r="X192" t="s">
        <v>123</v>
      </c>
      <c r="Y192" t="s">
        <v>123</v>
      </c>
      <c r="Z192" t="s">
        <v>123</v>
      </c>
      <c r="AA192" t="s">
        <v>123</v>
      </c>
      <c r="AB192" t="s">
        <v>841</v>
      </c>
      <c r="AC192" t="s">
        <v>135</v>
      </c>
      <c r="AD192" t="s">
        <v>123</v>
      </c>
      <c r="AE192" t="s">
        <v>123</v>
      </c>
      <c r="AF192" t="s">
        <v>838</v>
      </c>
      <c r="AG192" t="s">
        <v>839</v>
      </c>
      <c r="AH192" t="s">
        <v>123</v>
      </c>
      <c r="AI192" t="s">
        <v>128</v>
      </c>
      <c r="AJ192" t="s">
        <v>186</v>
      </c>
      <c r="AK192" t="s">
        <v>163</v>
      </c>
      <c r="AL192" t="s">
        <v>123</v>
      </c>
      <c r="AM192" t="s">
        <v>123</v>
      </c>
      <c r="AN192" t="s">
        <v>123</v>
      </c>
      <c r="AO192" t="s">
        <v>123</v>
      </c>
      <c r="AP192">
        <v>250</v>
      </c>
      <c r="AQ192">
        <v>50</v>
      </c>
      <c r="AR192">
        <v>10</v>
      </c>
      <c r="AS192" t="s">
        <v>123</v>
      </c>
      <c r="AT192" t="s">
        <v>123</v>
      </c>
      <c r="AU192" t="s">
        <v>123</v>
      </c>
      <c r="AV192" t="s">
        <v>123</v>
      </c>
      <c r="AW192" t="s">
        <v>123</v>
      </c>
      <c r="AX192" t="s">
        <v>123</v>
      </c>
      <c r="AY192" t="s">
        <v>123</v>
      </c>
      <c r="AZ192" t="s">
        <v>123</v>
      </c>
      <c r="BA192" t="s">
        <v>140</v>
      </c>
      <c r="BB192" t="s">
        <v>123</v>
      </c>
      <c r="BC192" t="s">
        <v>123</v>
      </c>
      <c r="BD192" t="s">
        <v>123</v>
      </c>
      <c r="BE192" t="s">
        <v>123</v>
      </c>
      <c r="BF192" t="s">
        <v>123</v>
      </c>
      <c r="BG192" t="s">
        <v>141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s="1">
        <v>45965.252466122685</v>
      </c>
      <c r="BZ192">
        <v>1453</v>
      </c>
      <c r="CA192" t="s">
        <v>123</v>
      </c>
      <c r="CB192" t="s">
        <v>123</v>
      </c>
      <c r="CC192">
        <v>0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>
        <v>0.06</v>
      </c>
      <c r="CL192">
        <v>6.8699999999999997E-2</v>
      </c>
      <c r="CM192">
        <v>8.1699999999999995E-2</v>
      </c>
      <c r="CN192">
        <v>9.2600000000000002E-2</v>
      </c>
      <c r="CO192" t="s">
        <v>123</v>
      </c>
      <c r="CP192" t="s">
        <v>123</v>
      </c>
      <c r="CQ192">
        <v>4.41E-2</v>
      </c>
      <c r="CR192">
        <v>4.9700000000000001E-2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214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  <c r="DN192" t="s">
        <v>123</v>
      </c>
      <c r="DO192" t="s">
        <v>123</v>
      </c>
      <c r="DP192" t="s">
        <v>123</v>
      </c>
      <c r="DQ192" t="s">
        <v>123</v>
      </c>
      <c r="DR192" t="s">
        <v>123</v>
      </c>
      <c r="DS192" t="s">
        <v>123</v>
      </c>
    </row>
    <row r="193" spans="1:123" x14ac:dyDescent="0.3">
      <c r="A193">
        <v>192</v>
      </c>
      <c r="B193" t="s">
        <v>123</v>
      </c>
      <c r="C193" t="s">
        <v>123</v>
      </c>
      <c r="D193" t="s">
        <v>842</v>
      </c>
      <c r="E193" t="s">
        <v>123</v>
      </c>
      <c r="F193" t="s">
        <v>125</v>
      </c>
      <c r="G193" t="s">
        <v>126</v>
      </c>
      <c r="H193" t="s">
        <v>127</v>
      </c>
      <c r="I193" t="s">
        <v>128</v>
      </c>
      <c r="J193" t="s">
        <v>123</v>
      </c>
      <c r="K193" t="s">
        <v>441</v>
      </c>
      <c r="L193" t="s">
        <v>130</v>
      </c>
      <c r="M193" t="s">
        <v>442</v>
      </c>
      <c r="N193" t="s">
        <v>158</v>
      </c>
      <c r="O193" t="s">
        <v>378</v>
      </c>
      <c r="P193" t="s">
        <v>123</v>
      </c>
      <c r="Q193" t="s">
        <v>123</v>
      </c>
      <c r="R193" t="s">
        <v>123</v>
      </c>
      <c r="S193" t="s">
        <v>123</v>
      </c>
      <c r="T193" s="1">
        <v>46941</v>
      </c>
      <c r="U193" t="s">
        <v>123</v>
      </c>
      <c r="V193" t="s">
        <v>123</v>
      </c>
      <c r="W193" t="s">
        <v>123</v>
      </c>
      <c r="X193" t="s">
        <v>123</v>
      </c>
      <c r="Y193" t="s">
        <v>123</v>
      </c>
      <c r="Z193" t="s">
        <v>123</v>
      </c>
      <c r="AA193" t="s">
        <v>123</v>
      </c>
      <c r="AB193" t="s">
        <v>843</v>
      </c>
      <c r="AC193" t="s">
        <v>135</v>
      </c>
      <c r="AD193" t="s">
        <v>123</v>
      </c>
      <c r="AE193" t="s">
        <v>123</v>
      </c>
      <c r="AF193" t="s">
        <v>212</v>
      </c>
      <c r="AG193" t="s">
        <v>213</v>
      </c>
      <c r="AH193" t="s">
        <v>123</v>
      </c>
      <c r="AI193" t="s">
        <v>128</v>
      </c>
      <c r="AJ193" t="s">
        <v>186</v>
      </c>
      <c r="AK193" t="s">
        <v>163</v>
      </c>
      <c r="AL193" t="s">
        <v>123</v>
      </c>
      <c r="AM193" t="s">
        <v>123</v>
      </c>
      <c r="AN193" t="s">
        <v>123</v>
      </c>
      <c r="AO193" t="s">
        <v>123</v>
      </c>
      <c r="AP193">
        <v>250</v>
      </c>
      <c r="AQ193">
        <v>50</v>
      </c>
      <c r="AR193">
        <v>10</v>
      </c>
      <c r="AS193" t="s">
        <v>123</v>
      </c>
      <c r="AT193" t="s">
        <v>123</v>
      </c>
      <c r="AU193" t="s">
        <v>123</v>
      </c>
      <c r="AV193" t="s">
        <v>123</v>
      </c>
      <c r="AW193" t="s">
        <v>123</v>
      </c>
      <c r="AX193" t="s">
        <v>123</v>
      </c>
      <c r="AY193" t="s">
        <v>123</v>
      </c>
      <c r="AZ193" t="s">
        <v>123</v>
      </c>
      <c r="BA193" t="s">
        <v>140</v>
      </c>
      <c r="BB193" t="s">
        <v>123</v>
      </c>
      <c r="BC193" t="s">
        <v>123</v>
      </c>
      <c r="BD193" t="s">
        <v>123</v>
      </c>
      <c r="BE193" t="s">
        <v>123</v>
      </c>
      <c r="BF193" t="s">
        <v>123</v>
      </c>
      <c r="BG193" t="s">
        <v>141</v>
      </c>
      <c r="BH193" t="s">
        <v>123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123</v>
      </c>
      <c r="BX193" t="s">
        <v>123</v>
      </c>
      <c r="BY193" s="1">
        <v>45965.252542476854</v>
      </c>
      <c r="BZ193">
        <v>1453</v>
      </c>
      <c r="CA193" t="s">
        <v>123</v>
      </c>
      <c r="CB193" t="s">
        <v>123</v>
      </c>
      <c r="CC193">
        <v>0</v>
      </c>
      <c r="CD193" t="s">
        <v>123</v>
      </c>
      <c r="CE193" t="s">
        <v>123</v>
      </c>
      <c r="CF193" t="s">
        <v>123</v>
      </c>
      <c r="CG193" t="s">
        <v>123</v>
      </c>
      <c r="CH193" t="s">
        <v>123</v>
      </c>
      <c r="CI193" t="s">
        <v>123</v>
      </c>
      <c r="CJ193" t="s">
        <v>123</v>
      </c>
      <c r="CK193">
        <v>6.5699999999999995E-2</v>
      </c>
      <c r="CL193">
        <v>7.5200000000000003E-2</v>
      </c>
      <c r="CM193">
        <v>8.8400000000000006E-2</v>
      </c>
      <c r="CN193">
        <v>0.1</v>
      </c>
      <c r="CO193" t="s">
        <v>123</v>
      </c>
      <c r="CP193" t="s">
        <v>123</v>
      </c>
      <c r="CQ193">
        <v>4.7899999999999998E-2</v>
      </c>
      <c r="CR193">
        <v>5.4300000000000001E-2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214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  <c r="DN193" t="s">
        <v>123</v>
      </c>
      <c r="DO193" t="s">
        <v>123</v>
      </c>
      <c r="DP193" t="s">
        <v>123</v>
      </c>
      <c r="DQ193" t="s">
        <v>123</v>
      </c>
      <c r="DR193" t="s">
        <v>123</v>
      </c>
      <c r="DS193" t="s">
        <v>123</v>
      </c>
    </row>
    <row r="194" spans="1:123" x14ac:dyDescent="0.3">
      <c r="A194">
        <v>193</v>
      </c>
      <c r="B194" t="s">
        <v>123</v>
      </c>
      <c r="C194" t="s">
        <v>123</v>
      </c>
      <c r="D194" t="s">
        <v>844</v>
      </c>
      <c r="E194" t="s">
        <v>123</v>
      </c>
      <c r="F194" t="s">
        <v>125</v>
      </c>
      <c r="G194" t="s">
        <v>126</v>
      </c>
      <c r="H194" t="s">
        <v>127</v>
      </c>
      <c r="I194" t="s">
        <v>128</v>
      </c>
      <c r="J194" t="s">
        <v>123</v>
      </c>
      <c r="K194" t="s">
        <v>845</v>
      </c>
      <c r="L194" t="s">
        <v>130</v>
      </c>
      <c r="M194" t="s">
        <v>846</v>
      </c>
      <c r="N194" t="s">
        <v>158</v>
      </c>
      <c r="O194" t="s">
        <v>150</v>
      </c>
      <c r="P194" t="s">
        <v>123</v>
      </c>
      <c r="Q194" t="s">
        <v>123</v>
      </c>
      <c r="R194" t="s">
        <v>123</v>
      </c>
      <c r="S194" t="s">
        <v>123</v>
      </c>
      <c r="T194" s="1">
        <v>47217</v>
      </c>
      <c r="U194" t="s">
        <v>123</v>
      </c>
      <c r="V194" t="s">
        <v>123</v>
      </c>
      <c r="W194" t="s">
        <v>123</v>
      </c>
      <c r="X194" t="s">
        <v>123</v>
      </c>
      <c r="Y194" t="s">
        <v>123</v>
      </c>
      <c r="Z194" t="s">
        <v>123</v>
      </c>
      <c r="AA194" t="s">
        <v>123</v>
      </c>
      <c r="AB194" t="s">
        <v>847</v>
      </c>
      <c r="AC194" t="s">
        <v>135</v>
      </c>
      <c r="AD194" t="s">
        <v>123</v>
      </c>
      <c r="AE194" t="s">
        <v>123</v>
      </c>
      <c r="AF194" t="s">
        <v>707</v>
      </c>
      <c r="AG194" t="s">
        <v>708</v>
      </c>
      <c r="AH194" t="s">
        <v>123</v>
      </c>
      <c r="AI194" t="s">
        <v>128</v>
      </c>
      <c r="AJ194" t="s">
        <v>715</v>
      </c>
      <c r="AK194" t="s">
        <v>139</v>
      </c>
      <c r="AL194" t="s">
        <v>123</v>
      </c>
      <c r="AM194" t="s">
        <v>123</v>
      </c>
      <c r="AN194" t="s">
        <v>123</v>
      </c>
      <c r="AO194" t="s">
        <v>123</v>
      </c>
      <c r="AP194">
        <v>250</v>
      </c>
      <c r="AQ194">
        <v>50</v>
      </c>
      <c r="AR194">
        <v>10</v>
      </c>
      <c r="AS194" t="s">
        <v>123</v>
      </c>
      <c r="AT194" t="s">
        <v>123</v>
      </c>
      <c r="AU194" t="s">
        <v>123</v>
      </c>
      <c r="AV194" t="s">
        <v>123</v>
      </c>
      <c r="AW194" t="s">
        <v>123</v>
      </c>
      <c r="AX194" t="s">
        <v>123</v>
      </c>
      <c r="AY194" t="s">
        <v>123</v>
      </c>
      <c r="AZ194" t="s">
        <v>123</v>
      </c>
      <c r="BA194" t="s">
        <v>398</v>
      </c>
      <c r="BB194" t="s">
        <v>123</v>
      </c>
      <c r="BC194" t="s">
        <v>123</v>
      </c>
      <c r="BD194" t="s">
        <v>123</v>
      </c>
      <c r="BE194" t="s">
        <v>123</v>
      </c>
      <c r="BF194" t="s">
        <v>123</v>
      </c>
      <c r="BG194" t="s">
        <v>399</v>
      </c>
      <c r="BH194" t="s">
        <v>123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123</v>
      </c>
      <c r="BX194" t="s">
        <v>123</v>
      </c>
      <c r="BY194" s="1">
        <v>45965.252616782411</v>
      </c>
      <c r="BZ194">
        <v>1529</v>
      </c>
      <c r="CA194" t="s">
        <v>123</v>
      </c>
      <c r="CB194" t="s">
        <v>123</v>
      </c>
      <c r="CC194">
        <v>0</v>
      </c>
      <c r="CD194" t="s">
        <v>123</v>
      </c>
      <c r="CE194" t="s">
        <v>123</v>
      </c>
      <c r="CF194" t="s">
        <v>123</v>
      </c>
      <c r="CG194" t="s">
        <v>123</v>
      </c>
      <c r="CH194" t="s">
        <v>123</v>
      </c>
      <c r="CI194" t="s">
        <v>123</v>
      </c>
      <c r="CJ194" t="s">
        <v>123</v>
      </c>
      <c r="CK194">
        <v>5.3E-3</v>
      </c>
      <c r="CL194">
        <v>0</v>
      </c>
      <c r="CM194">
        <v>1.8599999999999998E-2</v>
      </c>
      <c r="CN194">
        <v>0</v>
      </c>
      <c r="CO194" t="s">
        <v>123</v>
      </c>
      <c r="CP194" t="s">
        <v>123</v>
      </c>
      <c r="CQ194">
        <v>8.0000000000000004E-4</v>
      </c>
      <c r="CR194">
        <v>0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848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  <c r="DN194" t="s">
        <v>123</v>
      </c>
      <c r="DO194" t="s">
        <v>123</v>
      </c>
      <c r="DP194" t="s">
        <v>123</v>
      </c>
      <c r="DQ194" t="s">
        <v>123</v>
      </c>
      <c r="DR194" t="s">
        <v>123</v>
      </c>
      <c r="DS194" t="s">
        <v>123</v>
      </c>
    </row>
    <row r="195" spans="1:123" x14ac:dyDescent="0.3">
      <c r="A195">
        <v>194</v>
      </c>
      <c r="B195" t="s">
        <v>123</v>
      </c>
      <c r="C195" t="s">
        <v>123</v>
      </c>
      <c r="D195" t="s">
        <v>849</v>
      </c>
      <c r="E195" t="s">
        <v>123</v>
      </c>
      <c r="F195" t="s">
        <v>125</v>
      </c>
      <c r="G195" t="s">
        <v>126</v>
      </c>
      <c r="H195" t="s">
        <v>127</v>
      </c>
      <c r="I195" t="s">
        <v>128</v>
      </c>
      <c r="J195" t="s">
        <v>123</v>
      </c>
      <c r="K195" t="s">
        <v>845</v>
      </c>
      <c r="L195" t="s">
        <v>130</v>
      </c>
      <c r="M195" t="s">
        <v>846</v>
      </c>
      <c r="N195" t="s">
        <v>158</v>
      </c>
      <c r="O195" t="s">
        <v>720</v>
      </c>
      <c r="P195" t="s">
        <v>123</v>
      </c>
      <c r="Q195" t="s">
        <v>123</v>
      </c>
      <c r="R195" t="s">
        <v>123</v>
      </c>
      <c r="S195" t="s">
        <v>123</v>
      </c>
      <c r="T195" t="s">
        <v>123</v>
      </c>
      <c r="U195" t="s">
        <v>123</v>
      </c>
      <c r="V195" t="s">
        <v>123</v>
      </c>
      <c r="W195" t="s">
        <v>123</v>
      </c>
      <c r="X195" t="s">
        <v>123</v>
      </c>
      <c r="Y195" t="s">
        <v>123</v>
      </c>
      <c r="Z195" t="s">
        <v>123</v>
      </c>
      <c r="AA195" t="s">
        <v>123</v>
      </c>
      <c r="AB195" t="s">
        <v>850</v>
      </c>
      <c r="AC195" t="s">
        <v>135</v>
      </c>
      <c r="AD195" t="s">
        <v>123</v>
      </c>
      <c r="AE195" t="s">
        <v>123</v>
      </c>
      <c r="AF195" t="s">
        <v>707</v>
      </c>
      <c r="AG195" t="s">
        <v>708</v>
      </c>
      <c r="AH195" t="s">
        <v>123</v>
      </c>
      <c r="AI195" t="s">
        <v>128</v>
      </c>
      <c r="AJ195" t="s">
        <v>715</v>
      </c>
      <c r="AK195" t="s">
        <v>139</v>
      </c>
      <c r="AL195" t="s">
        <v>123</v>
      </c>
      <c r="AM195" t="s">
        <v>123</v>
      </c>
      <c r="AN195" t="s">
        <v>123</v>
      </c>
      <c r="AO195" t="s">
        <v>123</v>
      </c>
      <c r="AP195">
        <v>250</v>
      </c>
      <c r="AQ195">
        <v>50</v>
      </c>
      <c r="AR195">
        <v>10</v>
      </c>
      <c r="AS195" t="s">
        <v>123</v>
      </c>
      <c r="AT195" t="s">
        <v>123</v>
      </c>
      <c r="AU195" t="s">
        <v>123</v>
      </c>
      <c r="AV195" t="s">
        <v>123</v>
      </c>
      <c r="AW195" t="s">
        <v>123</v>
      </c>
      <c r="AX195" t="s">
        <v>123</v>
      </c>
      <c r="AY195" t="s">
        <v>123</v>
      </c>
      <c r="AZ195" t="s">
        <v>123</v>
      </c>
      <c r="BA195" t="s">
        <v>140</v>
      </c>
      <c r="BB195" t="s">
        <v>123</v>
      </c>
      <c r="BC195" t="s">
        <v>123</v>
      </c>
      <c r="BD195" t="s">
        <v>123</v>
      </c>
      <c r="BE195" t="s">
        <v>123</v>
      </c>
      <c r="BF195" t="s">
        <v>123</v>
      </c>
      <c r="BG195" t="s">
        <v>141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s="1">
        <v>45965.252664386571</v>
      </c>
      <c r="BZ195">
        <v>1529</v>
      </c>
      <c r="CA195" t="s">
        <v>123</v>
      </c>
      <c r="CB195" t="s">
        <v>123</v>
      </c>
      <c r="CC195">
        <v>0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>
        <v>3.3E-3</v>
      </c>
      <c r="CL195">
        <v>0</v>
      </c>
      <c r="CM195">
        <v>1.21E-2</v>
      </c>
      <c r="CN195">
        <v>0</v>
      </c>
      <c r="CO195" t="s">
        <v>123</v>
      </c>
      <c r="CP195" t="s">
        <v>123</v>
      </c>
      <c r="CQ195">
        <v>4.0000000000000002E-4</v>
      </c>
      <c r="CR195">
        <v>0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152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  <c r="DN195" t="s">
        <v>123</v>
      </c>
      <c r="DO195" t="s">
        <v>123</v>
      </c>
      <c r="DP195" t="s">
        <v>123</v>
      </c>
      <c r="DQ195" t="s">
        <v>123</v>
      </c>
      <c r="DR195" t="s">
        <v>123</v>
      </c>
      <c r="DS195" t="s">
        <v>123</v>
      </c>
    </row>
    <row r="196" spans="1:123" x14ac:dyDescent="0.3">
      <c r="A196">
        <v>195</v>
      </c>
      <c r="B196" t="s">
        <v>123</v>
      </c>
      <c r="C196" t="s">
        <v>123</v>
      </c>
      <c r="D196" t="s">
        <v>851</v>
      </c>
      <c r="E196" t="s">
        <v>123</v>
      </c>
      <c r="F196" t="s">
        <v>125</v>
      </c>
      <c r="G196" t="s">
        <v>126</v>
      </c>
      <c r="H196" t="s">
        <v>127</v>
      </c>
      <c r="I196" t="s">
        <v>128</v>
      </c>
      <c r="J196" t="s">
        <v>123</v>
      </c>
      <c r="K196" t="s">
        <v>852</v>
      </c>
      <c r="L196" t="s">
        <v>130</v>
      </c>
      <c r="M196" t="s">
        <v>853</v>
      </c>
      <c r="N196" t="s">
        <v>132</v>
      </c>
      <c r="O196" t="s">
        <v>167</v>
      </c>
      <c r="P196" t="s">
        <v>123</v>
      </c>
      <c r="Q196" t="s">
        <v>123</v>
      </c>
      <c r="R196" t="s">
        <v>123</v>
      </c>
      <c r="S196" t="s">
        <v>123</v>
      </c>
      <c r="T196" s="1">
        <v>46119</v>
      </c>
      <c r="U196" t="s">
        <v>123</v>
      </c>
      <c r="V196" t="s">
        <v>123</v>
      </c>
      <c r="W196" t="s">
        <v>123</v>
      </c>
      <c r="X196" t="s">
        <v>123</v>
      </c>
      <c r="Y196" t="s">
        <v>123</v>
      </c>
      <c r="Z196" t="s">
        <v>123</v>
      </c>
      <c r="AA196" t="s">
        <v>123</v>
      </c>
      <c r="AB196" t="s">
        <v>854</v>
      </c>
      <c r="AC196" t="s">
        <v>135</v>
      </c>
      <c r="AD196" t="s">
        <v>123</v>
      </c>
      <c r="AE196" t="s">
        <v>123</v>
      </c>
      <c r="AF196" t="s">
        <v>855</v>
      </c>
      <c r="AG196" t="s">
        <v>708</v>
      </c>
      <c r="AH196" t="s">
        <v>123</v>
      </c>
      <c r="AI196" t="s">
        <v>128</v>
      </c>
      <c r="AJ196" t="s">
        <v>138</v>
      </c>
      <c r="AK196" t="s">
        <v>139</v>
      </c>
      <c r="AL196" t="s">
        <v>123</v>
      </c>
      <c r="AM196" t="s">
        <v>123</v>
      </c>
      <c r="AN196" t="s">
        <v>123</v>
      </c>
      <c r="AO196" t="s">
        <v>123</v>
      </c>
      <c r="AP196">
        <v>250</v>
      </c>
      <c r="AQ196">
        <v>50</v>
      </c>
      <c r="AR196">
        <v>10</v>
      </c>
      <c r="AS196" t="s">
        <v>123</v>
      </c>
      <c r="AT196" t="s">
        <v>123</v>
      </c>
      <c r="AU196" t="s">
        <v>123</v>
      </c>
      <c r="AV196" t="s">
        <v>123</v>
      </c>
      <c r="AW196" t="s">
        <v>123</v>
      </c>
      <c r="AX196" t="s">
        <v>123</v>
      </c>
      <c r="AY196" t="s">
        <v>123</v>
      </c>
      <c r="AZ196" t="s">
        <v>123</v>
      </c>
      <c r="BA196" t="s">
        <v>140</v>
      </c>
      <c r="BB196" t="s">
        <v>123</v>
      </c>
      <c r="BC196" t="s">
        <v>123</v>
      </c>
      <c r="BD196" t="s">
        <v>123</v>
      </c>
      <c r="BE196" t="s">
        <v>123</v>
      </c>
      <c r="BF196" t="s">
        <v>123</v>
      </c>
      <c r="BG196" t="s">
        <v>141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s="1">
        <v>45965.252711805559</v>
      </c>
      <c r="BZ196">
        <v>1585</v>
      </c>
      <c r="CA196" t="s">
        <v>123</v>
      </c>
      <c r="CB196" t="s">
        <v>123</v>
      </c>
      <c r="CC196">
        <v>0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>
        <v>3.8E-3</v>
      </c>
      <c r="CL196" t="s">
        <v>123</v>
      </c>
      <c r="CM196">
        <v>4.4000000000000003E-3</v>
      </c>
      <c r="CN196" t="s">
        <v>123</v>
      </c>
      <c r="CO196" t="s">
        <v>123</v>
      </c>
      <c r="CP196" t="s">
        <v>123</v>
      </c>
      <c r="CQ196">
        <v>3.3999999999999998E-3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152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  <c r="DN196" t="s">
        <v>123</v>
      </c>
      <c r="DO196" t="s">
        <v>123</v>
      </c>
      <c r="DP196" t="s">
        <v>123</v>
      </c>
      <c r="DQ196" t="s">
        <v>123</v>
      </c>
      <c r="DR196" t="s">
        <v>123</v>
      </c>
      <c r="DS196" t="s">
        <v>123</v>
      </c>
    </row>
    <row r="197" spans="1:123" x14ac:dyDescent="0.3">
      <c r="A197">
        <v>196</v>
      </c>
      <c r="B197" t="s">
        <v>123</v>
      </c>
      <c r="C197" t="s">
        <v>123</v>
      </c>
      <c r="D197" t="s">
        <v>856</v>
      </c>
      <c r="E197" t="s">
        <v>123</v>
      </c>
      <c r="F197" t="s">
        <v>125</v>
      </c>
      <c r="G197" t="s">
        <v>126</v>
      </c>
      <c r="H197" t="s">
        <v>127</v>
      </c>
      <c r="I197" t="s">
        <v>128</v>
      </c>
      <c r="J197" t="s">
        <v>123</v>
      </c>
      <c r="K197" t="s">
        <v>857</v>
      </c>
      <c r="L197" t="s">
        <v>130</v>
      </c>
      <c r="M197" t="s">
        <v>853</v>
      </c>
      <c r="N197" t="s">
        <v>144</v>
      </c>
      <c r="O197" t="s">
        <v>167</v>
      </c>
      <c r="P197" t="s">
        <v>123</v>
      </c>
      <c r="Q197" t="s">
        <v>123</v>
      </c>
      <c r="R197" t="s">
        <v>123</v>
      </c>
      <c r="S197" t="s">
        <v>123</v>
      </c>
      <c r="T197" s="1">
        <v>46119</v>
      </c>
      <c r="U197" t="s">
        <v>123</v>
      </c>
      <c r="V197" t="s">
        <v>123</v>
      </c>
      <c r="W197" t="s">
        <v>123</v>
      </c>
      <c r="X197" t="s">
        <v>123</v>
      </c>
      <c r="Y197" t="s">
        <v>123</v>
      </c>
      <c r="Z197" t="s">
        <v>123</v>
      </c>
      <c r="AA197" t="s">
        <v>123</v>
      </c>
      <c r="AB197" t="s">
        <v>858</v>
      </c>
      <c r="AC197" t="s">
        <v>135</v>
      </c>
      <c r="AD197" t="s">
        <v>123</v>
      </c>
      <c r="AE197" t="s">
        <v>123</v>
      </c>
      <c r="AF197" t="s">
        <v>855</v>
      </c>
      <c r="AG197" t="s">
        <v>708</v>
      </c>
      <c r="AH197" t="s">
        <v>123</v>
      </c>
      <c r="AI197" t="s">
        <v>128</v>
      </c>
      <c r="AJ197" t="s">
        <v>138</v>
      </c>
      <c r="AK197" t="s">
        <v>139</v>
      </c>
      <c r="AL197" t="s">
        <v>123</v>
      </c>
      <c r="AM197" t="s">
        <v>123</v>
      </c>
      <c r="AN197" t="s">
        <v>123</v>
      </c>
      <c r="AO197" t="s">
        <v>123</v>
      </c>
      <c r="AP197">
        <v>250</v>
      </c>
      <c r="AQ197">
        <v>50</v>
      </c>
      <c r="AR197">
        <v>10</v>
      </c>
      <c r="AS197" t="s">
        <v>123</v>
      </c>
      <c r="AT197" t="s">
        <v>123</v>
      </c>
      <c r="AU197" t="s">
        <v>123</v>
      </c>
      <c r="AV197" t="s">
        <v>123</v>
      </c>
      <c r="AW197" t="s">
        <v>123</v>
      </c>
      <c r="AX197" t="s">
        <v>123</v>
      </c>
      <c r="AY197" t="s">
        <v>123</v>
      </c>
      <c r="AZ197" t="s">
        <v>123</v>
      </c>
      <c r="BA197" t="s">
        <v>140</v>
      </c>
      <c r="BB197" t="s">
        <v>123</v>
      </c>
      <c r="BC197" t="s">
        <v>123</v>
      </c>
      <c r="BD197" t="s">
        <v>123</v>
      </c>
      <c r="BE197" t="s">
        <v>123</v>
      </c>
      <c r="BF197" t="s">
        <v>123</v>
      </c>
      <c r="BG197" t="s">
        <v>141</v>
      </c>
      <c r="BH197" t="s">
        <v>123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123</v>
      </c>
      <c r="BX197" t="s">
        <v>123</v>
      </c>
      <c r="BY197" s="1">
        <v>45965.252741122684</v>
      </c>
      <c r="BZ197">
        <v>1586</v>
      </c>
      <c r="CA197" t="s">
        <v>123</v>
      </c>
      <c r="CB197" t="s">
        <v>123</v>
      </c>
      <c r="CC197">
        <v>0</v>
      </c>
      <c r="CD197" t="s">
        <v>123</v>
      </c>
      <c r="CE197" t="s">
        <v>123</v>
      </c>
      <c r="CF197" t="s">
        <v>123</v>
      </c>
      <c r="CG197" t="s">
        <v>123</v>
      </c>
      <c r="CH197" t="s">
        <v>123</v>
      </c>
      <c r="CI197" t="s">
        <v>123</v>
      </c>
      <c r="CJ197" t="s">
        <v>123</v>
      </c>
      <c r="CK197">
        <v>1.37E-2</v>
      </c>
      <c r="CL197" t="s">
        <v>123</v>
      </c>
      <c r="CM197">
        <v>1.43E-2</v>
      </c>
      <c r="CN197" t="s">
        <v>123</v>
      </c>
      <c r="CO197" t="s">
        <v>123</v>
      </c>
      <c r="CP197" t="s">
        <v>123</v>
      </c>
      <c r="CQ197">
        <v>1.2999999999999999E-2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152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  <c r="DN197" t="s">
        <v>123</v>
      </c>
      <c r="DO197" t="s">
        <v>123</v>
      </c>
      <c r="DP197" t="s">
        <v>123</v>
      </c>
      <c r="DQ197" t="s">
        <v>123</v>
      </c>
      <c r="DR197" t="s">
        <v>123</v>
      </c>
      <c r="DS197" t="s">
        <v>123</v>
      </c>
    </row>
    <row r="198" spans="1:123" x14ac:dyDescent="0.3">
      <c r="A198">
        <v>197</v>
      </c>
      <c r="B198" t="s">
        <v>123</v>
      </c>
      <c r="C198" t="s">
        <v>123</v>
      </c>
      <c r="D198" t="s">
        <v>859</v>
      </c>
      <c r="E198" t="s">
        <v>123</v>
      </c>
      <c r="F198" t="s">
        <v>125</v>
      </c>
      <c r="G198" t="s">
        <v>126</v>
      </c>
      <c r="H198" t="s">
        <v>127</v>
      </c>
      <c r="I198" t="s">
        <v>128</v>
      </c>
      <c r="J198" t="s">
        <v>123</v>
      </c>
      <c r="K198" t="s">
        <v>852</v>
      </c>
      <c r="L198" t="s">
        <v>130</v>
      </c>
      <c r="M198" t="s">
        <v>853</v>
      </c>
      <c r="N198" t="s">
        <v>158</v>
      </c>
      <c r="O198" t="s">
        <v>150</v>
      </c>
      <c r="P198" t="s">
        <v>123</v>
      </c>
      <c r="Q198" t="s">
        <v>123</v>
      </c>
      <c r="R198" t="s">
        <v>123</v>
      </c>
      <c r="S198" t="s">
        <v>123</v>
      </c>
      <c r="T198" s="1">
        <v>46848</v>
      </c>
      <c r="U198" t="s">
        <v>123</v>
      </c>
      <c r="V198" t="s">
        <v>123</v>
      </c>
      <c r="W198" t="s">
        <v>123</v>
      </c>
      <c r="X198" t="s">
        <v>123</v>
      </c>
      <c r="Y198" t="s">
        <v>123</v>
      </c>
      <c r="Z198" t="s">
        <v>123</v>
      </c>
      <c r="AA198" t="s">
        <v>123</v>
      </c>
      <c r="AB198" t="s">
        <v>860</v>
      </c>
      <c r="AC198" t="s">
        <v>135</v>
      </c>
      <c r="AD198" t="s">
        <v>123</v>
      </c>
      <c r="AE198" t="s">
        <v>123</v>
      </c>
      <c r="AF198" t="s">
        <v>855</v>
      </c>
      <c r="AG198" t="s">
        <v>708</v>
      </c>
      <c r="AH198" t="s">
        <v>123</v>
      </c>
      <c r="AI198" t="s">
        <v>128</v>
      </c>
      <c r="AJ198" t="s">
        <v>138</v>
      </c>
      <c r="AK198" t="s">
        <v>139</v>
      </c>
      <c r="AL198" t="s">
        <v>123</v>
      </c>
      <c r="AM198" t="s">
        <v>123</v>
      </c>
      <c r="AN198" t="s">
        <v>123</v>
      </c>
      <c r="AO198" t="s">
        <v>123</v>
      </c>
      <c r="AP198">
        <v>250</v>
      </c>
      <c r="AQ198">
        <v>50</v>
      </c>
      <c r="AR198">
        <v>10</v>
      </c>
      <c r="AS198" t="s">
        <v>123</v>
      </c>
      <c r="AT198" t="s">
        <v>123</v>
      </c>
      <c r="AU198" t="s">
        <v>123</v>
      </c>
      <c r="AV198" t="s">
        <v>123</v>
      </c>
      <c r="AW198" t="s">
        <v>123</v>
      </c>
      <c r="AX198" t="s">
        <v>123</v>
      </c>
      <c r="AY198" t="s">
        <v>123</v>
      </c>
      <c r="AZ198" t="s">
        <v>123</v>
      </c>
      <c r="BA198" t="s">
        <v>140</v>
      </c>
      <c r="BB198" t="s">
        <v>123</v>
      </c>
      <c r="BC198" t="s">
        <v>123</v>
      </c>
      <c r="BD198" t="s">
        <v>123</v>
      </c>
      <c r="BE198" t="s">
        <v>123</v>
      </c>
      <c r="BF198" t="s">
        <v>123</v>
      </c>
      <c r="BG198" t="s">
        <v>141</v>
      </c>
      <c r="BH198" t="s">
        <v>123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123</v>
      </c>
      <c r="BX198" t="s">
        <v>123</v>
      </c>
      <c r="BY198" s="1">
        <v>45965.252788969905</v>
      </c>
      <c r="BZ198">
        <v>1585</v>
      </c>
      <c r="CA198" t="s">
        <v>123</v>
      </c>
      <c r="CB198" t="s">
        <v>123</v>
      </c>
      <c r="CC198">
        <v>0</v>
      </c>
      <c r="CD198" t="s">
        <v>123</v>
      </c>
      <c r="CE198" t="s">
        <v>123</v>
      </c>
      <c r="CF198" t="s">
        <v>123</v>
      </c>
      <c r="CG198" t="s">
        <v>123</v>
      </c>
      <c r="CH198" t="s">
        <v>123</v>
      </c>
      <c r="CI198" t="s">
        <v>123</v>
      </c>
      <c r="CJ198" t="s">
        <v>123</v>
      </c>
      <c r="CK198">
        <v>1.4500000000000001E-2</v>
      </c>
      <c r="CL198" t="s">
        <v>123</v>
      </c>
      <c r="CM198">
        <v>1.72E-2</v>
      </c>
      <c r="CN198" t="s">
        <v>123</v>
      </c>
      <c r="CO198" t="s">
        <v>123</v>
      </c>
      <c r="CP198" t="s">
        <v>123</v>
      </c>
      <c r="CQ198">
        <v>1.24E-2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152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  <c r="DN198" t="s">
        <v>123</v>
      </c>
      <c r="DO198" t="s">
        <v>123</v>
      </c>
      <c r="DP198" t="s">
        <v>123</v>
      </c>
      <c r="DQ198" t="s">
        <v>123</v>
      </c>
      <c r="DR198" t="s">
        <v>123</v>
      </c>
      <c r="DS198" t="s">
        <v>123</v>
      </c>
    </row>
    <row r="199" spans="1:123" x14ac:dyDescent="0.3">
      <c r="A199">
        <v>198</v>
      </c>
      <c r="B199" t="s">
        <v>123</v>
      </c>
      <c r="C199" t="s">
        <v>123</v>
      </c>
      <c r="D199" t="s">
        <v>861</v>
      </c>
      <c r="E199" t="s">
        <v>123</v>
      </c>
      <c r="F199" t="s">
        <v>125</v>
      </c>
      <c r="G199" t="s">
        <v>126</v>
      </c>
      <c r="H199" t="s">
        <v>127</v>
      </c>
      <c r="I199" t="s">
        <v>128</v>
      </c>
      <c r="J199" t="s">
        <v>123</v>
      </c>
      <c r="K199" t="s">
        <v>857</v>
      </c>
      <c r="L199" t="s">
        <v>130</v>
      </c>
      <c r="M199" t="s">
        <v>853</v>
      </c>
      <c r="N199" t="s">
        <v>180</v>
      </c>
      <c r="O199" t="s">
        <v>150</v>
      </c>
      <c r="P199" t="s">
        <v>123</v>
      </c>
      <c r="Q199" t="s">
        <v>123</v>
      </c>
      <c r="R199" t="s">
        <v>123</v>
      </c>
      <c r="S199" t="s">
        <v>123</v>
      </c>
      <c r="T199" s="1">
        <v>46848</v>
      </c>
      <c r="U199" t="s">
        <v>123</v>
      </c>
      <c r="V199" t="s">
        <v>123</v>
      </c>
      <c r="W199" t="s">
        <v>123</v>
      </c>
      <c r="X199" t="s">
        <v>123</v>
      </c>
      <c r="Y199" t="s">
        <v>123</v>
      </c>
      <c r="Z199" t="s">
        <v>123</v>
      </c>
      <c r="AA199" t="s">
        <v>123</v>
      </c>
      <c r="AB199" t="s">
        <v>862</v>
      </c>
      <c r="AC199" t="s">
        <v>135</v>
      </c>
      <c r="AD199" t="s">
        <v>123</v>
      </c>
      <c r="AE199" t="s">
        <v>123</v>
      </c>
      <c r="AF199" t="s">
        <v>863</v>
      </c>
      <c r="AG199" t="s">
        <v>708</v>
      </c>
      <c r="AH199" t="s">
        <v>123</v>
      </c>
      <c r="AI199" t="s">
        <v>128</v>
      </c>
      <c r="AJ199" t="s">
        <v>864</v>
      </c>
      <c r="AK199" t="s">
        <v>139</v>
      </c>
      <c r="AL199" t="s">
        <v>123</v>
      </c>
      <c r="AM199" t="s">
        <v>123</v>
      </c>
      <c r="AN199" t="s">
        <v>123</v>
      </c>
      <c r="AO199" t="s">
        <v>123</v>
      </c>
      <c r="AP199">
        <v>250</v>
      </c>
      <c r="AQ199">
        <v>50</v>
      </c>
      <c r="AR199">
        <v>10</v>
      </c>
      <c r="AS199" t="s">
        <v>123</v>
      </c>
      <c r="AT199" t="s">
        <v>123</v>
      </c>
      <c r="AU199" t="s">
        <v>123</v>
      </c>
      <c r="AV199" t="s">
        <v>123</v>
      </c>
      <c r="AW199" t="s">
        <v>123</v>
      </c>
      <c r="AX199" t="s">
        <v>123</v>
      </c>
      <c r="AY199" t="s">
        <v>123</v>
      </c>
      <c r="AZ199" t="s">
        <v>123</v>
      </c>
      <c r="BA199" t="s">
        <v>140</v>
      </c>
      <c r="BB199" t="s">
        <v>123</v>
      </c>
      <c r="BC199" t="s">
        <v>123</v>
      </c>
      <c r="BD199" t="s">
        <v>123</v>
      </c>
      <c r="BE199" t="s">
        <v>123</v>
      </c>
      <c r="BF199" t="s">
        <v>123</v>
      </c>
      <c r="BG199" t="s">
        <v>141</v>
      </c>
      <c r="BH199" t="s">
        <v>123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123</v>
      </c>
      <c r="BX199" t="s">
        <v>123</v>
      </c>
      <c r="BY199" s="1">
        <v>45965.252837152781</v>
      </c>
      <c r="BZ199">
        <v>1586</v>
      </c>
      <c r="CA199" t="s">
        <v>123</v>
      </c>
      <c r="CB199" t="s">
        <v>123</v>
      </c>
      <c r="CC199">
        <v>0</v>
      </c>
      <c r="CD199" t="s">
        <v>123</v>
      </c>
      <c r="CE199" t="s">
        <v>123</v>
      </c>
      <c r="CF199" t="s">
        <v>123</v>
      </c>
      <c r="CG199" t="s">
        <v>123</v>
      </c>
      <c r="CH199" t="s">
        <v>123</v>
      </c>
      <c r="CI199" t="s">
        <v>123</v>
      </c>
      <c r="CJ199" t="s">
        <v>123</v>
      </c>
      <c r="CK199">
        <v>1.6E-2</v>
      </c>
      <c r="CL199" t="s">
        <v>123</v>
      </c>
      <c r="CM199">
        <v>1.7000000000000001E-2</v>
      </c>
      <c r="CN199" t="s">
        <v>123</v>
      </c>
      <c r="CO199" t="s">
        <v>123</v>
      </c>
      <c r="CP199" t="s">
        <v>123</v>
      </c>
      <c r="CQ199">
        <v>1.4800000000000001E-2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152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  <c r="DN199" t="s">
        <v>123</v>
      </c>
      <c r="DO199" t="s">
        <v>123</v>
      </c>
      <c r="DP199" t="s">
        <v>123</v>
      </c>
      <c r="DQ199" t="s">
        <v>123</v>
      </c>
      <c r="DR199" t="s">
        <v>123</v>
      </c>
      <c r="DS199" t="s">
        <v>123</v>
      </c>
    </row>
    <row r="200" spans="1:123" x14ac:dyDescent="0.3">
      <c r="A200">
        <v>199</v>
      </c>
      <c r="B200" t="s">
        <v>123</v>
      </c>
      <c r="C200" t="s">
        <v>123</v>
      </c>
      <c r="D200" t="s">
        <v>865</v>
      </c>
      <c r="E200" t="s">
        <v>123</v>
      </c>
      <c r="F200" t="s">
        <v>125</v>
      </c>
      <c r="G200" t="s">
        <v>126</v>
      </c>
      <c r="H200" t="s">
        <v>127</v>
      </c>
      <c r="I200" t="s">
        <v>128</v>
      </c>
      <c r="J200" t="s">
        <v>123</v>
      </c>
      <c r="K200" t="s">
        <v>866</v>
      </c>
      <c r="L200" t="s">
        <v>130</v>
      </c>
      <c r="M200" t="s">
        <v>516</v>
      </c>
      <c r="N200" t="s">
        <v>158</v>
      </c>
      <c r="O200" t="s">
        <v>133</v>
      </c>
      <c r="P200" t="s">
        <v>123</v>
      </c>
      <c r="Q200" t="s">
        <v>123</v>
      </c>
      <c r="R200" t="s">
        <v>123</v>
      </c>
      <c r="S200" t="s">
        <v>123</v>
      </c>
      <c r="T200" s="1">
        <v>46363</v>
      </c>
      <c r="U200" t="s">
        <v>123</v>
      </c>
      <c r="V200" t="s">
        <v>123</v>
      </c>
      <c r="W200" t="s">
        <v>123</v>
      </c>
      <c r="X200" t="s">
        <v>123</v>
      </c>
      <c r="Y200" t="s">
        <v>123</v>
      </c>
      <c r="Z200" t="s">
        <v>123</v>
      </c>
      <c r="AA200" t="s">
        <v>123</v>
      </c>
      <c r="AB200" t="s">
        <v>867</v>
      </c>
      <c r="AC200" t="s">
        <v>135</v>
      </c>
      <c r="AD200" t="s">
        <v>123</v>
      </c>
      <c r="AE200" t="s">
        <v>123</v>
      </c>
      <c r="AF200" t="s">
        <v>868</v>
      </c>
      <c r="AG200" t="s">
        <v>869</v>
      </c>
      <c r="AH200" t="s">
        <v>123</v>
      </c>
      <c r="AI200" t="s">
        <v>128</v>
      </c>
      <c r="AJ200" t="s">
        <v>138</v>
      </c>
      <c r="AK200" t="s">
        <v>139</v>
      </c>
      <c r="AL200" t="s">
        <v>123</v>
      </c>
      <c r="AM200" t="s">
        <v>123</v>
      </c>
      <c r="AN200" t="s">
        <v>123</v>
      </c>
      <c r="AO200" t="s">
        <v>123</v>
      </c>
      <c r="AP200">
        <v>250</v>
      </c>
      <c r="AQ200">
        <v>50</v>
      </c>
      <c r="AR200">
        <v>10</v>
      </c>
      <c r="AS200" t="s">
        <v>123</v>
      </c>
      <c r="AT200" t="s">
        <v>123</v>
      </c>
      <c r="AU200" t="s">
        <v>123</v>
      </c>
      <c r="AV200" t="s">
        <v>123</v>
      </c>
      <c r="AW200" t="s">
        <v>123</v>
      </c>
      <c r="AX200" t="s">
        <v>123</v>
      </c>
      <c r="AY200" t="s">
        <v>123</v>
      </c>
      <c r="AZ200" t="s">
        <v>123</v>
      </c>
      <c r="BA200" t="s">
        <v>140</v>
      </c>
      <c r="BB200" t="s">
        <v>123</v>
      </c>
      <c r="BC200" t="s">
        <v>123</v>
      </c>
      <c r="BD200" t="s">
        <v>123</v>
      </c>
      <c r="BE200" t="s">
        <v>123</v>
      </c>
      <c r="BF200" t="s">
        <v>123</v>
      </c>
      <c r="BG200" t="s">
        <v>141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s="1">
        <v>45965.252887696763</v>
      </c>
      <c r="BZ200">
        <v>1564</v>
      </c>
      <c r="CA200" t="s">
        <v>123</v>
      </c>
      <c r="CB200" t="s">
        <v>123</v>
      </c>
      <c r="CC200">
        <v>0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>
        <v>9.2999999999999992E-3</v>
      </c>
      <c r="CL200">
        <v>1.09E-2</v>
      </c>
      <c r="CM200">
        <v>1.18E-2</v>
      </c>
      <c r="CN200">
        <v>1.37E-2</v>
      </c>
      <c r="CO200" t="s">
        <v>123</v>
      </c>
      <c r="CP200" t="s">
        <v>123</v>
      </c>
      <c r="CQ200">
        <v>7.1000000000000004E-3</v>
      </c>
      <c r="CR200">
        <v>8.3000000000000001E-3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152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  <c r="DN200" t="s">
        <v>123</v>
      </c>
      <c r="DO200" t="s">
        <v>123</v>
      </c>
      <c r="DP200" t="s">
        <v>123</v>
      </c>
      <c r="DQ200" t="s">
        <v>123</v>
      </c>
      <c r="DR200" t="s">
        <v>123</v>
      </c>
      <c r="DS200" t="s">
        <v>123</v>
      </c>
    </row>
    <row r="201" spans="1:123" x14ac:dyDescent="0.3">
      <c r="A201">
        <v>200</v>
      </c>
      <c r="B201" t="s">
        <v>123</v>
      </c>
      <c r="C201" t="s">
        <v>123</v>
      </c>
      <c r="D201" t="s">
        <v>870</v>
      </c>
      <c r="E201" t="s">
        <v>123</v>
      </c>
      <c r="F201" t="s">
        <v>125</v>
      </c>
      <c r="G201" t="s">
        <v>126</v>
      </c>
      <c r="H201" t="s">
        <v>127</v>
      </c>
      <c r="I201" t="s">
        <v>128</v>
      </c>
      <c r="J201" t="s">
        <v>123</v>
      </c>
      <c r="K201" t="s">
        <v>866</v>
      </c>
      <c r="L201" t="s">
        <v>130</v>
      </c>
      <c r="M201" t="s">
        <v>516</v>
      </c>
      <c r="N201" t="s">
        <v>180</v>
      </c>
      <c r="O201" t="s">
        <v>133</v>
      </c>
      <c r="P201" t="s">
        <v>123</v>
      </c>
      <c r="Q201" t="s">
        <v>123</v>
      </c>
      <c r="R201" t="s">
        <v>123</v>
      </c>
      <c r="S201" t="s">
        <v>123</v>
      </c>
      <c r="T201" s="1">
        <v>46363</v>
      </c>
      <c r="U201" t="s">
        <v>123</v>
      </c>
      <c r="V201" t="s">
        <v>123</v>
      </c>
      <c r="W201" t="s">
        <v>123</v>
      </c>
      <c r="X201" t="s">
        <v>123</v>
      </c>
      <c r="Y201" t="s">
        <v>123</v>
      </c>
      <c r="Z201" t="s">
        <v>123</v>
      </c>
      <c r="AA201" t="s">
        <v>123</v>
      </c>
      <c r="AB201" t="s">
        <v>871</v>
      </c>
      <c r="AC201" t="s">
        <v>135</v>
      </c>
      <c r="AD201" t="s">
        <v>123</v>
      </c>
      <c r="AE201" t="s">
        <v>123</v>
      </c>
      <c r="AF201" t="s">
        <v>868</v>
      </c>
      <c r="AG201" t="s">
        <v>869</v>
      </c>
      <c r="AH201" t="s">
        <v>123</v>
      </c>
      <c r="AI201" t="s">
        <v>128</v>
      </c>
      <c r="AJ201" t="s">
        <v>138</v>
      </c>
      <c r="AK201" t="s">
        <v>139</v>
      </c>
      <c r="AL201" t="s">
        <v>123</v>
      </c>
      <c r="AM201" t="s">
        <v>123</v>
      </c>
      <c r="AN201" t="s">
        <v>123</v>
      </c>
      <c r="AO201" t="s">
        <v>123</v>
      </c>
      <c r="AP201">
        <v>250</v>
      </c>
      <c r="AQ201">
        <v>50</v>
      </c>
      <c r="AR201">
        <v>10</v>
      </c>
      <c r="AS201" t="s">
        <v>123</v>
      </c>
      <c r="AT201" t="s">
        <v>123</v>
      </c>
      <c r="AU201" t="s">
        <v>123</v>
      </c>
      <c r="AV201" t="s">
        <v>123</v>
      </c>
      <c r="AW201" t="s">
        <v>123</v>
      </c>
      <c r="AX201" t="s">
        <v>123</v>
      </c>
      <c r="AY201" t="s">
        <v>123</v>
      </c>
      <c r="AZ201" t="s">
        <v>123</v>
      </c>
      <c r="BA201" t="s">
        <v>140</v>
      </c>
      <c r="BB201" t="s">
        <v>123</v>
      </c>
      <c r="BC201" t="s">
        <v>123</v>
      </c>
      <c r="BD201" t="s">
        <v>123</v>
      </c>
      <c r="BE201" t="s">
        <v>123</v>
      </c>
      <c r="BF201" t="s">
        <v>123</v>
      </c>
      <c r="BG201" t="s">
        <v>141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s="1">
        <v>45965.252914351855</v>
      </c>
      <c r="BZ201">
        <v>1564</v>
      </c>
      <c r="CA201" t="s">
        <v>123</v>
      </c>
      <c r="CB201" t="s">
        <v>123</v>
      </c>
      <c r="CC201">
        <v>0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>
        <v>1.6E-2</v>
      </c>
      <c r="CL201">
        <v>1.8499999999999999E-2</v>
      </c>
      <c r="CM201">
        <v>2.3300000000000001E-2</v>
      </c>
      <c r="CN201">
        <v>2.6499999999999999E-2</v>
      </c>
      <c r="CO201" t="s">
        <v>123</v>
      </c>
      <c r="CP201" t="s">
        <v>123</v>
      </c>
      <c r="CQ201">
        <v>1.18E-2</v>
      </c>
      <c r="CR201">
        <v>1.37E-2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152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  <c r="DN201" t="s">
        <v>123</v>
      </c>
      <c r="DO201" t="s">
        <v>123</v>
      </c>
      <c r="DP201" t="s">
        <v>123</v>
      </c>
      <c r="DQ201" t="s">
        <v>123</v>
      </c>
      <c r="DR201" t="s">
        <v>123</v>
      </c>
      <c r="DS201" t="s">
        <v>123</v>
      </c>
    </row>
    <row r="202" spans="1:123" x14ac:dyDescent="0.3">
      <c r="A202">
        <v>201</v>
      </c>
      <c r="B202" t="s">
        <v>123</v>
      </c>
      <c r="C202" t="s">
        <v>123</v>
      </c>
      <c r="D202" t="s">
        <v>872</v>
      </c>
      <c r="E202" t="s">
        <v>123</v>
      </c>
      <c r="F202" t="s">
        <v>125</v>
      </c>
      <c r="G202" t="s">
        <v>126</v>
      </c>
      <c r="H202" t="s">
        <v>127</v>
      </c>
      <c r="I202" t="s">
        <v>514</v>
      </c>
      <c r="J202" t="s">
        <v>123</v>
      </c>
      <c r="K202" t="s">
        <v>515</v>
      </c>
      <c r="L202" t="s">
        <v>130</v>
      </c>
      <c r="M202" t="s">
        <v>516</v>
      </c>
      <c r="N202" t="s">
        <v>158</v>
      </c>
      <c r="O202" t="s">
        <v>150</v>
      </c>
      <c r="P202" t="s">
        <v>123</v>
      </c>
      <c r="Q202" t="s">
        <v>123</v>
      </c>
      <c r="R202" t="s">
        <v>123</v>
      </c>
      <c r="S202" t="s">
        <v>123</v>
      </c>
      <c r="T202" s="1">
        <v>46911</v>
      </c>
      <c r="U202" t="s">
        <v>123</v>
      </c>
      <c r="V202" t="s">
        <v>123</v>
      </c>
      <c r="W202" t="s">
        <v>123</v>
      </c>
      <c r="X202" t="s">
        <v>123</v>
      </c>
      <c r="Y202" t="s">
        <v>123</v>
      </c>
      <c r="Z202" t="s">
        <v>123</v>
      </c>
      <c r="AA202" t="s">
        <v>123</v>
      </c>
      <c r="AB202" t="s">
        <v>873</v>
      </c>
      <c r="AC202" t="s">
        <v>135</v>
      </c>
      <c r="AD202" t="s">
        <v>123</v>
      </c>
      <c r="AE202" t="s">
        <v>123</v>
      </c>
      <c r="AF202" t="s">
        <v>518</v>
      </c>
      <c r="AG202" t="s">
        <v>519</v>
      </c>
      <c r="AH202" t="s">
        <v>123</v>
      </c>
      <c r="AI202" t="s">
        <v>514</v>
      </c>
      <c r="AJ202" t="s">
        <v>138</v>
      </c>
      <c r="AK202" t="s">
        <v>139</v>
      </c>
      <c r="AL202" t="s">
        <v>123</v>
      </c>
      <c r="AM202" t="s">
        <v>123</v>
      </c>
      <c r="AN202" t="s">
        <v>123</v>
      </c>
      <c r="AO202" t="s">
        <v>123</v>
      </c>
      <c r="AP202">
        <v>250</v>
      </c>
      <c r="AQ202">
        <v>50</v>
      </c>
      <c r="AR202">
        <v>10</v>
      </c>
      <c r="AS202" t="s">
        <v>123</v>
      </c>
      <c r="AT202" t="s">
        <v>123</v>
      </c>
      <c r="AU202" t="s">
        <v>123</v>
      </c>
      <c r="AV202" t="s">
        <v>123</v>
      </c>
      <c r="AW202" t="s">
        <v>123</v>
      </c>
      <c r="AX202" t="s">
        <v>123</v>
      </c>
      <c r="AY202" t="s">
        <v>123</v>
      </c>
      <c r="AZ202" t="s">
        <v>123</v>
      </c>
      <c r="BA202" t="s">
        <v>140</v>
      </c>
      <c r="BB202" t="s">
        <v>123</v>
      </c>
      <c r="BC202" t="s">
        <v>123</v>
      </c>
      <c r="BD202" t="s">
        <v>123</v>
      </c>
      <c r="BE202" t="s">
        <v>123</v>
      </c>
      <c r="BF202" t="s">
        <v>123</v>
      </c>
      <c r="BG202" t="s">
        <v>141</v>
      </c>
      <c r="BH202" t="s">
        <v>123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123</v>
      </c>
      <c r="BX202" t="s">
        <v>123</v>
      </c>
      <c r="BY202" s="1">
        <v>45965.252940127313</v>
      </c>
      <c r="BZ202">
        <v>1565</v>
      </c>
      <c r="CA202" t="s">
        <v>123</v>
      </c>
      <c r="CB202" t="s">
        <v>123</v>
      </c>
      <c r="CC202">
        <v>0</v>
      </c>
      <c r="CD202" t="s">
        <v>123</v>
      </c>
      <c r="CE202" t="s">
        <v>123</v>
      </c>
      <c r="CF202" t="s">
        <v>123</v>
      </c>
      <c r="CG202" t="s">
        <v>123</v>
      </c>
      <c r="CH202" t="s">
        <v>123</v>
      </c>
      <c r="CI202" t="s">
        <v>123</v>
      </c>
      <c r="CJ202" t="s">
        <v>123</v>
      </c>
      <c r="CK202">
        <v>1.9599999999999999E-2</v>
      </c>
      <c r="CL202">
        <v>2.23E-2</v>
      </c>
      <c r="CM202">
        <v>2.5899999999999999E-2</v>
      </c>
      <c r="CN202">
        <v>2.92E-2</v>
      </c>
      <c r="CO202" t="s">
        <v>123</v>
      </c>
      <c r="CP202" t="s">
        <v>123</v>
      </c>
      <c r="CQ202">
        <v>1.49E-2</v>
      </c>
      <c r="CR202">
        <v>1.7299999999999999E-2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152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  <c r="DN202" t="s">
        <v>123</v>
      </c>
      <c r="DO202" t="s">
        <v>123</v>
      </c>
      <c r="DP202" t="s">
        <v>123</v>
      </c>
      <c r="DQ202" t="s">
        <v>123</v>
      </c>
      <c r="DR202" t="s">
        <v>123</v>
      </c>
      <c r="DS202" t="s">
        <v>123</v>
      </c>
    </row>
    <row r="203" spans="1:123" x14ac:dyDescent="0.3">
      <c r="A203">
        <v>202</v>
      </c>
      <c r="B203" t="s">
        <v>123</v>
      </c>
      <c r="C203" t="s">
        <v>123</v>
      </c>
      <c r="D203" t="s">
        <v>874</v>
      </c>
      <c r="E203" t="s">
        <v>123</v>
      </c>
      <c r="F203" t="s">
        <v>125</v>
      </c>
      <c r="G203" t="s">
        <v>126</v>
      </c>
      <c r="H203" t="s">
        <v>127</v>
      </c>
      <c r="I203" t="s">
        <v>128</v>
      </c>
      <c r="J203" t="s">
        <v>123</v>
      </c>
      <c r="K203" t="s">
        <v>515</v>
      </c>
      <c r="L203" t="s">
        <v>130</v>
      </c>
      <c r="M203" t="s">
        <v>516</v>
      </c>
      <c r="N203" t="s">
        <v>158</v>
      </c>
      <c r="O203" t="s">
        <v>378</v>
      </c>
      <c r="P203" t="s">
        <v>123</v>
      </c>
      <c r="Q203" t="s">
        <v>123</v>
      </c>
      <c r="R203" t="s">
        <v>123</v>
      </c>
      <c r="S203" t="s">
        <v>123</v>
      </c>
      <c r="T203" s="1">
        <v>47218</v>
      </c>
      <c r="U203" t="s">
        <v>123</v>
      </c>
      <c r="V203" t="s">
        <v>123</v>
      </c>
      <c r="W203" t="s">
        <v>123</v>
      </c>
      <c r="X203" t="s">
        <v>123</v>
      </c>
      <c r="Y203" t="s">
        <v>123</v>
      </c>
      <c r="Z203" t="s">
        <v>123</v>
      </c>
      <c r="AA203" t="s">
        <v>123</v>
      </c>
      <c r="AB203" t="s">
        <v>875</v>
      </c>
      <c r="AC203" t="s">
        <v>135</v>
      </c>
      <c r="AD203" t="s">
        <v>123</v>
      </c>
      <c r="AE203" t="s">
        <v>123</v>
      </c>
      <c r="AF203" t="s">
        <v>518</v>
      </c>
      <c r="AG203" t="s">
        <v>519</v>
      </c>
      <c r="AH203" t="s">
        <v>123</v>
      </c>
      <c r="AI203" t="s">
        <v>128</v>
      </c>
      <c r="AJ203" t="s">
        <v>138</v>
      </c>
      <c r="AK203" t="s">
        <v>139</v>
      </c>
      <c r="AL203" t="s">
        <v>123</v>
      </c>
      <c r="AM203" t="s">
        <v>123</v>
      </c>
      <c r="AN203" t="s">
        <v>123</v>
      </c>
      <c r="AO203" t="s">
        <v>123</v>
      </c>
      <c r="AP203">
        <v>250</v>
      </c>
      <c r="AQ203">
        <v>50</v>
      </c>
      <c r="AR203">
        <v>10</v>
      </c>
      <c r="AS203" t="s">
        <v>123</v>
      </c>
      <c r="AT203" t="s">
        <v>123</v>
      </c>
      <c r="AU203" t="s">
        <v>123</v>
      </c>
      <c r="AV203" t="s">
        <v>123</v>
      </c>
      <c r="AW203" t="s">
        <v>123</v>
      </c>
      <c r="AX203" t="s">
        <v>123</v>
      </c>
      <c r="AY203" t="s">
        <v>123</v>
      </c>
      <c r="AZ203" t="s">
        <v>123</v>
      </c>
      <c r="BA203" t="s">
        <v>140</v>
      </c>
      <c r="BB203" t="s">
        <v>123</v>
      </c>
      <c r="BC203" t="s">
        <v>123</v>
      </c>
      <c r="BD203" t="s">
        <v>123</v>
      </c>
      <c r="BE203" t="s">
        <v>123</v>
      </c>
      <c r="BF203" t="s">
        <v>123</v>
      </c>
      <c r="BG203" t="s">
        <v>141</v>
      </c>
      <c r="BH203" t="s">
        <v>123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123</v>
      </c>
      <c r="BX203" t="s">
        <v>123</v>
      </c>
      <c r="BY203" s="1">
        <v>45965.252966701388</v>
      </c>
      <c r="BZ203">
        <v>1565</v>
      </c>
      <c r="CA203" t="s">
        <v>123</v>
      </c>
      <c r="CB203" t="s">
        <v>123</v>
      </c>
      <c r="CC203">
        <v>0</v>
      </c>
      <c r="CD203" t="s">
        <v>123</v>
      </c>
      <c r="CE203" t="s">
        <v>123</v>
      </c>
      <c r="CF203" t="s">
        <v>123</v>
      </c>
      <c r="CG203" t="s">
        <v>123</v>
      </c>
      <c r="CH203" t="s">
        <v>123</v>
      </c>
      <c r="CI203" t="s">
        <v>123</v>
      </c>
      <c r="CJ203" t="s">
        <v>123</v>
      </c>
      <c r="CK203">
        <v>1.5800000000000002E-2</v>
      </c>
      <c r="CL203">
        <v>1.8100000000000002E-2</v>
      </c>
      <c r="CM203">
        <v>2.98E-2</v>
      </c>
      <c r="CN203">
        <v>3.3300000000000003E-2</v>
      </c>
      <c r="CO203" t="s">
        <v>123</v>
      </c>
      <c r="CP203" t="s">
        <v>123</v>
      </c>
      <c r="CQ203">
        <v>7.7000000000000002E-3</v>
      </c>
      <c r="CR203">
        <v>9.1999999999999998E-3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520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  <c r="DN203" t="s">
        <v>123</v>
      </c>
      <c r="DO203" t="s">
        <v>123</v>
      </c>
      <c r="DP203" t="s">
        <v>123</v>
      </c>
      <c r="DQ203" t="s">
        <v>123</v>
      </c>
      <c r="DR203" t="s">
        <v>123</v>
      </c>
      <c r="DS203" t="s">
        <v>123</v>
      </c>
    </row>
    <row r="204" spans="1:123" x14ac:dyDescent="0.3">
      <c r="A204">
        <v>203</v>
      </c>
      <c r="B204" t="s">
        <v>123</v>
      </c>
      <c r="C204" t="s">
        <v>123</v>
      </c>
      <c r="D204" t="s">
        <v>876</v>
      </c>
      <c r="E204" t="s">
        <v>123</v>
      </c>
      <c r="F204" t="s">
        <v>125</v>
      </c>
      <c r="G204" t="s">
        <v>126</v>
      </c>
      <c r="H204" t="s">
        <v>127</v>
      </c>
      <c r="I204" t="s">
        <v>128</v>
      </c>
      <c r="J204" t="s">
        <v>123</v>
      </c>
      <c r="K204" t="s">
        <v>877</v>
      </c>
      <c r="L204" t="s">
        <v>130</v>
      </c>
      <c r="M204" t="s">
        <v>878</v>
      </c>
      <c r="N204" t="s">
        <v>158</v>
      </c>
      <c r="O204" t="s">
        <v>150</v>
      </c>
      <c r="P204" t="s">
        <v>123</v>
      </c>
      <c r="Q204" t="s">
        <v>123</v>
      </c>
      <c r="R204" t="s">
        <v>123</v>
      </c>
      <c r="S204" t="s">
        <v>123</v>
      </c>
      <c r="T204" s="1">
        <v>46517</v>
      </c>
      <c r="U204" t="s">
        <v>123</v>
      </c>
      <c r="V204" t="s">
        <v>123</v>
      </c>
      <c r="W204" t="s">
        <v>123</v>
      </c>
      <c r="X204" t="s">
        <v>123</v>
      </c>
      <c r="Y204" t="s">
        <v>123</v>
      </c>
      <c r="Z204" t="s">
        <v>123</v>
      </c>
      <c r="AA204" t="s">
        <v>123</v>
      </c>
      <c r="AB204" t="s">
        <v>879</v>
      </c>
      <c r="AC204" t="s">
        <v>135</v>
      </c>
      <c r="AD204" t="s">
        <v>123</v>
      </c>
      <c r="AE204" t="s">
        <v>123</v>
      </c>
      <c r="AF204" t="s">
        <v>880</v>
      </c>
      <c r="AG204" t="s">
        <v>881</v>
      </c>
      <c r="AH204" t="s">
        <v>123</v>
      </c>
      <c r="AI204" t="s">
        <v>128</v>
      </c>
      <c r="AJ204" t="s">
        <v>138</v>
      </c>
      <c r="AK204" t="s">
        <v>139</v>
      </c>
      <c r="AL204" t="s">
        <v>123</v>
      </c>
      <c r="AM204" t="s">
        <v>123</v>
      </c>
      <c r="AN204" t="s">
        <v>123</v>
      </c>
      <c r="AO204" t="s">
        <v>123</v>
      </c>
      <c r="AP204">
        <v>250</v>
      </c>
      <c r="AQ204">
        <v>50</v>
      </c>
      <c r="AR204">
        <v>10</v>
      </c>
      <c r="AS204" t="s">
        <v>123</v>
      </c>
      <c r="AT204" t="s">
        <v>123</v>
      </c>
      <c r="AU204" t="s">
        <v>123</v>
      </c>
      <c r="AV204" t="s">
        <v>123</v>
      </c>
      <c r="AW204" t="s">
        <v>123</v>
      </c>
      <c r="AX204" t="s">
        <v>123</v>
      </c>
      <c r="AY204" t="s">
        <v>123</v>
      </c>
      <c r="AZ204" t="s">
        <v>123</v>
      </c>
      <c r="BA204" t="s">
        <v>140</v>
      </c>
      <c r="BB204" t="s">
        <v>123</v>
      </c>
      <c r="BC204" t="s">
        <v>123</v>
      </c>
      <c r="BD204" t="s">
        <v>123</v>
      </c>
      <c r="BE204" t="s">
        <v>123</v>
      </c>
      <c r="BF204" t="s">
        <v>123</v>
      </c>
      <c r="BG204" t="s">
        <v>141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s="1">
        <v>45965.252991284724</v>
      </c>
      <c r="BZ204">
        <v>1501</v>
      </c>
      <c r="CA204" t="s">
        <v>123</v>
      </c>
      <c r="CB204" t="s">
        <v>123</v>
      </c>
      <c r="CC204">
        <v>0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>
        <v>1.8700000000000001E-2</v>
      </c>
      <c r="CL204">
        <v>2.1899999999999999E-2</v>
      </c>
      <c r="CM204">
        <v>2.7099999999999999E-2</v>
      </c>
      <c r="CN204">
        <v>3.1099999999999999E-2</v>
      </c>
      <c r="CO204" t="s">
        <v>123</v>
      </c>
      <c r="CP204" t="s">
        <v>123</v>
      </c>
      <c r="CQ204">
        <v>1.32E-2</v>
      </c>
      <c r="CR204">
        <v>1.55E-2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205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  <c r="DN204" t="s">
        <v>123</v>
      </c>
      <c r="DO204" t="s">
        <v>123</v>
      </c>
      <c r="DP204" t="s">
        <v>123</v>
      </c>
      <c r="DQ204" t="s">
        <v>123</v>
      </c>
      <c r="DR204" t="s">
        <v>123</v>
      </c>
      <c r="DS204" t="s">
        <v>123</v>
      </c>
    </row>
    <row r="205" spans="1:123" x14ac:dyDescent="0.3">
      <c r="A205">
        <v>204</v>
      </c>
      <c r="B205" t="s">
        <v>123</v>
      </c>
      <c r="C205" t="s">
        <v>123</v>
      </c>
      <c r="D205" t="s">
        <v>882</v>
      </c>
      <c r="E205" t="s">
        <v>123</v>
      </c>
      <c r="F205" t="s">
        <v>125</v>
      </c>
      <c r="G205" t="s">
        <v>126</v>
      </c>
      <c r="H205" t="s">
        <v>127</v>
      </c>
      <c r="I205" t="s">
        <v>128</v>
      </c>
      <c r="J205" t="s">
        <v>123</v>
      </c>
      <c r="K205" t="s">
        <v>883</v>
      </c>
      <c r="L205" t="s">
        <v>130</v>
      </c>
      <c r="M205" t="s">
        <v>884</v>
      </c>
      <c r="N205" t="s">
        <v>158</v>
      </c>
      <c r="O205" t="s">
        <v>133</v>
      </c>
      <c r="P205" t="s">
        <v>123</v>
      </c>
      <c r="Q205" t="s">
        <v>123</v>
      </c>
      <c r="R205" t="s">
        <v>123</v>
      </c>
      <c r="S205" t="s">
        <v>123</v>
      </c>
      <c r="T205" s="1">
        <v>46139</v>
      </c>
      <c r="U205" t="s">
        <v>123</v>
      </c>
      <c r="V205" t="s">
        <v>123</v>
      </c>
      <c r="W205" t="s">
        <v>123</v>
      </c>
      <c r="X205" t="s">
        <v>123</v>
      </c>
      <c r="Y205" t="s">
        <v>123</v>
      </c>
      <c r="Z205" t="s">
        <v>123</v>
      </c>
      <c r="AA205" t="s">
        <v>123</v>
      </c>
      <c r="AB205" t="s">
        <v>885</v>
      </c>
      <c r="AC205" t="s">
        <v>135</v>
      </c>
      <c r="AD205" t="s">
        <v>123</v>
      </c>
      <c r="AE205" t="s">
        <v>123</v>
      </c>
      <c r="AF205" t="s">
        <v>530</v>
      </c>
      <c r="AG205" t="s">
        <v>531</v>
      </c>
      <c r="AH205" t="s">
        <v>123</v>
      </c>
      <c r="AI205" t="s">
        <v>128</v>
      </c>
      <c r="AJ205" t="s">
        <v>138</v>
      </c>
      <c r="AK205" t="s">
        <v>139</v>
      </c>
      <c r="AL205" t="s">
        <v>123</v>
      </c>
      <c r="AM205" t="s">
        <v>123</v>
      </c>
      <c r="AN205" t="s">
        <v>123</v>
      </c>
      <c r="AO205" t="s">
        <v>123</v>
      </c>
      <c r="AP205">
        <v>250</v>
      </c>
      <c r="AQ205">
        <v>50</v>
      </c>
      <c r="AR205">
        <v>10</v>
      </c>
      <c r="AS205" t="s">
        <v>123</v>
      </c>
      <c r="AT205" t="s">
        <v>123</v>
      </c>
      <c r="AU205" t="s">
        <v>123</v>
      </c>
      <c r="AV205" t="s">
        <v>123</v>
      </c>
      <c r="AW205" t="s">
        <v>123</v>
      </c>
      <c r="AX205" t="s">
        <v>123</v>
      </c>
      <c r="AY205" t="s">
        <v>123</v>
      </c>
      <c r="AZ205" t="s">
        <v>123</v>
      </c>
      <c r="BA205" t="s">
        <v>140</v>
      </c>
      <c r="BB205" t="s">
        <v>123</v>
      </c>
      <c r="BC205" t="s">
        <v>123</v>
      </c>
      <c r="BD205" t="s">
        <v>123</v>
      </c>
      <c r="BE205" t="s">
        <v>123</v>
      </c>
      <c r="BF205" t="s">
        <v>123</v>
      </c>
      <c r="BG205" t="s">
        <v>141</v>
      </c>
      <c r="BH205" t="s">
        <v>123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123</v>
      </c>
      <c r="BX205" t="s">
        <v>123</v>
      </c>
      <c r="BY205" s="1">
        <v>45965.253014351852</v>
      </c>
      <c r="BZ205">
        <v>1549</v>
      </c>
      <c r="CA205" t="s">
        <v>123</v>
      </c>
      <c r="CB205" t="s">
        <v>123</v>
      </c>
      <c r="CC205">
        <v>0</v>
      </c>
      <c r="CD205" t="s">
        <v>123</v>
      </c>
      <c r="CE205" t="s">
        <v>123</v>
      </c>
      <c r="CF205" t="s">
        <v>123</v>
      </c>
      <c r="CG205" t="s">
        <v>123</v>
      </c>
      <c r="CH205" t="s">
        <v>123</v>
      </c>
      <c r="CI205" t="s">
        <v>123</v>
      </c>
      <c r="CJ205" t="s">
        <v>123</v>
      </c>
      <c r="CK205">
        <v>1.44E-2</v>
      </c>
      <c r="CL205">
        <v>1.77E-2</v>
      </c>
      <c r="CM205">
        <v>2.46E-2</v>
      </c>
      <c r="CN205">
        <v>2.9899999999999999E-2</v>
      </c>
      <c r="CO205" t="s">
        <v>123</v>
      </c>
      <c r="CP205" t="s">
        <v>123</v>
      </c>
      <c r="CQ205">
        <v>8.6E-3</v>
      </c>
      <c r="CR205">
        <v>1.0699999999999999E-2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214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  <c r="DN205" t="s">
        <v>123</v>
      </c>
      <c r="DO205" t="s">
        <v>123</v>
      </c>
      <c r="DP205" t="s">
        <v>123</v>
      </c>
      <c r="DQ205" t="s">
        <v>123</v>
      </c>
      <c r="DR205" t="s">
        <v>123</v>
      </c>
      <c r="DS205" t="s">
        <v>123</v>
      </c>
    </row>
    <row r="206" spans="1:123" x14ac:dyDescent="0.3">
      <c r="A206">
        <v>205</v>
      </c>
      <c r="B206" t="s">
        <v>123</v>
      </c>
      <c r="C206" t="s">
        <v>123</v>
      </c>
      <c r="D206" t="s">
        <v>886</v>
      </c>
      <c r="E206" t="s">
        <v>123</v>
      </c>
      <c r="F206" t="s">
        <v>125</v>
      </c>
      <c r="G206" t="s">
        <v>126</v>
      </c>
      <c r="H206" t="s">
        <v>127</v>
      </c>
      <c r="I206" t="s">
        <v>128</v>
      </c>
      <c r="J206" t="s">
        <v>123</v>
      </c>
      <c r="K206" t="s">
        <v>887</v>
      </c>
      <c r="L206" t="s">
        <v>130</v>
      </c>
      <c r="M206" t="s">
        <v>358</v>
      </c>
      <c r="N206" t="s">
        <v>158</v>
      </c>
      <c r="O206" t="s">
        <v>133</v>
      </c>
      <c r="P206" t="s">
        <v>123</v>
      </c>
      <c r="Q206" t="s">
        <v>123</v>
      </c>
      <c r="R206" t="s">
        <v>123</v>
      </c>
      <c r="S206" t="s">
        <v>123</v>
      </c>
      <c r="T206" s="1">
        <v>46077</v>
      </c>
      <c r="U206" t="s">
        <v>123</v>
      </c>
      <c r="V206" t="s">
        <v>123</v>
      </c>
      <c r="W206" t="s">
        <v>123</v>
      </c>
      <c r="X206" t="s">
        <v>123</v>
      </c>
      <c r="Y206" t="s">
        <v>123</v>
      </c>
      <c r="Z206" t="s">
        <v>123</v>
      </c>
      <c r="AA206" t="s">
        <v>123</v>
      </c>
      <c r="AB206" t="s">
        <v>888</v>
      </c>
      <c r="AC206" t="s">
        <v>135</v>
      </c>
      <c r="AD206" t="s">
        <v>123</v>
      </c>
      <c r="AE206" t="s">
        <v>123</v>
      </c>
      <c r="AF206" t="s">
        <v>889</v>
      </c>
      <c r="AG206" t="s">
        <v>890</v>
      </c>
      <c r="AH206" t="s">
        <v>123</v>
      </c>
      <c r="AI206" t="s">
        <v>128</v>
      </c>
      <c r="AJ206" t="s">
        <v>138</v>
      </c>
      <c r="AK206" t="s">
        <v>139</v>
      </c>
      <c r="AL206" t="s">
        <v>123</v>
      </c>
      <c r="AM206" t="s">
        <v>123</v>
      </c>
      <c r="AN206" t="s">
        <v>123</v>
      </c>
      <c r="AO206" t="s">
        <v>123</v>
      </c>
      <c r="AP206">
        <v>250</v>
      </c>
      <c r="AQ206">
        <v>50</v>
      </c>
      <c r="AR206">
        <v>10</v>
      </c>
      <c r="AS206" t="s">
        <v>123</v>
      </c>
      <c r="AT206" t="s">
        <v>123</v>
      </c>
      <c r="AU206" t="s">
        <v>123</v>
      </c>
      <c r="AV206" t="s">
        <v>123</v>
      </c>
      <c r="AW206" t="s">
        <v>123</v>
      </c>
      <c r="AX206" t="s">
        <v>123</v>
      </c>
      <c r="AY206" t="s">
        <v>123</v>
      </c>
      <c r="AZ206" t="s">
        <v>123</v>
      </c>
      <c r="BA206" t="s">
        <v>140</v>
      </c>
      <c r="BB206" t="s">
        <v>123</v>
      </c>
      <c r="BC206" t="s">
        <v>123</v>
      </c>
      <c r="BD206" t="s">
        <v>123</v>
      </c>
      <c r="BE206" t="s">
        <v>123</v>
      </c>
      <c r="BF206" t="s">
        <v>123</v>
      </c>
      <c r="BG206" t="s">
        <v>141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s="1">
        <v>45965.253038888892</v>
      </c>
      <c r="BZ206">
        <v>1447</v>
      </c>
      <c r="CA206" t="s">
        <v>123</v>
      </c>
      <c r="CB206" t="s">
        <v>123</v>
      </c>
      <c r="CC206">
        <v>0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>
        <v>1.6199999999999999E-2</v>
      </c>
      <c r="CL206">
        <v>1.9099999999999999E-2</v>
      </c>
      <c r="CM206">
        <v>2.6800000000000001E-2</v>
      </c>
      <c r="CN206">
        <v>3.0800000000000001E-2</v>
      </c>
      <c r="CO206" t="s">
        <v>123</v>
      </c>
      <c r="CP206" t="s">
        <v>123</v>
      </c>
      <c r="CQ206">
        <v>1.04E-2</v>
      </c>
      <c r="CR206">
        <v>1.2500000000000001E-2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214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  <c r="DN206" t="s">
        <v>123</v>
      </c>
      <c r="DO206" t="s">
        <v>123</v>
      </c>
      <c r="DP206" t="s">
        <v>123</v>
      </c>
      <c r="DQ206" t="s">
        <v>123</v>
      </c>
      <c r="DR206" t="s">
        <v>123</v>
      </c>
      <c r="DS206" t="s">
        <v>123</v>
      </c>
    </row>
    <row r="207" spans="1:123" x14ac:dyDescent="0.3">
      <c r="A207">
        <v>206</v>
      </c>
      <c r="B207" t="s">
        <v>123</v>
      </c>
      <c r="C207" t="s">
        <v>123</v>
      </c>
      <c r="D207" t="s">
        <v>891</v>
      </c>
      <c r="E207" t="s">
        <v>123</v>
      </c>
      <c r="F207" t="s">
        <v>125</v>
      </c>
      <c r="G207" t="s">
        <v>126</v>
      </c>
      <c r="H207" t="s">
        <v>127</v>
      </c>
      <c r="I207" t="s">
        <v>128</v>
      </c>
      <c r="J207" t="s">
        <v>123</v>
      </c>
      <c r="K207" t="s">
        <v>887</v>
      </c>
      <c r="L207" t="s">
        <v>130</v>
      </c>
      <c r="M207" t="s">
        <v>358</v>
      </c>
      <c r="N207" t="s">
        <v>180</v>
      </c>
      <c r="O207" t="s">
        <v>133</v>
      </c>
      <c r="P207" t="s">
        <v>123</v>
      </c>
      <c r="Q207" t="s">
        <v>123</v>
      </c>
      <c r="R207" t="s">
        <v>123</v>
      </c>
      <c r="S207" t="s">
        <v>123</v>
      </c>
      <c r="T207" s="1">
        <v>46077</v>
      </c>
      <c r="U207" t="s">
        <v>123</v>
      </c>
      <c r="V207" t="s">
        <v>123</v>
      </c>
      <c r="W207" t="s">
        <v>123</v>
      </c>
      <c r="X207" t="s">
        <v>123</v>
      </c>
      <c r="Y207" t="s">
        <v>123</v>
      </c>
      <c r="Z207" t="s">
        <v>123</v>
      </c>
      <c r="AA207" t="s">
        <v>123</v>
      </c>
      <c r="AB207" t="s">
        <v>892</v>
      </c>
      <c r="AC207" t="s">
        <v>135</v>
      </c>
      <c r="AD207" t="s">
        <v>123</v>
      </c>
      <c r="AE207" t="s">
        <v>123</v>
      </c>
      <c r="AF207" t="s">
        <v>889</v>
      </c>
      <c r="AG207" t="s">
        <v>890</v>
      </c>
      <c r="AH207" t="s">
        <v>123</v>
      </c>
      <c r="AI207" t="s">
        <v>128</v>
      </c>
      <c r="AJ207" t="s">
        <v>138</v>
      </c>
      <c r="AK207" t="s">
        <v>139</v>
      </c>
      <c r="AL207" t="s">
        <v>123</v>
      </c>
      <c r="AM207" t="s">
        <v>123</v>
      </c>
      <c r="AN207" t="s">
        <v>123</v>
      </c>
      <c r="AO207" t="s">
        <v>123</v>
      </c>
      <c r="AP207">
        <v>250</v>
      </c>
      <c r="AQ207">
        <v>50</v>
      </c>
      <c r="AR207">
        <v>10</v>
      </c>
      <c r="AS207" t="s">
        <v>123</v>
      </c>
      <c r="AT207" t="s">
        <v>123</v>
      </c>
      <c r="AU207" t="s">
        <v>123</v>
      </c>
      <c r="AV207" t="s">
        <v>123</v>
      </c>
      <c r="AW207" t="s">
        <v>123</v>
      </c>
      <c r="AX207" t="s">
        <v>123</v>
      </c>
      <c r="AY207" t="s">
        <v>123</v>
      </c>
      <c r="AZ207" t="s">
        <v>123</v>
      </c>
      <c r="BA207" t="s">
        <v>140</v>
      </c>
      <c r="BB207" t="s">
        <v>123</v>
      </c>
      <c r="BC207" t="s">
        <v>123</v>
      </c>
      <c r="BD207" t="s">
        <v>123</v>
      </c>
      <c r="BE207" t="s">
        <v>123</v>
      </c>
      <c r="BF207" t="s">
        <v>123</v>
      </c>
      <c r="BG207" t="s">
        <v>141</v>
      </c>
      <c r="BH207" t="s">
        <v>123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123</v>
      </c>
      <c r="BX207" t="s">
        <v>123</v>
      </c>
      <c r="BY207" s="1">
        <v>45965.253063692129</v>
      </c>
      <c r="BZ207">
        <v>1447</v>
      </c>
      <c r="CA207" t="s">
        <v>123</v>
      </c>
      <c r="CB207" t="s">
        <v>123</v>
      </c>
      <c r="CC207">
        <v>0</v>
      </c>
      <c r="CD207" t="s">
        <v>123</v>
      </c>
      <c r="CE207" t="s">
        <v>123</v>
      </c>
      <c r="CF207" t="s">
        <v>123</v>
      </c>
      <c r="CG207" t="s">
        <v>123</v>
      </c>
      <c r="CH207" t="s">
        <v>123</v>
      </c>
      <c r="CI207" t="s">
        <v>123</v>
      </c>
      <c r="CJ207" t="s">
        <v>123</v>
      </c>
      <c r="CK207">
        <v>3.3599999999999998E-2</v>
      </c>
      <c r="CL207">
        <v>3.9E-2</v>
      </c>
      <c r="CM207">
        <v>4.3499999999999997E-2</v>
      </c>
      <c r="CN207">
        <v>4.99E-2</v>
      </c>
      <c r="CO207" t="s">
        <v>123</v>
      </c>
      <c r="CP207" t="s">
        <v>123</v>
      </c>
      <c r="CQ207">
        <v>2.6800000000000001E-2</v>
      </c>
      <c r="CR207">
        <v>3.09E-2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214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  <c r="DN207" t="s">
        <v>123</v>
      </c>
      <c r="DO207" t="s">
        <v>123</v>
      </c>
      <c r="DP207" t="s">
        <v>123</v>
      </c>
      <c r="DQ207" t="s">
        <v>123</v>
      </c>
      <c r="DR207" t="s">
        <v>123</v>
      </c>
      <c r="DS207" t="s">
        <v>123</v>
      </c>
    </row>
    <row r="208" spans="1:123" x14ac:dyDescent="0.3">
      <c r="A208">
        <v>207</v>
      </c>
      <c r="B208" t="s">
        <v>123</v>
      </c>
      <c r="C208" t="s">
        <v>123</v>
      </c>
      <c r="D208" t="s">
        <v>893</v>
      </c>
      <c r="E208" t="s">
        <v>123</v>
      </c>
      <c r="F208" t="s">
        <v>125</v>
      </c>
      <c r="G208" t="s">
        <v>126</v>
      </c>
      <c r="H208" t="s">
        <v>127</v>
      </c>
      <c r="I208" t="s">
        <v>128</v>
      </c>
      <c r="J208" t="s">
        <v>123</v>
      </c>
      <c r="K208" t="s">
        <v>887</v>
      </c>
      <c r="L208" t="s">
        <v>130</v>
      </c>
      <c r="M208" t="s">
        <v>358</v>
      </c>
      <c r="N208" t="s">
        <v>369</v>
      </c>
      <c r="O208" t="s">
        <v>150</v>
      </c>
      <c r="P208" t="s">
        <v>123</v>
      </c>
      <c r="Q208" t="s">
        <v>123</v>
      </c>
      <c r="R208" t="s">
        <v>123</v>
      </c>
      <c r="S208" t="s">
        <v>123</v>
      </c>
      <c r="T208" s="1">
        <v>46576</v>
      </c>
      <c r="U208" t="s">
        <v>123</v>
      </c>
      <c r="V208" t="s">
        <v>123</v>
      </c>
      <c r="W208" t="s">
        <v>123</v>
      </c>
      <c r="X208" t="s">
        <v>123</v>
      </c>
      <c r="Y208" t="s">
        <v>123</v>
      </c>
      <c r="Z208" t="s">
        <v>123</v>
      </c>
      <c r="AA208" t="s">
        <v>123</v>
      </c>
      <c r="AB208" t="s">
        <v>894</v>
      </c>
      <c r="AC208" t="s">
        <v>135</v>
      </c>
      <c r="AD208" t="s">
        <v>123</v>
      </c>
      <c r="AE208" t="s">
        <v>123</v>
      </c>
      <c r="AF208" t="s">
        <v>530</v>
      </c>
      <c r="AG208" t="s">
        <v>531</v>
      </c>
      <c r="AH208" t="s">
        <v>123</v>
      </c>
      <c r="AI208" t="s">
        <v>128</v>
      </c>
      <c r="AJ208" t="s">
        <v>138</v>
      </c>
      <c r="AK208" t="s">
        <v>139</v>
      </c>
      <c r="AL208" t="s">
        <v>123</v>
      </c>
      <c r="AM208" t="s">
        <v>123</v>
      </c>
      <c r="AN208" t="s">
        <v>123</v>
      </c>
      <c r="AO208" t="s">
        <v>123</v>
      </c>
      <c r="AP208">
        <v>250</v>
      </c>
      <c r="AQ208">
        <v>50</v>
      </c>
      <c r="AR208">
        <v>10</v>
      </c>
      <c r="AS208" t="s">
        <v>123</v>
      </c>
      <c r="AT208" t="s">
        <v>123</v>
      </c>
      <c r="AU208" t="s">
        <v>123</v>
      </c>
      <c r="AV208" t="s">
        <v>123</v>
      </c>
      <c r="AW208" t="s">
        <v>123</v>
      </c>
      <c r="AX208" t="s">
        <v>123</v>
      </c>
      <c r="AY208" t="s">
        <v>123</v>
      </c>
      <c r="AZ208" t="s">
        <v>123</v>
      </c>
      <c r="BA208" t="s">
        <v>140</v>
      </c>
      <c r="BB208" t="s">
        <v>123</v>
      </c>
      <c r="BC208" t="s">
        <v>123</v>
      </c>
      <c r="BD208" t="s">
        <v>123</v>
      </c>
      <c r="BE208" t="s">
        <v>123</v>
      </c>
      <c r="BF208" t="s">
        <v>123</v>
      </c>
      <c r="BG208" t="s">
        <v>141</v>
      </c>
      <c r="BH208" t="s">
        <v>123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123</v>
      </c>
      <c r="BX208" t="s">
        <v>123</v>
      </c>
      <c r="BY208" s="1">
        <v>45965.25308746528</v>
      </c>
      <c r="BZ208">
        <v>1447</v>
      </c>
      <c r="CA208" t="s">
        <v>123</v>
      </c>
      <c r="CB208" t="s">
        <v>123</v>
      </c>
      <c r="CC208">
        <v>0</v>
      </c>
      <c r="CD208" t="s">
        <v>123</v>
      </c>
      <c r="CE208" t="s">
        <v>123</v>
      </c>
      <c r="CF208" t="s">
        <v>123</v>
      </c>
      <c r="CG208" t="s">
        <v>123</v>
      </c>
      <c r="CH208" t="s">
        <v>123</v>
      </c>
      <c r="CI208" t="s">
        <v>123</v>
      </c>
      <c r="CJ208" t="s">
        <v>123</v>
      </c>
      <c r="CK208">
        <v>1.0999999999999999E-2</v>
      </c>
      <c r="CL208">
        <v>1.32E-2</v>
      </c>
      <c r="CM208">
        <v>1.1900000000000001E-2</v>
      </c>
      <c r="CN208">
        <v>1.41E-2</v>
      </c>
      <c r="CO208" t="s">
        <v>123</v>
      </c>
      <c r="CP208" t="s">
        <v>123</v>
      </c>
      <c r="CQ208">
        <v>1.03E-2</v>
      </c>
      <c r="CR208">
        <v>1.2500000000000001E-2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214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  <c r="DN208" t="s">
        <v>123</v>
      </c>
      <c r="DO208" t="s">
        <v>123</v>
      </c>
      <c r="DP208" t="s">
        <v>123</v>
      </c>
      <c r="DQ208" t="s">
        <v>123</v>
      </c>
      <c r="DR208" t="s">
        <v>123</v>
      </c>
      <c r="DS208" t="s">
        <v>123</v>
      </c>
    </row>
    <row r="209" spans="1:123" x14ac:dyDescent="0.3">
      <c r="A209">
        <v>208</v>
      </c>
      <c r="B209" t="s">
        <v>123</v>
      </c>
      <c r="C209" t="s">
        <v>123</v>
      </c>
      <c r="D209" t="s">
        <v>895</v>
      </c>
      <c r="E209" t="s">
        <v>123</v>
      </c>
      <c r="F209" t="s">
        <v>125</v>
      </c>
      <c r="G209" t="s">
        <v>126</v>
      </c>
      <c r="H209" t="s">
        <v>127</v>
      </c>
      <c r="I209" t="s">
        <v>128</v>
      </c>
      <c r="J209" t="s">
        <v>123</v>
      </c>
      <c r="K209" t="s">
        <v>896</v>
      </c>
      <c r="L209" t="s">
        <v>130</v>
      </c>
      <c r="M209" t="s">
        <v>897</v>
      </c>
      <c r="N209" t="s">
        <v>158</v>
      </c>
      <c r="O209" t="s">
        <v>150</v>
      </c>
      <c r="P209" t="s">
        <v>123</v>
      </c>
      <c r="Q209" t="s">
        <v>123</v>
      </c>
      <c r="R209" t="s">
        <v>123</v>
      </c>
      <c r="S209" t="s">
        <v>123</v>
      </c>
      <c r="T209" s="1">
        <v>46762</v>
      </c>
      <c r="U209" t="s">
        <v>123</v>
      </c>
      <c r="V209" t="s">
        <v>123</v>
      </c>
      <c r="W209" t="s">
        <v>123</v>
      </c>
      <c r="X209" t="s">
        <v>123</v>
      </c>
      <c r="Y209" t="s">
        <v>123</v>
      </c>
      <c r="Z209" t="s">
        <v>123</v>
      </c>
      <c r="AA209" t="s">
        <v>123</v>
      </c>
      <c r="AB209" t="s">
        <v>898</v>
      </c>
      <c r="AC209" t="s">
        <v>135</v>
      </c>
      <c r="AD209" t="s">
        <v>123</v>
      </c>
      <c r="AE209" t="s">
        <v>123</v>
      </c>
      <c r="AF209" t="s">
        <v>899</v>
      </c>
      <c r="AG209" t="s">
        <v>900</v>
      </c>
      <c r="AH209" t="s">
        <v>123</v>
      </c>
      <c r="AI209" t="s">
        <v>128</v>
      </c>
      <c r="AJ209" t="s">
        <v>138</v>
      </c>
      <c r="AK209" t="s">
        <v>397</v>
      </c>
      <c r="AL209" t="s">
        <v>123</v>
      </c>
      <c r="AM209" t="s">
        <v>123</v>
      </c>
      <c r="AN209" t="s">
        <v>123</v>
      </c>
      <c r="AO209" t="s">
        <v>123</v>
      </c>
      <c r="AP209">
        <v>250</v>
      </c>
      <c r="AQ209">
        <v>50</v>
      </c>
      <c r="AR209">
        <v>10</v>
      </c>
      <c r="AS209" t="s">
        <v>123</v>
      </c>
      <c r="AT209" t="s">
        <v>123</v>
      </c>
      <c r="AU209" t="s">
        <v>123</v>
      </c>
      <c r="AV209" t="s">
        <v>123</v>
      </c>
      <c r="AW209" t="s">
        <v>123</v>
      </c>
      <c r="AX209" t="s">
        <v>123</v>
      </c>
      <c r="AY209" t="s">
        <v>123</v>
      </c>
      <c r="AZ209" t="s">
        <v>123</v>
      </c>
      <c r="BA209" t="s">
        <v>123</v>
      </c>
      <c r="BB209" t="s">
        <v>123</v>
      </c>
      <c r="BC209" t="s">
        <v>123</v>
      </c>
      <c r="BD209" t="s">
        <v>123</v>
      </c>
      <c r="BE209" t="s">
        <v>123</v>
      </c>
      <c r="BF209" t="s">
        <v>123</v>
      </c>
      <c r="BG209" t="s">
        <v>141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s="1">
        <v>45965.253110879632</v>
      </c>
      <c r="BZ209">
        <v>1535</v>
      </c>
      <c r="CA209" t="s">
        <v>123</v>
      </c>
      <c r="CB209" t="s">
        <v>123</v>
      </c>
      <c r="CC209">
        <v>0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>
        <v>9.1999999999999998E-3</v>
      </c>
      <c r="CL209" t="s">
        <v>123</v>
      </c>
      <c r="CM209">
        <v>1.1299999999999999E-2</v>
      </c>
      <c r="CN209" t="s">
        <v>123</v>
      </c>
      <c r="CO209" t="s">
        <v>123</v>
      </c>
      <c r="CP209" t="s">
        <v>123</v>
      </c>
      <c r="CQ209">
        <v>7.6E-3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187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  <c r="DN209" t="s">
        <v>123</v>
      </c>
      <c r="DO209" t="s">
        <v>123</v>
      </c>
      <c r="DP209" t="s">
        <v>123</v>
      </c>
      <c r="DQ209" t="s">
        <v>123</v>
      </c>
      <c r="DR209" t="s">
        <v>123</v>
      </c>
      <c r="DS209" t="s">
        <v>123</v>
      </c>
    </row>
    <row r="210" spans="1:123" x14ac:dyDescent="0.3">
      <c r="A210">
        <v>209</v>
      </c>
      <c r="B210" t="s">
        <v>123</v>
      </c>
      <c r="C210" t="s">
        <v>123</v>
      </c>
      <c r="D210" t="s">
        <v>901</v>
      </c>
      <c r="E210" t="s">
        <v>123</v>
      </c>
      <c r="F210" t="s">
        <v>125</v>
      </c>
      <c r="G210" t="s">
        <v>126</v>
      </c>
      <c r="H210" t="s">
        <v>127</v>
      </c>
      <c r="I210" t="s">
        <v>128</v>
      </c>
      <c r="J210" t="s">
        <v>123</v>
      </c>
      <c r="K210" t="s">
        <v>902</v>
      </c>
      <c r="L210" t="s">
        <v>130</v>
      </c>
      <c r="M210" t="s">
        <v>903</v>
      </c>
      <c r="N210" t="s">
        <v>158</v>
      </c>
      <c r="O210" t="s">
        <v>133</v>
      </c>
      <c r="P210" t="s">
        <v>123</v>
      </c>
      <c r="Q210" t="s">
        <v>123</v>
      </c>
      <c r="R210" t="s">
        <v>123</v>
      </c>
      <c r="S210" t="s">
        <v>123</v>
      </c>
      <c r="T210" s="1">
        <v>46030</v>
      </c>
      <c r="U210" t="s">
        <v>123</v>
      </c>
      <c r="V210" t="s">
        <v>123</v>
      </c>
      <c r="W210" t="s">
        <v>123</v>
      </c>
      <c r="X210" t="s">
        <v>123</v>
      </c>
      <c r="Y210" t="s">
        <v>123</v>
      </c>
      <c r="Z210" t="s">
        <v>123</v>
      </c>
      <c r="AA210" t="s">
        <v>123</v>
      </c>
      <c r="AB210" t="s">
        <v>904</v>
      </c>
      <c r="AC210" t="s">
        <v>135</v>
      </c>
      <c r="AD210" t="s">
        <v>123</v>
      </c>
      <c r="AE210" t="s">
        <v>123</v>
      </c>
      <c r="AF210" t="s">
        <v>905</v>
      </c>
      <c r="AG210" t="s">
        <v>906</v>
      </c>
      <c r="AH210" t="s">
        <v>123</v>
      </c>
      <c r="AI210" t="s">
        <v>128</v>
      </c>
      <c r="AJ210" t="s">
        <v>138</v>
      </c>
      <c r="AK210" t="s">
        <v>139</v>
      </c>
      <c r="AL210" t="s">
        <v>123</v>
      </c>
      <c r="AM210" t="s">
        <v>123</v>
      </c>
      <c r="AN210" t="s">
        <v>123</v>
      </c>
      <c r="AO210" t="s">
        <v>123</v>
      </c>
      <c r="AP210">
        <v>250</v>
      </c>
      <c r="AQ210">
        <v>50</v>
      </c>
      <c r="AR210">
        <v>10</v>
      </c>
      <c r="AS210" t="s">
        <v>123</v>
      </c>
      <c r="AT210" t="s">
        <v>123</v>
      </c>
      <c r="AU210" t="s">
        <v>123</v>
      </c>
      <c r="AV210" t="s">
        <v>123</v>
      </c>
      <c r="AW210" t="s">
        <v>123</v>
      </c>
      <c r="AX210" t="s">
        <v>123</v>
      </c>
      <c r="AY210" t="s">
        <v>123</v>
      </c>
      <c r="AZ210" t="s">
        <v>123</v>
      </c>
      <c r="BA210" t="s">
        <v>140</v>
      </c>
      <c r="BB210" t="s">
        <v>123</v>
      </c>
      <c r="BC210" t="s">
        <v>123</v>
      </c>
      <c r="BD210" t="s">
        <v>123</v>
      </c>
      <c r="BE210" t="s">
        <v>123</v>
      </c>
      <c r="BF210" t="s">
        <v>123</v>
      </c>
      <c r="BG210" t="s">
        <v>141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s="1">
        <v>45965.253139236112</v>
      </c>
      <c r="BZ210">
        <v>1539</v>
      </c>
      <c r="CA210" t="s">
        <v>123</v>
      </c>
      <c r="CB210" t="s">
        <v>123</v>
      </c>
      <c r="CC210">
        <v>0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>
        <v>1.7399999999999999E-2</v>
      </c>
      <c r="CL210">
        <v>1.9E-2</v>
      </c>
      <c r="CM210">
        <v>2.4799999999999999E-2</v>
      </c>
      <c r="CN210">
        <v>2.7699999999999999E-2</v>
      </c>
      <c r="CO210" t="s">
        <v>123</v>
      </c>
      <c r="CP210" t="s">
        <v>123</v>
      </c>
      <c r="CQ210">
        <v>1.2800000000000001E-2</v>
      </c>
      <c r="CR210">
        <v>1.37E-2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551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  <c r="DN210" t="s">
        <v>123</v>
      </c>
      <c r="DO210" t="s">
        <v>123</v>
      </c>
      <c r="DP210" t="s">
        <v>123</v>
      </c>
      <c r="DQ210" t="s">
        <v>123</v>
      </c>
      <c r="DR210" t="s">
        <v>123</v>
      </c>
      <c r="DS210" t="s">
        <v>123</v>
      </c>
    </row>
    <row r="211" spans="1:123" x14ac:dyDescent="0.3">
      <c r="A211">
        <v>210</v>
      </c>
      <c r="B211" t="s">
        <v>123</v>
      </c>
      <c r="C211" t="s">
        <v>123</v>
      </c>
      <c r="D211" t="s">
        <v>907</v>
      </c>
      <c r="E211" t="s">
        <v>123</v>
      </c>
      <c r="F211" t="s">
        <v>125</v>
      </c>
      <c r="G211" t="s">
        <v>126</v>
      </c>
      <c r="H211" t="s">
        <v>127</v>
      </c>
      <c r="I211" t="s">
        <v>128</v>
      </c>
      <c r="J211" t="s">
        <v>123</v>
      </c>
      <c r="K211" t="s">
        <v>908</v>
      </c>
      <c r="L211" t="s">
        <v>130</v>
      </c>
      <c r="M211" t="s">
        <v>909</v>
      </c>
      <c r="N211" t="s">
        <v>158</v>
      </c>
      <c r="O211" t="s">
        <v>159</v>
      </c>
      <c r="P211" t="s">
        <v>123</v>
      </c>
      <c r="Q211" t="s">
        <v>123</v>
      </c>
      <c r="R211" t="s">
        <v>123</v>
      </c>
      <c r="S211" t="s">
        <v>123</v>
      </c>
      <c r="T211" s="1">
        <v>46850</v>
      </c>
      <c r="U211" t="s">
        <v>123</v>
      </c>
      <c r="V211" t="s">
        <v>123</v>
      </c>
      <c r="W211" t="s">
        <v>123</v>
      </c>
      <c r="X211" t="s">
        <v>123</v>
      </c>
      <c r="Y211" t="s">
        <v>123</v>
      </c>
      <c r="Z211" t="s">
        <v>123</v>
      </c>
      <c r="AA211" t="s">
        <v>123</v>
      </c>
      <c r="AB211" t="s">
        <v>910</v>
      </c>
      <c r="AC211" t="s">
        <v>135</v>
      </c>
      <c r="AD211" t="s">
        <v>123</v>
      </c>
      <c r="AE211" t="s">
        <v>123</v>
      </c>
      <c r="AF211" t="s">
        <v>911</v>
      </c>
      <c r="AG211" t="s">
        <v>162</v>
      </c>
      <c r="AH211" t="s">
        <v>123</v>
      </c>
      <c r="AI211" t="s">
        <v>128</v>
      </c>
      <c r="AJ211" t="s">
        <v>138</v>
      </c>
      <c r="AK211" t="s">
        <v>139</v>
      </c>
      <c r="AL211" t="s">
        <v>123</v>
      </c>
      <c r="AM211" t="s">
        <v>123</v>
      </c>
      <c r="AN211" t="s">
        <v>123</v>
      </c>
      <c r="AO211" t="s">
        <v>123</v>
      </c>
      <c r="AP211">
        <v>250</v>
      </c>
      <c r="AQ211">
        <v>50</v>
      </c>
      <c r="AR211">
        <v>10</v>
      </c>
      <c r="AS211" t="s">
        <v>123</v>
      </c>
      <c r="AT211" t="s">
        <v>123</v>
      </c>
      <c r="AU211" t="s">
        <v>123</v>
      </c>
      <c r="AV211" t="s">
        <v>123</v>
      </c>
      <c r="AW211" t="s">
        <v>123</v>
      </c>
      <c r="AX211" t="s">
        <v>123</v>
      </c>
      <c r="AY211" t="s">
        <v>123</v>
      </c>
      <c r="AZ211" t="s">
        <v>123</v>
      </c>
      <c r="BA211" t="s">
        <v>140</v>
      </c>
      <c r="BB211" t="s">
        <v>123</v>
      </c>
      <c r="BC211" t="s">
        <v>123</v>
      </c>
      <c r="BD211" t="s">
        <v>123</v>
      </c>
      <c r="BE211" t="s">
        <v>123</v>
      </c>
      <c r="BF211" t="s">
        <v>123</v>
      </c>
      <c r="BG211" t="s">
        <v>141</v>
      </c>
      <c r="BH211" t="s">
        <v>123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123</v>
      </c>
      <c r="BX211" t="s">
        <v>123</v>
      </c>
      <c r="BY211" s="1">
        <v>45965.25317989583</v>
      </c>
      <c r="BZ211">
        <v>1553</v>
      </c>
      <c r="CA211" t="s">
        <v>123</v>
      </c>
      <c r="CB211" t="s">
        <v>123</v>
      </c>
      <c r="CC211">
        <v>0</v>
      </c>
      <c r="CD211" t="s">
        <v>123</v>
      </c>
      <c r="CE211" t="s">
        <v>123</v>
      </c>
      <c r="CF211" t="s">
        <v>123</v>
      </c>
      <c r="CG211" t="s">
        <v>123</v>
      </c>
      <c r="CH211" t="s">
        <v>123</v>
      </c>
      <c r="CI211" t="s">
        <v>123</v>
      </c>
      <c r="CJ211" t="s">
        <v>123</v>
      </c>
      <c r="CK211">
        <v>1.44E-2</v>
      </c>
      <c r="CL211">
        <v>0.01</v>
      </c>
      <c r="CM211">
        <v>2.1000000000000001E-2</v>
      </c>
      <c r="CN211">
        <v>1.5299999999999999E-2</v>
      </c>
      <c r="CO211" t="s">
        <v>123</v>
      </c>
      <c r="CP211" t="s">
        <v>123</v>
      </c>
      <c r="CQ211">
        <v>9.2999999999999992E-3</v>
      </c>
      <c r="CR211">
        <v>7.1000000000000004E-3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205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  <c r="DN211" t="s">
        <v>123</v>
      </c>
      <c r="DO211" t="s">
        <v>123</v>
      </c>
      <c r="DP211" t="s">
        <v>123</v>
      </c>
      <c r="DQ211" t="s">
        <v>123</v>
      </c>
      <c r="DR211" t="s">
        <v>123</v>
      </c>
      <c r="DS211" t="s">
        <v>123</v>
      </c>
    </row>
    <row r="212" spans="1:123" x14ac:dyDescent="0.3">
      <c r="A212">
        <v>211</v>
      </c>
      <c r="B212" t="s">
        <v>123</v>
      </c>
      <c r="C212" t="s">
        <v>123</v>
      </c>
      <c r="D212" t="s">
        <v>912</v>
      </c>
      <c r="E212" t="s">
        <v>123</v>
      </c>
      <c r="F212" t="s">
        <v>125</v>
      </c>
      <c r="G212" t="s">
        <v>126</v>
      </c>
      <c r="H212" t="s">
        <v>127</v>
      </c>
      <c r="I212" t="s">
        <v>128</v>
      </c>
      <c r="J212" t="s">
        <v>123</v>
      </c>
      <c r="K212" t="s">
        <v>913</v>
      </c>
      <c r="L212" t="s">
        <v>130</v>
      </c>
      <c r="M212" t="s">
        <v>914</v>
      </c>
      <c r="N212" t="s">
        <v>158</v>
      </c>
      <c r="O212" t="s">
        <v>159</v>
      </c>
      <c r="P212" t="s">
        <v>123</v>
      </c>
      <c r="Q212" t="s">
        <v>123</v>
      </c>
      <c r="R212" t="s">
        <v>123</v>
      </c>
      <c r="S212" t="s">
        <v>123</v>
      </c>
      <c r="T212" s="1">
        <v>47284</v>
      </c>
      <c r="U212" t="s">
        <v>123</v>
      </c>
      <c r="V212" t="s">
        <v>123</v>
      </c>
      <c r="W212" t="s">
        <v>123</v>
      </c>
      <c r="X212" t="s">
        <v>123</v>
      </c>
      <c r="Y212" t="s">
        <v>123</v>
      </c>
      <c r="Z212" t="s">
        <v>123</v>
      </c>
      <c r="AA212" t="s">
        <v>123</v>
      </c>
      <c r="AB212" t="s">
        <v>915</v>
      </c>
      <c r="AC212" t="s">
        <v>135</v>
      </c>
      <c r="AD212" t="s">
        <v>123</v>
      </c>
      <c r="AE212" t="s">
        <v>123</v>
      </c>
      <c r="AF212" t="s">
        <v>916</v>
      </c>
      <c r="AG212" t="s">
        <v>917</v>
      </c>
      <c r="AH212" t="s">
        <v>123</v>
      </c>
      <c r="AI212" t="s">
        <v>128</v>
      </c>
      <c r="AJ212" t="s">
        <v>138</v>
      </c>
      <c r="AK212" t="s">
        <v>139</v>
      </c>
      <c r="AL212" t="s">
        <v>123</v>
      </c>
      <c r="AM212" t="s">
        <v>123</v>
      </c>
      <c r="AN212" t="s">
        <v>123</v>
      </c>
      <c r="AO212" t="s">
        <v>123</v>
      </c>
      <c r="AP212">
        <v>250</v>
      </c>
      <c r="AQ212">
        <v>50</v>
      </c>
      <c r="AR212">
        <v>10</v>
      </c>
      <c r="AS212" t="s">
        <v>123</v>
      </c>
      <c r="AT212" t="s">
        <v>123</v>
      </c>
      <c r="AU212" t="s">
        <v>123</v>
      </c>
      <c r="AV212" t="s">
        <v>123</v>
      </c>
      <c r="AW212" t="s">
        <v>123</v>
      </c>
      <c r="AX212" t="s">
        <v>123</v>
      </c>
      <c r="AY212" t="s">
        <v>123</v>
      </c>
      <c r="AZ212" t="s">
        <v>123</v>
      </c>
      <c r="BA212" t="s">
        <v>237</v>
      </c>
      <c r="BB212" t="s">
        <v>123</v>
      </c>
      <c r="BC212" t="s">
        <v>123</v>
      </c>
      <c r="BD212" t="s">
        <v>123</v>
      </c>
      <c r="BE212" t="s">
        <v>123</v>
      </c>
      <c r="BF212" t="s">
        <v>123</v>
      </c>
      <c r="BG212" t="s">
        <v>734</v>
      </c>
      <c r="BH212" t="s">
        <v>123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123</v>
      </c>
      <c r="BX212" t="s">
        <v>123</v>
      </c>
      <c r="BY212" s="1">
        <v>45965.253227083333</v>
      </c>
      <c r="BZ212">
        <v>1531</v>
      </c>
      <c r="CA212" t="s">
        <v>123</v>
      </c>
      <c r="CB212" t="s">
        <v>123</v>
      </c>
      <c r="CC212">
        <v>0</v>
      </c>
      <c r="CD212" t="s">
        <v>123</v>
      </c>
      <c r="CE212" t="s">
        <v>123</v>
      </c>
      <c r="CF212" t="s">
        <v>123</v>
      </c>
      <c r="CG212" t="s">
        <v>123</v>
      </c>
      <c r="CH212" t="s">
        <v>123</v>
      </c>
      <c r="CI212" t="s">
        <v>123</v>
      </c>
      <c r="CJ212" t="s">
        <v>123</v>
      </c>
      <c r="CK212">
        <v>0.03</v>
      </c>
      <c r="CL212" t="s">
        <v>123</v>
      </c>
      <c r="CM212">
        <v>3.6400000000000002E-2</v>
      </c>
      <c r="CN212" t="s">
        <v>123</v>
      </c>
      <c r="CO212" t="s">
        <v>123</v>
      </c>
      <c r="CP212" t="s">
        <v>123</v>
      </c>
      <c r="CQ212">
        <v>2.4199999999999999E-2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187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  <c r="DN212" t="s">
        <v>123</v>
      </c>
      <c r="DO212" t="s">
        <v>123</v>
      </c>
      <c r="DP212" t="s">
        <v>123</v>
      </c>
      <c r="DQ212" t="s">
        <v>123</v>
      </c>
      <c r="DR212" t="s">
        <v>123</v>
      </c>
      <c r="DS212" t="s">
        <v>123</v>
      </c>
    </row>
    <row r="213" spans="1:123" x14ac:dyDescent="0.3">
      <c r="A213">
        <v>212</v>
      </c>
      <c r="B213" t="s">
        <v>123</v>
      </c>
      <c r="C213" t="s">
        <v>123</v>
      </c>
      <c r="D213" t="s">
        <v>918</v>
      </c>
      <c r="E213" t="s">
        <v>123</v>
      </c>
      <c r="F213" t="s">
        <v>125</v>
      </c>
      <c r="G213" t="s">
        <v>126</v>
      </c>
      <c r="H213" t="s">
        <v>127</v>
      </c>
      <c r="I213" t="s">
        <v>128</v>
      </c>
      <c r="J213" t="s">
        <v>123</v>
      </c>
      <c r="K213" t="s">
        <v>913</v>
      </c>
      <c r="L213" t="s">
        <v>130</v>
      </c>
      <c r="M213" t="s">
        <v>914</v>
      </c>
      <c r="N213" t="s">
        <v>180</v>
      </c>
      <c r="O213" t="s">
        <v>159</v>
      </c>
      <c r="P213" t="s">
        <v>123</v>
      </c>
      <c r="Q213" t="s">
        <v>123</v>
      </c>
      <c r="R213" t="s">
        <v>123</v>
      </c>
      <c r="S213" t="s">
        <v>123</v>
      </c>
      <c r="T213" s="1">
        <v>47284</v>
      </c>
      <c r="U213" t="s">
        <v>123</v>
      </c>
      <c r="V213" t="s">
        <v>123</v>
      </c>
      <c r="W213" t="s">
        <v>123</v>
      </c>
      <c r="X213" t="s">
        <v>123</v>
      </c>
      <c r="Y213" t="s">
        <v>123</v>
      </c>
      <c r="Z213" t="s">
        <v>123</v>
      </c>
      <c r="AA213" t="s">
        <v>123</v>
      </c>
      <c r="AB213" t="s">
        <v>919</v>
      </c>
      <c r="AC213" t="s">
        <v>135</v>
      </c>
      <c r="AD213" t="s">
        <v>123</v>
      </c>
      <c r="AE213" t="s">
        <v>123</v>
      </c>
      <c r="AF213" t="s">
        <v>920</v>
      </c>
      <c r="AG213" t="s">
        <v>921</v>
      </c>
      <c r="AH213" t="s">
        <v>123</v>
      </c>
      <c r="AI213" t="s">
        <v>128</v>
      </c>
      <c r="AJ213" t="s">
        <v>138</v>
      </c>
      <c r="AK213" t="s">
        <v>139</v>
      </c>
      <c r="AL213" t="s">
        <v>123</v>
      </c>
      <c r="AM213" t="s">
        <v>123</v>
      </c>
      <c r="AN213" t="s">
        <v>123</v>
      </c>
      <c r="AO213" t="s">
        <v>123</v>
      </c>
      <c r="AP213">
        <v>250</v>
      </c>
      <c r="AQ213">
        <v>50</v>
      </c>
      <c r="AR213">
        <v>10</v>
      </c>
      <c r="AS213" t="s">
        <v>123</v>
      </c>
      <c r="AT213" t="s">
        <v>123</v>
      </c>
      <c r="AU213" t="s">
        <v>123</v>
      </c>
      <c r="AV213" t="s">
        <v>123</v>
      </c>
      <c r="AW213" t="s">
        <v>123</v>
      </c>
      <c r="AX213" t="s">
        <v>123</v>
      </c>
      <c r="AY213" t="s">
        <v>123</v>
      </c>
      <c r="AZ213" t="s">
        <v>123</v>
      </c>
      <c r="BA213" t="s">
        <v>237</v>
      </c>
      <c r="BB213" t="s">
        <v>123</v>
      </c>
      <c r="BC213" t="s">
        <v>123</v>
      </c>
      <c r="BD213" t="s">
        <v>123</v>
      </c>
      <c r="BE213" t="s">
        <v>123</v>
      </c>
      <c r="BF213" t="s">
        <v>123</v>
      </c>
      <c r="BG213" t="s">
        <v>734</v>
      </c>
      <c r="BH213" t="s">
        <v>123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123</v>
      </c>
      <c r="BX213" t="s">
        <v>123</v>
      </c>
      <c r="BY213" s="1">
        <v>45965.25327685185</v>
      </c>
      <c r="BZ213">
        <v>1531</v>
      </c>
      <c r="CA213" t="s">
        <v>123</v>
      </c>
      <c r="CB213" t="s">
        <v>123</v>
      </c>
      <c r="CC213">
        <v>0</v>
      </c>
      <c r="CD213" t="s">
        <v>123</v>
      </c>
      <c r="CE213" t="s">
        <v>123</v>
      </c>
      <c r="CF213" t="s">
        <v>123</v>
      </c>
      <c r="CG213" t="s">
        <v>123</v>
      </c>
      <c r="CH213" t="s">
        <v>123</v>
      </c>
      <c r="CI213" t="s">
        <v>123</v>
      </c>
      <c r="CJ213" t="s">
        <v>123</v>
      </c>
      <c r="CK213">
        <v>2.3300000000000001E-2</v>
      </c>
      <c r="CL213" t="s">
        <v>123</v>
      </c>
      <c r="CM213">
        <v>2.64E-2</v>
      </c>
      <c r="CN213" t="s">
        <v>123</v>
      </c>
      <c r="CO213" t="s">
        <v>123</v>
      </c>
      <c r="CP213" t="s">
        <v>123</v>
      </c>
      <c r="CQ213">
        <v>2.0500000000000001E-2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187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  <c r="DN213" t="s">
        <v>123</v>
      </c>
      <c r="DO213" t="s">
        <v>123</v>
      </c>
      <c r="DP213" t="s">
        <v>123</v>
      </c>
      <c r="DQ213" t="s">
        <v>123</v>
      </c>
      <c r="DR213" t="s">
        <v>123</v>
      </c>
      <c r="DS213" t="s">
        <v>123</v>
      </c>
    </row>
    <row r="214" spans="1:123" x14ac:dyDescent="0.3">
      <c r="A214">
        <v>213</v>
      </c>
      <c r="B214" t="s">
        <v>123</v>
      </c>
      <c r="C214" t="s">
        <v>123</v>
      </c>
      <c r="D214" t="s">
        <v>922</v>
      </c>
      <c r="E214" t="s">
        <v>123</v>
      </c>
      <c r="F214" t="s">
        <v>125</v>
      </c>
      <c r="G214" t="s">
        <v>126</v>
      </c>
      <c r="H214" t="s">
        <v>127</v>
      </c>
      <c r="I214" t="s">
        <v>128</v>
      </c>
      <c r="J214" t="s">
        <v>123</v>
      </c>
      <c r="K214" t="s">
        <v>923</v>
      </c>
      <c r="L214" t="s">
        <v>130</v>
      </c>
      <c r="M214" t="s">
        <v>924</v>
      </c>
      <c r="N214" t="s">
        <v>123</v>
      </c>
      <c r="O214" t="s">
        <v>123</v>
      </c>
      <c r="P214" t="s">
        <v>123</v>
      </c>
      <c r="Q214" t="s">
        <v>123</v>
      </c>
      <c r="R214" t="s">
        <v>123</v>
      </c>
      <c r="S214" t="s">
        <v>123</v>
      </c>
      <c r="T214" s="1">
        <v>46868</v>
      </c>
      <c r="U214" t="s">
        <v>123</v>
      </c>
      <c r="V214" t="s">
        <v>123</v>
      </c>
      <c r="W214" t="s">
        <v>123</v>
      </c>
      <c r="X214" t="s">
        <v>123</v>
      </c>
      <c r="Y214" t="s">
        <v>123</v>
      </c>
      <c r="Z214" t="s">
        <v>123</v>
      </c>
      <c r="AA214" t="s">
        <v>123</v>
      </c>
      <c r="AB214" t="s">
        <v>925</v>
      </c>
      <c r="AC214" t="s">
        <v>135</v>
      </c>
      <c r="AD214" t="s">
        <v>123</v>
      </c>
      <c r="AE214" t="s">
        <v>123</v>
      </c>
      <c r="AF214" t="s">
        <v>926</v>
      </c>
      <c r="AG214" t="s">
        <v>927</v>
      </c>
      <c r="AH214" t="s">
        <v>123</v>
      </c>
      <c r="AI214" t="s">
        <v>128</v>
      </c>
      <c r="AJ214" t="s">
        <v>928</v>
      </c>
      <c r="AK214" t="s">
        <v>929</v>
      </c>
      <c r="AL214" t="s">
        <v>123</v>
      </c>
      <c r="AM214" t="s">
        <v>123</v>
      </c>
      <c r="AN214" t="s">
        <v>123</v>
      </c>
      <c r="AO214" t="s">
        <v>123</v>
      </c>
      <c r="AP214">
        <v>250</v>
      </c>
      <c r="AQ214">
        <v>50</v>
      </c>
      <c r="AR214">
        <v>10</v>
      </c>
      <c r="AS214" t="s">
        <v>123</v>
      </c>
      <c r="AT214" t="s">
        <v>123</v>
      </c>
      <c r="AU214" t="s">
        <v>123</v>
      </c>
      <c r="AV214" t="s">
        <v>123</v>
      </c>
      <c r="AW214" t="s">
        <v>123</v>
      </c>
      <c r="AX214" t="s">
        <v>123</v>
      </c>
      <c r="AY214" t="s">
        <v>123</v>
      </c>
      <c r="AZ214" t="s">
        <v>123</v>
      </c>
      <c r="BA214" t="s">
        <v>237</v>
      </c>
      <c r="BB214" t="s">
        <v>123</v>
      </c>
      <c r="BC214" t="s">
        <v>123</v>
      </c>
      <c r="BD214" t="s">
        <v>123</v>
      </c>
      <c r="BE214" t="s">
        <v>123</v>
      </c>
      <c r="BF214" t="s">
        <v>123</v>
      </c>
      <c r="BG214" t="s">
        <v>399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s="1">
        <v>45965.253325034719</v>
      </c>
      <c r="BZ214">
        <v>1556</v>
      </c>
      <c r="CA214" t="s">
        <v>123</v>
      </c>
      <c r="CB214" t="s">
        <v>123</v>
      </c>
      <c r="CC214">
        <v>0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>
        <v>1.15E-2</v>
      </c>
      <c r="CL214" t="s">
        <v>123</v>
      </c>
      <c r="CM214">
        <v>1.43E-2</v>
      </c>
      <c r="CN214" t="s">
        <v>123</v>
      </c>
      <c r="CO214" t="s">
        <v>123</v>
      </c>
      <c r="CP214" t="s">
        <v>123</v>
      </c>
      <c r="CQ214">
        <v>9.4000000000000004E-3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205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  <c r="DN214" t="s">
        <v>123</v>
      </c>
      <c r="DO214" t="s">
        <v>123</v>
      </c>
      <c r="DP214" t="s">
        <v>123</v>
      </c>
      <c r="DQ214" t="s">
        <v>123</v>
      </c>
      <c r="DR214" t="s">
        <v>123</v>
      </c>
      <c r="DS214" t="s">
        <v>123</v>
      </c>
    </row>
    <row r="215" spans="1:123" x14ac:dyDescent="0.3">
      <c r="A215">
        <v>214</v>
      </c>
      <c r="B215" t="s">
        <v>123</v>
      </c>
      <c r="C215" t="s">
        <v>123</v>
      </c>
      <c r="D215" t="s">
        <v>930</v>
      </c>
      <c r="E215" t="s">
        <v>123</v>
      </c>
      <c r="F215" t="s">
        <v>125</v>
      </c>
      <c r="G215" t="s">
        <v>126</v>
      </c>
      <c r="H215" t="s">
        <v>127</v>
      </c>
      <c r="I215" t="s">
        <v>128</v>
      </c>
      <c r="J215" t="s">
        <v>123</v>
      </c>
      <c r="K215" t="s">
        <v>931</v>
      </c>
      <c r="L215" t="s">
        <v>130</v>
      </c>
      <c r="M215" t="s">
        <v>932</v>
      </c>
      <c r="N215" t="s">
        <v>248</v>
      </c>
      <c r="O215" t="s">
        <v>159</v>
      </c>
      <c r="P215" t="s">
        <v>123</v>
      </c>
      <c r="Q215" t="s">
        <v>123</v>
      </c>
      <c r="R215" t="s">
        <v>123</v>
      </c>
      <c r="S215" t="s">
        <v>123</v>
      </c>
      <c r="T215" s="1">
        <v>46911</v>
      </c>
      <c r="U215" t="s">
        <v>123</v>
      </c>
      <c r="V215" t="s">
        <v>123</v>
      </c>
      <c r="W215" t="s">
        <v>123</v>
      </c>
      <c r="X215" t="s">
        <v>123</v>
      </c>
      <c r="Y215" t="s">
        <v>123</v>
      </c>
      <c r="Z215" t="s">
        <v>123</v>
      </c>
      <c r="AA215" t="s">
        <v>123</v>
      </c>
      <c r="AB215" t="s">
        <v>933</v>
      </c>
      <c r="AC215" t="s">
        <v>135</v>
      </c>
      <c r="AD215" t="s">
        <v>123</v>
      </c>
      <c r="AE215" t="s">
        <v>123</v>
      </c>
      <c r="AF215" t="s">
        <v>934</v>
      </c>
      <c r="AG215" t="s">
        <v>935</v>
      </c>
      <c r="AH215" t="s">
        <v>123</v>
      </c>
      <c r="AI215" t="s">
        <v>128</v>
      </c>
      <c r="AJ215" t="s">
        <v>138</v>
      </c>
      <c r="AK215" t="s">
        <v>139</v>
      </c>
      <c r="AL215" t="s">
        <v>123</v>
      </c>
      <c r="AM215" t="s">
        <v>123</v>
      </c>
      <c r="AN215" t="s">
        <v>123</v>
      </c>
      <c r="AO215" t="s">
        <v>123</v>
      </c>
      <c r="AP215">
        <v>250</v>
      </c>
      <c r="AQ215">
        <v>50</v>
      </c>
      <c r="AR215">
        <v>10</v>
      </c>
      <c r="AS215" t="s">
        <v>123</v>
      </c>
      <c r="AT215" t="s">
        <v>123</v>
      </c>
      <c r="AU215" t="s">
        <v>123</v>
      </c>
      <c r="AV215" t="s">
        <v>123</v>
      </c>
      <c r="AW215" t="s">
        <v>123</v>
      </c>
      <c r="AX215" t="s">
        <v>123</v>
      </c>
      <c r="AY215" t="s">
        <v>123</v>
      </c>
      <c r="AZ215" t="s">
        <v>123</v>
      </c>
      <c r="BA215" t="s">
        <v>140</v>
      </c>
      <c r="BB215" t="s">
        <v>123</v>
      </c>
      <c r="BC215" t="s">
        <v>123</v>
      </c>
      <c r="BD215" t="s">
        <v>123</v>
      </c>
      <c r="BE215" t="s">
        <v>123</v>
      </c>
      <c r="BF215" t="s">
        <v>123</v>
      </c>
      <c r="BG215" t="s">
        <v>141</v>
      </c>
      <c r="BH215" t="s">
        <v>123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123</v>
      </c>
      <c r="BX215" t="s">
        <v>123</v>
      </c>
      <c r="BY215" s="1">
        <v>45965.253356909721</v>
      </c>
      <c r="BZ215">
        <v>1502</v>
      </c>
      <c r="CA215" t="s">
        <v>123</v>
      </c>
      <c r="CB215" t="s">
        <v>123</v>
      </c>
      <c r="CC215">
        <v>0</v>
      </c>
      <c r="CD215" t="s">
        <v>123</v>
      </c>
      <c r="CE215" t="s">
        <v>123</v>
      </c>
      <c r="CF215" t="s">
        <v>123</v>
      </c>
      <c r="CG215" t="s">
        <v>123</v>
      </c>
      <c r="CH215" t="s">
        <v>123</v>
      </c>
      <c r="CI215" t="s">
        <v>123</v>
      </c>
      <c r="CJ215" t="s">
        <v>123</v>
      </c>
      <c r="CK215">
        <v>3.5999999999999997E-2</v>
      </c>
      <c r="CL215">
        <v>3.8800000000000001E-2</v>
      </c>
      <c r="CM215">
        <v>4.2799999999999998E-2</v>
      </c>
      <c r="CN215">
        <v>4.6199999999999998E-2</v>
      </c>
      <c r="CO215" t="s">
        <v>123</v>
      </c>
      <c r="CP215" t="s">
        <v>123</v>
      </c>
      <c r="CQ215">
        <v>3.0099999999999998E-2</v>
      </c>
      <c r="CR215">
        <v>3.2099999999999997E-2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936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  <c r="DN215" t="s">
        <v>123</v>
      </c>
      <c r="DO215" t="s">
        <v>123</v>
      </c>
      <c r="DP215" t="s">
        <v>123</v>
      </c>
      <c r="DQ215" t="s">
        <v>123</v>
      </c>
      <c r="DR215" t="s">
        <v>123</v>
      </c>
      <c r="DS215" t="s">
        <v>123</v>
      </c>
    </row>
    <row r="216" spans="1:123" x14ac:dyDescent="0.3">
      <c r="A216">
        <v>215</v>
      </c>
      <c r="B216" t="s">
        <v>123</v>
      </c>
      <c r="C216" t="s">
        <v>123</v>
      </c>
      <c r="D216" t="s">
        <v>937</v>
      </c>
      <c r="E216" t="s">
        <v>123</v>
      </c>
      <c r="F216" t="s">
        <v>125</v>
      </c>
      <c r="G216" t="s">
        <v>126</v>
      </c>
      <c r="H216" t="s">
        <v>127</v>
      </c>
      <c r="I216" t="s">
        <v>128</v>
      </c>
      <c r="J216" t="s">
        <v>123</v>
      </c>
      <c r="K216" t="s">
        <v>931</v>
      </c>
      <c r="L216" t="s">
        <v>130</v>
      </c>
      <c r="M216" t="s">
        <v>932</v>
      </c>
      <c r="N216" t="s">
        <v>180</v>
      </c>
      <c r="O216" t="s">
        <v>159</v>
      </c>
      <c r="P216" t="s">
        <v>123</v>
      </c>
      <c r="Q216" t="s">
        <v>123</v>
      </c>
      <c r="R216" t="s">
        <v>123</v>
      </c>
      <c r="S216" t="s">
        <v>123</v>
      </c>
      <c r="T216" s="1">
        <v>46911</v>
      </c>
      <c r="U216" t="s">
        <v>123</v>
      </c>
      <c r="V216" t="s">
        <v>123</v>
      </c>
      <c r="W216" t="s">
        <v>123</v>
      </c>
      <c r="X216" t="s">
        <v>123</v>
      </c>
      <c r="Y216" t="s">
        <v>123</v>
      </c>
      <c r="Z216" t="s">
        <v>123</v>
      </c>
      <c r="AA216" t="s">
        <v>123</v>
      </c>
      <c r="AB216" t="s">
        <v>938</v>
      </c>
      <c r="AC216" t="s">
        <v>135</v>
      </c>
      <c r="AD216" t="s">
        <v>123</v>
      </c>
      <c r="AE216" t="s">
        <v>123</v>
      </c>
      <c r="AF216" t="s">
        <v>934</v>
      </c>
      <c r="AG216" t="s">
        <v>935</v>
      </c>
      <c r="AH216" t="s">
        <v>123</v>
      </c>
      <c r="AI216" t="s">
        <v>128</v>
      </c>
      <c r="AJ216" t="s">
        <v>138</v>
      </c>
      <c r="AK216" t="s">
        <v>139</v>
      </c>
      <c r="AL216" t="s">
        <v>123</v>
      </c>
      <c r="AM216" t="s">
        <v>123</v>
      </c>
      <c r="AN216" t="s">
        <v>123</v>
      </c>
      <c r="AO216" t="s">
        <v>123</v>
      </c>
      <c r="AP216">
        <v>250</v>
      </c>
      <c r="AQ216">
        <v>50</v>
      </c>
      <c r="AR216">
        <v>10</v>
      </c>
      <c r="AS216" t="s">
        <v>123</v>
      </c>
      <c r="AT216" t="s">
        <v>123</v>
      </c>
      <c r="AU216" t="s">
        <v>123</v>
      </c>
      <c r="AV216" t="s">
        <v>123</v>
      </c>
      <c r="AW216" t="s">
        <v>123</v>
      </c>
      <c r="AX216" t="s">
        <v>123</v>
      </c>
      <c r="AY216" t="s">
        <v>123</v>
      </c>
      <c r="AZ216" t="s">
        <v>123</v>
      </c>
      <c r="BA216" t="s">
        <v>140</v>
      </c>
      <c r="BB216" t="s">
        <v>123</v>
      </c>
      <c r="BC216" t="s">
        <v>123</v>
      </c>
      <c r="BD216" t="s">
        <v>123</v>
      </c>
      <c r="BE216" t="s">
        <v>123</v>
      </c>
      <c r="BF216" t="s">
        <v>123</v>
      </c>
      <c r="BG216" t="s">
        <v>141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s="1">
        <v>45965.253383101852</v>
      </c>
      <c r="BZ216">
        <v>1502</v>
      </c>
      <c r="CA216" t="s">
        <v>123</v>
      </c>
      <c r="CB216" t="s">
        <v>123</v>
      </c>
      <c r="CC216">
        <v>0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>
        <v>2.3599999999999999E-2</v>
      </c>
      <c r="CL216">
        <v>2.53E-2</v>
      </c>
      <c r="CM216">
        <v>3.0099999999999998E-2</v>
      </c>
      <c r="CN216">
        <v>3.2099999999999997E-2</v>
      </c>
      <c r="CO216" t="s">
        <v>123</v>
      </c>
      <c r="CP216" t="s">
        <v>123</v>
      </c>
      <c r="CQ216">
        <v>1.95E-2</v>
      </c>
      <c r="CR216">
        <v>2.1100000000000001E-2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936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  <c r="DN216" t="s">
        <v>123</v>
      </c>
      <c r="DO216" t="s">
        <v>123</v>
      </c>
      <c r="DP216" t="s">
        <v>123</v>
      </c>
      <c r="DQ216" t="s">
        <v>123</v>
      </c>
      <c r="DR216" t="s">
        <v>123</v>
      </c>
      <c r="DS216" t="s">
        <v>123</v>
      </c>
    </row>
    <row r="217" spans="1:123" x14ac:dyDescent="0.3">
      <c r="A217">
        <v>216</v>
      </c>
      <c r="B217" t="s">
        <v>123</v>
      </c>
      <c r="C217" t="s">
        <v>123</v>
      </c>
      <c r="D217" t="s">
        <v>939</v>
      </c>
      <c r="E217" t="s">
        <v>123</v>
      </c>
      <c r="F217" t="s">
        <v>125</v>
      </c>
      <c r="G217" t="s">
        <v>126</v>
      </c>
      <c r="H217" t="s">
        <v>127</v>
      </c>
      <c r="I217" t="s">
        <v>128</v>
      </c>
      <c r="J217" t="s">
        <v>123</v>
      </c>
      <c r="K217" t="s">
        <v>931</v>
      </c>
      <c r="L217" t="s">
        <v>130</v>
      </c>
      <c r="M217" t="s">
        <v>932</v>
      </c>
      <c r="N217" t="s">
        <v>158</v>
      </c>
      <c r="O217" t="s">
        <v>159</v>
      </c>
      <c r="P217" t="s">
        <v>123</v>
      </c>
      <c r="Q217" t="s">
        <v>123</v>
      </c>
      <c r="R217" t="s">
        <v>123</v>
      </c>
      <c r="S217" t="s">
        <v>123</v>
      </c>
      <c r="T217" s="1">
        <v>46911</v>
      </c>
      <c r="U217" t="s">
        <v>123</v>
      </c>
      <c r="V217" t="s">
        <v>123</v>
      </c>
      <c r="W217" t="s">
        <v>123</v>
      </c>
      <c r="X217" t="s">
        <v>123</v>
      </c>
      <c r="Y217" t="s">
        <v>123</v>
      </c>
      <c r="Z217" t="s">
        <v>123</v>
      </c>
      <c r="AA217" t="s">
        <v>123</v>
      </c>
      <c r="AB217" t="s">
        <v>940</v>
      </c>
      <c r="AC217" t="s">
        <v>135</v>
      </c>
      <c r="AD217" t="s">
        <v>123</v>
      </c>
      <c r="AE217" t="s">
        <v>123</v>
      </c>
      <c r="AF217" t="s">
        <v>934</v>
      </c>
      <c r="AG217" t="s">
        <v>935</v>
      </c>
      <c r="AH217" t="s">
        <v>123</v>
      </c>
      <c r="AI217" t="s">
        <v>128</v>
      </c>
      <c r="AJ217" t="s">
        <v>138</v>
      </c>
      <c r="AK217" t="s">
        <v>139</v>
      </c>
      <c r="AL217" t="s">
        <v>123</v>
      </c>
      <c r="AM217" t="s">
        <v>123</v>
      </c>
      <c r="AN217" t="s">
        <v>123</v>
      </c>
      <c r="AO217" t="s">
        <v>123</v>
      </c>
      <c r="AP217">
        <v>250</v>
      </c>
      <c r="AQ217">
        <v>50</v>
      </c>
      <c r="AR217">
        <v>10</v>
      </c>
      <c r="AS217" t="s">
        <v>123</v>
      </c>
      <c r="AT217" t="s">
        <v>123</v>
      </c>
      <c r="AU217" t="s">
        <v>123</v>
      </c>
      <c r="AV217" t="s">
        <v>123</v>
      </c>
      <c r="AW217" t="s">
        <v>123</v>
      </c>
      <c r="AX217" t="s">
        <v>123</v>
      </c>
      <c r="AY217" t="s">
        <v>123</v>
      </c>
      <c r="AZ217" t="s">
        <v>123</v>
      </c>
      <c r="BA217" t="s">
        <v>140</v>
      </c>
      <c r="BB217" t="s">
        <v>123</v>
      </c>
      <c r="BC217" t="s">
        <v>123</v>
      </c>
      <c r="BD217" t="s">
        <v>123</v>
      </c>
      <c r="BE217" t="s">
        <v>123</v>
      </c>
      <c r="BF217" t="s">
        <v>123</v>
      </c>
      <c r="BG217" t="s">
        <v>141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s="1">
        <v>45965.253414618055</v>
      </c>
      <c r="BZ217">
        <v>1502</v>
      </c>
      <c r="CA217" t="s">
        <v>123</v>
      </c>
      <c r="CB217" t="s">
        <v>123</v>
      </c>
      <c r="CC217">
        <v>0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>
        <v>1.46E-2</v>
      </c>
      <c r="CL217">
        <v>1.5699999999999999E-2</v>
      </c>
      <c r="CM217">
        <v>1.95E-2</v>
      </c>
      <c r="CN217">
        <v>2.1100000000000001E-2</v>
      </c>
      <c r="CO217" t="s">
        <v>123</v>
      </c>
      <c r="CP217" t="s">
        <v>123</v>
      </c>
      <c r="CQ217">
        <v>1.0800000000000001E-2</v>
      </c>
      <c r="CR217">
        <v>1.15E-2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936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  <c r="DN217" t="s">
        <v>123</v>
      </c>
      <c r="DO217" t="s">
        <v>123</v>
      </c>
      <c r="DP217" t="s">
        <v>123</v>
      </c>
      <c r="DQ217" t="s">
        <v>123</v>
      </c>
      <c r="DR217" t="s">
        <v>123</v>
      </c>
      <c r="DS217" t="s">
        <v>123</v>
      </c>
    </row>
    <row r="218" spans="1:123" x14ac:dyDescent="0.3">
      <c r="A218">
        <v>217</v>
      </c>
      <c r="B218" t="s">
        <v>123</v>
      </c>
      <c r="C218" t="s">
        <v>123</v>
      </c>
      <c r="D218" t="s">
        <v>941</v>
      </c>
      <c r="E218" t="s">
        <v>123</v>
      </c>
      <c r="F218" t="s">
        <v>125</v>
      </c>
      <c r="G218" t="s">
        <v>126</v>
      </c>
      <c r="H218" t="s">
        <v>127</v>
      </c>
      <c r="I218" t="s">
        <v>128</v>
      </c>
      <c r="J218" t="s">
        <v>123</v>
      </c>
      <c r="K218" t="s">
        <v>768</v>
      </c>
      <c r="L218" t="s">
        <v>130</v>
      </c>
      <c r="M218" t="s">
        <v>769</v>
      </c>
      <c r="N218" t="s">
        <v>158</v>
      </c>
      <c r="O218" t="s">
        <v>133</v>
      </c>
      <c r="P218" t="s">
        <v>123</v>
      </c>
      <c r="Q218" t="s">
        <v>123</v>
      </c>
      <c r="R218" t="s">
        <v>123</v>
      </c>
      <c r="S218" t="s">
        <v>123</v>
      </c>
      <c r="T218" s="1">
        <v>46120</v>
      </c>
      <c r="U218" t="s">
        <v>123</v>
      </c>
      <c r="V218" t="s">
        <v>123</v>
      </c>
      <c r="W218" t="s">
        <v>123</v>
      </c>
      <c r="X218" t="s">
        <v>123</v>
      </c>
      <c r="Y218" t="s">
        <v>123</v>
      </c>
      <c r="Z218" t="s">
        <v>123</v>
      </c>
      <c r="AA218" t="s">
        <v>123</v>
      </c>
      <c r="AB218" t="s">
        <v>942</v>
      </c>
      <c r="AC218" t="s">
        <v>135</v>
      </c>
      <c r="AD218" t="s">
        <v>123</v>
      </c>
      <c r="AE218" t="s">
        <v>123</v>
      </c>
      <c r="AF218" t="s">
        <v>227</v>
      </c>
      <c r="AG218" t="s">
        <v>228</v>
      </c>
      <c r="AH218" t="s">
        <v>123</v>
      </c>
      <c r="AI218" t="s">
        <v>128</v>
      </c>
      <c r="AJ218" t="s">
        <v>186</v>
      </c>
      <c r="AK218" t="s">
        <v>163</v>
      </c>
      <c r="AL218" t="s">
        <v>123</v>
      </c>
      <c r="AM218" t="s">
        <v>123</v>
      </c>
      <c r="AN218" t="s">
        <v>123</v>
      </c>
      <c r="AO218" t="s">
        <v>123</v>
      </c>
      <c r="AP218">
        <v>250</v>
      </c>
      <c r="AQ218">
        <v>50</v>
      </c>
      <c r="AR218">
        <v>10</v>
      </c>
      <c r="AS218" t="s">
        <v>123</v>
      </c>
      <c r="AT218" t="s">
        <v>123</v>
      </c>
      <c r="AU218" t="s">
        <v>123</v>
      </c>
      <c r="AV218" t="s">
        <v>123</v>
      </c>
      <c r="AW218" t="s">
        <v>123</v>
      </c>
      <c r="AX218" t="s">
        <v>123</v>
      </c>
      <c r="AY218" t="s">
        <v>123</v>
      </c>
      <c r="AZ218" t="s">
        <v>123</v>
      </c>
      <c r="BA218" t="s">
        <v>140</v>
      </c>
      <c r="BB218" t="s">
        <v>123</v>
      </c>
      <c r="BC218" t="s">
        <v>123</v>
      </c>
      <c r="BD218" t="s">
        <v>123</v>
      </c>
      <c r="BE218" t="s">
        <v>123</v>
      </c>
      <c r="BF218" t="s">
        <v>123</v>
      </c>
      <c r="BG218" t="s">
        <v>141</v>
      </c>
      <c r="BH218" t="s">
        <v>123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123</v>
      </c>
      <c r="BX218" t="s">
        <v>123</v>
      </c>
      <c r="BY218" s="1">
        <v>45965.253448958334</v>
      </c>
      <c r="BZ218">
        <v>1524</v>
      </c>
      <c r="CA218" t="s">
        <v>123</v>
      </c>
      <c r="CB218" t="s">
        <v>123</v>
      </c>
      <c r="CC218">
        <v>0</v>
      </c>
      <c r="CD218" t="s">
        <v>123</v>
      </c>
      <c r="CE218" t="s">
        <v>123</v>
      </c>
      <c r="CF218" t="s">
        <v>123</v>
      </c>
      <c r="CG218" t="s">
        <v>123</v>
      </c>
      <c r="CH218" t="s">
        <v>123</v>
      </c>
      <c r="CI218" t="s">
        <v>123</v>
      </c>
      <c r="CJ218" t="s">
        <v>123</v>
      </c>
      <c r="CK218">
        <v>2.52E-2</v>
      </c>
      <c r="CL218">
        <v>2.7E-2</v>
      </c>
      <c r="CM218">
        <v>2.81E-2</v>
      </c>
      <c r="CN218">
        <v>3.04E-2</v>
      </c>
      <c r="CO218" t="s">
        <v>123</v>
      </c>
      <c r="CP218" t="s">
        <v>123</v>
      </c>
      <c r="CQ218">
        <v>2.2200000000000001E-2</v>
      </c>
      <c r="CR218">
        <v>2.3699999999999999E-2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205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  <c r="DN218" t="s">
        <v>123</v>
      </c>
      <c r="DO218" t="s">
        <v>123</v>
      </c>
      <c r="DP218" t="s">
        <v>123</v>
      </c>
      <c r="DQ218" t="s">
        <v>123</v>
      </c>
      <c r="DR218" t="s">
        <v>123</v>
      </c>
      <c r="DS218" t="s">
        <v>123</v>
      </c>
    </row>
    <row r="219" spans="1:123" x14ac:dyDescent="0.3">
      <c r="A219">
        <v>218</v>
      </c>
      <c r="B219" t="s">
        <v>123</v>
      </c>
      <c r="C219" t="s">
        <v>123</v>
      </c>
      <c r="D219" t="s">
        <v>943</v>
      </c>
      <c r="E219" t="s">
        <v>123</v>
      </c>
      <c r="F219" t="s">
        <v>125</v>
      </c>
      <c r="G219" t="s">
        <v>126</v>
      </c>
      <c r="H219" t="s">
        <v>127</v>
      </c>
      <c r="I219" t="s">
        <v>128</v>
      </c>
      <c r="J219" t="s">
        <v>123</v>
      </c>
      <c r="K219" t="s">
        <v>944</v>
      </c>
      <c r="L219" t="s">
        <v>130</v>
      </c>
      <c r="M219" t="s">
        <v>945</v>
      </c>
      <c r="N219" t="s">
        <v>158</v>
      </c>
      <c r="O219" t="s">
        <v>133</v>
      </c>
      <c r="P219" t="s">
        <v>123</v>
      </c>
      <c r="Q219" t="s">
        <v>123</v>
      </c>
      <c r="R219" t="s">
        <v>123</v>
      </c>
      <c r="S219" t="s">
        <v>123</v>
      </c>
      <c r="T219" s="1">
        <v>46211</v>
      </c>
      <c r="U219" t="s">
        <v>123</v>
      </c>
      <c r="V219" t="s">
        <v>123</v>
      </c>
      <c r="W219" t="s">
        <v>123</v>
      </c>
      <c r="X219" t="s">
        <v>123</v>
      </c>
      <c r="Y219" t="s">
        <v>123</v>
      </c>
      <c r="Z219" t="s">
        <v>123</v>
      </c>
      <c r="AA219" t="s">
        <v>123</v>
      </c>
      <c r="AB219" t="s">
        <v>946</v>
      </c>
      <c r="AC219" t="s">
        <v>135</v>
      </c>
      <c r="AD219" t="s">
        <v>123</v>
      </c>
      <c r="AE219" t="s">
        <v>123</v>
      </c>
      <c r="AF219" t="s">
        <v>597</v>
      </c>
      <c r="AG219" t="s">
        <v>322</v>
      </c>
      <c r="AH219" t="s">
        <v>123</v>
      </c>
      <c r="AI219" t="s">
        <v>128</v>
      </c>
      <c r="AJ219" t="s">
        <v>138</v>
      </c>
      <c r="AK219" t="s">
        <v>139</v>
      </c>
      <c r="AL219" t="s">
        <v>123</v>
      </c>
      <c r="AM219" t="s">
        <v>123</v>
      </c>
      <c r="AN219" t="s">
        <v>123</v>
      </c>
      <c r="AO219" t="s">
        <v>123</v>
      </c>
      <c r="AP219">
        <v>250</v>
      </c>
      <c r="AQ219">
        <v>50</v>
      </c>
      <c r="AR219">
        <v>10</v>
      </c>
      <c r="AS219" t="s">
        <v>123</v>
      </c>
      <c r="AT219" t="s">
        <v>123</v>
      </c>
      <c r="AU219" t="s">
        <v>123</v>
      </c>
      <c r="AV219" t="s">
        <v>123</v>
      </c>
      <c r="AW219" t="s">
        <v>123</v>
      </c>
      <c r="AX219" t="s">
        <v>123</v>
      </c>
      <c r="AY219" t="s">
        <v>123</v>
      </c>
      <c r="AZ219" t="s">
        <v>123</v>
      </c>
      <c r="BA219" t="s">
        <v>140</v>
      </c>
      <c r="BB219" t="s">
        <v>123</v>
      </c>
      <c r="BC219" t="s">
        <v>123</v>
      </c>
      <c r="BD219" t="s">
        <v>123</v>
      </c>
      <c r="BE219" t="s">
        <v>123</v>
      </c>
      <c r="BF219" t="s">
        <v>123</v>
      </c>
      <c r="BG219" t="s">
        <v>141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s="1">
        <v>45965.253525497683</v>
      </c>
      <c r="BZ219">
        <v>1505</v>
      </c>
      <c r="CA219" t="s">
        <v>123</v>
      </c>
      <c r="CB219" t="s">
        <v>123</v>
      </c>
      <c r="CC219">
        <v>0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>
        <v>5.7000000000000002E-3</v>
      </c>
      <c r="CL219">
        <v>5.7999999999999996E-3</v>
      </c>
      <c r="CM219">
        <v>6.6E-3</v>
      </c>
      <c r="CN219">
        <v>6.7000000000000002E-3</v>
      </c>
      <c r="CO219" t="s">
        <v>123</v>
      </c>
      <c r="CP219" t="s">
        <v>123</v>
      </c>
      <c r="CQ219">
        <v>4.7000000000000002E-3</v>
      </c>
      <c r="CR219">
        <v>4.7999999999999996E-3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205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  <c r="DN219" t="s">
        <v>123</v>
      </c>
      <c r="DO219" t="s">
        <v>123</v>
      </c>
      <c r="DP219" t="s">
        <v>123</v>
      </c>
      <c r="DQ219" t="s">
        <v>123</v>
      </c>
      <c r="DR219" t="s">
        <v>123</v>
      </c>
      <c r="DS219" t="s">
        <v>123</v>
      </c>
    </row>
    <row r="220" spans="1:123" x14ac:dyDescent="0.3">
      <c r="A220">
        <v>219</v>
      </c>
      <c r="B220" t="s">
        <v>123</v>
      </c>
      <c r="C220" t="s">
        <v>123</v>
      </c>
      <c r="D220" t="s">
        <v>947</v>
      </c>
      <c r="E220" t="s">
        <v>123</v>
      </c>
      <c r="F220" t="s">
        <v>125</v>
      </c>
      <c r="G220" t="s">
        <v>126</v>
      </c>
      <c r="H220" t="s">
        <v>127</v>
      </c>
      <c r="I220" t="s">
        <v>128</v>
      </c>
      <c r="J220" t="s">
        <v>123</v>
      </c>
      <c r="K220" t="s">
        <v>948</v>
      </c>
      <c r="L220" t="s">
        <v>130</v>
      </c>
      <c r="M220" t="s">
        <v>949</v>
      </c>
      <c r="N220" t="s">
        <v>158</v>
      </c>
      <c r="O220" t="s">
        <v>150</v>
      </c>
      <c r="P220" t="s">
        <v>123</v>
      </c>
      <c r="Q220" t="s">
        <v>123</v>
      </c>
      <c r="R220" t="s">
        <v>123</v>
      </c>
      <c r="S220" t="s">
        <v>123</v>
      </c>
      <c r="T220" s="1">
        <v>46520</v>
      </c>
      <c r="U220" t="s">
        <v>123</v>
      </c>
      <c r="V220" t="s">
        <v>123</v>
      </c>
      <c r="W220" t="s">
        <v>123</v>
      </c>
      <c r="X220" t="s">
        <v>123</v>
      </c>
      <c r="Y220" t="s">
        <v>123</v>
      </c>
      <c r="Z220" t="s">
        <v>123</v>
      </c>
      <c r="AA220" t="s">
        <v>123</v>
      </c>
      <c r="AB220" t="s">
        <v>950</v>
      </c>
      <c r="AC220" t="s">
        <v>135</v>
      </c>
      <c r="AD220" t="s">
        <v>123</v>
      </c>
      <c r="AE220" t="s">
        <v>123</v>
      </c>
      <c r="AF220" t="s">
        <v>176</v>
      </c>
      <c r="AG220" t="s">
        <v>177</v>
      </c>
      <c r="AH220" t="s">
        <v>123</v>
      </c>
      <c r="AI220" t="s">
        <v>128</v>
      </c>
      <c r="AJ220" t="s">
        <v>186</v>
      </c>
      <c r="AK220" t="s">
        <v>139</v>
      </c>
      <c r="AL220" t="s">
        <v>123</v>
      </c>
      <c r="AM220" t="s">
        <v>123</v>
      </c>
      <c r="AN220" t="s">
        <v>123</v>
      </c>
      <c r="AO220" t="s">
        <v>123</v>
      </c>
      <c r="AP220">
        <v>250</v>
      </c>
      <c r="AQ220">
        <v>50</v>
      </c>
      <c r="AR220">
        <v>10</v>
      </c>
      <c r="AS220" t="s">
        <v>123</v>
      </c>
      <c r="AT220" t="s">
        <v>123</v>
      </c>
      <c r="AU220" t="s">
        <v>123</v>
      </c>
      <c r="AV220" t="s">
        <v>123</v>
      </c>
      <c r="AW220" t="s">
        <v>123</v>
      </c>
      <c r="AX220" t="s">
        <v>123</v>
      </c>
      <c r="AY220" t="s">
        <v>123</v>
      </c>
      <c r="AZ220" t="s">
        <v>123</v>
      </c>
      <c r="BA220" t="s">
        <v>140</v>
      </c>
      <c r="BB220" t="s">
        <v>123</v>
      </c>
      <c r="BC220" t="s">
        <v>123</v>
      </c>
      <c r="BD220" t="s">
        <v>123</v>
      </c>
      <c r="BE220" t="s">
        <v>123</v>
      </c>
      <c r="BF220" t="s">
        <v>123</v>
      </c>
      <c r="BG220" t="s">
        <v>141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s="1">
        <v>45965.253550266207</v>
      </c>
      <c r="BZ220">
        <v>1468</v>
      </c>
      <c r="CA220" t="s">
        <v>123</v>
      </c>
      <c r="CB220" t="s">
        <v>123</v>
      </c>
      <c r="CC220">
        <v>0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>
        <v>1.24E-2</v>
      </c>
      <c r="CL220">
        <v>1.43E-2</v>
      </c>
      <c r="CM220">
        <v>1.34E-2</v>
      </c>
      <c r="CN220">
        <v>1.5800000000000002E-2</v>
      </c>
      <c r="CO220" t="s">
        <v>123</v>
      </c>
      <c r="CP220" t="s">
        <v>123</v>
      </c>
      <c r="CQ220">
        <v>1.1299999999999999E-2</v>
      </c>
      <c r="CR220">
        <v>1.3100000000000001E-2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187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  <c r="DN220" t="s">
        <v>123</v>
      </c>
      <c r="DO220" t="s">
        <v>123</v>
      </c>
      <c r="DP220" t="s">
        <v>123</v>
      </c>
      <c r="DQ220" t="s">
        <v>123</v>
      </c>
      <c r="DR220" t="s">
        <v>123</v>
      </c>
      <c r="DS220" t="s">
        <v>123</v>
      </c>
    </row>
    <row r="221" spans="1:123" x14ac:dyDescent="0.3">
      <c r="A221">
        <v>220</v>
      </c>
      <c r="B221" t="s">
        <v>123</v>
      </c>
      <c r="C221" t="s">
        <v>123</v>
      </c>
      <c r="D221" t="s">
        <v>951</v>
      </c>
      <c r="E221" t="s">
        <v>123</v>
      </c>
      <c r="F221" t="s">
        <v>125</v>
      </c>
      <c r="G221" t="s">
        <v>126</v>
      </c>
      <c r="H221" t="s">
        <v>127</v>
      </c>
      <c r="I221" t="s">
        <v>128</v>
      </c>
      <c r="J221" t="s">
        <v>123</v>
      </c>
      <c r="K221" t="s">
        <v>948</v>
      </c>
      <c r="L221" t="s">
        <v>130</v>
      </c>
      <c r="M221" t="s">
        <v>949</v>
      </c>
      <c r="N221" t="s">
        <v>180</v>
      </c>
      <c r="O221" t="s">
        <v>150</v>
      </c>
      <c r="P221" t="s">
        <v>123</v>
      </c>
      <c r="Q221" t="s">
        <v>123</v>
      </c>
      <c r="R221" t="s">
        <v>123</v>
      </c>
      <c r="S221" t="s">
        <v>123</v>
      </c>
      <c r="T221" s="1">
        <v>46520</v>
      </c>
      <c r="U221" t="s">
        <v>123</v>
      </c>
      <c r="V221" t="s">
        <v>123</v>
      </c>
      <c r="W221" t="s">
        <v>123</v>
      </c>
      <c r="X221" t="s">
        <v>123</v>
      </c>
      <c r="Y221" t="s">
        <v>123</v>
      </c>
      <c r="Z221" t="s">
        <v>123</v>
      </c>
      <c r="AA221" t="s">
        <v>123</v>
      </c>
      <c r="AB221" t="s">
        <v>952</v>
      </c>
      <c r="AC221" t="s">
        <v>135</v>
      </c>
      <c r="AD221" t="s">
        <v>123</v>
      </c>
      <c r="AE221" t="s">
        <v>123</v>
      </c>
      <c r="AF221" t="s">
        <v>176</v>
      </c>
      <c r="AG221" t="s">
        <v>177</v>
      </c>
      <c r="AH221" t="s">
        <v>123</v>
      </c>
      <c r="AI221" t="s">
        <v>128</v>
      </c>
      <c r="AJ221" t="s">
        <v>186</v>
      </c>
      <c r="AK221" t="s">
        <v>139</v>
      </c>
      <c r="AL221" t="s">
        <v>123</v>
      </c>
      <c r="AM221" t="s">
        <v>123</v>
      </c>
      <c r="AN221" t="s">
        <v>123</v>
      </c>
      <c r="AO221" t="s">
        <v>123</v>
      </c>
      <c r="AP221">
        <v>250</v>
      </c>
      <c r="AQ221">
        <v>50</v>
      </c>
      <c r="AR221">
        <v>10</v>
      </c>
      <c r="AS221" t="s">
        <v>123</v>
      </c>
      <c r="AT221" t="s">
        <v>123</v>
      </c>
      <c r="AU221" t="s">
        <v>123</v>
      </c>
      <c r="AV221" t="s">
        <v>123</v>
      </c>
      <c r="AW221" t="s">
        <v>123</v>
      </c>
      <c r="AX221" t="s">
        <v>123</v>
      </c>
      <c r="AY221" t="s">
        <v>123</v>
      </c>
      <c r="AZ221" t="s">
        <v>123</v>
      </c>
      <c r="BA221" t="s">
        <v>140</v>
      </c>
      <c r="BB221" t="s">
        <v>123</v>
      </c>
      <c r="BC221" t="s">
        <v>123</v>
      </c>
      <c r="BD221" t="s">
        <v>123</v>
      </c>
      <c r="BE221" t="s">
        <v>123</v>
      </c>
      <c r="BF221" t="s">
        <v>123</v>
      </c>
      <c r="BG221" t="s">
        <v>141</v>
      </c>
      <c r="BH221" t="s">
        <v>123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123</v>
      </c>
      <c r="BX221" t="s">
        <v>123</v>
      </c>
      <c r="BY221" s="1">
        <v>45965.253574618058</v>
      </c>
      <c r="BZ221">
        <v>1468</v>
      </c>
      <c r="CA221" t="s">
        <v>123</v>
      </c>
      <c r="CB221" t="s">
        <v>123</v>
      </c>
      <c r="CC221">
        <v>0</v>
      </c>
      <c r="CD221" t="s">
        <v>123</v>
      </c>
      <c r="CE221" t="s">
        <v>123</v>
      </c>
      <c r="CF221" t="s">
        <v>123</v>
      </c>
      <c r="CG221" t="s">
        <v>123</v>
      </c>
      <c r="CH221" t="s">
        <v>123</v>
      </c>
      <c r="CI221" t="s">
        <v>123</v>
      </c>
      <c r="CJ221" t="s">
        <v>123</v>
      </c>
      <c r="CK221">
        <v>1.5100000000000001E-2</v>
      </c>
      <c r="CL221">
        <v>1.77E-2</v>
      </c>
      <c r="CM221">
        <v>1.7399999999999999E-2</v>
      </c>
      <c r="CN221">
        <v>2.0299999999999999E-2</v>
      </c>
      <c r="CO221" t="s">
        <v>123</v>
      </c>
      <c r="CP221" t="s">
        <v>123</v>
      </c>
      <c r="CQ221">
        <v>1.34E-2</v>
      </c>
      <c r="CR221">
        <v>1.5800000000000002E-2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187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  <c r="DN221" t="s">
        <v>123</v>
      </c>
      <c r="DO221" t="s">
        <v>123</v>
      </c>
      <c r="DP221" t="s">
        <v>123</v>
      </c>
      <c r="DQ221" t="s">
        <v>123</v>
      </c>
      <c r="DR221" t="s">
        <v>123</v>
      </c>
      <c r="DS221" t="s">
        <v>123</v>
      </c>
    </row>
    <row r="222" spans="1:123" x14ac:dyDescent="0.3">
      <c r="A222">
        <v>221</v>
      </c>
      <c r="B222" t="s">
        <v>123</v>
      </c>
      <c r="C222" t="s">
        <v>123</v>
      </c>
      <c r="D222" t="s">
        <v>953</v>
      </c>
      <c r="E222" t="s">
        <v>123</v>
      </c>
      <c r="F222" t="s">
        <v>125</v>
      </c>
      <c r="G222" t="s">
        <v>126</v>
      </c>
      <c r="H222" t="s">
        <v>127</v>
      </c>
      <c r="I222" t="s">
        <v>128</v>
      </c>
      <c r="J222" t="s">
        <v>123</v>
      </c>
      <c r="K222" t="s">
        <v>948</v>
      </c>
      <c r="L222" t="s">
        <v>130</v>
      </c>
      <c r="M222" t="s">
        <v>949</v>
      </c>
      <c r="N222" t="s">
        <v>248</v>
      </c>
      <c r="O222" t="s">
        <v>150</v>
      </c>
      <c r="P222" t="s">
        <v>123</v>
      </c>
      <c r="Q222" t="s">
        <v>123</v>
      </c>
      <c r="R222" t="s">
        <v>123</v>
      </c>
      <c r="S222" t="s">
        <v>123</v>
      </c>
      <c r="T222" s="1">
        <v>46520</v>
      </c>
      <c r="U222" t="s">
        <v>123</v>
      </c>
      <c r="V222" t="s">
        <v>123</v>
      </c>
      <c r="W222" t="s">
        <v>123</v>
      </c>
      <c r="X222" t="s">
        <v>123</v>
      </c>
      <c r="Y222" t="s">
        <v>123</v>
      </c>
      <c r="Z222" t="s">
        <v>123</v>
      </c>
      <c r="AA222" t="s">
        <v>123</v>
      </c>
      <c r="AB222" t="s">
        <v>954</v>
      </c>
      <c r="AC222" t="s">
        <v>135</v>
      </c>
      <c r="AD222" t="s">
        <v>123</v>
      </c>
      <c r="AE222" t="s">
        <v>123</v>
      </c>
      <c r="AF222" t="s">
        <v>176</v>
      </c>
      <c r="AG222" t="s">
        <v>177</v>
      </c>
      <c r="AH222" t="s">
        <v>123</v>
      </c>
      <c r="AI222" t="s">
        <v>128</v>
      </c>
      <c r="AJ222" t="s">
        <v>186</v>
      </c>
      <c r="AK222" t="s">
        <v>139</v>
      </c>
      <c r="AL222" t="s">
        <v>123</v>
      </c>
      <c r="AM222" t="s">
        <v>123</v>
      </c>
      <c r="AN222" t="s">
        <v>123</v>
      </c>
      <c r="AO222" t="s">
        <v>123</v>
      </c>
      <c r="AP222">
        <v>250</v>
      </c>
      <c r="AQ222">
        <v>50</v>
      </c>
      <c r="AR222">
        <v>10</v>
      </c>
      <c r="AS222" t="s">
        <v>123</v>
      </c>
      <c r="AT222" t="s">
        <v>123</v>
      </c>
      <c r="AU222" t="s">
        <v>123</v>
      </c>
      <c r="AV222" t="s">
        <v>123</v>
      </c>
      <c r="AW222" t="s">
        <v>123</v>
      </c>
      <c r="AX222" t="s">
        <v>123</v>
      </c>
      <c r="AY222" t="s">
        <v>123</v>
      </c>
      <c r="AZ222" t="s">
        <v>123</v>
      </c>
      <c r="BA222" t="s">
        <v>140</v>
      </c>
      <c r="BB222" t="s">
        <v>123</v>
      </c>
      <c r="BC222" t="s">
        <v>123</v>
      </c>
      <c r="BD222" t="s">
        <v>123</v>
      </c>
      <c r="BE222" t="s">
        <v>123</v>
      </c>
      <c r="BF222" t="s">
        <v>123</v>
      </c>
      <c r="BG222" t="s">
        <v>141</v>
      </c>
      <c r="BH222" t="s">
        <v>123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123</v>
      </c>
      <c r="BX222" t="s">
        <v>123</v>
      </c>
      <c r="BY222" s="1">
        <v>45965.253599270836</v>
      </c>
      <c r="BZ222">
        <v>1468</v>
      </c>
      <c r="CA222" t="s">
        <v>123</v>
      </c>
      <c r="CB222" t="s">
        <v>123</v>
      </c>
      <c r="CC222">
        <v>0</v>
      </c>
      <c r="CD222" t="s">
        <v>123</v>
      </c>
      <c r="CE222" t="s">
        <v>123</v>
      </c>
      <c r="CF222" t="s">
        <v>123</v>
      </c>
      <c r="CG222" t="s">
        <v>123</v>
      </c>
      <c r="CH222" t="s">
        <v>123</v>
      </c>
      <c r="CI222" t="s">
        <v>123</v>
      </c>
      <c r="CJ222" t="s">
        <v>123</v>
      </c>
      <c r="CK222">
        <v>1.9099999999999999E-2</v>
      </c>
      <c r="CL222">
        <v>2.2200000000000001E-2</v>
      </c>
      <c r="CM222">
        <v>2.06E-2</v>
      </c>
      <c r="CN222">
        <v>2.41E-2</v>
      </c>
      <c r="CO222" t="s">
        <v>123</v>
      </c>
      <c r="CP222" t="s">
        <v>123</v>
      </c>
      <c r="CQ222">
        <v>1.7399999999999999E-2</v>
      </c>
      <c r="CR222">
        <v>2.0299999999999999E-2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187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  <c r="DN222" t="s">
        <v>123</v>
      </c>
      <c r="DO222" t="s">
        <v>123</v>
      </c>
      <c r="DP222" t="s">
        <v>123</v>
      </c>
      <c r="DQ222" t="s">
        <v>123</v>
      </c>
      <c r="DR222" t="s">
        <v>123</v>
      </c>
      <c r="DS222" t="s">
        <v>123</v>
      </c>
    </row>
    <row r="223" spans="1:123" x14ac:dyDescent="0.3">
      <c r="A223">
        <v>222</v>
      </c>
      <c r="B223" t="s">
        <v>123</v>
      </c>
      <c r="C223" t="s">
        <v>123</v>
      </c>
      <c r="D223" t="s">
        <v>955</v>
      </c>
      <c r="E223" t="s">
        <v>123</v>
      </c>
      <c r="F223" t="s">
        <v>125</v>
      </c>
      <c r="G223" t="s">
        <v>126</v>
      </c>
      <c r="H223" t="s">
        <v>127</v>
      </c>
      <c r="I223" t="s">
        <v>128</v>
      </c>
      <c r="J223" t="s">
        <v>123</v>
      </c>
      <c r="K223" t="s">
        <v>948</v>
      </c>
      <c r="L223" t="s">
        <v>130</v>
      </c>
      <c r="M223" t="s">
        <v>949</v>
      </c>
      <c r="N223" t="s">
        <v>158</v>
      </c>
      <c r="O223" t="s">
        <v>159</v>
      </c>
      <c r="P223" t="s">
        <v>123</v>
      </c>
      <c r="Q223" t="s">
        <v>123</v>
      </c>
      <c r="R223" t="s">
        <v>123</v>
      </c>
      <c r="S223" t="s">
        <v>123</v>
      </c>
      <c r="T223" s="1">
        <v>46892</v>
      </c>
      <c r="U223" t="s">
        <v>123</v>
      </c>
      <c r="V223" t="s">
        <v>123</v>
      </c>
      <c r="W223" t="s">
        <v>123</v>
      </c>
      <c r="X223" t="s">
        <v>123</v>
      </c>
      <c r="Y223" t="s">
        <v>123</v>
      </c>
      <c r="Z223" t="s">
        <v>123</v>
      </c>
      <c r="AA223" t="s">
        <v>123</v>
      </c>
      <c r="AB223" t="s">
        <v>956</v>
      </c>
      <c r="AC223" t="s">
        <v>135</v>
      </c>
      <c r="AD223" t="s">
        <v>123</v>
      </c>
      <c r="AE223" t="s">
        <v>123</v>
      </c>
      <c r="AF223" t="s">
        <v>176</v>
      </c>
      <c r="AG223" t="s">
        <v>177</v>
      </c>
      <c r="AH223" t="s">
        <v>123</v>
      </c>
      <c r="AI223" t="s">
        <v>128</v>
      </c>
      <c r="AJ223" t="s">
        <v>186</v>
      </c>
      <c r="AK223" t="s">
        <v>139</v>
      </c>
      <c r="AL223" t="s">
        <v>123</v>
      </c>
      <c r="AM223" t="s">
        <v>123</v>
      </c>
      <c r="AN223" t="s">
        <v>123</v>
      </c>
      <c r="AO223" t="s">
        <v>123</v>
      </c>
      <c r="AP223">
        <v>250</v>
      </c>
      <c r="AQ223">
        <v>50</v>
      </c>
      <c r="AR223">
        <v>10</v>
      </c>
      <c r="AS223" t="s">
        <v>123</v>
      </c>
      <c r="AT223" t="s">
        <v>123</v>
      </c>
      <c r="AU223" t="s">
        <v>123</v>
      </c>
      <c r="AV223" t="s">
        <v>123</v>
      </c>
      <c r="AW223" t="s">
        <v>123</v>
      </c>
      <c r="AX223" t="s">
        <v>123</v>
      </c>
      <c r="AY223" t="s">
        <v>123</v>
      </c>
      <c r="AZ223" t="s">
        <v>123</v>
      </c>
      <c r="BA223" t="s">
        <v>140</v>
      </c>
      <c r="BB223" t="s">
        <v>123</v>
      </c>
      <c r="BC223" t="s">
        <v>123</v>
      </c>
      <c r="BD223" t="s">
        <v>123</v>
      </c>
      <c r="BE223" t="s">
        <v>123</v>
      </c>
      <c r="BF223" t="s">
        <v>123</v>
      </c>
      <c r="BG223" t="s">
        <v>141</v>
      </c>
      <c r="BH223" t="s">
        <v>123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123</v>
      </c>
      <c r="BX223" t="s">
        <v>123</v>
      </c>
      <c r="BY223" s="1">
        <v>45965.253622372686</v>
      </c>
      <c r="BZ223">
        <v>1468</v>
      </c>
      <c r="CA223" t="s">
        <v>123</v>
      </c>
      <c r="CB223" t="s">
        <v>123</v>
      </c>
      <c r="CC223">
        <v>0</v>
      </c>
      <c r="CD223" t="s">
        <v>123</v>
      </c>
      <c r="CE223" t="s">
        <v>123</v>
      </c>
      <c r="CF223" t="s">
        <v>123</v>
      </c>
      <c r="CG223" t="s">
        <v>123</v>
      </c>
      <c r="CH223" t="s">
        <v>123</v>
      </c>
      <c r="CI223" t="s">
        <v>123</v>
      </c>
      <c r="CJ223" t="s">
        <v>123</v>
      </c>
      <c r="CK223">
        <v>1.5599999999999999E-2</v>
      </c>
      <c r="CL223">
        <v>1.83E-2</v>
      </c>
      <c r="CM223">
        <v>1.72E-2</v>
      </c>
      <c r="CN223">
        <v>2.01E-2</v>
      </c>
      <c r="CO223" t="s">
        <v>123</v>
      </c>
      <c r="CP223" t="s">
        <v>123</v>
      </c>
      <c r="CQ223">
        <v>1.4200000000000001E-2</v>
      </c>
      <c r="CR223">
        <v>1.67E-2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187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  <c r="DN223" t="s">
        <v>123</v>
      </c>
      <c r="DO223" t="s">
        <v>123</v>
      </c>
      <c r="DP223" t="s">
        <v>123</v>
      </c>
      <c r="DQ223" t="s">
        <v>123</v>
      </c>
      <c r="DR223" t="s">
        <v>123</v>
      </c>
      <c r="DS223" t="s">
        <v>123</v>
      </c>
    </row>
    <row r="224" spans="1:123" x14ac:dyDescent="0.3">
      <c r="A224">
        <v>223</v>
      </c>
      <c r="B224" t="s">
        <v>123</v>
      </c>
      <c r="C224" t="s">
        <v>123</v>
      </c>
      <c r="D224" t="s">
        <v>957</v>
      </c>
      <c r="E224" t="s">
        <v>123</v>
      </c>
      <c r="F224" t="s">
        <v>125</v>
      </c>
      <c r="G224" t="s">
        <v>126</v>
      </c>
      <c r="H224" t="s">
        <v>127</v>
      </c>
      <c r="I224" t="s">
        <v>128</v>
      </c>
      <c r="J224" t="s">
        <v>123</v>
      </c>
      <c r="K224" t="s">
        <v>948</v>
      </c>
      <c r="L224" t="s">
        <v>130</v>
      </c>
      <c r="M224" t="s">
        <v>949</v>
      </c>
      <c r="N224" t="s">
        <v>180</v>
      </c>
      <c r="O224" t="s">
        <v>159</v>
      </c>
      <c r="P224" t="s">
        <v>123</v>
      </c>
      <c r="Q224" t="s">
        <v>123</v>
      </c>
      <c r="R224" t="s">
        <v>123</v>
      </c>
      <c r="S224" t="s">
        <v>123</v>
      </c>
      <c r="T224" s="1">
        <v>46892</v>
      </c>
      <c r="U224" t="s">
        <v>123</v>
      </c>
      <c r="V224" t="s">
        <v>123</v>
      </c>
      <c r="W224" t="s">
        <v>123</v>
      </c>
      <c r="X224" t="s">
        <v>123</v>
      </c>
      <c r="Y224" t="s">
        <v>123</v>
      </c>
      <c r="Z224" t="s">
        <v>123</v>
      </c>
      <c r="AA224" t="s">
        <v>123</v>
      </c>
      <c r="AB224" t="s">
        <v>958</v>
      </c>
      <c r="AC224" t="s">
        <v>135</v>
      </c>
      <c r="AD224" t="s">
        <v>123</v>
      </c>
      <c r="AE224" t="s">
        <v>123</v>
      </c>
      <c r="AF224" t="s">
        <v>176</v>
      </c>
      <c r="AG224" t="s">
        <v>177</v>
      </c>
      <c r="AH224" t="s">
        <v>123</v>
      </c>
      <c r="AI224" t="s">
        <v>128</v>
      </c>
      <c r="AJ224" t="s">
        <v>186</v>
      </c>
      <c r="AK224" t="s">
        <v>139</v>
      </c>
      <c r="AL224" t="s">
        <v>123</v>
      </c>
      <c r="AM224" t="s">
        <v>123</v>
      </c>
      <c r="AN224" t="s">
        <v>123</v>
      </c>
      <c r="AO224" t="s">
        <v>123</v>
      </c>
      <c r="AP224">
        <v>250</v>
      </c>
      <c r="AQ224">
        <v>50</v>
      </c>
      <c r="AR224">
        <v>10</v>
      </c>
      <c r="AS224" t="s">
        <v>123</v>
      </c>
      <c r="AT224" t="s">
        <v>123</v>
      </c>
      <c r="AU224" t="s">
        <v>123</v>
      </c>
      <c r="AV224" t="s">
        <v>123</v>
      </c>
      <c r="AW224" t="s">
        <v>123</v>
      </c>
      <c r="AX224" t="s">
        <v>123</v>
      </c>
      <c r="AY224" t="s">
        <v>123</v>
      </c>
      <c r="AZ224" t="s">
        <v>123</v>
      </c>
      <c r="BA224" t="s">
        <v>140</v>
      </c>
      <c r="BB224" t="s">
        <v>123</v>
      </c>
      <c r="BC224" t="s">
        <v>123</v>
      </c>
      <c r="BD224" t="s">
        <v>123</v>
      </c>
      <c r="BE224" t="s">
        <v>123</v>
      </c>
      <c r="BF224" t="s">
        <v>123</v>
      </c>
      <c r="BG224" t="s">
        <v>141</v>
      </c>
      <c r="BH224" t="s">
        <v>123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123</v>
      </c>
      <c r="BX224" t="s">
        <v>123</v>
      </c>
      <c r="BY224" s="1">
        <v>45965.253645868055</v>
      </c>
      <c r="BZ224">
        <v>1468</v>
      </c>
      <c r="CA224" t="s">
        <v>123</v>
      </c>
      <c r="CB224" t="s">
        <v>123</v>
      </c>
      <c r="CC224">
        <v>0</v>
      </c>
      <c r="CD224" t="s">
        <v>123</v>
      </c>
      <c r="CE224" t="s">
        <v>123</v>
      </c>
      <c r="CF224" t="s">
        <v>123</v>
      </c>
      <c r="CG224" t="s">
        <v>123</v>
      </c>
      <c r="CH224" t="s">
        <v>123</v>
      </c>
      <c r="CI224" t="s">
        <v>123</v>
      </c>
      <c r="CJ224" t="s">
        <v>123</v>
      </c>
      <c r="CK224">
        <v>1.9E-2</v>
      </c>
      <c r="CL224">
        <v>2.2200000000000001E-2</v>
      </c>
      <c r="CM224">
        <v>2.07E-2</v>
      </c>
      <c r="CN224">
        <v>2.4199999999999999E-2</v>
      </c>
      <c r="CO224" t="s">
        <v>123</v>
      </c>
      <c r="CP224" t="s">
        <v>123</v>
      </c>
      <c r="CQ224">
        <v>1.72E-2</v>
      </c>
      <c r="CR224">
        <v>2.01E-2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187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  <c r="DN224" t="s">
        <v>123</v>
      </c>
      <c r="DO224" t="s">
        <v>123</v>
      </c>
      <c r="DP224" t="s">
        <v>123</v>
      </c>
      <c r="DQ224" t="s">
        <v>123</v>
      </c>
      <c r="DR224" t="s">
        <v>123</v>
      </c>
      <c r="DS224" t="s">
        <v>123</v>
      </c>
    </row>
    <row r="225" spans="1:123" x14ac:dyDescent="0.3">
      <c r="A225">
        <v>224</v>
      </c>
      <c r="B225" t="s">
        <v>123</v>
      </c>
      <c r="C225" t="s">
        <v>123</v>
      </c>
      <c r="D225" t="s">
        <v>959</v>
      </c>
      <c r="E225" t="s">
        <v>123</v>
      </c>
      <c r="F225" t="s">
        <v>125</v>
      </c>
      <c r="G225" t="s">
        <v>126</v>
      </c>
      <c r="H225" t="s">
        <v>127</v>
      </c>
      <c r="I225" t="s">
        <v>128</v>
      </c>
      <c r="J225" t="s">
        <v>123</v>
      </c>
      <c r="K225" t="s">
        <v>948</v>
      </c>
      <c r="L225" t="s">
        <v>130</v>
      </c>
      <c r="M225" t="s">
        <v>949</v>
      </c>
      <c r="N225" t="s">
        <v>248</v>
      </c>
      <c r="O225" t="s">
        <v>159</v>
      </c>
      <c r="P225" t="s">
        <v>123</v>
      </c>
      <c r="Q225" t="s">
        <v>123</v>
      </c>
      <c r="R225" t="s">
        <v>123</v>
      </c>
      <c r="S225" t="s">
        <v>123</v>
      </c>
      <c r="T225" s="1">
        <v>46892</v>
      </c>
      <c r="U225" t="s">
        <v>123</v>
      </c>
      <c r="V225" t="s">
        <v>123</v>
      </c>
      <c r="W225" t="s">
        <v>123</v>
      </c>
      <c r="X225" t="s">
        <v>123</v>
      </c>
      <c r="Y225" t="s">
        <v>123</v>
      </c>
      <c r="Z225" t="s">
        <v>123</v>
      </c>
      <c r="AA225" t="s">
        <v>123</v>
      </c>
      <c r="AB225" t="s">
        <v>960</v>
      </c>
      <c r="AC225" t="s">
        <v>135</v>
      </c>
      <c r="AD225" t="s">
        <v>123</v>
      </c>
      <c r="AE225" t="s">
        <v>123</v>
      </c>
      <c r="AF225" t="s">
        <v>176</v>
      </c>
      <c r="AG225" t="s">
        <v>177</v>
      </c>
      <c r="AH225" t="s">
        <v>123</v>
      </c>
      <c r="AI225" t="s">
        <v>128</v>
      </c>
      <c r="AJ225" t="s">
        <v>186</v>
      </c>
      <c r="AK225" t="s">
        <v>139</v>
      </c>
      <c r="AL225" t="s">
        <v>123</v>
      </c>
      <c r="AM225" t="s">
        <v>123</v>
      </c>
      <c r="AN225" t="s">
        <v>123</v>
      </c>
      <c r="AO225" t="s">
        <v>123</v>
      </c>
      <c r="AP225">
        <v>250</v>
      </c>
      <c r="AQ225">
        <v>50</v>
      </c>
      <c r="AR225">
        <v>10</v>
      </c>
      <c r="AS225" t="s">
        <v>123</v>
      </c>
      <c r="AT225" t="s">
        <v>123</v>
      </c>
      <c r="AU225" t="s">
        <v>123</v>
      </c>
      <c r="AV225" t="s">
        <v>123</v>
      </c>
      <c r="AW225" t="s">
        <v>123</v>
      </c>
      <c r="AX225" t="s">
        <v>123</v>
      </c>
      <c r="AY225" t="s">
        <v>123</v>
      </c>
      <c r="AZ225" t="s">
        <v>123</v>
      </c>
      <c r="BA225" t="s">
        <v>140</v>
      </c>
      <c r="BB225" t="s">
        <v>123</v>
      </c>
      <c r="BC225" t="s">
        <v>123</v>
      </c>
      <c r="BD225" t="s">
        <v>123</v>
      </c>
      <c r="BE225" t="s">
        <v>123</v>
      </c>
      <c r="BF225" t="s">
        <v>123</v>
      </c>
      <c r="BG225" t="s">
        <v>141</v>
      </c>
      <c r="BH225" t="s">
        <v>123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123</v>
      </c>
      <c r="BX225" t="s">
        <v>123</v>
      </c>
      <c r="BY225" s="1">
        <v>45965.253669062498</v>
      </c>
      <c r="BZ225">
        <v>1468</v>
      </c>
      <c r="CA225" t="s">
        <v>123</v>
      </c>
      <c r="CB225" t="s">
        <v>123</v>
      </c>
      <c r="CC225">
        <v>0</v>
      </c>
      <c r="CD225" t="s">
        <v>123</v>
      </c>
      <c r="CE225" t="s">
        <v>123</v>
      </c>
      <c r="CF225" t="s">
        <v>123</v>
      </c>
      <c r="CG225" t="s">
        <v>123</v>
      </c>
      <c r="CH225" t="s">
        <v>123</v>
      </c>
      <c r="CI225" t="s">
        <v>123</v>
      </c>
      <c r="CJ225" t="s">
        <v>123</v>
      </c>
      <c r="CK225">
        <v>2.3199999999999998E-2</v>
      </c>
      <c r="CL225">
        <v>2.7300000000000001E-2</v>
      </c>
      <c r="CM225">
        <v>2.5999999999999999E-2</v>
      </c>
      <c r="CN225">
        <v>3.04E-2</v>
      </c>
      <c r="CO225" t="s">
        <v>123</v>
      </c>
      <c r="CP225" t="s">
        <v>123</v>
      </c>
      <c r="CQ225">
        <v>2.07E-2</v>
      </c>
      <c r="CR225">
        <v>2.4199999999999999E-2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187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  <c r="DN225" t="s">
        <v>123</v>
      </c>
      <c r="DO225" t="s">
        <v>123</v>
      </c>
      <c r="DP225" t="s">
        <v>123</v>
      </c>
      <c r="DQ225" t="s">
        <v>123</v>
      </c>
      <c r="DR225" t="s">
        <v>123</v>
      </c>
      <c r="DS225" t="s">
        <v>123</v>
      </c>
    </row>
    <row r="226" spans="1:123" x14ac:dyDescent="0.3">
      <c r="A226">
        <v>225</v>
      </c>
      <c r="B226" t="s">
        <v>123</v>
      </c>
      <c r="C226" t="s">
        <v>123</v>
      </c>
      <c r="D226" t="s">
        <v>961</v>
      </c>
      <c r="E226" t="s">
        <v>123</v>
      </c>
      <c r="F226" t="s">
        <v>125</v>
      </c>
      <c r="G226" t="s">
        <v>126</v>
      </c>
      <c r="H226" t="s">
        <v>127</v>
      </c>
      <c r="I226" t="s">
        <v>128</v>
      </c>
      <c r="J226" t="s">
        <v>123</v>
      </c>
      <c r="K226" t="s">
        <v>948</v>
      </c>
      <c r="L226" t="s">
        <v>130</v>
      </c>
      <c r="M226" t="s">
        <v>949</v>
      </c>
      <c r="N226" t="s">
        <v>590</v>
      </c>
      <c r="O226" t="s">
        <v>159</v>
      </c>
      <c r="P226" t="s">
        <v>123</v>
      </c>
      <c r="Q226" t="s">
        <v>123</v>
      </c>
      <c r="R226" t="s">
        <v>123</v>
      </c>
      <c r="S226" t="s">
        <v>123</v>
      </c>
      <c r="T226" s="1">
        <v>46892</v>
      </c>
      <c r="U226" t="s">
        <v>123</v>
      </c>
      <c r="V226" t="s">
        <v>123</v>
      </c>
      <c r="W226" t="s">
        <v>123</v>
      </c>
      <c r="X226" t="s">
        <v>123</v>
      </c>
      <c r="Y226" t="s">
        <v>123</v>
      </c>
      <c r="Z226" t="s">
        <v>123</v>
      </c>
      <c r="AA226" t="s">
        <v>123</v>
      </c>
      <c r="AB226" t="s">
        <v>962</v>
      </c>
      <c r="AC226" t="s">
        <v>135</v>
      </c>
      <c r="AD226" t="s">
        <v>123</v>
      </c>
      <c r="AE226" t="s">
        <v>123</v>
      </c>
      <c r="AF226" t="s">
        <v>176</v>
      </c>
      <c r="AG226" t="s">
        <v>177</v>
      </c>
      <c r="AH226" t="s">
        <v>123</v>
      </c>
      <c r="AI226" t="s">
        <v>128</v>
      </c>
      <c r="AJ226" t="s">
        <v>186</v>
      </c>
      <c r="AK226" t="s">
        <v>139</v>
      </c>
      <c r="AL226" t="s">
        <v>123</v>
      </c>
      <c r="AM226" t="s">
        <v>123</v>
      </c>
      <c r="AN226" t="s">
        <v>123</v>
      </c>
      <c r="AO226" t="s">
        <v>123</v>
      </c>
      <c r="AP226">
        <v>250</v>
      </c>
      <c r="AQ226">
        <v>50</v>
      </c>
      <c r="AR226">
        <v>10</v>
      </c>
      <c r="AS226" t="s">
        <v>123</v>
      </c>
      <c r="AT226" t="s">
        <v>123</v>
      </c>
      <c r="AU226" t="s">
        <v>123</v>
      </c>
      <c r="AV226" t="s">
        <v>123</v>
      </c>
      <c r="AW226" t="s">
        <v>123</v>
      </c>
      <c r="AX226" t="s">
        <v>123</v>
      </c>
      <c r="AY226" t="s">
        <v>123</v>
      </c>
      <c r="AZ226" t="s">
        <v>123</v>
      </c>
      <c r="BA226" t="s">
        <v>140</v>
      </c>
      <c r="BB226" t="s">
        <v>123</v>
      </c>
      <c r="BC226" t="s">
        <v>123</v>
      </c>
      <c r="BD226" t="s">
        <v>123</v>
      </c>
      <c r="BE226" t="s">
        <v>123</v>
      </c>
      <c r="BF226" t="s">
        <v>123</v>
      </c>
      <c r="BG226" t="s">
        <v>141</v>
      </c>
      <c r="BH226" t="s">
        <v>123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123</v>
      </c>
      <c r="BX226" t="s">
        <v>123</v>
      </c>
      <c r="BY226" s="1">
        <v>45965.253692708335</v>
      </c>
      <c r="BZ226">
        <v>1468</v>
      </c>
      <c r="CA226" t="s">
        <v>123</v>
      </c>
      <c r="CB226" t="s">
        <v>123</v>
      </c>
      <c r="CC226">
        <v>0</v>
      </c>
      <c r="CD226" t="s">
        <v>123</v>
      </c>
      <c r="CE226" t="s">
        <v>123</v>
      </c>
      <c r="CF226" t="s">
        <v>123</v>
      </c>
      <c r="CG226" t="s">
        <v>123</v>
      </c>
      <c r="CH226" t="s">
        <v>123</v>
      </c>
      <c r="CI226" t="s">
        <v>123</v>
      </c>
      <c r="CJ226" t="s">
        <v>123</v>
      </c>
      <c r="CK226">
        <v>2.8000000000000001E-2</v>
      </c>
      <c r="CL226">
        <v>3.27E-2</v>
      </c>
      <c r="CM226">
        <v>3.0200000000000001E-2</v>
      </c>
      <c r="CN226">
        <v>3.5200000000000002E-2</v>
      </c>
      <c r="CO226" t="s">
        <v>123</v>
      </c>
      <c r="CP226" t="s">
        <v>123</v>
      </c>
      <c r="CQ226">
        <v>2.5999999999999999E-2</v>
      </c>
      <c r="CR226">
        <v>3.04E-2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187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  <c r="DN226" t="s">
        <v>123</v>
      </c>
      <c r="DO226" t="s">
        <v>123</v>
      </c>
      <c r="DP226" t="s">
        <v>123</v>
      </c>
      <c r="DQ226" t="s">
        <v>123</v>
      </c>
      <c r="DR226" t="s">
        <v>123</v>
      </c>
      <c r="DS226" t="s">
        <v>123</v>
      </c>
    </row>
    <row r="227" spans="1:123" x14ac:dyDescent="0.3">
      <c r="A227">
        <v>226</v>
      </c>
      <c r="B227" t="s">
        <v>123</v>
      </c>
      <c r="C227" t="s">
        <v>123</v>
      </c>
      <c r="D227" t="s">
        <v>963</v>
      </c>
      <c r="E227" t="s">
        <v>123</v>
      </c>
      <c r="F227" t="s">
        <v>125</v>
      </c>
      <c r="G227" t="s">
        <v>126</v>
      </c>
      <c r="H227" t="s">
        <v>127</v>
      </c>
      <c r="I227" t="s">
        <v>128</v>
      </c>
      <c r="J227" t="s">
        <v>123</v>
      </c>
      <c r="K227" t="s">
        <v>964</v>
      </c>
      <c r="L227" t="s">
        <v>130</v>
      </c>
      <c r="M227" t="s">
        <v>965</v>
      </c>
      <c r="N227" t="s">
        <v>158</v>
      </c>
      <c r="O227" t="s">
        <v>150</v>
      </c>
      <c r="P227" t="s">
        <v>123</v>
      </c>
      <c r="Q227" t="s">
        <v>123</v>
      </c>
      <c r="R227" t="s">
        <v>123</v>
      </c>
      <c r="S227" t="s">
        <v>123</v>
      </c>
      <c r="T227" s="1">
        <v>46395</v>
      </c>
      <c r="U227" t="s">
        <v>123</v>
      </c>
      <c r="V227" t="s">
        <v>123</v>
      </c>
      <c r="W227" t="s">
        <v>123</v>
      </c>
      <c r="X227" t="s">
        <v>123</v>
      </c>
      <c r="Y227" t="s">
        <v>123</v>
      </c>
      <c r="Z227" t="s">
        <v>123</v>
      </c>
      <c r="AA227" t="s">
        <v>123</v>
      </c>
      <c r="AB227" t="s">
        <v>966</v>
      </c>
      <c r="AC227" t="s">
        <v>135</v>
      </c>
      <c r="AD227" t="s">
        <v>123</v>
      </c>
      <c r="AE227" t="s">
        <v>123</v>
      </c>
      <c r="AF227" t="s">
        <v>967</v>
      </c>
      <c r="AG227" t="s">
        <v>749</v>
      </c>
      <c r="AH227" t="s">
        <v>123</v>
      </c>
      <c r="AI227" t="s">
        <v>128</v>
      </c>
      <c r="AJ227" t="s">
        <v>138</v>
      </c>
      <c r="AK227" t="s">
        <v>139</v>
      </c>
      <c r="AL227" t="s">
        <v>123</v>
      </c>
      <c r="AM227" t="s">
        <v>123</v>
      </c>
      <c r="AN227" t="s">
        <v>123</v>
      </c>
      <c r="AO227" t="s">
        <v>123</v>
      </c>
      <c r="AP227">
        <v>250</v>
      </c>
      <c r="AQ227">
        <v>50</v>
      </c>
      <c r="AR227">
        <v>10</v>
      </c>
      <c r="AS227" t="s">
        <v>123</v>
      </c>
      <c r="AT227" t="s">
        <v>123</v>
      </c>
      <c r="AU227" t="s">
        <v>123</v>
      </c>
      <c r="AV227" t="s">
        <v>123</v>
      </c>
      <c r="AW227" t="s">
        <v>123</v>
      </c>
      <c r="AX227" t="s">
        <v>123</v>
      </c>
      <c r="AY227" t="s">
        <v>123</v>
      </c>
      <c r="AZ227" t="s">
        <v>123</v>
      </c>
      <c r="BA227" t="s">
        <v>140</v>
      </c>
      <c r="BB227" t="s">
        <v>123</v>
      </c>
      <c r="BC227" t="s">
        <v>123</v>
      </c>
      <c r="BD227" t="s">
        <v>123</v>
      </c>
      <c r="BE227" t="s">
        <v>123</v>
      </c>
      <c r="BF227" t="s">
        <v>123</v>
      </c>
      <c r="BG227" t="s">
        <v>141</v>
      </c>
      <c r="BH227" t="s">
        <v>123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123</v>
      </c>
      <c r="BX227" t="s">
        <v>123</v>
      </c>
      <c r="BY227" s="1">
        <v>45965.253716284722</v>
      </c>
      <c r="BZ227">
        <v>1511</v>
      </c>
      <c r="CA227" t="s">
        <v>123</v>
      </c>
      <c r="CB227" t="s">
        <v>123</v>
      </c>
      <c r="CC227">
        <v>0</v>
      </c>
      <c r="CD227" t="s">
        <v>123</v>
      </c>
      <c r="CE227" t="s">
        <v>123</v>
      </c>
      <c r="CF227" t="s">
        <v>123</v>
      </c>
      <c r="CG227" t="s">
        <v>123</v>
      </c>
      <c r="CH227" t="s">
        <v>123</v>
      </c>
      <c r="CI227" t="s">
        <v>123</v>
      </c>
      <c r="CJ227" t="s">
        <v>123</v>
      </c>
      <c r="CK227">
        <v>1.1199999999999999E-3</v>
      </c>
      <c r="CL227">
        <v>1.2600000000000001E-3</v>
      </c>
      <c r="CM227">
        <v>1.7600000000000001E-3</v>
      </c>
      <c r="CN227">
        <v>2E-3</v>
      </c>
      <c r="CO227" t="s">
        <v>123</v>
      </c>
      <c r="CP227" t="s">
        <v>123</v>
      </c>
      <c r="CQ227">
        <v>6.4000000000000005E-4</v>
      </c>
      <c r="CR227">
        <v>6.9999999999999999E-4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205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  <c r="DN227" t="s">
        <v>123</v>
      </c>
      <c r="DO227" t="s">
        <v>123</v>
      </c>
      <c r="DP227" t="s">
        <v>123</v>
      </c>
      <c r="DQ227" t="s">
        <v>123</v>
      </c>
      <c r="DR227" t="s">
        <v>123</v>
      </c>
      <c r="DS227" t="s">
        <v>123</v>
      </c>
    </row>
    <row r="228" spans="1:123" x14ac:dyDescent="0.3">
      <c r="A228">
        <v>227</v>
      </c>
      <c r="B228" t="s">
        <v>123</v>
      </c>
      <c r="C228" t="s">
        <v>123</v>
      </c>
      <c r="D228" t="s">
        <v>968</v>
      </c>
      <c r="E228" t="s">
        <v>123</v>
      </c>
      <c r="F228" t="s">
        <v>125</v>
      </c>
      <c r="G228" t="s">
        <v>126</v>
      </c>
      <c r="H228" t="s">
        <v>127</v>
      </c>
      <c r="I228" t="s">
        <v>128</v>
      </c>
      <c r="J228" t="s">
        <v>123</v>
      </c>
      <c r="K228" t="s">
        <v>969</v>
      </c>
      <c r="L228" t="s">
        <v>130</v>
      </c>
      <c r="M228" t="s">
        <v>970</v>
      </c>
      <c r="N228" t="s">
        <v>158</v>
      </c>
      <c r="O228" t="s">
        <v>133</v>
      </c>
      <c r="P228" t="s">
        <v>123</v>
      </c>
      <c r="Q228" t="s">
        <v>123</v>
      </c>
      <c r="R228" t="s">
        <v>123</v>
      </c>
      <c r="S228" t="s">
        <v>123</v>
      </c>
      <c r="T228" s="1">
        <v>46178</v>
      </c>
      <c r="U228" t="s">
        <v>123</v>
      </c>
      <c r="V228" t="s">
        <v>123</v>
      </c>
      <c r="W228" t="s">
        <v>123</v>
      </c>
      <c r="X228" t="s">
        <v>123</v>
      </c>
      <c r="Y228" t="s">
        <v>123</v>
      </c>
      <c r="Z228" t="s">
        <v>123</v>
      </c>
      <c r="AA228" t="s">
        <v>123</v>
      </c>
      <c r="AB228" t="s">
        <v>971</v>
      </c>
      <c r="AC228" t="s">
        <v>135</v>
      </c>
      <c r="AD228" t="s">
        <v>123</v>
      </c>
      <c r="AE228" t="s">
        <v>123</v>
      </c>
      <c r="AF228" t="s">
        <v>972</v>
      </c>
      <c r="AG228" t="s">
        <v>137</v>
      </c>
      <c r="AH228" t="s">
        <v>123</v>
      </c>
      <c r="AI228" t="s">
        <v>128</v>
      </c>
      <c r="AJ228" t="s">
        <v>138</v>
      </c>
      <c r="AK228" t="s">
        <v>139</v>
      </c>
      <c r="AL228" t="s">
        <v>123</v>
      </c>
      <c r="AM228" t="s">
        <v>123</v>
      </c>
      <c r="AN228" t="s">
        <v>123</v>
      </c>
      <c r="AO228" t="s">
        <v>123</v>
      </c>
      <c r="AP228">
        <v>250</v>
      </c>
      <c r="AQ228">
        <v>50</v>
      </c>
      <c r="AR228">
        <v>10</v>
      </c>
      <c r="AS228" t="s">
        <v>123</v>
      </c>
      <c r="AT228" t="s">
        <v>123</v>
      </c>
      <c r="AU228" t="s">
        <v>123</v>
      </c>
      <c r="AV228" t="s">
        <v>123</v>
      </c>
      <c r="AW228" t="s">
        <v>123</v>
      </c>
      <c r="AX228" t="s">
        <v>123</v>
      </c>
      <c r="AY228" t="s">
        <v>123</v>
      </c>
      <c r="AZ228" t="s">
        <v>123</v>
      </c>
      <c r="BA228" t="s">
        <v>140</v>
      </c>
      <c r="BB228" t="s">
        <v>123</v>
      </c>
      <c r="BC228" t="s">
        <v>123</v>
      </c>
      <c r="BD228" t="s">
        <v>123</v>
      </c>
      <c r="BE228" t="s">
        <v>123</v>
      </c>
      <c r="BF228" t="s">
        <v>123</v>
      </c>
      <c r="BG228" t="s">
        <v>141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s="1">
        <v>45965.253742939814</v>
      </c>
      <c r="BZ228">
        <v>1563</v>
      </c>
      <c r="CA228" t="s">
        <v>123</v>
      </c>
      <c r="CB228" t="s">
        <v>123</v>
      </c>
      <c r="CC228">
        <v>0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>
        <v>8.6E-3</v>
      </c>
      <c r="CL228">
        <v>9.2999999999999992E-3</v>
      </c>
      <c r="CM228">
        <v>1.43E-2</v>
      </c>
      <c r="CN228">
        <v>1.52E-2</v>
      </c>
      <c r="CO228" t="s">
        <v>123</v>
      </c>
      <c r="CP228" t="s">
        <v>123</v>
      </c>
      <c r="CQ228">
        <v>5.3E-3</v>
      </c>
      <c r="CR228">
        <v>5.5999999999999999E-3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205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  <c r="DN228" t="s">
        <v>123</v>
      </c>
      <c r="DO228" t="s">
        <v>123</v>
      </c>
      <c r="DP228" t="s">
        <v>123</v>
      </c>
      <c r="DQ228" t="s">
        <v>123</v>
      </c>
      <c r="DR228" t="s">
        <v>123</v>
      </c>
      <c r="DS228" t="s">
        <v>123</v>
      </c>
    </row>
    <row r="229" spans="1:123" x14ac:dyDescent="0.3">
      <c r="A229">
        <v>228</v>
      </c>
      <c r="B229" t="s">
        <v>123</v>
      </c>
      <c r="C229" t="s">
        <v>123</v>
      </c>
      <c r="D229" t="s">
        <v>973</v>
      </c>
      <c r="E229" t="s">
        <v>123</v>
      </c>
      <c r="F229" t="s">
        <v>125</v>
      </c>
      <c r="G229" t="s">
        <v>126</v>
      </c>
      <c r="H229" t="s">
        <v>127</v>
      </c>
      <c r="I229" t="s">
        <v>128</v>
      </c>
      <c r="J229" t="s">
        <v>123</v>
      </c>
      <c r="K229" t="s">
        <v>902</v>
      </c>
      <c r="L229" t="s">
        <v>130</v>
      </c>
      <c r="M229" t="s">
        <v>903</v>
      </c>
      <c r="N229" t="s">
        <v>158</v>
      </c>
      <c r="O229" t="s">
        <v>150</v>
      </c>
      <c r="P229" t="s">
        <v>123</v>
      </c>
      <c r="Q229" t="s">
        <v>123</v>
      </c>
      <c r="R229" t="s">
        <v>123</v>
      </c>
      <c r="S229" t="s">
        <v>123</v>
      </c>
      <c r="T229" s="1">
        <v>46395</v>
      </c>
      <c r="U229" t="s">
        <v>123</v>
      </c>
      <c r="V229" t="s">
        <v>123</v>
      </c>
      <c r="W229" t="s">
        <v>123</v>
      </c>
      <c r="X229" t="s">
        <v>123</v>
      </c>
      <c r="Y229" t="s">
        <v>123</v>
      </c>
      <c r="Z229" t="s">
        <v>123</v>
      </c>
      <c r="AA229" t="s">
        <v>123</v>
      </c>
      <c r="AB229" t="s">
        <v>974</v>
      </c>
      <c r="AC229" t="s">
        <v>135</v>
      </c>
      <c r="AD229" t="s">
        <v>123</v>
      </c>
      <c r="AE229" t="s">
        <v>123</v>
      </c>
      <c r="AF229" t="s">
        <v>227</v>
      </c>
      <c r="AG229" t="s">
        <v>228</v>
      </c>
      <c r="AH229" t="s">
        <v>123</v>
      </c>
      <c r="AI229" t="s">
        <v>128</v>
      </c>
      <c r="AJ229" t="s">
        <v>138</v>
      </c>
      <c r="AK229" t="s">
        <v>163</v>
      </c>
      <c r="AL229" t="s">
        <v>123</v>
      </c>
      <c r="AM229" t="s">
        <v>123</v>
      </c>
      <c r="AN229" t="s">
        <v>123</v>
      </c>
      <c r="AO229" t="s">
        <v>123</v>
      </c>
      <c r="AP229">
        <v>250</v>
      </c>
      <c r="AQ229">
        <v>50</v>
      </c>
      <c r="AR229">
        <v>10</v>
      </c>
      <c r="AS229" t="s">
        <v>123</v>
      </c>
      <c r="AT229" t="s">
        <v>123</v>
      </c>
      <c r="AU229" t="s">
        <v>123</v>
      </c>
      <c r="AV229" t="s">
        <v>123</v>
      </c>
      <c r="AW229" t="s">
        <v>123</v>
      </c>
      <c r="AX229" t="s">
        <v>123</v>
      </c>
      <c r="AY229" t="s">
        <v>123</v>
      </c>
      <c r="AZ229" t="s">
        <v>123</v>
      </c>
      <c r="BA229" t="s">
        <v>140</v>
      </c>
      <c r="BB229" t="s">
        <v>123</v>
      </c>
      <c r="BC229" t="s">
        <v>123</v>
      </c>
      <c r="BD229" t="s">
        <v>123</v>
      </c>
      <c r="BE229" t="s">
        <v>123</v>
      </c>
      <c r="BF229" t="s">
        <v>123</v>
      </c>
      <c r="BG229" t="s">
        <v>141</v>
      </c>
      <c r="BH229" t="s">
        <v>123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123</v>
      </c>
      <c r="BX229" t="s">
        <v>123</v>
      </c>
      <c r="BY229" s="1">
        <v>45965.253797650461</v>
      </c>
      <c r="BZ229">
        <v>1539</v>
      </c>
      <c r="CA229" t="s">
        <v>123</v>
      </c>
      <c r="CB229" t="s">
        <v>123</v>
      </c>
      <c r="CC229">
        <v>0</v>
      </c>
      <c r="CD229" t="s">
        <v>123</v>
      </c>
      <c r="CE229" t="s">
        <v>123</v>
      </c>
      <c r="CF229" t="s">
        <v>123</v>
      </c>
      <c r="CG229" t="s">
        <v>123</v>
      </c>
      <c r="CH229" t="s">
        <v>123</v>
      </c>
      <c r="CI229" t="s">
        <v>123</v>
      </c>
      <c r="CJ229" t="s">
        <v>123</v>
      </c>
      <c r="CK229">
        <v>5.0299999999999997E-2</v>
      </c>
      <c r="CL229">
        <v>5.4600000000000003E-2</v>
      </c>
      <c r="CM229">
        <v>7.2099999999999997E-2</v>
      </c>
      <c r="CN229">
        <v>7.8600000000000003E-2</v>
      </c>
      <c r="CO229" t="s">
        <v>123</v>
      </c>
      <c r="CP229" t="s">
        <v>123</v>
      </c>
      <c r="CQ229">
        <v>3.5700000000000003E-2</v>
      </c>
      <c r="CR229">
        <v>3.8399999999999997E-2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205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  <c r="DN229" t="s">
        <v>123</v>
      </c>
      <c r="DO229" t="s">
        <v>123</v>
      </c>
      <c r="DP229" t="s">
        <v>123</v>
      </c>
      <c r="DQ229" t="s">
        <v>123</v>
      </c>
      <c r="DR229" t="s">
        <v>123</v>
      </c>
      <c r="DS229" t="s">
        <v>123</v>
      </c>
    </row>
    <row r="230" spans="1:123" x14ac:dyDescent="0.3">
      <c r="A230">
        <v>229</v>
      </c>
      <c r="B230" t="s">
        <v>123</v>
      </c>
      <c r="C230" t="s">
        <v>123</v>
      </c>
      <c r="D230" t="s">
        <v>975</v>
      </c>
      <c r="E230" t="s">
        <v>123</v>
      </c>
      <c r="F230" t="s">
        <v>125</v>
      </c>
      <c r="G230" t="s">
        <v>126</v>
      </c>
      <c r="H230" t="s">
        <v>127</v>
      </c>
      <c r="I230" t="s">
        <v>128</v>
      </c>
      <c r="J230" t="s">
        <v>123</v>
      </c>
      <c r="K230" t="s">
        <v>976</v>
      </c>
      <c r="L230" t="s">
        <v>130</v>
      </c>
      <c r="M230" t="s">
        <v>977</v>
      </c>
      <c r="N230" t="s">
        <v>158</v>
      </c>
      <c r="O230" t="s">
        <v>159</v>
      </c>
      <c r="P230" t="s">
        <v>123</v>
      </c>
      <c r="Q230" t="s">
        <v>123</v>
      </c>
      <c r="R230" t="s">
        <v>123</v>
      </c>
      <c r="S230" t="s">
        <v>123</v>
      </c>
      <c r="T230" s="1">
        <v>46850</v>
      </c>
      <c r="U230" t="s">
        <v>123</v>
      </c>
      <c r="V230" t="s">
        <v>123</v>
      </c>
      <c r="W230" t="s">
        <v>123</v>
      </c>
      <c r="X230" t="s">
        <v>123</v>
      </c>
      <c r="Y230" t="s">
        <v>123</v>
      </c>
      <c r="Z230" t="s">
        <v>123</v>
      </c>
      <c r="AA230" t="s">
        <v>123</v>
      </c>
      <c r="AB230" t="s">
        <v>978</v>
      </c>
      <c r="AC230" t="s">
        <v>135</v>
      </c>
      <c r="AD230" t="s">
        <v>123</v>
      </c>
      <c r="AE230" t="s">
        <v>123</v>
      </c>
      <c r="AF230" t="s">
        <v>281</v>
      </c>
      <c r="AG230" t="s">
        <v>282</v>
      </c>
      <c r="AH230" t="s">
        <v>123</v>
      </c>
      <c r="AI230" t="s">
        <v>128</v>
      </c>
      <c r="AJ230" t="s">
        <v>138</v>
      </c>
      <c r="AK230" t="s">
        <v>163</v>
      </c>
      <c r="AL230" t="s">
        <v>123</v>
      </c>
      <c r="AM230" t="s">
        <v>123</v>
      </c>
      <c r="AN230" t="s">
        <v>123</v>
      </c>
      <c r="AO230" t="s">
        <v>123</v>
      </c>
      <c r="AP230">
        <v>250</v>
      </c>
      <c r="AQ230">
        <v>50</v>
      </c>
      <c r="AR230">
        <v>10</v>
      </c>
      <c r="AS230" t="s">
        <v>123</v>
      </c>
      <c r="AT230" t="s">
        <v>123</v>
      </c>
      <c r="AU230" t="s">
        <v>123</v>
      </c>
      <c r="AV230" t="s">
        <v>123</v>
      </c>
      <c r="AW230" t="s">
        <v>123</v>
      </c>
      <c r="AX230" t="s">
        <v>123</v>
      </c>
      <c r="AY230" t="s">
        <v>123</v>
      </c>
      <c r="AZ230" t="s">
        <v>123</v>
      </c>
      <c r="BA230" t="s">
        <v>140</v>
      </c>
      <c r="BB230" t="s">
        <v>123</v>
      </c>
      <c r="BC230" t="s">
        <v>123</v>
      </c>
      <c r="BD230" t="s">
        <v>123</v>
      </c>
      <c r="BE230" t="s">
        <v>123</v>
      </c>
      <c r="BF230" t="s">
        <v>123</v>
      </c>
      <c r="BG230" t="s">
        <v>141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s="1">
        <v>45965.253869178239</v>
      </c>
      <c r="BZ230">
        <v>1540</v>
      </c>
      <c r="CA230" t="s">
        <v>123</v>
      </c>
      <c r="CB230" t="s">
        <v>123</v>
      </c>
      <c r="CC230">
        <v>0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>
        <v>2.1000000000000001E-2</v>
      </c>
      <c r="CL230">
        <v>2.2700000000000001E-2</v>
      </c>
      <c r="CM230">
        <v>2.6700000000000002E-2</v>
      </c>
      <c r="CN230">
        <v>2.8799999999999999E-2</v>
      </c>
      <c r="CO230" t="s">
        <v>123</v>
      </c>
      <c r="CP230" t="s">
        <v>123</v>
      </c>
      <c r="CQ230">
        <v>1.6199999999999999E-2</v>
      </c>
      <c r="CR230">
        <v>1.77E-2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152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  <c r="DN230" t="s">
        <v>123</v>
      </c>
      <c r="DO230" t="s">
        <v>123</v>
      </c>
      <c r="DP230" t="s">
        <v>123</v>
      </c>
      <c r="DQ230" t="s">
        <v>123</v>
      </c>
      <c r="DR230" t="s">
        <v>123</v>
      </c>
      <c r="DS230" t="s">
        <v>123</v>
      </c>
    </row>
    <row r="231" spans="1:123" x14ac:dyDescent="0.3">
      <c r="A231">
        <v>230</v>
      </c>
      <c r="B231" t="s">
        <v>123</v>
      </c>
      <c r="C231" t="s">
        <v>123</v>
      </c>
      <c r="D231" t="s">
        <v>979</v>
      </c>
      <c r="E231" t="s">
        <v>123</v>
      </c>
      <c r="F231" t="s">
        <v>125</v>
      </c>
      <c r="G231" t="s">
        <v>126</v>
      </c>
      <c r="H231" t="s">
        <v>127</v>
      </c>
      <c r="I231" t="s">
        <v>128</v>
      </c>
      <c r="J231" t="s">
        <v>123</v>
      </c>
      <c r="K231" t="s">
        <v>980</v>
      </c>
      <c r="L231" t="s">
        <v>130</v>
      </c>
      <c r="M231" t="s">
        <v>981</v>
      </c>
      <c r="N231" t="s">
        <v>158</v>
      </c>
      <c r="O231" t="s">
        <v>159</v>
      </c>
      <c r="P231" t="s">
        <v>123</v>
      </c>
      <c r="Q231" t="s">
        <v>123</v>
      </c>
      <c r="R231" t="s">
        <v>123</v>
      </c>
      <c r="S231" t="s">
        <v>123</v>
      </c>
      <c r="T231" s="1">
        <v>46888</v>
      </c>
      <c r="U231" t="s">
        <v>123</v>
      </c>
      <c r="V231" t="s">
        <v>123</v>
      </c>
      <c r="W231" t="s">
        <v>123</v>
      </c>
      <c r="X231" t="s">
        <v>123</v>
      </c>
      <c r="Y231" t="s">
        <v>123</v>
      </c>
      <c r="Z231" t="s">
        <v>123</v>
      </c>
      <c r="AA231" t="s">
        <v>123</v>
      </c>
      <c r="AB231" t="s">
        <v>982</v>
      </c>
      <c r="AC231" t="s">
        <v>135</v>
      </c>
      <c r="AD231" t="s">
        <v>123</v>
      </c>
      <c r="AE231" t="s">
        <v>123</v>
      </c>
      <c r="AF231" t="s">
        <v>983</v>
      </c>
      <c r="AG231" t="s">
        <v>984</v>
      </c>
      <c r="AH231" t="s">
        <v>123</v>
      </c>
      <c r="AI231" t="s">
        <v>128</v>
      </c>
      <c r="AJ231" t="s">
        <v>138</v>
      </c>
      <c r="AK231" t="s">
        <v>139</v>
      </c>
      <c r="AL231" t="s">
        <v>123</v>
      </c>
      <c r="AM231" t="s">
        <v>123</v>
      </c>
      <c r="AN231" t="s">
        <v>123</v>
      </c>
      <c r="AO231" t="s">
        <v>123</v>
      </c>
      <c r="AP231">
        <v>250</v>
      </c>
      <c r="AQ231">
        <v>50</v>
      </c>
      <c r="AR231">
        <v>10</v>
      </c>
      <c r="AS231" t="s">
        <v>123</v>
      </c>
      <c r="AT231" t="s">
        <v>123</v>
      </c>
      <c r="AU231" t="s">
        <v>123</v>
      </c>
      <c r="AV231" t="s">
        <v>123</v>
      </c>
      <c r="AW231" t="s">
        <v>123</v>
      </c>
      <c r="AX231" t="s">
        <v>123</v>
      </c>
      <c r="AY231" t="s">
        <v>123</v>
      </c>
      <c r="AZ231" t="s">
        <v>123</v>
      </c>
      <c r="BA231" t="s">
        <v>140</v>
      </c>
      <c r="BB231" t="s">
        <v>123</v>
      </c>
      <c r="BC231" t="s">
        <v>123</v>
      </c>
      <c r="BD231" t="s">
        <v>123</v>
      </c>
      <c r="BE231" t="s">
        <v>123</v>
      </c>
      <c r="BF231" t="s">
        <v>123</v>
      </c>
      <c r="BG231" t="s">
        <v>141</v>
      </c>
      <c r="BH231" t="s">
        <v>123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123</v>
      </c>
      <c r="BX231" t="s">
        <v>123</v>
      </c>
      <c r="BY231" s="1">
        <v>45965.253929363425</v>
      </c>
      <c r="BZ231">
        <v>1541</v>
      </c>
      <c r="CA231" t="s">
        <v>123</v>
      </c>
      <c r="CB231" t="s">
        <v>123</v>
      </c>
      <c r="CC231">
        <v>0</v>
      </c>
      <c r="CD231" t="s">
        <v>123</v>
      </c>
      <c r="CE231" t="s">
        <v>123</v>
      </c>
      <c r="CF231" t="s">
        <v>123</v>
      </c>
      <c r="CG231" t="s">
        <v>123</v>
      </c>
      <c r="CH231" t="s">
        <v>123</v>
      </c>
      <c r="CI231" t="s">
        <v>123</v>
      </c>
      <c r="CJ231" t="s">
        <v>123</v>
      </c>
      <c r="CK231">
        <v>3.1019999999999999E-2</v>
      </c>
      <c r="CL231">
        <v>3.1510000000000003E-2</v>
      </c>
      <c r="CM231">
        <v>4.9009999999999998E-2</v>
      </c>
      <c r="CN231">
        <v>4.981E-2</v>
      </c>
      <c r="CO231" t="s">
        <v>123</v>
      </c>
      <c r="CP231" t="s">
        <v>123</v>
      </c>
      <c r="CQ231">
        <v>2.1899999999999999E-2</v>
      </c>
      <c r="CR231">
        <v>2.223E-2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178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  <c r="DN231" t="s">
        <v>123</v>
      </c>
      <c r="DO231" t="s">
        <v>123</v>
      </c>
      <c r="DP231" t="s">
        <v>123</v>
      </c>
      <c r="DQ231" t="s">
        <v>123</v>
      </c>
      <c r="DR231" t="s">
        <v>123</v>
      </c>
      <c r="DS231" t="s">
        <v>123</v>
      </c>
    </row>
    <row r="232" spans="1:123" x14ac:dyDescent="0.3">
      <c r="A232">
        <v>231</v>
      </c>
      <c r="B232" t="s">
        <v>123</v>
      </c>
      <c r="C232" t="s">
        <v>123</v>
      </c>
      <c r="D232" t="s">
        <v>985</v>
      </c>
      <c r="E232" t="s">
        <v>123</v>
      </c>
      <c r="F232" t="s">
        <v>125</v>
      </c>
      <c r="G232" t="s">
        <v>126</v>
      </c>
      <c r="H232" t="s">
        <v>127</v>
      </c>
      <c r="I232" t="s">
        <v>128</v>
      </c>
      <c r="J232" t="s">
        <v>123</v>
      </c>
      <c r="K232" t="s">
        <v>986</v>
      </c>
      <c r="L232" t="s">
        <v>130</v>
      </c>
      <c r="M232" t="s">
        <v>987</v>
      </c>
      <c r="N232" t="s">
        <v>158</v>
      </c>
      <c r="O232" t="s">
        <v>150</v>
      </c>
      <c r="P232" t="s">
        <v>123</v>
      </c>
      <c r="Q232" t="s">
        <v>123</v>
      </c>
      <c r="R232" t="s">
        <v>123</v>
      </c>
      <c r="S232" t="s">
        <v>123</v>
      </c>
      <c r="T232" s="1">
        <v>46545</v>
      </c>
      <c r="U232" t="s">
        <v>123</v>
      </c>
      <c r="V232" t="s">
        <v>123</v>
      </c>
      <c r="W232" t="s">
        <v>123</v>
      </c>
      <c r="X232" t="s">
        <v>123</v>
      </c>
      <c r="Y232" t="s">
        <v>123</v>
      </c>
      <c r="Z232" t="s">
        <v>123</v>
      </c>
      <c r="AA232" t="s">
        <v>123</v>
      </c>
      <c r="AB232" t="s">
        <v>988</v>
      </c>
      <c r="AC232" t="s">
        <v>135</v>
      </c>
      <c r="AD232" t="s">
        <v>123</v>
      </c>
      <c r="AE232" t="s">
        <v>123</v>
      </c>
      <c r="AF232" t="s">
        <v>176</v>
      </c>
      <c r="AG232" t="s">
        <v>177</v>
      </c>
      <c r="AH232" t="s">
        <v>123</v>
      </c>
      <c r="AI232" t="s">
        <v>128</v>
      </c>
      <c r="AJ232" t="s">
        <v>138</v>
      </c>
      <c r="AK232" t="s">
        <v>139</v>
      </c>
      <c r="AL232" t="s">
        <v>123</v>
      </c>
      <c r="AM232" t="s">
        <v>123</v>
      </c>
      <c r="AN232" t="s">
        <v>123</v>
      </c>
      <c r="AO232" t="s">
        <v>123</v>
      </c>
      <c r="AP232">
        <v>250</v>
      </c>
      <c r="AQ232">
        <v>50</v>
      </c>
      <c r="AR232">
        <v>10</v>
      </c>
      <c r="AS232" t="s">
        <v>123</v>
      </c>
      <c r="AT232" t="s">
        <v>123</v>
      </c>
      <c r="AU232" t="s">
        <v>123</v>
      </c>
      <c r="AV232" t="s">
        <v>123</v>
      </c>
      <c r="AW232" t="s">
        <v>123</v>
      </c>
      <c r="AX232" t="s">
        <v>123</v>
      </c>
      <c r="AY232" t="s">
        <v>123</v>
      </c>
      <c r="AZ232" t="s">
        <v>123</v>
      </c>
      <c r="BA232" t="s">
        <v>140</v>
      </c>
      <c r="BB232" t="s">
        <v>123</v>
      </c>
      <c r="BC232" t="s">
        <v>123</v>
      </c>
      <c r="BD232" t="s">
        <v>123</v>
      </c>
      <c r="BE232" t="s">
        <v>123</v>
      </c>
      <c r="BF232" t="s">
        <v>123</v>
      </c>
      <c r="BG232" t="s">
        <v>141</v>
      </c>
      <c r="BH232" t="s">
        <v>123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123</v>
      </c>
      <c r="BX232" t="s">
        <v>123</v>
      </c>
      <c r="BY232" s="1">
        <v>45965.253976238426</v>
      </c>
      <c r="BZ232">
        <v>1566</v>
      </c>
      <c r="CA232" t="s">
        <v>123</v>
      </c>
      <c r="CB232" t="s">
        <v>123</v>
      </c>
      <c r="CC232">
        <v>0</v>
      </c>
      <c r="CD232" t="s">
        <v>123</v>
      </c>
      <c r="CE232" t="s">
        <v>123</v>
      </c>
      <c r="CF232" t="s">
        <v>123</v>
      </c>
      <c r="CG232" t="s">
        <v>123</v>
      </c>
      <c r="CH232" t="s">
        <v>123</v>
      </c>
      <c r="CI232" t="s">
        <v>123</v>
      </c>
      <c r="CJ232" t="s">
        <v>123</v>
      </c>
      <c r="CK232">
        <v>1.78E-2</v>
      </c>
      <c r="CL232">
        <v>2.0400000000000001E-2</v>
      </c>
      <c r="CM232">
        <v>2.5000000000000001E-2</v>
      </c>
      <c r="CN232">
        <v>2.8799999999999999E-2</v>
      </c>
      <c r="CO232" t="s">
        <v>123</v>
      </c>
      <c r="CP232" t="s">
        <v>123</v>
      </c>
      <c r="CQ232">
        <v>1.38E-2</v>
      </c>
      <c r="CR232">
        <v>1.5900000000000001E-2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178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  <c r="DN232" t="s">
        <v>123</v>
      </c>
      <c r="DO232" t="s">
        <v>123</v>
      </c>
      <c r="DP232" t="s">
        <v>123</v>
      </c>
      <c r="DQ232" t="s">
        <v>123</v>
      </c>
      <c r="DR232" t="s">
        <v>123</v>
      </c>
      <c r="DS232" t="s">
        <v>123</v>
      </c>
    </row>
    <row r="233" spans="1:123" x14ac:dyDescent="0.3">
      <c r="A233">
        <v>232</v>
      </c>
      <c r="B233" t="s">
        <v>123</v>
      </c>
      <c r="C233" t="s">
        <v>123</v>
      </c>
      <c r="D233" t="s">
        <v>989</v>
      </c>
      <c r="E233" t="s">
        <v>123</v>
      </c>
      <c r="F233" t="s">
        <v>125</v>
      </c>
      <c r="G233" t="s">
        <v>126</v>
      </c>
      <c r="H233" t="s">
        <v>127</v>
      </c>
      <c r="I233" t="s">
        <v>128</v>
      </c>
      <c r="J233" t="s">
        <v>123</v>
      </c>
      <c r="K233" t="s">
        <v>990</v>
      </c>
      <c r="L233" t="s">
        <v>130</v>
      </c>
      <c r="M233" t="s">
        <v>991</v>
      </c>
      <c r="N233" t="s">
        <v>158</v>
      </c>
      <c r="O233" t="s">
        <v>150</v>
      </c>
      <c r="P233" t="s">
        <v>123</v>
      </c>
      <c r="Q233" t="s">
        <v>123</v>
      </c>
      <c r="R233" t="s">
        <v>123</v>
      </c>
      <c r="S233" t="s">
        <v>123</v>
      </c>
      <c r="T233" s="1">
        <v>46444</v>
      </c>
      <c r="U233" t="s">
        <v>123</v>
      </c>
      <c r="V233" t="s">
        <v>123</v>
      </c>
      <c r="W233" t="s">
        <v>123</v>
      </c>
      <c r="X233" t="s">
        <v>123</v>
      </c>
      <c r="Y233" t="s">
        <v>123</v>
      </c>
      <c r="Z233" t="s">
        <v>123</v>
      </c>
      <c r="AA233" t="s">
        <v>123</v>
      </c>
      <c r="AB233" t="s">
        <v>992</v>
      </c>
      <c r="AC233" t="s">
        <v>135</v>
      </c>
      <c r="AD233" t="s">
        <v>123</v>
      </c>
      <c r="AE233" t="s">
        <v>123</v>
      </c>
      <c r="AF233" t="s">
        <v>176</v>
      </c>
      <c r="AG233" t="s">
        <v>177</v>
      </c>
      <c r="AH233" t="s">
        <v>123</v>
      </c>
      <c r="AI233" t="s">
        <v>128</v>
      </c>
      <c r="AJ233" t="s">
        <v>138</v>
      </c>
      <c r="AK233" t="s">
        <v>139</v>
      </c>
      <c r="AL233" t="s">
        <v>123</v>
      </c>
      <c r="AM233" t="s">
        <v>123</v>
      </c>
      <c r="AN233" t="s">
        <v>123</v>
      </c>
      <c r="AO233" t="s">
        <v>123</v>
      </c>
      <c r="AP233">
        <v>250</v>
      </c>
      <c r="AQ233">
        <v>50</v>
      </c>
      <c r="AR233">
        <v>10</v>
      </c>
      <c r="AS233" t="s">
        <v>123</v>
      </c>
      <c r="AT233" t="s">
        <v>123</v>
      </c>
      <c r="AU233" t="s">
        <v>123</v>
      </c>
      <c r="AV233" t="s">
        <v>123</v>
      </c>
      <c r="AW233" t="s">
        <v>123</v>
      </c>
      <c r="AX233" t="s">
        <v>123</v>
      </c>
      <c r="AY233" t="s">
        <v>123</v>
      </c>
      <c r="AZ233" t="s">
        <v>123</v>
      </c>
      <c r="BA233" t="s">
        <v>140</v>
      </c>
      <c r="BB233" t="s">
        <v>123</v>
      </c>
      <c r="BC233" t="s">
        <v>123</v>
      </c>
      <c r="BD233" t="s">
        <v>123</v>
      </c>
      <c r="BE233" t="s">
        <v>123</v>
      </c>
      <c r="BF233" t="s">
        <v>123</v>
      </c>
      <c r="BG233" t="s">
        <v>141</v>
      </c>
      <c r="BH233" t="s">
        <v>123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123</v>
      </c>
      <c r="BX233" t="s">
        <v>123</v>
      </c>
      <c r="BY233" s="1">
        <v>45965.254002858797</v>
      </c>
      <c r="BZ233">
        <v>1591</v>
      </c>
      <c r="CA233" t="s">
        <v>123</v>
      </c>
      <c r="CB233" t="s">
        <v>123</v>
      </c>
      <c r="CC233">
        <v>0</v>
      </c>
      <c r="CD233" t="s">
        <v>123</v>
      </c>
      <c r="CE233" t="s">
        <v>123</v>
      </c>
      <c r="CF233" t="s">
        <v>123</v>
      </c>
      <c r="CG233" t="s">
        <v>123</v>
      </c>
      <c r="CH233" t="s">
        <v>123</v>
      </c>
      <c r="CI233" t="s">
        <v>123</v>
      </c>
      <c r="CJ233" t="s">
        <v>123</v>
      </c>
      <c r="CK233">
        <v>1.5599999999999999E-2</v>
      </c>
      <c r="CL233">
        <v>1.7999999999999999E-2</v>
      </c>
      <c r="CM233">
        <v>1.7299999999999999E-2</v>
      </c>
      <c r="CN233">
        <v>2.01E-2</v>
      </c>
      <c r="CO233" t="s">
        <v>123</v>
      </c>
      <c r="CP233" t="s">
        <v>123</v>
      </c>
      <c r="CQ233">
        <v>1.37E-2</v>
      </c>
      <c r="CR233">
        <v>1.5900000000000001E-2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178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  <c r="DN233" t="s">
        <v>123</v>
      </c>
      <c r="DO233" t="s">
        <v>123</v>
      </c>
      <c r="DP233" t="s">
        <v>123</v>
      </c>
      <c r="DQ233" t="s">
        <v>123</v>
      </c>
      <c r="DR233" t="s">
        <v>123</v>
      </c>
      <c r="DS233" t="s">
        <v>123</v>
      </c>
    </row>
    <row r="234" spans="1:123" x14ac:dyDescent="0.3">
      <c r="A234">
        <v>233</v>
      </c>
      <c r="B234" t="s">
        <v>123</v>
      </c>
      <c r="C234" t="s">
        <v>123</v>
      </c>
      <c r="D234" t="s">
        <v>993</v>
      </c>
      <c r="E234" t="s">
        <v>123</v>
      </c>
      <c r="F234" t="s">
        <v>125</v>
      </c>
      <c r="G234" t="s">
        <v>126</v>
      </c>
      <c r="H234" t="s">
        <v>127</v>
      </c>
      <c r="I234" t="s">
        <v>128</v>
      </c>
      <c r="J234" t="s">
        <v>123</v>
      </c>
      <c r="K234" t="s">
        <v>990</v>
      </c>
      <c r="L234" t="s">
        <v>130</v>
      </c>
      <c r="M234" t="s">
        <v>991</v>
      </c>
      <c r="N234" t="s">
        <v>180</v>
      </c>
      <c r="O234" t="s">
        <v>150</v>
      </c>
      <c r="P234" t="s">
        <v>123</v>
      </c>
      <c r="Q234" t="s">
        <v>123</v>
      </c>
      <c r="R234" t="s">
        <v>123</v>
      </c>
      <c r="S234" t="s">
        <v>123</v>
      </c>
      <c r="T234" s="1">
        <v>46444</v>
      </c>
      <c r="U234" t="s">
        <v>123</v>
      </c>
      <c r="V234" t="s">
        <v>123</v>
      </c>
      <c r="W234" t="s">
        <v>123</v>
      </c>
      <c r="X234" t="s">
        <v>123</v>
      </c>
      <c r="Y234" t="s">
        <v>123</v>
      </c>
      <c r="Z234" t="s">
        <v>123</v>
      </c>
      <c r="AA234" t="s">
        <v>123</v>
      </c>
      <c r="AB234" t="s">
        <v>994</v>
      </c>
      <c r="AC234" t="s">
        <v>135</v>
      </c>
      <c r="AD234" t="s">
        <v>123</v>
      </c>
      <c r="AE234" t="s">
        <v>123</v>
      </c>
      <c r="AF234" t="s">
        <v>176</v>
      </c>
      <c r="AG234" t="s">
        <v>177</v>
      </c>
      <c r="AH234" t="s">
        <v>123</v>
      </c>
      <c r="AI234" t="s">
        <v>128</v>
      </c>
      <c r="AJ234" t="s">
        <v>138</v>
      </c>
      <c r="AK234" t="s">
        <v>139</v>
      </c>
      <c r="AL234" t="s">
        <v>123</v>
      </c>
      <c r="AM234" t="s">
        <v>123</v>
      </c>
      <c r="AN234" t="s">
        <v>123</v>
      </c>
      <c r="AO234" t="s">
        <v>123</v>
      </c>
      <c r="AP234">
        <v>250</v>
      </c>
      <c r="AQ234">
        <v>50</v>
      </c>
      <c r="AR234">
        <v>10</v>
      </c>
      <c r="AS234" t="s">
        <v>123</v>
      </c>
      <c r="AT234" t="s">
        <v>123</v>
      </c>
      <c r="AU234" t="s">
        <v>123</v>
      </c>
      <c r="AV234" t="s">
        <v>123</v>
      </c>
      <c r="AW234" t="s">
        <v>123</v>
      </c>
      <c r="AX234" t="s">
        <v>123</v>
      </c>
      <c r="AY234" t="s">
        <v>123</v>
      </c>
      <c r="AZ234" t="s">
        <v>123</v>
      </c>
      <c r="BA234" t="s">
        <v>140</v>
      </c>
      <c r="BB234" t="s">
        <v>123</v>
      </c>
      <c r="BC234" t="s">
        <v>123</v>
      </c>
      <c r="BD234" t="s">
        <v>123</v>
      </c>
      <c r="BE234" t="s">
        <v>123</v>
      </c>
      <c r="BF234" t="s">
        <v>123</v>
      </c>
      <c r="BG234" t="s">
        <v>141</v>
      </c>
      <c r="BH234" t="s">
        <v>123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123</v>
      </c>
      <c r="BX234" t="s">
        <v>123</v>
      </c>
      <c r="BY234" s="1">
        <v>45965.254027280091</v>
      </c>
      <c r="BZ234">
        <v>1591</v>
      </c>
      <c r="CA234" t="s">
        <v>123</v>
      </c>
      <c r="CB234" t="s">
        <v>123</v>
      </c>
      <c r="CC234">
        <v>0</v>
      </c>
      <c r="CD234" t="s">
        <v>123</v>
      </c>
      <c r="CE234" t="s">
        <v>123</v>
      </c>
      <c r="CF234" t="s">
        <v>123</v>
      </c>
      <c r="CG234" t="s">
        <v>123</v>
      </c>
      <c r="CH234" t="s">
        <v>123</v>
      </c>
      <c r="CI234" t="s">
        <v>123</v>
      </c>
      <c r="CJ234" t="s">
        <v>123</v>
      </c>
      <c r="CK234">
        <v>1.9699999999999999E-2</v>
      </c>
      <c r="CL234">
        <v>2.29E-2</v>
      </c>
      <c r="CM234">
        <v>2.2800000000000001E-2</v>
      </c>
      <c r="CN234">
        <v>2.63E-2</v>
      </c>
      <c r="CO234" t="s">
        <v>123</v>
      </c>
      <c r="CP234" t="s">
        <v>123</v>
      </c>
      <c r="CQ234">
        <v>1.7299999999999999E-2</v>
      </c>
      <c r="CR234">
        <v>2.01E-2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178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  <c r="DN234" t="s">
        <v>123</v>
      </c>
      <c r="DO234" t="s">
        <v>123</v>
      </c>
      <c r="DP234" t="s">
        <v>123</v>
      </c>
      <c r="DQ234" t="s">
        <v>123</v>
      </c>
      <c r="DR234" t="s">
        <v>123</v>
      </c>
      <c r="DS234" t="s">
        <v>123</v>
      </c>
    </row>
    <row r="235" spans="1:123" x14ac:dyDescent="0.3">
      <c r="A235">
        <v>234</v>
      </c>
      <c r="B235" t="s">
        <v>123</v>
      </c>
      <c r="C235" t="s">
        <v>123</v>
      </c>
      <c r="D235" t="s">
        <v>995</v>
      </c>
      <c r="E235" t="s">
        <v>123</v>
      </c>
      <c r="F235" t="s">
        <v>125</v>
      </c>
      <c r="G235" t="s">
        <v>126</v>
      </c>
      <c r="H235" t="s">
        <v>127</v>
      </c>
      <c r="I235" t="s">
        <v>128</v>
      </c>
      <c r="J235" t="s">
        <v>123</v>
      </c>
      <c r="K235" t="s">
        <v>990</v>
      </c>
      <c r="L235" t="s">
        <v>130</v>
      </c>
      <c r="M235" t="s">
        <v>991</v>
      </c>
      <c r="N235" t="s">
        <v>158</v>
      </c>
      <c r="O235" t="s">
        <v>159</v>
      </c>
      <c r="P235" t="s">
        <v>123</v>
      </c>
      <c r="Q235" t="s">
        <v>123</v>
      </c>
      <c r="R235" t="s">
        <v>123</v>
      </c>
      <c r="S235" t="s">
        <v>123</v>
      </c>
      <c r="T235" s="1">
        <v>46804</v>
      </c>
      <c r="U235" t="s">
        <v>123</v>
      </c>
      <c r="V235" t="s">
        <v>123</v>
      </c>
      <c r="W235" t="s">
        <v>123</v>
      </c>
      <c r="X235" t="s">
        <v>123</v>
      </c>
      <c r="Y235" t="s">
        <v>123</v>
      </c>
      <c r="Z235" t="s">
        <v>123</v>
      </c>
      <c r="AA235" t="s">
        <v>123</v>
      </c>
      <c r="AB235" t="s">
        <v>996</v>
      </c>
      <c r="AC235" t="s">
        <v>135</v>
      </c>
      <c r="AD235" t="s">
        <v>123</v>
      </c>
      <c r="AE235" t="s">
        <v>123</v>
      </c>
      <c r="AF235" t="s">
        <v>176</v>
      </c>
      <c r="AG235" t="s">
        <v>177</v>
      </c>
      <c r="AH235" t="s">
        <v>123</v>
      </c>
      <c r="AI235" t="s">
        <v>128</v>
      </c>
      <c r="AJ235" t="s">
        <v>138</v>
      </c>
      <c r="AK235" t="s">
        <v>139</v>
      </c>
      <c r="AL235" t="s">
        <v>123</v>
      </c>
      <c r="AM235" t="s">
        <v>123</v>
      </c>
      <c r="AN235" t="s">
        <v>123</v>
      </c>
      <c r="AO235" t="s">
        <v>123</v>
      </c>
      <c r="AP235">
        <v>250</v>
      </c>
      <c r="AQ235">
        <v>50</v>
      </c>
      <c r="AR235">
        <v>10</v>
      </c>
      <c r="AS235" t="s">
        <v>123</v>
      </c>
      <c r="AT235" t="s">
        <v>123</v>
      </c>
      <c r="AU235" t="s">
        <v>123</v>
      </c>
      <c r="AV235" t="s">
        <v>123</v>
      </c>
      <c r="AW235" t="s">
        <v>123</v>
      </c>
      <c r="AX235" t="s">
        <v>123</v>
      </c>
      <c r="AY235" t="s">
        <v>123</v>
      </c>
      <c r="AZ235" t="s">
        <v>123</v>
      </c>
      <c r="BA235" t="s">
        <v>140</v>
      </c>
      <c r="BB235" t="s">
        <v>123</v>
      </c>
      <c r="BC235" t="s">
        <v>123</v>
      </c>
      <c r="BD235" t="s">
        <v>123</v>
      </c>
      <c r="BE235" t="s">
        <v>123</v>
      </c>
      <c r="BF235" t="s">
        <v>123</v>
      </c>
      <c r="BG235" t="s">
        <v>141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s="1">
        <v>45965.254052048615</v>
      </c>
      <c r="BZ235">
        <v>1591</v>
      </c>
      <c r="CA235" t="s">
        <v>123</v>
      </c>
      <c r="CB235" t="s">
        <v>123</v>
      </c>
      <c r="CC235">
        <v>0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>
        <v>1.4200000000000001E-2</v>
      </c>
      <c r="CL235">
        <v>1.61E-2</v>
      </c>
      <c r="CM235">
        <v>1.55E-2</v>
      </c>
      <c r="CN235">
        <v>1.7600000000000001E-2</v>
      </c>
      <c r="CO235" t="s">
        <v>123</v>
      </c>
      <c r="CP235" t="s">
        <v>123</v>
      </c>
      <c r="CQ235">
        <v>1.2999999999999999E-2</v>
      </c>
      <c r="CR235">
        <v>1.49E-2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178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  <c r="DN235" t="s">
        <v>123</v>
      </c>
      <c r="DO235" t="s">
        <v>123</v>
      </c>
      <c r="DP235" t="s">
        <v>123</v>
      </c>
      <c r="DQ235" t="s">
        <v>123</v>
      </c>
      <c r="DR235" t="s">
        <v>123</v>
      </c>
      <c r="DS235" t="s">
        <v>123</v>
      </c>
    </row>
    <row r="236" spans="1:123" x14ac:dyDescent="0.3">
      <c r="A236">
        <v>235</v>
      </c>
      <c r="B236" t="s">
        <v>123</v>
      </c>
      <c r="C236" t="s">
        <v>123</v>
      </c>
      <c r="D236" t="s">
        <v>997</v>
      </c>
      <c r="E236" t="s">
        <v>123</v>
      </c>
      <c r="F236" t="s">
        <v>125</v>
      </c>
      <c r="G236" t="s">
        <v>126</v>
      </c>
      <c r="H236" t="s">
        <v>127</v>
      </c>
      <c r="I236" t="s">
        <v>128</v>
      </c>
      <c r="J236" t="s">
        <v>123</v>
      </c>
      <c r="K236" t="s">
        <v>998</v>
      </c>
      <c r="L236" t="s">
        <v>130</v>
      </c>
      <c r="M236" t="s">
        <v>987</v>
      </c>
      <c r="N236" t="s">
        <v>158</v>
      </c>
      <c r="O236" t="s">
        <v>159</v>
      </c>
      <c r="P236" t="s">
        <v>123</v>
      </c>
      <c r="Q236" t="s">
        <v>123</v>
      </c>
      <c r="R236" t="s">
        <v>123</v>
      </c>
      <c r="S236" t="s">
        <v>123</v>
      </c>
      <c r="T236" s="1">
        <v>46911</v>
      </c>
      <c r="U236" t="s">
        <v>123</v>
      </c>
      <c r="V236" t="s">
        <v>123</v>
      </c>
      <c r="W236" t="s">
        <v>123</v>
      </c>
      <c r="X236" t="s">
        <v>123</v>
      </c>
      <c r="Y236" t="s">
        <v>123</v>
      </c>
      <c r="Z236" t="s">
        <v>123</v>
      </c>
      <c r="AA236" t="s">
        <v>123</v>
      </c>
      <c r="AB236" t="s">
        <v>999</v>
      </c>
      <c r="AC236" t="s">
        <v>135</v>
      </c>
      <c r="AD236" t="s">
        <v>123</v>
      </c>
      <c r="AE236" t="s">
        <v>123</v>
      </c>
      <c r="AF236" t="s">
        <v>176</v>
      </c>
      <c r="AG236" t="s">
        <v>177</v>
      </c>
      <c r="AH236" t="s">
        <v>123</v>
      </c>
      <c r="AI236" t="s">
        <v>128</v>
      </c>
      <c r="AJ236" t="s">
        <v>138</v>
      </c>
      <c r="AK236" t="s">
        <v>139</v>
      </c>
      <c r="AL236" t="s">
        <v>123</v>
      </c>
      <c r="AM236" t="s">
        <v>123</v>
      </c>
      <c r="AN236" t="s">
        <v>123</v>
      </c>
      <c r="AO236" t="s">
        <v>123</v>
      </c>
      <c r="AP236">
        <v>250</v>
      </c>
      <c r="AQ236">
        <v>50</v>
      </c>
      <c r="AR236">
        <v>10</v>
      </c>
      <c r="AS236" t="s">
        <v>123</v>
      </c>
      <c r="AT236" t="s">
        <v>123</v>
      </c>
      <c r="AU236" t="s">
        <v>123</v>
      </c>
      <c r="AV236" t="s">
        <v>123</v>
      </c>
      <c r="AW236" t="s">
        <v>123</v>
      </c>
      <c r="AX236" t="s">
        <v>123</v>
      </c>
      <c r="AY236" t="s">
        <v>123</v>
      </c>
      <c r="AZ236" t="s">
        <v>123</v>
      </c>
      <c r="BA236" t="s">
        <v>140</v>
      </c>
      <c r="BB236" t="s">
        <v>123</v>
      </c>
      <c r="BC236" t="s">
        <v>123</v>
      </c>
      <c r="BD236" t="s">
        <v>123</v>
      </c>
      <c r="BE236" t="s">
        <v>123</v>
      </c>
      <c r="BF236" t="s">
        <v>123</v>
      </c>
      <c r="BG236" t="s">
        <v>141</v>
      </c>
      <c r="BH236" t="s">
        <v>123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123</v>
      </c>
      <c r="BX236" t="s">
        <v>123</v>
      </c>
      <c r="BY236" s="1">
        <v>45965.254077696758</v>
      </c>
      <c r="BZ236">
        <v>1591</v>
      </c>
      <c r="CA236" t="s">
        <v>123</v>
      </c>
      <c r="CB236" t="s">
        <v>123</v>
      </c>
      <c r="CC236">
        <v>0</v>
      </c>
      <c r="CD236" t="s">
        <v>123</v>
      </c>
      <c r="CE236" t="s">
        <v>123</v>
      </c>
      <c r="CF236" t="s">
        <v>123</v>
      </c>
      <c r="CG236" t="s">
        <v>123</v>
      </c>
      <c r="CH236" t="s">
        <v>123</v>
      </c>
      <c r="CI236" t="s">
        <v>123</v>
      </c>
      <c r="CJ236" t="s">
        <v>123</v>
      </c>
      <c r="CK236">
        <v>1.7999999999999999E-2</v>
      </c>
      <c r="CL236">
        <v>2.07E-2</v>
      </c>
      <c r="CM236">
        <v>2.0799999999999999E-2</v>
      </c>
      <c r="CN236">
        <v>2.3900000000000001E-2</v>
      </c>
      <c r="CO236" t="s">
        <v>123</v>
      </c>
      <c r="CP236" t="s">
        <v>123</v>
      </c>
      <c r="CQ236">
        <v>1.54E-2</v>
      </c>
      <c r="CR236">
        <v>1.7899999999999999E-2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178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  <c r="DN236" t="s">
        <v>123</v>
      </c>
      <c r="DO236" t="s">
        <v>123</v>
      </c>
      <c r="DP236" t="s">
        <v>123</v>
      </c>
      <c r="DQ236" t="s">
        <v>123</v>
      </c>
      <c r="DR236" t="s">
        <v>123</v>
      </c>
      <c r="DS236" t="s">
        <v>123</v>
      </c>
    </row>
    <row r="237" spans="1:123" x14ac:dyDescent="0.3">
      <c r="A237">
        <v>236</v>
      </c>
      <c r="B237" t="s">
        <v>123</v>
      </c>
      <c r="C237" t="s">
        <v>123</v>
      </c>
      <c r="D237" t="s">
        <v>1000</v>
      </c>
      <c r="E237" t="s">
        <v>123</v>
      </c>
      <c r="F237" t="s">
        <v>125</v>
      </c>
      <c r="G237" t="s">
        <v>126</v>
      </c>
      <c r="H237" t="s">
        <v>127</v>
      </c>
      <c r="I237" t="s">
        <v>199</v>
      </c>
      <c r="J237" t="s">
        <v>123</v>
      </c>
      <c r="K237" t="s">
        <v>1001</v>
      </c>
      <c r="L237" t="s">
        <v>130</v>
      </c>
      <c r="M237" t="s">
        <v>1002</v>
      </c>
      <c r="N237" t="s">
        <v>158</v>
      </c>
      <c r="O237" t="s">
        <v>133</v>
      </c>
      <c r="P237" t="s">
        <v>123</v>
      </c>
      <c r="Q237" t="s">
        <v>123</v>
      </c>
      <c r="R237" t="s">
        <v>123</v>
      </c>
      <c r="S237" t="s">
        <v>123</v>
      </c>
      <c r="T237" s="1">
        <v>46332</v>
      </c>
      <c r="U237" t="s">
        <v>123</v>
      </c>
      <c r="V237" t="s">
        <v>123</v>
      </c>
      <c r="W237" t="s">
        <v>123</v>
      </c>
      <c r="X237" t="s">
        <v>123</v>
      </c>
      <c r="Y237" t="s">
        <v>123</v>
      </c>
      <c r="Z237" t="s">
        <v>123</v>
      </c>
      <c r="AA237" t="s">
        <v>123</v>
      </c>
      <c r="AB237" t="s">
        <v>1003</v>
      </c>
      <c r="AC237" t="s">
        <v>135</v>
      </c>
      <c r="AD237" t="s">
        <v>123</v>
      </c>
      <c r="AE237" t="s">
        <v>123</v>
      </c>
      <c r="AF237" t="s">
        <v>1004</v>
      </c>
      <c r="AG237" t="s">
        <v>1005</v>
      </c>
      <c r="AH237" t="s">
        <v>123</v>
      </c>
      <c r="AI237" t="s">
        <v>199</v>
      </c>
      <c r="AJ237" t="s">
        <v>138</v>
      </c>
      <c r="AK237" t="s">
        <v>397</v>
      </c>
      <c r="AL237" t="s">
        <v>123</v>
      </c>
      <c r="AM237" t="s">
        <v>123</v>
      </c>
      <c r="AN237" t="s">
        <v>123</v>
      </c>
      <c r="AO237" t="s">
        <v>123</v>
      </c>
      <c r="AP237">
        <v>250</v>
      </c>
      <c r="AQ237">
        <v>50</v>
      </c>
      <c r="AR237">
        <v>10</v>
      </c>
      <c r="AS237" t="s">
        <v>123</v>
      </c>
      <c r="AT237" t="s">
        <v>123</v>
      </c>
      <c r="AU237" t="s">
        <v>123</v>
      </c>
      <c r="AV237" t="s">
        <v>123</v>
      </c>
      <c r="AW237" t="s">
        <v>123</v>
      </c>
      <c r="AX237" t="s">
        <v>123</v>
      </c>
      <c r="AY237" t="s">
        <v>123</v>
      </c>
      <c r="AZ237" t="s">
        <v>123</v>
      </c>
      <c r="BA237" t="s">
        <v>140</v>
      </c>
      <c r="BB237" t="s">
        <v>123</v>
      </c>
      <c r="BC237" t="s">
        <v>123</v>
      </c>
      <c r="BD237" t="s">
        <v>123</v>
      </c>
      <c r="BE237" t="s">
        <v>123</v>
      </c>
      <c r="BF237" t="s">
        <v>123</v>
      </c>
      <c r="BG237" t="s">
        <v>141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s="1">
        <v>45965.254104201391</v>
      </c>
      <c r="BZ237">
        <v>1460</v>
      </c>
      <c r="CA237" t="s">
        <v>123</v>
      </c>
      <c r="CB237" t="s">
        <v>123</v>
      </c>
      <c r="CC237">
        <v>0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>
        <v>9.1000000000000004E-3</v>
      </c>
      <c r="CL237">
        <v>0.01</v>
      </c>
      <c r="CM237">
        <v>1.17E-2</v>
      </c>
      <c r="CN237">
        <v>1.24E-2</v>
      </c>
      <c r="CO237" t="s">
        <v>123</v>
      </c>
      <c r="CP237" t="s">
        <v>123</v>
      </c>
      <c r="CQ237">
        <v>6.7999999999999996E-3</v>
      </c>
      <c r="CR237">
        <v>7.9000000000000008E-3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205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  <c r="DN237" t="s">
        <v>123</v>
      </c>
      <c r="DO237" t="s">
        <v>123</v>
      </c>
      <c r="DP237" t="s">
        <v>123</v>
      </c>
      <c r="DQ237" t="s">
        <v>123</v>
      </c>
      <c r="DR237" t="s">
        <v>123</v>
      </c>
      <c r="DS237" t="s">
        <v>123</v>
      </c>
    </row>
    <row r="238" spans="1:123" x14ac:dyDescent="0.3">
      <c r="A238">
        <v>237</v>
      </c>
      <c r="B238" t="s">
        <v>123</v>
      </c>
      <c r="C238" t="s">
        <v>123</v>
      </c>
      <c r="D238" t="s">
        <v>1006</v>
      </c>
      <c r="E238" t="s">
        <v>123</v>
      </c>
      <c r="F238" t="s">
        <v>125</v>
      </c>
      <c r="G238" t="s">
        <v>126</v>
      </c>
      <c r="H238" t="s">
        <v>127</v>
      </c>
      <c r="I238" t="s">
        <v>199</v>
      </c>
      <c r="J238" t="s">
        <v>123</v>
      </c>
      <c r="K238" t="s">
        <v>1001</v>
      </c>
      <c r="L238" t="s">
        <v>130</v>
      </c>
      <c r="M238" t="s">
        <v>1002</v>
      </c>
      <c r="N238" t="s">
        <v>158</v>
      </c>
      <c r="O238" t="s">
        <v>150</v>
      </c>
      <c r="P238" t="s">
        <v>123</v>
      </c>
      <c r="Q238" t="s">
        <v>123</v>
      </c>
      <c r="R238" t="s">
        <v>123</v>
      </c>
      <c r="S238" t="s">
        <v>123</v>
      </c>
      <c r="T238" s="1">
        <v>46696</v>
      </c>
      <c r="U238" t="s">
        <v>123</v>
      </c>
      <c r="V238" t="s">
        <v>123</v>
      </c>
      <c r="W238" t="s">
        <v>123</v>
      </c>
      <c r="X238" t="s">
        <v>123</v>
      </c>
      <c r="Y238" t="s">
        <v>123</v>
      </c>
      <c r="Z238" t="s">
        <v>123</v>
      </c>
      <c r="AA238" t="s">
        <v>123</v>
      </c>
      <c r="AB238" t="s">
        <v>1007</v>
      </c>
      <c r="AC238" t="s">
        <v>135</v>
      </c>
      <c r="AD238" t="s">
        <v>123</v>
      </c>
      <c r="AE238" t="s">
        <v>123</v>
      </c>
      <c r="AF238" t="s">
        <v>1008</v>
      </c>
      <c r="AG238" t="s">
        <v>1009</v>
      </c>
      <c r="AH238" t="s">
        <v>123</v>
      </c>
      <c r="AI238" t="s">
        <v>199</v>
      </c>
      <c r="AJ238" t="s">
        <v>138</v>
      </c>
      <c r="AK238" t="s">
        <v>397</v>
      </c>
      <c r="AL238" t="s">
        <v>123</v>
      </c>
      <c r="AM238" t="s">
        <v>123</v>
      </c>
      <c r="AN238" t="s">
        <v>123</v>
      </c>
      <c r="AO238" t="s">
        <v>123</v>
      </c>
      <c r="AP238">
        <v>250</v>
      </c>
      <c r="AQ238">
        <v>50</v>
      </c>
      <c r="AR238">
        <v>10</v>
      </c>
      <c r="AS238" t="s">
        <v>123</v>
      </c>
      <c r="AT238" t="s">
        <v>123</v>
      </c>
      <c r="AU238" t="s">
        <v>123</v>
      </c>
      <c r="AV238" t="s">
        <v>123</v>
      </c>
      <c r="AW238" t="s">
        <v>123</v>
      </c>
      <c r="AX238" t="s">
        <v>123</v>
      </c>
      <c r="AY238" t="s">
        <v>123</v>
      </c>
      <c r="AZ238" t="s">
        <v>123</v>
      </c>
      <c r="BA238" t="s">
        <v>140</v>
      </c>
      <c r="BB238" t="s">
        <v>123</v>
      </c>
      <c r="BC238" t="s">
        <v>123</v>
      </c>
      <c r="BD238" t="s">
        <v>123</v>
      </c>
      <c r="BE238" t="s">
        <v>123</v>
      </c>
      <c r="BF238" t="s">
        <v>123</v>
      </c>
      <c r="BG238" t="s">
        <v>141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s="1">
        <v>45965.254126817126</v>
      </c>
      <c r="BZ238">
        <v>1460</v>
      </c>
      <c r="CA238" t="s">
        <v>123</v>
      </c>
      <c r="CB238" t="s">
        <v>123</v>
      </c>
      <c r="CC238">
        <v>0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>
        <v>8.8000000000000005E-3</v>
      </c>
      <c r="CL238">
        <v>9.5999999999999992E-3</v>
      </c>
      <c r="CM238">
        <v>1.23E-2</v>
      </c>
      <c r="CN238">
        <v>1.2699999999999999E-2</v>
      </c>
      <c r="CO238" t="s">
        <v>123</v>
      </c>
      <c r="CP238" t="s">
        <v>123</v>
      </c>
      <c r="CQ238">
        <v>6.7000000000000002E-3</v>
      </c>
      <c r="CR238">
        <v>7.7999999999999996E-3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205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  <c r="DN238" t="s">
        <v>123</v>
      </c>
      <c r="DO238" t="s">
        <v>123</v>
      </c>
      <c r="DP238" t="s">
        <v>123</v>
      </c>
      <c r="DQ238" t="s">
        <v>123</v>
      </c>
      <c r="DR238" t="s">
        <v>123</v>
      </c>
      <c r="DS238" t="s">
        <v>123</v>
      </c>
    </row>
    <row r="239" spans="1:123" x14ac:dyDescent="0.3">
      <c r="A239">
        <v>238</v>
      </c>
      <c r="B239" t="s">
        <v>123</v>
      </c>
      <c r="C239" t="s">
        <v>123</v>
      </c>
      <c r="D239" t="s">
        <v>1010</v>
      </c>
      <c r="E239" t="s">
        <v>123</v>
      </c>
      <c r="F239" t="s">
        <v>125</v>
      </c>
      <c r="G239" t="s">
        <v>126</v>
      </c>
      <c r="H239" t="s">
        <v>127</v>
      </c>
      <c r="I239" t="s">
        <v>199</v>
      </c>
      <c r="J239" t="s">
        <v>123</v>
      </c>
      <c r="K239" t="s">
        <v>1001</v>
      </c>
      <c r="L239" t="s">
        <v>130</v>
      </c>
      <c r="M239" t="s">
        <v>1002</v>
      </c>
      <c r="N239" t="s">
        <v>180</v>
      </c>
      <c r="O239" t="s">
        <v>150</v>
      </c>
      <c r="P239" t="s">
        <v>123</v>
      </c>
      <c r="Q239" t="s">
        <v>123</v>
      </c>
      <c r="R239" t="s">
        <v>123</v>
      </c>
      <c r="S239" t="s">
        <v>123</v>
      </c>
      <c r="T239" s="1">
        <v>45968</v>
      </c>
      <c r="U239" t="s">
        <v>123</v>
      </c>
      <c r="V239" t="s">
        <v>123</v>
      </c>
      <c r="W239" t="s">
        <v>123</v>
      </c>
      <c r="X239" t="s">
        <v>123</v>
      </c>
      <c r="Y239" t="s">
        <v>123</v>
      </c>
      <c r="Z239" t="s">
        <v>123</v>
      </c>
      <c r="AA239" t="s">
        <v>123</v>
      </c>
      <c r="AB239" t="s">
        <v>1011</v>
      </c>
      <c r="AC239" t="s">
        <v>135</v>
      </c>
      <c r="AD239" t="s">
        <v>123</v>
      </c>
      <c r="AE239" t="s">
        <v>123</v>
      </c>
      <c r="AF239" t="s">
        <v>1008</v>
      </c>
      <c r="AG239" t="s">
        <v>1009</v>
      </c>
      <c r="AH239" t="s">
        <v>123</v>
      </c>
      <c r="AI239" t="s">
        <v>199</v>
      </c>
      <c r="AJ239" t="s">
        <v>138</v>
      </c>
      <c r="AK239" t="s">
        <v>397</v>
      </c>
      <c r="AL239" t="s">
        <v>123</v>
      </c>
      <c r="AM239" t="s">
        <v>123</v>
      </c>
      <c r="AN239" t="s">
        <v>123</v>
      </c>
      <c r="AO239" t="s">
        <v>123</v>
      </c>
      <c r="AP239">
        <v>250</v>
      </c>
      <c r="AQ239">
        <v>50</v>
      </c>
      <c r="AR239">
        <v>10</v>
      </c>
      <c r="AS239" t="s">
        <v>123</v>
      </c>
      <c r="AT239" t="s">
        <v>123</v>
      </c>
      <c r="AU239" t="s">
        <v>123</v>
      </c>
      <c r="AV239" t="s">
        <v>123</v>
      </c>
      <c r="AW239" t="s">
        <v>123</v>
      </c>
      <c r="AX239" t="s">
        <v>123</v>
      </c>
      <c r="AY239" t="s">
        <v>123</v>
      </c>
      <c r="AZ239" t="s">
        <v>123</v>
      </c>
      <c r="BA239" t="s">
        <v>140</v>
      </c>
      <c r="BB239" t="s">
        <v>123</v>
      </c>
      <c r="BC239" t="s">
        <v>123</v>
      </c>
      <c r="BD239" t="s">
        <v>123</v>
      </c>
      <c r="BE239" t="s">
        <v>123</v>
      </c>
      <c r="BF239" t="s">
        <v>123</v>
      </c>
      <c r="BG239" t="s">
        <v>141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s="1">
        <v>45965.254149386572</v>
      </c>
      <c r="BZ239">
        <v>1460</v>
      </c>
      <c r="CA239" t="s">
        <v>123</v>
      </c>
      <c r="CB239" t="s">
        <v>123</v>
      </c>
      <c r="CC239">
        <v>0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>
        <v>8.8000000000000005E-3</v>
      </c>
      <c r="CL239">
        <v>9.5999999999999992E-3</v>
      </c>
      <c r="CM239">
        <v>1.23E-2</v>
      </c>
      <c r="CN239">
        <v>1.2699999999999999E-2</v>
      </c>
      <c r="CO239" t="s">
        <v>123</v>
      </c>
      <c r="CP239" t="s">
        <v>123</v>
      </c>
      <c r="CQ239">
        <v>6.7000000000000002E-3</v>
      </c>
      <c r="CR239">
        <v>7.7999999999999996E-3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205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  <c r="DN239" t="s">
        <v>123</v>
      </c>
      <c r="DO239" t="s">
        <v>123</v>
      </c>
      <c r="DP239" t="s">
        <v>123</v>
      </c>
      <c r="DQ239" t="s">
        <v>123</v>
      </c>
      <c r="DR239" t="s">
        <v>123</v>
      </c>
      <c r="DS239" t="s">
        <v>123</v>
      </c>
    </row>
    <row r="240" spans="1:123" x14ac:dyDescent="0.3">
      <c r="A240">
        <v>239</v>
      </c>
      <c r="B240" t="s">
        <v>123</v>
      </c>
      <c r="C240" t="s">
        <v>123</v>
      </c>
      <c r="D240" t="s">
        <v>1012</v>
      </c>
      <c r="E240" t="s">
        <v>123</v>
      </c>
      <c r="F240" t="s">
        <v>125</v>
      </c>
      <c r="G240" t="s">
        <v>126</v>
      </c>
      <c r="H240" t="s">
        <v>127</v>
      </c>
      <c r="I240" t="s">
        <v>384</v>
      </c>
      <c r="J240" t="s">
        <v>123</v>
      </c>
      <c r="K240" t="s">
        <v>1013</v>
      </c>
      <c r="L240" t="s">
        <v>130</v>
      </c>
      <c r="M240" t="s">
        <v>1014</v>
      </c>
      <c r="N240" t="s">
        <v>369</v>
      </c>
      <c r="O240" t="s">
        <v>1015</v>
      </c>
      <c r="P240" t="s">
        <v>123</v>
      </c>
      <c r="Q240" t="s">
        <v>123</v>
      </c>
      <c r="R240" t="s">
        <v>123</v>
      </c>
      <c r="S240" t="s">
        <v>123</v>
      </c>
      <c r="T240" s="1">
        <v>45997</v>
      </c>
      <c r="U240" t="s">
        <v>123</v>
      </c>
      <c r="V240" t="s">
        <v>123</v>
      </c>
      <c r="W240" t="s">
        <v>123</v>
      </c>
      <c r="X240" t="s">
        <v>123</v>
      </c>
      <c r="Y240" t="s">
        <v>123</v>
      </c>
      <c r="Z240" t="s">
        <v>123</v>
      </c>
      <c r="AA240" t="s">
        <v>123</v>
      </c>
      <c r="AB240" t="s">
        <v>1016</v>
      </c>
      <c r="AC240" t="s">
        <v>135</v>
      </c>
      <c r="AD240" t="s">
        <v>123</v>
      </c>
      <c r="AE240" t="s">
        <v>123</v>
      </c>
      <c r="AF240" t="s">
        <v>550</v>
      </c>
      <c r="AG240" t="s">
        <v>162</v>
      </c>
      <c r="AH240" t="s">
        <v>123</v>
      </c>
      <c r="AI240" t="s">
        <v>384</v>
      </c>
      <c r="AJ240" t="s">
        <v>186</v>
      </c>
      <c r="AK240" t="s">
        <v>139</v>
      </c>
      <c r="AL240" t="s">
        <v>123</v>
      </c>
      <c r="AM240" t="s">
        <v>123</v>
      </c>
      <c r="AN240" t="s">
        <v>123</v>
      </c>
      <c r="AO240" t="s">
        <v>123</v>
      </c>
      <c r="AP240">
        <v>250</v>
      </c>
      <c r="AQ240">
        <v>50</v>
      </c>
      <c r="AR240">
        <v>10</v>
      </c>
      <c r="AS240" t="s">
        <v>123</v>
      </c>
      <c r="AT240" t="s">
        <v>123</v>
      </c>
      <c r="AU240" t="s">
        <v>123</v>
      </c>
      <c r="AV240" t="s">
        <v>123</v>
      </c>
      <c r="AW240" t="s">
        <v>123</v>
      </c>
      <c r="AX240" t="s">
        <v>123</v>
      </c>
      <c r="AY240" t="s">
        <v>123</v>
      </c>
      <c r="AZ240" t="s">
        <v>123</v>
      </c>
      <c r="BA240" t="s">
        <v>140</v>
      </c>
      <c r="BB240" t="s">
        <v>123</v>
      </c>
      <c r="BC240" t="s">
        <v>123</v>
      </c>
      <c r="BD240" t="s">
        <v>123</v>
      </c>
      <c r="BE240" t="s">
        <v>123</v>
      </c>
      <c r="BF240" t="s">
        <v>123</v>
      </c>
      <c r="BG240" t="s">
        <v>141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s="1">
        <v>45965.254171909721</v>
      </c>
      <c r="BZ240">
        <v>1448</v>
      </c>
      <c r="CA240" t="s">
        <v>123</v>
      </c>
      <c r="CB240" t="s">
        <v>123</v>
      </c>
      <c r="CC240">
        <v>0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>
        <v>1.0500000000000001E-2</v>
      </c>
      <c r="CL240" t="s">
        <v>123</v>
      </c>
      <c r="CM240">
        <v>1.1299999999999999E-2</v>
      </c>
      <c r="CN240" t="s">
        <v>123</v>
      </c>
      <c r="CO240" t="s">
        <v>123</v>
      </c>
      <c r="CP240" t="s">
        <v>123</v>
      </c>
      <c r="CQ240">
        <v>9.7000000000000003E-3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214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  <c r="DN240" t="s">
        <v>123</v>
      </c>
      <c r="DO240" t="s">
        <v>123</v>
      </c>
      <c r="DP240" t="s">
        <v>123</v>
      </c>
      <c r="DQ240" t="s">
        <v>123</v>
      </c>
      <c r="DR240" t="s">
        <v>123</v>
      </c>
      <c r="DS240" t="s">
        <v>123</v>
      </c>
    </row>
    <row r="241" spans="1:123" x14ac:dyDescent="0.3">
      <c r="A241">
        <v>240</v>
      </c>
      <c r="B241" t="s">
        <v>123</v>
      </c>
      <c r="C241" t="s">
        <v>123</v>
      </c>
      <c r="D241" t="s">
        <v>1017</v>
      </c>
      <c r="E241" t="s">
        <v>123</v>
      </c>
      <c r="F241" t="s">
        <v>125</v>
      </c>
      <c r="G241" t="s">
        <v>126</v>
      </c>
      <c r="H241" t="s">
        <v>127</v>
      </c>
      <c r="I241" t="s">
        <v>384</v>
      </c>
      <c r="J241" t="s">
        <v>123</v>
      </c>
      <c r="K241" t="s">
        <v>1013</v>
      </c>
      <c r="L241" t="s">
        <v>130</v>
      </c>
      <c r="M241" t="s">
        <v>1014</v>
      </c>
      <c r="N241" t="s">
        <v>248</v>
      </c>
      <c r="O241" t="s">
        <v>1015</v>
      </c>
      <c r="P241" t="s">
        <v>123</v>
      </c>
      <c r="Q241" t="s">
        <v>123</v>
      </c>
      <c r="R241" t="s">
        <v>123</v>
      </c>
      <c r="S241" t="s">
        <v>123</v>
      </c>
      <c r="T241" s="1">
        <v>45997</v>
      </c>
      <c r="U241" t="s">
        <v>123</v>
      </c>
      <c r="V241" t="s">
        <v>123</v>
      </c>
      <c r="W241" t="s">
        <v>123</v>
      </c>
      <c r="X241" t="s">
        <v>123</v>
      </c>
      <c r="Y241" t="s">
        <v>123</v>
      </c>
      <c r="Z241" t="s">
        <v>123</v>
      </c>
      <c r="AA241" t="s">
        <v>123</v>
      </c>
      <c r="AB241" t="s">
        <v>1018</v>
      </c>
      <c r="AC241" t="s">
        <v>135</v>
      </c>
      <c r="AD241" t="s">
        <v>123</v>
      </c>
      <c r="AE241" t="s">
        <v>123</v>
      </c>
      <c r="AF241" t="s">
        <v>550</v>
      </c>
      <c r="AG241" t="s">
        <v>162</v>
      </c>
      <c r="AH241" t="s">
        <v>123</v>
      </c>
      <c r="AI241" t="s">
        <v>384</v>
      </c>
      <c r="AJ241" t="s">
        <v>186</v>
      </c>
      <c r="AK241" t="s">
        <v>139</v>
      </c>
      <c r="AL241" t="s">
        <v>123</v>
      </c>
      <c r="AM241" t="s">
        <v>123</v>
      </c>
      <c r="AN241" t="s">
        <v>123</v>
      </c>
      <c r="AO241" t="s">
        <v>123</v>
      </c>
      <c r="AP241">
        <v>250</v>
      </c>
      <c r="AQ241">
        <v>50</v>
      </c>
      <c r="AR241">
        <v>10</v>
      </c>
      <c r="AS241" t="s">
        <v>123</v>
      </c>
      <c r="AT241" t="s">
        <v>123</v>
      </c>
      <c r="AU241" t="s">
        <v>123</v>
      </c>
      <c r="AV241" t="s">
        <v>123</v>
      </c>
      <c r="AW241" t="s">
        <v>123</v>
      </c>
      <c r="AX241" t="s">
        <v>123</v>
      </c>
      <c r="AY241" t="s">
        <v>123</v>
      </c>
      <c r="AZ241" t="s">
        <v>123</v>
      </c>
      <c r="BA241" t="s">
        <v>140</v>
      </c>
      <c r="BB241" t="s">
        <v>123</v>
      </c>
      <c r="BC241" t="s">
        <v>123</v>
      </c>
      <c r="BD241" t="s">
        <v>123</v>
      </c>
      <c r="BE241" t="s">
        <v>123</v>
      </c>
      <c r="BF241" t="s">
        <v>123</v>
      </c>
      <c r="BG241" t="s">
        <v>141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s="1">
        <v>45965.254195451387</v>
      </c>
      <c r="BZ241">
        <v>1448</v>
      </c>
      <c r="CA241" t="s">
        <v>123</v>
      </c>
      <c r="CB241" t="s">
        <v>123</v>
      </c>
      <c r="CC241">
        <v>0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>
        <v>2.3E-2</v>
      </c>
      <c r="CL241" t="s">
        <v>123</v>
      </c>
      <c r="CM241">
        <v>2.4299999999999999E-2</v>
      </c>
      <c r="CN241" t="s">
        <v>123</v>
      </c>
      <c r="CO241" t="s">
        <v>123</v>
      </c>
      <c r="CP241" t="s">
        <v>123</v>
      </c>
      <c r="CQ241">
        <v>2.18E-2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214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  <c r="DN241" t="s">
        <v>123</v>
      </c>
      <c r="DO241" t="s">
        <v>123</v>
      </c>
      <c r="DP241" t="s">
        <v>123</v>
      </c>
      <c r="DQ241" t="s">
        <v>123</v>
      </c>
      <c r="DR241" t="s">
        <v>123</v>
      </c>
      <c r="DS241" t="s">
        <v>123</v>
      </c>
    </row>
    <row r="242" spans="1:123" x14ac:dyDescent="0.3">
      <c r="A242">
        <v>241</v>
      </c>
      <c r="B242" t="s">
        <v>123</v>
      </c>
      <c r="C242" t="s">
        <v>123</v>
      </c>
      <c r="D242" t="s">
        <v>1019</v>
      </c>
      <c r="E242" t="s">
        <v>123</v>
      </c>
      <c r="F242" t="s">
        <v>125</v>
      </c>
      <c r="G242" t="s">
        <v>126</v>
      </c>
      <c r="H242" t="s">
        <v>127</v>
      </c>
      <c r="I242" t="s">
        <v>384</v>
      </c>
      <c r="J242" t="s">
        <v>123</v>
      </c>
      <c r="K242" t="s">
        <v>1013</v>
      </c>
      <c r="L242" t="s">
        <v>130</v>
      </c>
      <c r="M242" t="s">
        <v>1014</v>
      </c>
      <c r="N242" t="s">
        <v>1020</v>
      </c>
      <c r="O242" t="s">
        <v>159</v>
      </c>
      <c r="P242" t="s">
        <v>123</v>
      </c>
      <c r="Q242" t="s">
        <v>123</v>
      </c>
      <c r="R242" t="s">
        <v>123</v>
      </c>
      <c r="S242" t="s">
        <v>123</v>
      </c>
      <c r="T242" s="1">
        <v>46911</v>
      </c>
      <c r="U242" t="s">
        <v>123</v>
      </c>
      <c r="V242" t="s">
        <v>123</v>
      </c>
      <c r="W242" t="s">
        <v>123</v>
      </c>
      <c r="X242" t="s">
        <v>123</v>
      </c>
      <c r="Y242" t="s">
        <v>123</v>
      </c>
      <c r="Z242" t="s">
        <v>123</v>
      </c>
      <c r="AA242" t="s">
        <v>123</v>
      </c>
      <c r="AB242" t="s">
        <v>1021</v>
      </c>
      <c r="AC242" t="s">
        <v>135</v>
      </c>
      <c r="AD242" t="s">
        <v>123</v>
      </c>
      <c r="AE242" t="s">
        <v>123</v>
      </c>
      <c r="AF242" t="s">
        <v>550</v>
      </c>
      <c r="AG242" t="s">
        <v>162</v>
      </c>
      <c r="AH242" t="s">
        <v>123</v>
      </c>
      <c r="AI242" t="s">
        <v>384</v>
      </c>
      <c r="AJ242" t="s">
        <v>186</v>
      </c>
      <c r="AK242" t="s">
        <v>139</v>
      </c>
      <c r="AL242" t="s">
        <v>123</v>
      </c>
      <c r="AM242" t="s">
        <v>123</v>
      </c>
      <c r="AN242" t="s">
        <v>123</v>
      </c>
      <c r="AO242" t="s">
        <v>123</v>
      </c>
      <c r="AP242">
        <v>250</v>
      </c>
      <c r="AQ242">
        <v>50</v>
      </c>
      <c r="AR242">
        <v>10</v>
      </c>
      <c r="AS242" t="s">
        <v>123</v>
      </c>
      <c r="AT242" t="s">
        <v>123</v>
      </c>
      <c r="AU242" t="s">
        <v>123</v>
      </c>
      <c r="AV242" t="s">
        <v>123</v>
      </c>
      <c r="AW242" t="s">
        <v>123</v>
      </c>
      <c r="AX242" t="s">
        <v>123</v>
      </c>
      <c r="AY242" t="s">
        <v>123</v>
      </c>
      <c r="AZ242" t="s">
        <v>123</v>
      </c>
      <c r="BA242" t="s">
        <v>140</v>
      </c>
      <c r="BB242" t="s">
        <v>123</v>
      </c>
      <c r="BC242" t="s">
        <v>123</v>
      </c>
      <c r="BD242" t="s">
        <v>123</v>
      </c>
      <c r="BE242" t="s">
        <v>123</v>
      </c>
      <c r="BF242" t="s">
        <v>123</v>
      </c>
      <c r="BG242" t="s">
        <v>141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123</v>
      </c>
      <c r="BX242" t="s">
        <v>123</v>
      </c>
      <c r="BY242" s="1">
        <v>45965.254218483795</v>
      </c>
      <c r="BZ242">
        <v>1448</v>
      </c>
      <c r="CA242" t="s">
        <v>123</v>
      </c>
      <c r="CB242" t="s">
        <v>123</v>
      </c>
      <c r="CC242">
        <v>0</v>
      </c>
      <c r="CD242" t="s">
        <v>123</v>
      </c>
      <c r="CE242" t="s">
        <v>123</v>
      </c>
      <c r="CF242" t="s">
        <v>123</v>
      </c>
      <c r="CG242" t="s">
        <v>123</v>
      </c>
      <c r="CH242" t="s">
        <v>123</v>
      </c>
      <c r="CI242" t="s">
        <v>123</v>
      </c>
      <c r="CJ242" t="s">
        <v>123</v>
      </c>
      <c r="CK242">
        <v>4.8800000000000003E-2</v>
      </c>
      <c r="CL242" t="s">
        <v>123</v>
      </c>
      <c r="CM242">
        <v>5.2600000000000001E-2</v>
      </c>
      <c r="CN242" t="s">
        <v>123</v>
      </c>
      <c r="CO242" t="s">
        <v>123</v>
      </c>
      <c r="CP242" t="s">
        <v>123</v>
      </c>
      <c r="CQ242">
        <v>4.53E-2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1022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  <c r="DN242" t="s">
        <v>123</v>
      </c>
      <c r="DO242" t="s">
        <v>123</v>
      </c>
      <c r="DP242" t="s">
        <v>123</v>
      </c>
      <c r="DQ242" t="s">
        <v>123</v>
      </c>
      <c r="DR242" t="s">
        <v>123</v>
      </c>
      <c r="DS242" t="s">
        <v>123</v>
      </c>
    </row>
    <row r="243" spans="1:123" x14ac:dyDescent="0.3">
      <c r="A243">
        <v>242</v>
      </c>
      <c r="B243" t="s">
        <v>123</v>
      </c>
      <c r="C243" t="s">
        <v>123</v>
      </c>
      <c r="D243" t="s">
        <v>1023</v>
      </c>
      <c r="E243" t="s">
        <v>123</v>
      </c>
      <c r="F243" t="s">
        <v>125</v>
      </c>
      <c r="G243" t="s">
        <v>126</v>
      </c>
      <c r="H243" t="s">
        <v>127</v>
      </c>
      <c r="I243" t="s">
        <v>384</v>
      </c>
      <c r="J243" t="s">
        <v>123</v>
      </c>
      <c r="K243" t="s">
        <v>1024</v>
      </c>
      <c r="L243" t="s">
        <v>130</v>
      </c>
      <c r="M243" t="s">
        <v>1025</v>
      </c>
      <c r="N243" t="s">
        <v>1026</v>
      </c>
      <c r="O243" t="s">
        <v>699</v>
      </c>
      <c r="P243" t="s">
        <v>123</v>
      </c>
      <c r="Q243" t="s">
        <v>123</v>
      </c>
      <c r="R243" t="s">
        <v>123</v>
      </c>
      <c r="S243" t="s">
        <v>123</v>
      </c>
      <c r="T243" s="1">
        <v>46363</v>
      </c>
      <c r="U243" t="s">
        <v>123</v>
      </c>
      <c r="V243" t="s">
        <v>123</v>
      </c>
      <c r="W243" t="s">
        <v>123</v>
      </c>
      <c r="X243" t="s">
        <v>123</v>
      </c>
      <c r="Y243" t="s">
        <v>123</v>
      </c>
      <c r="Z243" t="s">
        <v>123</v>
      </c>
      <c r="AA243" t="s">
        <v>123</v>
      </c>
      <c r="AB243" t="s">
        <v>1027</v>
      </c>
      <c r="AC243" t="s">
        <v>135</v>
      </c>
      <c r="AD243" t="s">
        <v>123</v>
      </c>
      <c r="AE243" t="s">
        <v>123</v>
      </c>
      <c r="AF243" t="s">
        <v>550</v>
      </c>
      <c r="AG243" t="s">
        <v>162</v>
      </c>
      <c r="AH243" t="s">
        <v>123</v>
      </c>
      <c r="AI243" t="s">
        <v>384</v>
      </c>
      <c r="AJ243" t="s">
        <v>186</v>
      </c>
      <c r="AK243" t="s">
        <v>139</v>
      </c>
      <c r="AL243" t="s">
        <v>123</v>
      </c>
      <c r="AM243" t="s">
        <v>123</v>
      </c>
      <c r="AN243" t="s">
        <v>123</v>
      </c>
      <c r="AO243" t="s">
        <v>123</v>
      </c>
      <c r="AP243">
        <v>250</v>
      </c>
      <c r="AQ243">
        <v>50</v>
      </c>
      <c r="AR243">
        <v>10</v>
      </c>
      <c r="AS243" t="s">
        <v>123</v>
      </c>
      <c r="AT243" t="s">
        <v>123</v>
      </c>
      <c r="AU243" t="s">
        <v>123</v>
      </c>
      <c r="AV243" t="s">
        <v>123</v>
      </c>
      <c r="AW243" t="s">
        <v>123</v>
      </c>
      <c r="AX243" t="s">
        <v>123</v>
      </c>
      <c r="AY243" t="s">
        <v>123</v>
      </c>
      <c r="AZ243" t="s">
        <v>123</v>
      </c>
      <c r="BA243" t="s">
        <v>140</v>
      </c>
      <c r="BB243" t="s">
        <v>123</v>
      </c>
      <c r="BC243" t="s">
        <v>123</v>
      </c>
      <c r="BD243" t="s">
        <v>123</v>
      </c>
      <c r="BE243" t="s">
        <v>123</v>
      </c>
      <c r="BF243" t="s">
        <v>123</v>
      </c>
      <c r="BG243" t="s">
        <v>141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s="1">
        <v>45965.25424224537</v>
      </c>
      <c r="BZ243">
        <v>1448</v>
      </c>
      <c r="CA243" t="s">
        <v>123</v>
      </c>
      <c r="CB243" t="s">
        <v>123</v>
      </c>
      <c r="CC243">
        <v>0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>
        <v>3.2899999999999999E-2</v>
      </c>
      <c r="CL243" t="s">
        <v>123</v>
      </c>
      <c r="CM243">
        <v>3.5099999999999999E-2</v>
      </c>
      <c r="CN243" t="s">
        <v>123</v>
      </c>
      <c r="CO243" t="s">
        <v>123</v>
      </c>
      <c r="CP243" t="s">
        <v>123</v>
      </c>
      <c r="CQ243">
        <v>3.0700000000000002E-2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1022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  <c r="DN243" t="s">
        <v>123</v>
      </c>
      <c r="DO243" t="s">
        <v>123</v>
      </c>
      <c r="DP243" t="s">
        <v>123</v>
      </c>
      <c r="DQ243" t="s">
        <v>123</v>
      </c>
      <c r="DR243" t="s">
        <v>123</v>
      </c>
      <c r="DS243" t="s">
        <v>123</v>
      </c>
    </row>
    <row r="244" spans="1:123" x14ac:dyDescent="0.3">
      <c r="A244">
        <v>243</v>
      </c>
      <c r="B244" t="s">
        <v>123</v>
      </c>
      <c r="C244" t="s">
        <v>123</v>
      </c>
      <c r="D244" t="s">
        <v>1028</v>
      </c>
      <c r="E244" t="s">
        <v>123</v>
      </c>
      <c r="F244" t="s">
        <v>125</v>
      </c>
      <c r="G244" t="s">
        <v>126</v>
      </c>
      <c r="H244" t="s">
        <v>127</v>
      </c>
      <c r="I244" t="s">
        <v>384</v>
      </c>
      <c r="J244" t="s">
        <v>123</v>
      </c>
      <c r="K244" t="s">
        <v>1024</v>
      </c>
      <c r="L244" t="s">
        <v>130</v>
      </c>
      <c r="M244" t="s">
        <v>1025</v>
      </c>
      <c r="N244" t="s">
        <v>369</v>
      </c>
      <c r="O244" t="s">
        <v>528</v>
      </c>
      <c r="P244" t="s">
        <v>123</v>
      </c>
      <c r="Q244" t="s">
        <v>123</v>
      </c>
      <c r="R244" t="s">
        <v>123</v>
      </c>
      <c r="S244" t="s">
        <v>123</v>
      </c>
      <c r="T244" s="1">
        <v>46363</v>
      </c>
      <c r="U244" t="s">
        <v>123</v>
      </c>
      <c r="V244" t="s">
        <v>123</v>
      </c>
      <c r="W244" t="s">
        <v>123</v>
      </c>
      <c r="X244" t="s">
        <v>123</v>
      </c>
      <c r="Y244" t="s">
        <v>123</v>
      </c>
      <c r="Z244" t="s">
        <v>123</v>
      </c>
      <c r="AA244" t="s">
        <v>123</v>
      </c>
      <c r="AB244" t="s">
        <v>1029</v>
      </c>
      <c r="AC244" t="s">
        <v>135</v>
      </c>
      <c r="AD244" t="s">
        <v>123</v>
      </c>
      <c r="AE244" t="s">
        <v>123</v>
      </c>
      <c r="AF244" t="s">
        <v>550</v>
      </c>
      <c r="AG244" t="s">
        <v>162</v>
      </c>
      <c r="AH244" t="s">
        <v>123</v>
      </c>
      <c r="AI244" t="s">
        <v>384</v>
      </c>
      <c r="AJ244" t="s">
        <v>186</v>
      </c>
      <c r="AK244" t="s">
        <v>139</v>
      </c>
      <c r="AL244" t="s">
        <v>123</v>
      </c>
      <c r="AM244" t="s">
        <v>123</v>
      </c>
      <c r="AN244" t="s">
        <v>123</v>
      </c>
      <c r="AO244" t="s">
        <v>123</v>
      </c>
      <c r="AP244">
        <v>250</v>
      </c>
      <c r="AQ244">
        <v>50</v>
      </c>
      <c r="AR244">
        <v>10</v>
      </c>
      <c r="AS244" t="s">
        <v>123</v>
      </c>
      <c r="AT244" t="s">
        <v>123</v>
      </c>
      <c r="AU244" t="s">
        <v>123</v>
      </c>
      <c r="AV244" t="s">
        <v>123</v>
      </c>
      <c r="AW244" t="s">
        <v>123</v>
      </c>
      <c r="AX244" t="s">
        <v>123</v>
      </c>
      <c r="AY244" t="s">
        <v>123</v>
      </c>
      <c r="AZ244" t="s">
        <v>123</v>
      </c>
      <c r="BA244" t="s">
        <v>140</v>
      </c>
      <c r="BB244" t="s">
        <v>123</v>
      </c>
      <c r="BC244" t="s">
        <v>123</v>
      </c>
      <c r="BD244" t="s">
        <v>123</v>
      </c>
      <c r="BE244" t="s">
        <v>123</v>
      </c>
      <c r="BF244" t="s">
        <v>123</v>
      </c>
      <c r="BG244" t="s">
        <v>141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s="1">
        <v>45965.254266053242</v>
      </c>
      <c r="BZ244">
        <v>1448</v>
      </c>
      <c r="CA244" t="s">
        <v>123</v>
      </c>
      <c r="CB244" t="s">
        <v>123</v>
      </c>
      <c r="CC244">
        <v>0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>
        <v>1.0500000000000001E-2</v>
      </c>
      <c r="CL244" t="s">
        <v>123</v>
      </c>
      <c r="CM244">
        <v>1.12E-2</v>
      </c>
      <c r="CN244" t="s">
        <v>123</v>
      </c>
      <c r="CO244" t="s">
        <v>123</v>
      </c>
      <c r="CP244" t="s">
        <v>123</v>
      </c>
      <c r="CQ244">
        <v>9.7999999999999997E-3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1022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  <c r="DN244" t="s">
        <v>123</v>
      </c>
      <c r="DO244" t="s">
        <v>123</v>
      </c>
      <c r="DP244" t="s">
        <v>123</v>
      </c>
      <c r="DQ244" t="s">
        <v>123</v>
      </c>
      <c r="DR244" t="s">
        <v>123</v>
      </c>
      <c r="DS244" t="s">
        <v>123</v>
      </c>
    </row>
    <row r="245" spans="1:123" x14ac:dyDescent="0.3">
      <c r="A245">
        <v>244</v>
      </c>
      <c r="B245" t="s">
        <v>123</v>
      </c>
      <c r="C245" t="s">
        <v>123</v>
      </c>
      <c r="D245" t="s">
        <v>1030</v>
      </c>
      <c r="E245" t="s">
        <v>123</v>
      </c>
      <c r="F245" t="s">
        <v>125</v>
      </c>
      <c r="G245" t="s">
        <v>126</v>
      </c>
      <c r="H245" t="s">
        <v>127</v>
      </c>
      <c r="I245" t="s">
        <v>384</v>
      </c>
      <c r="J245" t="s">
        <v>123</v>
      </c>
      <c r="K245" t="s">
        <v>1024</v>
      </c>
      <c r="L245" t="s">
        <v>130</v>
      </c>
      <c r="M245" t="s">
        <v>1025</v>
      </c>
      <c r="N245" t="s">
        <v>590</v>
      </c>
      <c r="O245" t="s">
        <v>528</v>
      </c>
      <c r="P245" t="s">
        <v>123</v>
      </c>
      <c r="Q245" t="s">
        <v>123</v>
      </c>
      <c r="R245" t="s">
        <v>123</v>
      </c>
      <c r="S245" t="s">
        <v>123</v>
      </c>
      <c r="T245" s="1">
        <v>46363</v>
      </c>
      <c r="U245" t="s">
        <v>123</v>
      </c>
      <c r="V245" t="s">
        <v>123</v>
      </c>
      <c r="W245" t="s">
        <v>123</v>
      </c>
      <c r="X245" t="s">
        <v>123</v>
      </c>
      <c r="Y245" t="s">
        <v>123</v>
      </c>
      <c r="Z245" t="s">
        <v>123</v>
      </c>
      <c r="AA245" t="s">
        <v>123</v>
      </c>
      <c r="AB245" t="s">
        <v>1031</v>
      </c>
      <c r="AC245" t="s">
        <v>135</v>
      </c>
      <c r="AD245" t="s">
        <v>123</v>
      </c>
      <c r="AE245" t="s">
        <v>123</v>
      </c>
      <c r="AF245" t="s">
        <v>550</v>
      </c>
      <c r="AG245" t="s">
        <v>162</v>
      </c>
      <c r="AH245" t="s">
        <v>123</v>
      </c>
      <c r="AI245" t="s">
        <v>384</v>
      </c>
      <c r="AJ245" t="s">
        <v>186</v>
      </c>
      <c r="AK245" t="s">
        <v>139</v>
      </c>
      <c r="AL245" t="s">
        <v>123</v>
      </c>
      <c r="AM245" t="s">
        <v>123</v>
      </c>
      <c r="AN245" t="s">
        <v>123</v>
      </c>
      <c r="AO245" t="s">
        <v>123</v>
      </c>
      <c r="AP245">
        <v>250</v>
      </c>
      <c r="AQ245">
        <v>50</v>
      </c>
      <c r="AR245">
        <v>10</v>
      </c>
      <c r="AS245" t="s">
        <v>123</v>
      </c>
      <c r="AT245" t="s">
        <v>123</v>
      </c>
      <c r="AU245" t="s">
        <v>123</v>
      </c>
      <c r="AV245" t="s">
        <v>123</v>
      </c>
      <c r="AW245" t="s">
        <v>123</v>
      </c>
      <c r="AX245" t="s">
        <v>123</v>
      </c>
      <c r="AY245" t="s">
        <v>123</v>
      </c>
      <c r="AZ245" t="s">
        <v>123</v>
      </c>
      <c r="BA245" t="s">
        <v>140</v>
      </c>
      <c r="BB245" t="s">
        <v>123</v>
      </c>
      <c r="BC245" t="s">
        <v>123</v>
      </c>
      <c r="BD245" t="s">
        <v>123</v>
      </c>
      <c r="BE245" t="s">
        <v>123</v>
      </c>
      <c r="BF245" t="s">
        <v>123</v>
      </c>
      <c r="BG245" t="s">
        <v>141</v>
      </c>
      <c r="BH245" t="s">
        <v>123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123</v>
      </c>
      <c r="BX245" t="s">
        <v>123</v>
      </c>
      <c r="BY245" s="1">
        <v>45965.254289351855</v>
      </c>
      <c r="BZ245">
        <v>1448</v>
      </c>
      <c r="CA245" t="s">
        <v>123</v>
      </c>
      <c r="CB245" t="s">
        <v>123</v>
      </c>
      <c r="CC245">
        <v>0</v>
      </c>
      <c r="CD245" t="s">
        <v>123</v>
      </c>
      <c r="CE245" t="s">
        <v>123</v>
      </c>
      <c r="CF245" t="s">
        <v>123</v>
      </c>
      <c r="CG245" t="s">
        <v>123</v>
      </c>
      <c r="CH245" t="s">
        <v>123</v>
      </c>
      <c r="CI245" t="s">
        <v>123</v>
      </c>
      <c r="CJ245" t="s">
        <v>123</v>
      </c>
      <c r="CK245">
        <v>2.6800000000000001E-2</v>
      </c>
      <c r="CL245" t="s">
        <v>123</v>
      </c>
      <c r="CM245">
        <v>2.8299999999999999E-2</v>
      </c>
      <c r="CN245" t="s">
        <v>123</v>
      </c>
      <c r="CO245" t="s">
        <v>123</v>
      </c>
      <c r="CP245" t="s">
        <v>123</v>
      </c>
      <c r="CQ245">
        <v>2.5499999999999998E-2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1022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  <c r="DN245" t="s">
        <v>123</v>
      </c>
      <c r="DO245" t="s">
        <v>123</v>
      </c>
      <c r="DP245" t="s">
        <v>123</v>
      </c>
      <c r="DQ245" t="s">
        <v>123</v>
      </c>
      <c r="DR245" t="s">
        <v>123</v>
      </c>
      <c r="DS245" t="s">
        <v>123</v>
      </c>
    </row>
    <row r="246" spans="1:123" x14ac:dyDescent="0.3">
      <c r="A246">
        <v>245</v>
      </c>
      <c r="B246" t="s">
        <v>123</v>
      </c>
      <c r="C246" t="s">
        <v>123</v>
      </c>
      <c r="D246" t="s">
        <v>1032</v>
      </c>
      <c r="E246" t="s">
        <v>123</v>
      </c>
      <c r="F246" t="s">
        <v>125</v>
      </c>
      <c r="G246" t="s">
        <v>126</v>
      </c>
      <c r="H246" t="s">
        <v>127</v>
      </c>
      <c r="I246" t="s">
        <v>384</v>
      </c>
      <c r="J246" t="s">
        <v>123</v>
      </c>
      <c r="K246" t="s">
        <v>1024</v>
      </c>
      <c r="L246" t="s">
        <v>130</v>
      </c>
      <c r="M246" t="s">
        <v>1025</v>
      </c>
      <c r="N246" t="s">
        <v>369</v>
      </c>
      <c r="O246" t="s">
        <v>133</v>
      </c>
      <c r="P246" t="s">
        <v>123</v>
      </c>
      <c r="Q246" t="s">
        <v>123</v>
      </c>
      <c r="R246" t="s">
        <v>123</v>
      </c>
      <c r="S246" t="s">
        <v>123</v>
      </c>
      <c r="T246" s="1">
        <v>45997</v>
      </c>
      <c r="U246" t="s">
        <v>123</v>
      </c>
      <c r="V246" t="s">
        <v>123</v>
      </c>
      <c r="W246" t="s">
        <v>123</v>
      </c>
      <c r="X246" t="s">
        <v>123</v>
      </c>
      <c r="Y246" t="s">
        <v>123</v>
      </c>
      <c r="Z246" t="s">
        <v>123</v>
      </c>
      <c r="AA246" t="s">
        <v>123</v>
      </c>
      <c r="AB246" t="s">
        <v>1033</v>
      </c>
      <c r="AC246" t="s">
        <v>135</v>
      </c>
      <c r="AD246" t="s">
        <v>123</v>
      </c>
      <c r="AE246" t="s">
        <v>123</v>
      </c>
      <c r="AF246" t="s">
        <v>550</v>
      </c>
      <c r="AG246" t="s">
        <v>162</v>
      </c>
      <c r="AH246" t="s">
        <v>123</v>
      </c>
      <c r="AI246" t="s">
        <v>384</v>
      </c>
      <c r="AJ246" t="s">
        <v>186</v>
      </c>
      <c r="AK246" t="s">
        <v>139</v>
      </c>
      <c r="AL246" t="s">
        <v>123</v>
      </c>
      <c r="AM246" t="s">
        <v>123</v>
      </c>
      <c r="AN246" t="s">
        <v>123</v>
      </c>
      <c r="AO246" t="s">
        <v>123</v>
      </c>
      <c r="AP246">
        <v>250</v>
      </c>
      <c r="AQ246">
        <v>50</v>
      </c>
      <c r="AR246">
        <v>10</v>
      </c>
      <c r="AS246" t="s">
        <v>123</v>
      </c>
      <c r="AT246" t="s">
        <v>123</v>
      </c>
      <c r="AU246" t="s">
        <v>123</v>
      </c>
      <c r="AV246" t="s">
        <v>123</v>
      </c>
      <c r="AW246" t="s">
        <v>123</v>
      </c>
      <c r="AX246" t="s">
        <v>123</v>
      </c>
      <c r="AY246" t="s">
        <v>123</v>
      </c>
      <c r="AZ246" t="s">
        <v>123</v>
      </c>
      <c r="BA246" t="s">
        <v>140</v>
      </c>
      <c r="BB246" t="s">
        <v>123</v>
      </c>
      <c r="BC246" t="s">
        <v>123</v>
      </c>
      <c r="BD246" t="s">
        <v>123</v>
      </c>
      <c r="BE246" t="s">
        <v>123</v>
      </c>
      <c r="BF246" t="s">
        <v>123</v>
      </c>
      <c r="BG246" t="s">
        <v>141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s="1">
        <v>45965.254313159719</v>
      </c>
      <c r="BZ246">
        <v>1448</v>
      </c>
      <c r="CA246" t="s">
        <v>123</v>
      </c>
      <c r="CB246" t="s">
        <v>123</v>
      </c>
      <c r="CC246">
        <v>0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>
        <v>1.0800000000000001E-2</v>
      </c>
      <c r="CL246" t="s">
        <v>123</v>
      </c>
      <c r="CM246">
        <v>1.1599999999999999E-2</v>
      </c>
      <c r="CN246" t="s">
        <v>123</v>
      </c>
      <c r="CO246" t="s">
        <v>123</v>
      </c>
      <c r="CP246" t="s">
        <v>123</v>
      </c>
      <c r="CQ246">
        <v>0.01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1022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  <c r="DN246" t="s">
        <v>123</v>
      </c>
      <c r="DO246" t="s">
        <v>123</v>
      </c>
      <c r="DP246" t="s">
        <v>123</v>
      </c>
      <c r="DQ246" t="s">
        <v>123</v>
      </c>
      <c r="DR246" t="s">
        <v>123</v>
      </c>
      <c r="DS246" t="s">
        <v>123</v>
      </c>
    </row>
    <row r="247" spans="1:123" x14ac:dyDescent="0.3">
      <c r="A247">
        <v>246</v>
      </c>
      <c r="B247" t="s">
        <v>123</v>
      </c>
      <c r="C247" t="s">
        <v>123</v>
      </c>
      <c r="D247" t="s">
        <v>1034</v>
      </c>
      <c r="E247" t="s">
        <v>123</v>
      </c>
      <c r="F247" t="s">
        <v>125</v>
      </c>
      <c r="G247" t="s">
        <v>126</v>
      </c>
      <c r="H247" t="s">
        <v>127</v>
      </c>
      <c r="I247" t="s">
        <v>384</v>
      </c>
      <c r="J247" t="s">
        <v>123</v>
      </c>
      <c r="K247" t="s">
        <v>1024</v>
      </c>
      <c r="L247" t="s">
        <v>130</v>
      </c>
      <c r="M247" t="s">
        <v>1025</v>
      </c>
      <c r="N247" t="s">
        <v>248</v>
      </c>
      <c r="O247" t="s">
        <v>133</v>
      </c>
      <c r="P247" t="s">
        <v>123</v>
      </c>
      <c r="Q247" t="s">
        <v>123</v>
      </c>
      <c r="R247" t="s">
        <v>123</v>
      </c>
      <c r="S247" t="s">
        <v>123</v>
      </c>
      <c r="T247" s="1">
        <v>45997</v>
      </c>
      <c r="U247" t="s">
        <v>123</v>
      </c>
      <c r="V247" t="s">
        <v>123</v>
      </c>
      <c r="W247" t="s">
        <v>123</v>
      </c>
      <c r="X247" t="s">
        <v>123</v>
      </c>
      <c r="Y247" t="s">
        <v>123</v>
      </c>
      <c r="Z247" t="s">
        <v>123</v>
      </c>
      <c r="AA247" t="s">
        <v>123</v>
      </c>
      <c r="AB247" t="s">
        <v>1035</v>
      </c>
      <c r="AC247" t="s">
        <v>135</v>
      </c>
      <c r="AD247" t="s">
        <v>123</v>
      </c>
      <c r="AE247" t="s">
        <v>123</v>
      </c>
      <c r="AF247" t="s">
        <v>550</v>
      </c>
      <c r="AG247" t="s">
        <v>162</v>
      </c>
      <c r="AH247" t="s">
        <v>123</v>
      </c>
      <c r="AI247" t="s">
        <v>384</v>
      </c>
      <c r="AJ247" t="s">
        <v>186</v>
      </c>
      <c r="AK247" t="s">
        <v>139</v>
      </c>
      <c r="AL247" t="s">
        <v>123</v>
      </c>
      <c r="AM247" t="s">
        <v>123</v>
      </c>
      <c r="AN247" t="s">
        <v>123</v>
      </c>
      <c r="AO247" t="s">
        <v>123</v>
      </c>
      <c r="AP247">
        <v>250</v>
      </c>
      <c r="AQ247">
        <v>50</v>
      </c>
      <c r="AR247">
        <v>10</v>
      </c>
      <c r="AS247" t="s">
        <v>123</v>
      </c>
      <c r="AT247" t="s">
        <v>123</v>
      </c>
      <c r="AU247" t="s">
        <v>123</v>
      </c>
      <c r="AV247" t="s">
        <v>123</v>
      </c>
      <c r="AW247" t="s">
        <v>123</v>
      </c>
      <c r="AX247" t="s">
        <v>123</v>
      </c>
      <c r="AY247" t="s">
        <v>123</v>
      </c>
      <c r="AZ247" t="s">
        <v>123</v>
      </c>
      <c r="BA247" t="s">
        <v>140</v>
      </c>
      <c r="BB247" t="s">
        <v>123</v>
      </c>
      <c r="BC247" t="s">
        <v>123</v>
      </c>
      <c r="BD247" t="s">
        <v>123</v>
      </c>
      <c r="BE247" t="s">
        <v>123</v>
      </c>
      <c r="BF247" t="s">
        <v>123</v>
      </c>
      <c r="BG247" t="s">
        <v>141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s="1">
        <v>45965.254336724538</v>
      </c>
      <c r="BZ247">
        <v>1448</v>
      </c>
      <c r="CA247" t="s">
        <v>123</v>
      </c>
      <c r="CB247" t="s">
        <v>123</v>
      </c>
      <c r="CC247">
        <v>0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>
        <v>2.3599999999999999E-2</v>
      </c>
      <c r="CL247" t="s">
        <v>123</v>
      </c>
      <c r="CM247">
        <v>2.4899999999999999E-2</v>
      </c>
      <c r="CN247" t="s">
        <v>123</v>
      </c>
      <c r="CO247" t="s">
        <v>123</v>
      </c>
      <c r="CP247" t="s">
        <v>123</v>
      </c>
      <c r="CQ247">
        <v>2.23E-2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1022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  <c r="DN247" t="s">
        <v>123</v>
      </c>
      <c r="DO247" t="s">
        <v>123</v>
      </c>
      <c r="DP247" t="s">
        <v>123</v>
      </c>
      <c r="DQ247" t="s">
        <v>123</v>
      </c>
      <c r="DR247" t="s">
        <v>123</v>
      </c>
      <c r="DS247" t="s">
        <v>123</v>
      </c>
    </row>
    <row r="248" spans="1:123" x14ac:dyDescent="0.3">
      <c r="A248">
        <v>247</v>
      </c>
      <c r="B248" t="s">
        <v>123</v>
      </c>
      <c r="C248" t="s">
        <v>123</v>
      </c>
      <c r="D248" t="s">
        <v>1036</v>
      </c>
      <c r="E248" t="s">
        <v>123</v>
      </c>
      <c r="F248" t="s">
        <v>125</v>
      </c>
      <c r="G248" t="s">
        <v>126</v>
      </c>
      <c r="H248" t="s">
        <v>127</v>
      </c>
      <c r="I248" t="s">
        <v>384</v>
      </c>
      <c r="J248" t="s">
        <v>123</v>
      </c>
      <c r="K248" t="s">
        <v>1024</v>
      </c>
      <c r="L248" t="s">
        <v>130</v>
      </c>
      <c r="M248" t="s">
        <v>1025</v>
      </c>
      <c r="N248" t="s">
        <v>1037</v>
      </c>
      <c r="O248" t="s">
        <v>159</v>
      </c>
      <c r="P248" t="s">
        <v>123</v>
      </c>
      <c r="Q248" t="s">
        <v>123</v>
      </c>
      <c r="R248" t="s">
        <v>123</v>
      </c>
      <c r="S248" t="s">
        <v>123</v>
      </c>
      <c r="T248" s="1">
        <v>46805</v>
      </c>
      <c r="U248" t="s">
        <v>123</v>
      </c>
      <c r="V248" t="s">
        <v>123</v>
      </c>
      <c r="W248" t="s">
        <v>123</v>
      </c>
      <c r="X248" t="s">
        <v>123</v>
      </c>
      <c r="Y248" t="s">
        <v>123</v>
      </c>
      <c r="Z248" t="s">
        <v>123</v>
      </c>
      <c r="AA248" t="s">
        <v>123</v>
      </c>
      <c r="AB248" t="s">
        <v>1038</v>
      </c>
      <c r="AC248" t="s">
        <v>135</v>
      </c>
      <c r="AD248" t="s">
        <v>123</v>
      </c>
      <c r="AE248" t="s">
        <v>123</v>
      </c>
      <c r="AF248" t="s">
        <v>550</v>
      </c>
      <c r="AG248" t="s">
        <v>162</v>
      </c>
      <c r="AH248" t="s">
        <v>123</v>
      </c>
      <c r="AI248" t="s">
        <v>384</v>
      </c>
      <c r="AJ248" t="s">
        <v>186</v>
      </c>
      <c r="AK248" t="s">
        <v>139</v>
      </c>
      <c r="AL248" t="s">
        <v>123</v>
      </c>
      <c r="AM248" t="s">
        <v>123</v>
      </c>
      <c r="AN248" t="s">
        <v>123</v>
      </c>
      <c r="AO248" t="s">
        <v>123</v>
      </c>
      <c r="AP248">
        <v>250</v>
      </c>
      <c r="AQ248">
        <v>50</v>
      </c>
      <c r="AR248">
        <v>10</v>
      </c>
      <c r="AS248" t="s">
        <v>123</v>
      </c>
      <c r="AT248" t="s">
        <v>123</v>
      </c>
      <c r="AU248" t="s">
        <v>123</v>
      </c>
      <c r="AV248" t="s">
        <v>123</v>
      </c>
      <c r="AW248" t="s">
        <v>123</v>
      </c>
      <c r="AX248" t="s">
        <v>123</v>
      </c>
      <c r="AY248" t="s">
        <v>123</v>
      </c>
      <c r="AZ248" t="s">
        <v>123</v>
      </c>
      <c r="BA248" t="s">
        <v>140</v>
      </c>
      <c r="BB248" t="s">
        <v>123</v>
      </c>
      <c r="BC248" t="s">
        <v>123</v>
      </c>
      <c r="BD248" t="s">
        <v>123</v>
      </c>
      <c r="BE248" t="s">
        <v>123</v>
      </c>
      <c r="BF248" t="s">
        <v>123</v>
      </c>
      <c r="BG248" t="s">
        <v>141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123</v>
      </c>
      <c r="BX248" t="s">
        <v>123</v>
      </c>
      <c r="BY248" s="1">
        <v>45965.254360069448</v>
      </c>
      <c r="BZ248">
        <v>1448</v>
      </c>
      <c r="CA248" t="s">
        <v>123</v>
      </c>
      <c r="CB248" t="s">
        <v>123</v>
      </c>
      <c r="CC248">
        <v>0</v>
      </c>
      <c r="CD248" t="s">
        <v>123</v>
      </c>
      <c r="CE248" t="s">
        <v>123</v>
      </c>
      <c r="CF248" t="s">
        <v>123</v>
      </c>
      <c r="CG248" t="s">
        <v>123</v>
      </c>
      <c r="CH248" t="s">
        <v>123</v>
      </c>
      <c r="CI248" t="s">
        <v>123</v>
      </c>
      <c r="CJ248" t="s">
        <v>123</v>
      </c>
      <c r="CK248">
        <v>4.0500000000000001E-2</v>
      </c>
      <c r="CL248" t="s">
        <v>123</v>
      </c>
      <c r="CM248">
        <v>4.3799999999999999E-2</v>
      </c>
      <c r="CN248" t="s">
        <v>123</v>
      </c>
      <c r="CO248" t="s">
        <v>123</v>
      </c>
      <c r="CP248" t="s">
        <v>123</v>
      </c>
      <c r="CQ248">
        <v>3.73E-2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214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  <c r="DN248" t="s">
        <v>123</v>
      </c>
      <c r="DO248" t="s">
        <v>123</v>
      </c>
      <c r="DP248" t="s">
        <v>123</v>
      </c>
      <c r="DQ248" t="s">
        <v>123</v>
      </c>
      <c r="DR248" t="s">
        <v>123</v>
      </c>
      <c r="DS248" t="s">
        <v>123</v>
      </c>
    </row>
    <row r="249" spans="1:123" x14ac:dyDescent="0.3">
      <c r="A249">
        <v>248</v>
      </c>
      <c r="B249" t="s">
        <v>123</v>
      </c>
      <c r="C249" t="s">
        <v>123</v>
      </c>
      <c r="D249" t="s">
        <v>1039</v>
      </c>
      <c r="E249" t="s">
        <v>123</v>
      </c>
      <c r="F249" t="s">
        <v>125</v>
      </c>
      <c r="G249" t="s">
        <v>126</v>
      </c>
      <c r="H249" t="s">
        <v>127</v>
      </c>
      <c r="I249" t="s">
        <v>128</v>
      </c>
      <c r="J249" t="s">
        <v>123</v>
      </c>
      <c r="K249" t="s">
        <v>1040</v>
      </c>
      <c r="L249" t="s">
        <v>130</v>
      </c>
      <c r="M249" t="s">
        <v>1041</v>
      </c>
      <c r="N249" t="s">
        <v>158</v>
      </c>
      <c r="O249" t="s">
        <v>1015</v>
      </c>
      <c r="P249" t="s">
        <v>123</v>
      </c>
      <c r="Q249" t="s">
        <v>123</v>
      </c>
      <c r="R249" t="s">
        <v>123</v>
      </c>
      <c r="S249" t="s">
        <v>123</v>
      </c>
      <c r="T249" s="1">
        <v>46119</v>
      </c>
      <c r="U249" t="s">
        <v>123</v>
      </c>
      <c r="V249" t="s">
        <v>123</v>
      </c>
      <c r="W249" t="s">
        <v>123</v>
      </c>
      <c r="X249" t="s">
        <v>123</v>
      </c>
      <c r="Y249" t="s">
        <v>123</v>
      </c>
      <c r="Z249" t="s">
        <v>123</v>
      </c>
      <c r="AA249" t="s">
        <v>123</v>
      </c>
      <c r="AB249" t="s">
        <v>1042</v>
      </c>
      <c r="AC249" t="s">
        <v>135</v>
      </c>
      <c r="AD249" t="s">
        <v>123</v>
      </c>
      <c r="AE249" t="s">
        <v>123</v>
      </c>
      <c r="AF249" t="s">
        <v>227</v>
      </c>
      <c r="AG249" t="s">
        <v>228</v>
      </c>
      <c r="AH249" t="s">
        <v>123</v>
      </c>
      <c r="AI249" t="s">
        <v>128</v>
      </c>
      <c r="AJ249" t="s">
        <v>186</v>
      </c>
      <c r="AK249" t="s">
        <v>163</v>
      </c>
      <c r="AL249" t="s">
        <v>123</v>
      </c>
      <c r="AM249" t="s">
        <v>123</v>
      </c>
      <c r="AN249" t="s">
        <v>123</v>
      </c>
      <c r="AO249" t="s">
        <v>123</v>
      </c>
      <c r="AP249">
        <v>250</v>
      </c>
      <c r="AQ249">
        <v>50</v>
      </c>
      <c r="AR249">
        <v>10</v>
      </c>
      <c r="AS249" t="s">
        <v>123</v>
      </c>
      <c r="AT249" t="s">
        <v>123</v>
      </c>
      <c r="AU249" t="s">
        <v>123</v>
      </c>
      <c r="AV249" t="s">
        <v>123</v>
      </c>
      <c r="AW249" t="s">
        <v>123</v>
      </c>
      <c r="AX249" t="s">
        <v>123</v>
      </c>
      <c r="AY249" t="s">
        <v>123</v>
      </c>
      <c r="AZ249" t="s">
        <v>123</v>
      </c>
      <c r="BA249" t="s">
        <v>140</v>
      </c>
      <c r="BB249" t="s">
        <v>123</v>
      </c>
      <c r="BC249" t="s">
        <v>123</v>
      </c>
      <c r="BD249" t="s">
        <v>123</v>
      </c>
      <c r="BE249" t="s">
        <v>123</v>
      </c>
      <c r="BF249" t="s">
        <v>123</v>
      </c>
      <c r="BG249" t="s">
        <v>141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123</v>
      </c>
      <c r="BX249" t="s">
        <v>123</v>
      </c>
      <c r="BY249" s="1">
        <v>45965.254383761574</v>
      </c>
      <c r="BZ249">
        <v>1562</v>
      </c>
      <c r="CA249" t="s">
        <v>123</v>
      </c>
      <c r="CB249" t="s">
        <v>123</v>
      </c>
      <c r="CC249">
        <v>0</v>
      </c>
      <c r="CD249" t="s">
        <v>123</v>
      </c>
      <c r="CE249" t="s">
        <v>123</v>
      </c>
      <c r="CF249" t="s">
        <v>123</v>
      </c>
      <c r="CG249" t="s">
        <v>123</v>
      </c>
      <c r="CH249" t="s">
        <v>123</v>
      </c>
      <c r="CI249" t="s">
        <v>123</v>
      </c>
      <c r="CJ249" t="s">
        <v>123</v>
      </c>
      <c r="CK249">
        <v>3.1800000000000002E-2</v>
      </c>
      <c r="CL249">
        <v>3.4799999999999998E-2</v>
      </c>
      <c r="CM249">
        <v>4.2500000000000003E-2</v>
      </c>
      <c r="CN249">
        <v>4.6699999999999998E-2</v>
      </c>
      <c r="CO249" t="s">
        <v>123</v>
      </c>
      <c r="CP249" t="s">
        <v>123</v>
      </c>
      <c r="CQ249">
        <v>2.3900000000000001E-2</v>
      </c>
      <c r="CR249">
        <v>2.64E-2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152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  <c r="DN249" t="s">
        <v>123</v>
      </c>
      <c r="DO249" t="s">
        <v>123</v>
      </c>
      <c r="DP249" t="s">
        <v>123</v>
      </c>
      <c r="DQ249" t="s">
        <v>123</v>
      </c>
      <c r="DR249" t="s">
        <v>123</v>
      </c>
      <c r="DS249" t="s">
        <v>123</v>
      </c>
    </row>
    <row r="250" spans="1:123" x14ac:dyDescent="0.3">
      <c r="A250">
        <v>249</v>
      </c>
      <c r="B250" t="s">
        <v>123</v>
      </c>
      <c r="C250" t="s">
        <v>123</v>
      </c>
      <c r="D250" t="s">
        <v>1043</v>
      </c>
      <c r="E250" t="s">
        <v>123</v>
      </c>
      <c r="F250" t="s">
        <v>125</v>
      </c>
      <c r="G250" t="s">
        <v>126</v>
      </c>
      <c r="H250" t="s">
        <v>127</v>
      </c>
      <c r="I250" t="s">
        <v>199</v>
      </c>
      <c r="J250" t="s">
        <v>123</v>
      </c>
      <c r="K250" t="s">
        <v>1044</v>
      </c>
      <c r="L250" t="s">
        <v>130</v>
      </c>
      <c r="M250" t="s">
        <v>1045</v>
      </c>
      <c r="N250" t="s">
        <v>158</v>
      </c>
      <c r="O250" t="s">
        <v>133</v>
      </c>
      <c r="P250" t="s">
        <v>123</v>
      </c>
      <c r="Q250" t="s">
        <v>123</v>
      </c>
      <c r="R250" t="s">
        <v>123</v>
      </c>
      <c r="S250" t="s">
        <v>123</v>
      </c>
      <c r="T250" s="1">
        <v>46546</v>
      </c>
      <c r="U250" t="s">
        <v>123</v>
      </c>
      <c r="V250" t="s">
        <v>123</v>
      </c>
      <c r="W250" t="s">
        <v>123</v>
      </c>
      <c r="X250" t="s">
        <v>123</v>
      </c>
      <c r="Y250" t="s">
        <v>123</v>
      </c>
      <c r="Z250" t="s">
        <v>123</v>
      </c>
      <c r="AA250" t="s">
        <v>123</v>
      </c>
      <c r="AB250" t="s">
        <v>1046</v>
      </c>
      <c r="AC250" t="s">
        <v>135</v>
      </c>
      <c r="AD250" t="s">
        <v>123</v>
      </c>
      <c r="AE250" t="s">
        <v>123</v>
      </c>
      <c r="AF250" t="s">
        <v>1047</v>
      </c>
      <c r="AG250" t="s">
        <v>1048</v>
      </c>
      <c r="AH250" t="s">
        <v>123</v>
      </c>
      <c r="AI250" t="s">
        <v>199</v>
      </c>
      <c r="AJ250" t="s">
        <v>138</v>
      </c>
      <c r="AK250" t="s">
        <v>139</v>
      </c>
      <c r="AL250" t="s">
        <v>123</v>
      </c>
      <c r="AM250" t="s">
        <v>123</v>
      </c>
      <c r="AN250" t="s">
        <v>123</v>
      </c>
      <c r="AO250" t="s">
        <v>123</v>
      </c>
      <c r="AP250">
        <v>250</v>
      </c>
      <c r="AQ250">
        <v>50</v>
      </c>
      <c r="AR250">
        <v>10</v>
      </c>
      <c r="AS250" t="s">
        <v>123</v>
      </c>
      <c r="AT250" t="s">
        <v>123</v>
      </c>
      <c r="AU250" t="s">
        <v>123</v>
      </c>
      <c r="AV250" t="s">
        <v>123</v>
      </c>
      <c r="AW250" t="s">
        <v>123</v>
      </c>
      <c r="AX250" t="s">
        <v>123</v>
      </c>
      <c r="AY250" t="s">
        <v>123</v>
      </c>
      <c r="AZ250" t="s">
        <v>123</v>
      </c>
      <c r="BA250" t="s">
        <v>398</v>
      </c>
      <c r="BB250" t="s">
        <v>123</v>
      </c>
      <c r="BC250" t="s">
        <v>123</v>
      </c>
      <c r="BD250" t="s">
        <v>123</v>
      </c>
      <c r="BE250" t="s">
        <v>123</v>
      </c>
      <c r="BF250" t="s">
        <v>123</v>
      </c>
      <c r="BG250" t="s">
        <v>399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123</v>
      </c>
      <c r="BX250" t="s">
        <v>123</v>
      </c>
      <c r="BY250" s="1">
        <v>45965.254474502311</v>
      </c>
      <c r="BZ250">
        <v>1588</v>
      </c>
      <c r="CA250" t="s">
        <v>123</v>
      </c>
      <c r="CB250" t="s">
        <v>123</v>
      </c>
      <c r="CC250">
        <v>0</v>
      </c>
      <c r="CD250" t="s">
        <v>123</v>
      </c>
      <c r="CE250" t="s">
        <v>123</v>
      </c>
      <c r="CF250" t="s">
        <v>123</v>
      </c>
      <c r="CG250" t="s">
        <v>123</v>
      </c>
      <c r="CH250" t="s">
        <v>123</v>
      </c>
      <c r="CI250" t="s">
        <v>123</v>
      </c>
      <c r="CJ250" t="s">
        <v>123</v>
      </c>
      <c r="CK250">
        <v>3.4200000000000001E-2</v>
      </c>
      <c r="CL250" t="s">
        <v>123</v>
      </c>
      <c r="CM250">
        <v>3.6600000000000001E-2</v>
      </c>
      <c r="CN250" t="s">
        <v>123</v>
      </c>
      <c r="CO250" t="s">
        <v>123</v>
      </c>
      <c r="CP250" t="s">
        <v>123</v>
      </c>
      <c r="CQ250">
        <v>3.2099999999999997E-2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1022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  <c r="DN250" t="s">
        <v>123</v>
      </c>
      <c r="DO250" t="s">
        <v>123</v>
      </c>
      <c r="DP250" t="s">
        <v>123</v>
      </c>
      <c r="DQ250" t="s">
        <v>123</v>
      </c>
      <c r="DR250" t="s">
        <v>123</v>
      </c>
      <c r="DS250" t="s">
        <v>123</v>
      </c>
    </row>
    <row r="251" spans="1:123" x14ac:dyDescent="0.3">
      <c r="A251">
        <v>250</v>
      </c>
      <c r="B251" t="s">
        <v>123</v>
      </c>
      <c r="C251" t="s">
        <v>123</v>
      </c>
      <c r="D251" t="s">
        <v>1049</v>
      </c>
      <c r="E251" t="s">
        <v>123</v>
      </c>
      <c r="F251" t="s">
        <v>125</v>
      </c>
      <c r="G251" t="s">
        <v>126</v>
      </c>
      <c r="H251" t="s">
        <v>127</v>
      </c>
      <c r="I251" t="s">
        <v>1050</v>
      </c>
      <c r="J251" t="s">
        <v>123</v>
      </c>
      <c r="K251" t="s">
        <v>1051</v>
      </c>
      <c r="L251" t="s">
        <v>130</v>
      </c>
      <c r="M251" t="s">
        <v>1052</v>
      </c>
      <c r="N251" t="s">
        <v>158</v>
      </c>
      <c r="O251" t="s">
        <v>133</v>
      </c>
      <c r="P251" t="s">
        <v>123</v>
      </c>
      <c r="Q251" t="s">
        <v>123</v>
      </c>
      <c r="R251" t="s">
        <v>123</v>
      </c>
      <c r="S251" t="s">
        <v>123</v>
      </c>
      <c r="T251" s="1">
        <v>46092</v>
      </c>
      <c r="U251" t="s">
        <v>123</v>
      </c>
      <c r="V251" t="s">
        <v>123</v>
      </c>
      <c r="W251" t="s">
        <v>123</v>
      </c>
      <c r="X251" t="s">
        <v>123</v>
      </c>
      <c r="Y251" t="s">
        <v>123</v>
      </c>
      <c r="Z251" t="s">
        <v>123</v>
      </c>
      <c r="AA251" t="s">
        <v>123</v>
      </c>
      <c r="AB251" t="s">
        <v>1053</v>
      </c>
      <c r="AC251" t="s">
        <v>135</v>
      </c>
      <c r="AD251" t="s">
        <v>123</v>
      </c>
      <c r="AE251" t="s">
        <v>123</v>
      </c>
      <c r="AF251" t="s">
        <v>1054</v>
      </c>
      <c r="AG251" t="s">
        <v>265</v>
      </c>
      <c r="AH251" t="s">
        <v>123</v>
      </c>
      <c r="AI251" t="s">
        <v>1050</v>
      </c>
      <c r="AJ251" t="s">
        <v>138</v>
      </c>
      <c r="AK251" t="s">
        <v>139</v>
      </c>
      <c r="AL251" t="s">
        <v>123</v>
      </c>
      <c r="AM251" t="s">
        <v>123</v>
      </c>
      <c r="AN251" t="s">
        <v>123</v>
      </c>
      <c r="AO251" t="s">
        <v>123</v>
      </c>
      <c r="AP251">
        <v>250</v>
      </c>
      <c r="AQ251">
        <v>50</v>
      </c>
      <c r="AR251">
        <v>10</v>
      </c>
      <c r="AS251" t="s">
        <v>123</v>
      </c>
      <c r="AT251" t="s">
        <v>123</v>
      </c>
      <c r="AU251" t="s">
        <v>123</v>
      </c>
      <c r="AV251" t="s">
        <v>123</v>
      </c>
      <c r="AW251" t="s">
        <v>123</v>
      </c>
      <c r="AX251" t="s">
        <v>123</v>
      </c>
      <c r="AY251" t="s">
        <v>123</v>
      </c>
      <c r="AZ251" t="s">
        <v>123</v>
      </c>
      <c r="BA251" t="s">
        <v>140</v>
      </c>
      <c r="BB251" t="s">
        <v>123</v>
      </c>
      <c r="BC251" t="s">
        <v>123</v>
      </c>
      <c r="BD251" t="s">
        <v>123</v>
      </c>
      <c r="BE251" t="s">
        <v>123</v>
      </c>
      <c r="BF251" t="s">
        <v>123</v>
      </c>
      <c r="BG251" t="s">
        <v>141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s="1">
        <v>45965.254520833332</v>
      </c>
      <c r="BZ251">
        <v>1458</v>
      </c>
      <c r="CA251" t="s">
        <v>123</v>
      </c>
      <c r="CB251" t="s">
        <v>123</v>
      </c>
      <c r="CC251">
        <v>0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>
        <v>5.3499999999999999E-2</v>
      </c>
      <c r="CL251" t="s">
        <v>123</v>
      </c>
      <c r="CM251">
        <v>6.25E-2</v>
      </c>
      <c r="CN251" t="s">
        <v>123</v>
      </c>
      <c r="CO251" t="s">
        <v>123</v>
      </c>
      <c r="CP251" t="s">
        <v>123</v>
      </c>
      <c r="CQ251">
        <v>4.5600000000000002E-2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152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  <c r="DN251" t="s">
        <v>123</v>
      </c>
      <c r="DO251" t="s">
        <v>123</v>
      </c>
      <c r="DP251" t="s">
        <v>123</v>
      </c>
      <c r="DQ251" t="s">
        <v>123</v>
      </c>
      <c r="DR251" t="s">
        <v>123</v>
      </c>
      <c r="DS251" t="s">
        <v>123</v>
      </c>
    </row>
    <row r="252" spans="1:123" x14ac:dyDescent="0.3">
      <c r="A252">
        <v>251</v>
      </c>
      <c r="B252" t="s">
        <v>123</v>
      </c>
      <c r="C252" t="s">
        <v>123</v>
      </c>
      <c r="D252" t="s">
        <v>1055</v>
      </c>
      <c r="E252" t="s">
        <v>123</v>
      </c>
      <c r="F252" t="s">
        <v>125</v>
      </c>
      <c r="G252" t="s">
        <v>126</v>
      </c>
      <c r="H252" t="s">
        <v>127</v>
      </c>
      <c r="I252" t="s">
        <v>1050</v>
      </c>
      <c r="J252" t="s">
        <v>123</v>
      </c>
      <c r="K252" t="s">
        <v>1051</v>
      </c>
      <c r="L252" t="s">
        <v>130</v>
      </c>
      <c r="M252" t="s">
        <v>1052</v>
      </c>
      <c r="N252" t="s">
        <v>180</v>
      </c>
      <c r="O252" t="s">
        <v>133</v>
      </c>
      <c r="P252" t="s">
        <v>123</v>
      </c>
      <c r="Q252" t="s">
        <v>123</v>
      </c>
      <c r="R252" t="s">
        <v>123</v>
      </c>
      <c r="S252" t="s">
        <v>123</v>
      </c>
      <c r="T252" s="1">
        <v>46092</v>
      </c>
      <c r="U252" t="s">
        <v>123</v>
      </c>
      <c r="V252" t="s">
        <v>123</v>
      </c>
      <c r="W252" t="s">
        <v>123</v>
      </c>
      <c r="X252" t="s">
        <v>123</v>
      </c>
      <c r="Y252" t="s">
        <v>123</v>
      </c>
      <c r="Z252" t="s">
        <v>123</v>
      </c>
      <c r="AA252" t="s">
        <v>123</v>
      </c>
      <c r="AB252" t="s">
        <v>1056</v>
      </c>
      <c r="AC252" t="s">
        <v>135</v>
      </c>
      <c r="AD252" t="s">
        <v>123</v>
      </c>
      <c r="AE252" t="s">
        <v>123</v>
      </c>
      <c r="AF252" t="s">
        <v>1054</v>
      </c>
      <c r="AG252" t="s">
        <v>265</v>
      </c>
      <c r="AH252" t="s">
        <v>123</v>
      </c>
      <c r="AI252" t="s">
        <v>1050</v>
      </c>
      <c r="AJ252" t="s">
        <v>138</v>
      </c>
      <c r="AK252" t="s">
        <v>139</v>
      </c>
      <c r="AL252" t="s">
        <v>123</v>
      </c>
      <c r="AM252" t="s">
        <v>123</v>
      </c>
      <c r="AN252" t="s">
        <v>123</v>
      </c>
      <c r="AO252" t="s">
        <v>123</v>
      </c>
      <c r="AP252">
        <v>250</v>
      </c>
      <c r="AQ252">
        <v>50</v>
      </c>
      <c r="AR252">
        <v>10</v>
      </c>
      <c r="AS252" t="s">
        <v>123</v>
      </c>
      <c r="AT252" t="s">
        <v>123</v>
      </c>
      <c r="AU252" t="s">
        <v>123</v>
      </c>
      <c r="AV252" t="s">
        <v>123</v>
      </c>
      <c r="AW252" t="s">
        <v>123</v>
      </c>
      <c r="AX252" t="s">
        <v>123</v>
      </c>
      <c r="AY252" t="s">
        <v>123</v>
      </c>
      <c r="AZ252" t="s">
        <v>123</v>
      </c>
      <c r="BA252" t="s">
        <v>140</v>
      </c>
      <c r="BB252" t="s">
        <v>123</v>
      </c>
      <c r="BC252" t="s">
        <v>123</v>
      </c>
      <c r="BD252" t="s">
        <v>123</v>
      </c>
      <c r="BE252" t="s">
        <v>123</v>
      </c>
      <c r="BF252" t="s">
        <v>123</v>
      </c>
      <c r="BG252" t="s">
        <v>141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s="1">
        <v>45965.254551122685</v>
      </c>
      <c r="BZ252">
        <v>1458</v>
      </c>
      <c r="CA252" t="s">
        <v>123</v>
      </c>
      <c r="CB252" t="s">
        <v>123</v>
      </c>
      <c r="CC252">
        <v>0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>
        <v>6.83E-2</v>
      </c>
      <c r="CL252" t="s">
        <v>123</v>
      </c>
      <c r="CM252">
        <v>7.4499999999999997E-2</v>
      </c>
      <c r="CN252" t="s">
        <v>123</v>
      </c>
      <c r="CO252" t="s">
        <v>123</v>
      </c>
      <c r="CP252" t="s">
        <v>123</v>
      </c>
      <c r="CQ252">
        <v>6.25E-2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152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  <c r="DN252" t="s">
        <v>123</v>
      </c>
      <c r="DO252" t="s">
        <v>123</v>
      </c>
      <c r="DP252" t="s">
        <v>123</v>
      </c>
      <c r="DQ252" t="s">
        <v>123</v>
      </c>
      <c r="DR252" t="s">
        <v>123</v>
      </c>
      <c r="DS252" t="s">
        <v>123</v>
      </c>
    </row>
    <row r="253" spans="1:123" x14ac:dyDescent="0.3">
      <c r="A253">
        <v>252</v>
      </c>
      <c r="B253" t="s">
        <v>123</v>
      </c>
      <c r="C253" t="s">
        <v>123</v>
      </c>
      <c r="D253" t="s">
        <v>1057</v>
      </c>
      <c r="E253" t="s">
        <v>123</v>
      </c>
      <c r="F253" t="s">
        <v>125</v>
      </c>
      <c r="G253" t="s">
        <v>126</v>
      </c>
      <c r="H253" t="s">
        <v>127</v>
      </c>
      <c r="I253" t="s">
        <v>1050</v>
      </c>
      <c r="J253" t="s">
        <v>123</v>
      </c>
      <c r="K253" t="s">
        <v>1051</v>
      </c>
      <c r="L253" t="s">
        <v>130</v>
      </c>
      <c r="M253" t="s">
        <v>1052</v>
      </c>
      <c r="N253" t="s">
        <v>158</v>
      </c>
      <c r="O253" t="s">
        <v>150</v>
      </c>
      <c r="P253" t="s">
        <v>123</v>
      </c>
      <c r="Q253" t="s">
        <v>123</v>
      </c>
      <c r="R253" t="s">
        <v>123</v>
      </c>
      <c r="S253" t="s">
        <v>123</v>
      </c>
      <c r="T253" s="1">
        <v>46458</v>
      </c>
      <c r="U253" t="s">
        <v>123</v>
      </c>
      <c r="V253" t="s">
        <v>123</v>
      </c>
      <c r="W253" t="s">
        <v>123</v>
      </c>
      <c r="X253" t="s">
        <v>123</v>
      </c>
      <c r="Y253" t="s">
        <v>123</v>
      </c>
      <c r="Z253" t="s">
        <v>123</v>
      </c>
      <c r="AA253" t="s">
        <v>123</v>
      </c>
      <c r="AB253" t="s">
        <v>1058</v>
      </c>
      <c r="AC253" t="s">
        <v>135</v>
      </c>
      <c r="AD253" t="s">
        <v>123</v>
      </c>
      <c r="AE253" t="s">
        <v>123</v>
      </c>
      <c r="AF253" t="s">
        <v>1054</v>
      </c>
      <c r="AG253" t="s">
        <v>265</v>
      </c>
      <c r="AH253" t="s">
        <v>123</v>
      </c>
      <c r="AI253" t="s">
        <v>1050</v>
      </c>
      <c r="AJ253" t="s">
        <v>138</v>
      </c>
      <c r="AK253" t="s">
        <v>139</v>
      </c>
      <c r="AL253" t="s">
        <v>123</v>
      </c>
      <c r="AM253" t="s">
        <v>123</v>
      </c>
      <c r="AN253" t="s">
        <v>123</v>
      </c>
      <c r="AO253" t="s">
        <v>123</v>
      </c>
      <c r="AP253">
        <v>250</v>
      </c>
      <c r="AQ253">
        <v>50</v>
      </c>
      <c r="AR253">
        <v>10</v>
      </c>
      <c r="AS253" t="s">
        <v>123</v>
      </c>
      <c r="AT253" t="s">
        <v>123</v>
      </c>
      <c r="AU253" t="s">
        <v>123</v>
      </c>
      <c r="AV253" t="s">
        <v>123</v>
      </c>
      <c r="AW253" t="s">
        <v>123</v>
      </c>
      <c r="AX253" t="s">
        <v>123</v>
      </c>
      <c r="AY253" t="s">
        <v>123</v>
      </c>
      <c r="AZ253" t="s">
        <v>123</v>
      </c>
      <c r="BA253" t="s">
        <v>140</v>
      </c>
      <c r="BB253" t="s">
        <v>123</v>
      </c>
      <c r="BC253" t="s">
        <v>123</v>
      </c>
      <c r="BD253" t="s">
        <v>123</v>
      </c>
      <c r="BE253" t="s">
        <v>123</v>
      </c>
      <c r="BF253" t="s">
        <v>123</v>
      </c>
      <c r="BG253" t="s">
        <v>141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s="1">
        <v>45965.254578275461</v>
      </c>
      <c r="BZ253">
        <v>1458</v>
      </c>
      <c r="CA253" t="s">
        <v>123</v>
      </c>
      <c r="CB253" t="s">
        <v>123</v>
      </c>
      <c r="CC253">
        <v>0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>
        <v>5.0099999999999999E-2</v>
      </c>
      <c r="CL253" t="s">
        <v>123</v>
      </c>
      <c r="CM253">
        <v>5.79E-2</v>
      </c>
      <c r="CN253" t="s">
        <v>123</v>
      </c>
      <c r="CO253" t="s">
        <v>123</v>
      </c>
      <c r="CP253" t="s">
        <v>123</v>
      </c>
      <c r="CQ253">
        <v>4.3200000000000002E-2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152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  <c r="DN253" t="s">
        <v>123</v>
      </c>
      <c r="DO253" t="s">
        <v>123</v>
      </c>
      <c r="DP253" t="s">
        <v>123</v>
      </c>
      <c r="DQ253" t="s">
        <v>123</v>
      </c>
      <c r="DR253" t="s">
        <v>123</v>
      </c>
      <c r="DS253" t="s">
        <v>123</v>
      </c>
    </row>
    <row r="254" spans="1:123" x14ac:dyDescent="0.3">
      <c r="A254">
        <v>253</v>
      </c>
      <c r="B254" t="s">
        <v>123</v>
      </c>
      <c r="C254" t="s">
        <v>123</v>
      </c>
      <c r="D254" t="s">
        <v>1059</v>
      </c>
      <c r="E254" t="s">
        <v>123</v>
      </c>
      <c r="F254" t="s">
        <v>125</v>
      </c>
      <c r="G254" t="s">
        <v>126</v>
      </c>
      <c r="H254" t="s">
        <v>127</v>
      </c>
      <c r="I254" t="s">
        <v>1050</v>
      </c>
      <c r="J254" t="s">
        <v>123</v>
      </c>
      <c r="K254" t="s">
        <v>1051</v>
      </c>
      <c r="L254" t="s">
        <v>130</v>
      </c>
      <c r="M254" t="s">
        <v>1052</v>
      </c>
      <c r="N254" t="s">
        <v>180</v>
      </c>
      <c r="O254" t="s">
        <v>150</v>
      </c>
      <c r="P254" t="s">
        <v>123</v>
      </c>
      <c r="Q254" t="s">
        <v>123</v>
      </c>
      <c r="R254" t="s">
        <v>123</v>
      </c>
      <c r="S254" t="s">
        <v>123</v>
      </c>
      <c r="T254" s="1">
        <v>46458</v>
      </c>
      <c r="U254" t="s">
        <v>123</v>
      </c>
      <c r="V254" t="s">
        <v>123</v>
      </c>
      <c r="W254" t="s">
        <v>123</v>
      </c>
      <c r="X254" t="s">
        <v>123</v>
      </c>
      <c r="Y254" t="s">
        <v>123</v>
      </c>
      <c r="Z254" t="s">
        <v>123</v>
      </c>
      <c r="AA254" t="s">
        <v>123</v>
      </c>
      <c r="AB254" t="s">
        <v>1060</v>
      </c>
      <c r="AC254" t="s">
        <v>135</v>
      </c>
      <c r="AD254" t="s">
        <v>123</v>
      </c>
      <c r="AE254" t="s">
        <v>123</v>
      </c>
      <c r="AF254" t="s">
        <v>1054</v>
      </c>
      <c r="AG254" t="s">
        <v>265</v>
      </c>
      <c r="AH254" t="s">
        <v>123</v>
      </c>
      <c r="AI254" t="s">
        <v>1050</v>
      </c>
      <c r="AJ254" t="s">
        <v>138</v>
      </c>
      <c r="AK254" t="s">
        <v>139</v>
      </c>
      <c r="AL254" t="s">
        <v>123</v>
      </c>
      <c r="AM254" t="s">
        <v>123</v>
      </c>
      <c r="AN254" t="s">
        <v>123</v>
      </c>
      <c r="AO254" t="s">
        <v>123</v>
      </c>
      <c r="AP254">
        <v>250</v>
      </c>
      <c r="AQ254">
        <v>50</v>
      </c>
      <c r="AR254">
        <v>10</v>
      </c>
      <c r="AS254" t="s">
        <v>123</v>
      </c>
      <c r="AT254" t="s">
        <v>123</v>
      </c>
      <c r="AU254" t="s">
        <v>123</v>
      </c>
      <c r="AV254" t="s">
        <v>123</v>
      </c>
      <c r="AW254" t="s">
        <v>123</v>
      </c>
      <c r="AX254" t="s">
        <v>123</v>
      </c>
      <c r="AY254" t="s">
        <v>123</v>
      </c>
      <c r="AZ254" t="s">
        <v>123</v>
      </c>
      <c r="BA254" t="s">
        <v>140</v>
      </c>
      <c r="BB254" t="s">
        <v>123</v>
      </c>
      <c r="BC254" t="s">
        <v>123</v>
      </c>
      <c r="BD254" t="s">
        <v>123</v>
      </c>
      <c r="BE254" t="s">
        <v>123</v>
      </c>
      <c r="BF254" t="s">
        <v>123</v>
      </c>
      <c r="BG254" t="s">
        <v>141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s="1">
        <v>45965.254604861111</v>
      </c>
      <c r="BZ254">
        <v>1458</v>
      </c>
      <c r="CA254" t="s">
        <v>123</v>
      </c>
      <c r="CB254" t="s">
        <v>123</v>
      </c>
      <c r="CC254">
        <v>0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>
        <v>6.2899999999999998E-2</v>
      </c>
      <c r="CL254" t="s">
        <v>123</v>
      </c>
      <c r="CM254">
        <v>6.8199999999999997E-2</v>
      </c>
      <c r="CN254" t="s">
        <v>123</v>
      </c>
      <c r="CO254" t="s">
        <v>123</v>
      </c>
      <c r="CP254" t="s">
        <v>123</v>
      </c>
      <c r="CQ254">
        <v>5.8000000000000003E-2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152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  <c r="DN254" t="s">
        <v>123</v>
      </c>
      <c r="DO254" t="s">
        <v>123</v>
      </c>
      <c r="DP254" t="s">
        <v>123</v>
      </c>
      <c r="DQ254" t="s">
        <v>123</v>
      </c>
      <c r="DR254" t="s">
        <v>123</v>
      </c>
      <c r="DS254" t="s">
        <v>123</v>
      </c>
    </row>
    <row r="255" spans="1:123" x14ac:dyDescent="0.3">
      <c r="A255">
        <v>254</v>
      </c>
      <c r="B255" t="s">
        <v>123</v>
      </c>
      <c r="C255" t="s">
        <v>123</v>
      </c>
      <c r="D255" t="s">
        <v>1061</v>
      </c>
      <c r="E255" t="s">
        <v>123</v>
      </c>
      <c r="F255" t="s">
        <v>125</v>
      </c>
      <c r="G255" t="s">
        <v>126</v>
      </c>
      <c r="H255" t="s">
        <v>127</v>
      </c>
      <c r="I255" t="s">
        <v>128</v>
      </c>
      <c r="J255" t="s">
        <v>123</v>
      </c>
      <c r="K255" t="s">
        <v>1062</v>
      </c>
      <c r="L255" t="s">
        <v>130</v>
      </c>
      <c r="M255" t="s">
        <v>1063</v>
      </c>
      <c r="N255" t="s">
        <v>158</v>
      </c>
      <c r="O255" t="s">
        <v>133</v>
      </c>
      <c r="P255" t="s">
        <v>123</v>
      </c>
      <c r="Q255" t="s">
        <v>123</v>
      </c>
      <c r="R255" t="s">
        <v>123</v>
      </c>
      <c r="S255" t="s">
        <v>123</v>
      </c>
      <c r="T255" s="1">
        <v>46395</v>
      </c>
      <c r="U255" t="s">
        <v>123</v>
      </c>
      <c r="V255" t="s">
        <v>123</v>
      </c>
      <c r="W255" t="s">
        <v>123</v>
      </c>
      <c r="X255" t="s">
        <v>123</v>
      </c>
      <c r="Y255" t="s">
        <v>123</v>
      </c>
      <c r="Z255" t="s">
        <v>123</v>
      </c>
      <c r="AA255" t="s">
        <v>123</v>
      </c>
      <c r="AB255" t="s">
        <v>1064</v>
      </c>
      <c r="AC255" t="s">
        <v>135</v>
      </c>
      <c r="AD255" t="s">
        <v>123</v>
      </c>
      <c r="AE255" t="s">
        <v>123</v>
      </c>
      <c r="AF255" t="s">
        <v>1065</v>
      </c>
      <c r="AG255" t="s">
        <v>1066</v>
      </c>
      <c r="AH255" t="s">
        <v>123</v>
      </c>
      <c r="AI255" t="s">
        <v>128</v>
      </c>
      <c r="AJ255" t="s">
        <v>138</v>
      </c>
      <c r="AK255" t="s">
        <v>139</v>
      </c>
      <c r="AL255" t="s">
        <v>123</v>
      </c>
      <c r="AM255" t="s">
        <v>123</v>
      </c>
      <c r="AN255" t="s">
        <v>123</v>
      </c>
      <c r="AO255" t="s">
        <v>123</v>
      </c>
      <c r="AP255">
        <v>250</v>
      </c>
      <c r="AQ255">
        <v>50</v>
      </c>
      <c r="AR255">
        <v>10</v>
      </c>
      <c r="AS255" t="s">
        <v>123</v>
      </c>
      <c r="AT255" t="s">
        <v>123</v>
      </c>
      <c r="AU255" t="s">
        <v>123</v>
      </c>
      <c r="AV255" t="s">
        <v>123</v>
      </c>
      <c r="AW255" t="s">
        <v>123</v>
      </c>
      <c r="AX255" t="s">
        <v>123</v>
      </c>
      <c r="AY255" t="s">
        <v>123</v>
      </c>
      <c r="AZ255" t="s">
        <v>123</v>
      </c>
      <c r="BA255" t="s">
        <v>140</v>
      </c>
      <c r="BB255" t="s">
        <v>123</v>
      </c>
      <c r="BC255" t="s">
        <v>123</v>
      </c>
      <c r="BD255" t="s">
        <v>123</v>
      </c>
      <c r="BE255" t="s">
        <v>123</v>
      </c>
      <c r="BF255" t="s">
        <v>123</v>
      </c>
      <c r="BG255" t="s">
        <v>141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123</v>
      </c>
      <c r="BX255" t="s">
        <v>123</v>
      </c>
      <c r="BY255" s="1">
        <v>45965.254631747688</v>
      </c>
      <c r="BZ255">
        <v>1513</v>
      </c>
      <c r="CA255" t="s">
        <v>123</v>
      </c>
      <c r="CB255" t="s">
        <v>123</v>
      </c>
      <c r="CC255">
        <v>0</v>
      </c>
      <c r="CD255" t="s">
        <v>123</v>
      </c>
      <c r="CE255" t="s">
        <v>123</v>
      </c>
      <c r="CF255" t="s">
        <v>123</v>
      </c>
      <c r="CG255" t="s">
        <v>123</v>
      </c>
      <c r="CH255" t="s">
        <v>123</v>
      </c>
      <c r="CI255" t="s">
        <v>123</v>
      </c>
      <c r="CJ255" t="s">
        <v>123</v>
      </c>
      <c r="CK255">
        <v>1.3599999999999999E-2</v>
      </c>
      <c r="CL255">
        <v>1.43E-2</v>
      </c>
      <c r="CM255">
        <v>1.67E-2</v>
      </c>
      <c r="CN255">
        <v>1.78E-2</v>
      </c>
      <c r="CO255" t="s">
        <v>123</v>
      </c>
      <c r="CP255" t="s">
        <v>123</v>
      </c>
      <c r="CQ255">
        <v>1.0999999999999999E-2</v>
      </c>
      <c r="CR255">
        <v>1.14E-2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152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  <c r="DN255" t="s">
        <v>123</v>
      </c>
      <c r="DO255" t="s">
        <v>123</v>
      </c>
      <c r="DP255" t="s">
        <v>123</v>
      </c>
      <c r="DQ255" t="s">
        <v>123</v>
      </c>
      <c r="DR255" t="s">
        <v>123</v>
      </c>
      <c r="DS255" t="s">
        <v>123</v>
      </c>
    </row>
    <row r="256" spans="1:123" x14ac:dyDescent="0.3">
      <c r="A256">
        <v>255</v>
      </c>
      <c r="B256" t="s">
        <v>123</v>
      </c>
      <c r="C256" t="s">
        <v>123</v>
      </c>
      <c r="D256" t="s">
        <v>1067</v>
      </c>
      <c r="E256" t="s">
        <v>123</v>
      </c>
      <c r="F256" t="s">
        <v>125</v>
      </c>
      <c r="G256" t="s">
        <v>126</v>
      </c>
      <c r="H256" t="s">
        <v>127</v>
      </c>
      <c r="I256" t="s">
        <v>128</v>
      </c>
      <c r="J256" t="s">
        <v>123</v>
      </c>
      <c r="K256" t="s">
        <v>1068</v>
      </c>
      <c r="L256" t="s">
        <v>130</v>
      </c>
      <c r="M256" t="s">
        <v>1069</v>
      </c>
      <c r="N256" t="s">
        <v>123</v>
      </c>
      <c r="O256" t="s">
        <v>123</v>
      </c>
      <c r="P256" t="s">
        <v>123</v>
      </c>
      <c r="Q256" t="s">
        <v>123</v>
      </c>
      <c r="R256" t="s">
        <v>123</v>
      </c>
      <c r="S256" t="s">
        <v>123</v>
      </c>
      <c r="T256" s="1">
        <v>46576</v>
      </c>
      <c r="U256" t="s">
        <v>123</v>
      </c>
      <c r="V256" t="s">
        <v>123</v>
      </c>
      <c r="W256" t="s">
        <v>123</v>
      </c>
      <c r="X256" t="s">
        <v>123</v>
      </c>
      <c r="Y256" t="s">
        <v>123</v>
      </c>
      <c r="Z256" t="s">
        <v>123</v>
      </c>
      <c r="AA256" t="s">
        <v>123</v>
      </c>
      <c r="AB256" t="s">
        <v>1070</v>
      </c>
      <c r="AC256" t="s">
        <v>135</v>
      </c>
      <c r="AD256" t="s">
        <v>123</v>
      </c>
      <c r="AE256" t="s">
        <v>123</v>
      </c>
      <c r="AF256" t="s">
        <v>737</v>
      </c>
      <c r="AG256" t="s">
        <v>733</v>
      </c>
      <c r="AH256" t="s">
        <v>123</v>
      </c>
      <c r="AI256" t="s">
        <v>128</v>
      </c>
      <c r="AJ256" t="s">
        <v>186</v>
      </c>
      <c r="AK256" t="s">
        <v>139</v>
      </c>
      <c r="AL256" t="s">
        <v>123</v>
      </c>
      <c r="AM256" t="s">
        <v>123</v>
      </c>
      <c r="AN256" t="s">
        <v>123</v>
      </c>
      <c r="AO256" t="s">
        <v>123</v>
      </c>
      <c r="AP256">
        <v>250</v>
      </c>
      <c r="AQ256">
        <v>50</v>
      </c>
      <c r="AR256">
        <v>10</v>
      </c>
      <c r="AS256" t="s">
        <v>123</v>
      </c>
      <c r="AT256" t="s">
        <v>123</v>
      </c>
      <c r="AU256" t="s">
        <v>123</v>
      </c>
      <c r="AV256" t="s">
        <v>123</v>
      </c>
      <c r="AW256" t="s">
        <v>123</v>
      </c>
      <c r="AX256" t="s">
        <v>123</v>
      </c>
      <c r="AY256" t="s">
        <v>123</v>
      </c>
      <c r="AZ256" t="s">
        <v>123</v>
      </c>
      <c r="BA256" t="s">
        <v>237</v>
      </c>
      <c r="BB256" t="s">
        <v>123</v>
      </c>
      <c r="BC256" t="s">
        <v>123</v>
      </c>
      <c r="BD256" t="s">
        <v>123</v>
      </c>
      <c r="BE256" t="s">
        <v>123</v>
      </c>
      <c r="BF256" t="s">
        <v>123</v>
      </c>
      <c r="BG256" t="s">
        <v>734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s="1">
        <v>45965.254665312503</v>
      </c>
      <c r="BZ256">
        <v>1571</v>
      </c>
      <c r="CA256" t="s">
        <v>123</v>
      </c>
      <c r="CB256" t="s">
        <v>123</v>
      </c>
      <c r="CC256">
        <v>0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>
        <v>2.3E-2</v>
      </c>
      <c r="CL256" t="s">
        <v>123</v>
      </c>
      <c r="CM256">
        <v>3.5700000000000003E-2</v>
      </c>
      <c r="CN256" t="s">
        <v>123</v>
      </c>
      <c r="CO256" t="s">
        <v>123</v>
      </c>
      <c r="CP256" t="s">
        <v>123</v>
      </c>
      <c r="CQ256">
        <v>1.5100000000000001E-2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152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  <c r="DN256" t="s">
        <v>123</v>
      </c>
      <c r="DO256" t="s">
        <v>123</v>
      </c>
      <c r="DP256" t="s">
        <v>123</v>
      </c>
      <c r="DQ256" t="s">
        <v>123</v>
      </c>
      <c r="DR256" t="s">
        <v>123</v>
      </c>
      <c r="DS256" t="s">
        <v>123</v>
      </c>
    </row>
    <row r="257" spans="1:123" x14ac:dyDescent="0.3">
      <c r="A257">
        <v>256</v>
      </c>
      <c r="B257" t="s">
        <v>123</v>
      </c>
      <c r="C257" t="s">
        <v>123</v>
      </c>
      <c r="D257" t="s">
        <v>1071</v>
      </c>
      <c r="E257" t="s">
        <v>123</v>
      </c>
      <c r="F257" t="s">
        <v>125</v>
      </c>
      <c r="G257" t="s">
        <v>126</v>
      </c>
      <c r="H257" t="s">
        <v>127</v>
      </c>
      <c r="I257" t="s">
        <v>128</v>
      </c>
      <c r="J257" t="s">
        <v>123</v>
      </c>
      <c r="K257" t="s">
        <v>1072</v>
      </c>
      <c r="L257" t="s">
        <v>130</v>
      </c>
      <c r="M257" t="s">
        <v>1073</v>
      </c>
      <c r="N257" t="s">
        <v>158</v>
      </c>
      <c r="O257" t="s">
        <v>150</v>
      </c>
      <c r="P257" t="s">
        <v>123</v>
      </c>
      <c r="Q257" t="s">
        <v>123</v>
      </c>
      <c r="R257" t="s">
        <v>123</v>
      </c>
      <c r="S257" t="s">
        <v>123</v>
      </c>
      <c r="T257" s="1">
        <v>46484</v>
      </c>
      <c r="U257" t="s">
        <v>123</v>
      </c>
      <c r="V257" t="s">
        <v>123</v>
      </c>
      <c r="W257" t="s">
        <v>123</v>
      </c>
      <c r="X257" t="s">
        <v>123</v>
      </c>
      <c r="Y257" t="s">
        <v>123</v>
      </c>
      <c r="Z257" t="s">
        <v>123</v>
      </c>
      <c r="AA257" t="s">
        <v>123</v>
      </c>
      <c r="AB257" t="s">
        <v>1074</v>
      </c>
      <c r="AC257" t="s">
        <v>135</v>
      </c>
      <c r="AD257" t="s">
        <v>123</v>
      </c>
      <c r="AE257" t="s">
        <v>123</v>
      </c>
      <c r="AF257" t="s">
        <v>1075</v>
      </c>
      <c r="AG257" t="s">
        <v>1076</v>
      </c>
      <c r="AH257" t="s">
        <v>123</v>
      </c>
      <c r="AI257" t="s">
        <v>128</v>
      </c>
      <c r="AJ257" t="s">
        <v>138</v>
      </c>
      <c r="AK257" t="s">
        <v>139</v>
      </c>
      <c r="AL257" t="s">
        <v>123</v>
      </c>
      <c r="AM257" t="s">
        <v>123</v>
      </c>
      <c r="AN257" t="s">
        <v>123</v>
      </c>
      <c r="AO257" t="s">
        <v>123</v>
      </c>
      <c r="AP257">
        <v>250</v>
      </c>
      <c r="AQ257">
        <v>50</v>
      </c>
      <c r="AR257">
        <v>10</v>
      </c>
      <c r="AS257" t="s">
        <v>123</v>
      </c>
      <c r="AT257" t="s">
        <v>123</v>
      </c>
      <c r="AU257" t="s">
        <v>123</v>
      </c>
      <c r="AV257" t="s">
        <v>123</v>
      </c>
      <c r="AW257" t="s">
        <v>123</v>
      </c>
      <c r="AX257" t="s">
        <v>123</v>
      </c>
      <c r="AY257" t="s">
        <v>123</v>
      </c>
      <c r="AZ257" t="s">
        <v>123</v>
      </c>
      <c r="BA257" t="s">
        <v>140</v>
      </c>
      <c r="BB257" t="s">
        <v>123</v>
      </c>
      <c r="BC257" t="s">
        <v>123</v>
      </c>
      <c r="BD257" t="s">
        <v>123</v>
      </c>
      <c r="BE257" t="s">
        <v>123</v>
      </c>
      <c r="BF257" t="s">
        <v>123</v>
      </c>
      <c r="BG257" t="s">
        <v>141</v>
      </c>
      <c r="BH257" t="s">
        <v>123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123</v>
      </c>
      <c r="BS257" t="s">
        <v>123</v>
      </c>
      <c r="BT257" t="s">
        <v>123</v>
      </c>
      <c r="BU257" t="s">
        <v>123</v>
      </c>
      <c r="BV257" t="s">
        <v>123</v>
      </c>
      <c r="BW257" t="s">
        <v>123</v>
      </c>
      <c r="BX257" t="s">
        <v>123</v>
      </c>
      <c r="BY257" s="1">
        <v>45965.254714270835</v>
      </c>
      <c r="BZ257">
        <v>1574</v>
      </c>
      <c r="CA257" t="s">
        <v>123</v>
      </c>
      <c r="CB257" t="s">
        <v>123</v>
      </c>
      <c r="CC257">
        <v>0</v>
      </c>
      <c r="CD257" t="s">
        <v>123</v>
      </c>
      <c r="CE257" t="s">
        <v>123</v>
      </c>
      <c r="CF257" t="s">
        <v>123</v>
      </c>
      <c r="CG257" t="s">
        <v>123</v>
      </c>
      <c r="CH257" t="s">
        <v>123</v>
      </c>
      <c r="CI257" t="s">
        <v>123</v>
      </c>
      <c r="CJ257" t="s">
        <v>123</v>
      </c>
      <c r="CK257">
        <v>1.4800000000000001E-2</v>
      </c>
      <c r="CL257">
        <v>1.6500000000000001E-2</v>
      </c>
      <c r="CM257">
        <v>2.2100000000000002E-2</v>
      </c>
      <c r="CN257">
        <v>2.4500000000000001E-2</v>
      </c>
      <c r="CO257" t="s">
        <v>123</v>
      </c>
      <c r="CP257" t="s">
        <v>123</v>
      </c>
      <c r="CQ257">
        <v>1.01E-2</v>
      </c>
      <c r="CR257">
        <v>1.12E-2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152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  <c r="DN257" t="s">
        <v>123</v>
      </c>
      <c r="DO257" t="s">
        <v>123</v>
      </c>
      <c r="DP257" t="s">
        <v>123</v>
      </c>
      <c r="DQ257" t="s">
        <v>123</v>
      </c>
      <c r="DR257" t="s">
        <v>123</v>
      </c>
      <c r="DS257" t="s">
        <v>123</v>
      </c>
    </row>
    <row r="258" spans="1:123" x14ac:dyDescent="0.3">
      <c r="A258">
        <v>257</v>
      </c>
      <c r="B258" t="s">
        <v>123</v>
      </c>
      <c r="C258" t="s">
        <v>123</v>
      </c>
      <c r="D258" t="s">
        <v>1077</v>
      </c>
      <c r="E258" t="s">
        <v>123</v>
      </c>
      <c r="F258" t="s">
        <v>125</v>
      </c>
      <c r="G258" t="s">
        <v>126</v>
      </c>
      <c r="H258" t="s">
        <v>127</v>
      </c>
      <c r="I258" t="s">
        <v>128</v>
      </c>
      <c r="J258" t="s">
        <v>123</v>
      </c>
      <c r="K258" t="s">
        <v>1078</v>
      </c>
      <c r="L258" t="s">
        <v>130</v>
      </c>
      <c r="M258" t="s">
        <v>166</v>
      </c>
      <c r="N258" t="s">
        <v>158</v>
      </c>
      <c r="O258" t="s">
        <v>159</v>
      </c>
      <c r="P258" t="s">
        <v>123</v>
      </c>
      <c r="Q258" t="s">
        <v>123</v>
      </c>
      <c r="R258" t="s">
        <v>123</v>
      </c>
      <c r="S258" t="s">
        <v>123</v>
      </c>
      <c r="T258" s="1">
        <v>47213</v>
      </c>
      <c r="U258" t="s">
        <v>123</v>
      </c>
      <c r="V258" t="s">
        <v>123</v>
      </c>
      <c r="W258" t="s">
        <v>123</v>
      </c>
      <c r="X258" t="s">
        <v>123</v>
      </c>
      <c r="Y258" t="s">
        <v>123</v>
      </c>
      <c r="Z258" t="s">
        <v>123</v>
      </c>
      <c r="AA258" t="s">
        <v>123</v>
      </c>
      <c r="AB258" t="s">
        <v>1079</v>
      </c>
      <c r="AC258" t="s">
        <v>135</v>
      </c>
      <c r="AD258" t="s">
        <v>123</v>
      </c>
      <c r="AE258" t="s">
        <v>123</v>
      </c>
      <c r="AF258" t="s">
        <v>855</v>
      </c>
      <c r="AG258" t="s">
        <v>708</v>
      </c>
      <c r="AH258" t="s">
        <v>123</v>
      </c>
      <c r="AI258" t="s">
        <v>128</v>
      </c>
      <c r="AJ258" t="s">
        <v>138</v>
      </c>
      <c r="AK258" t="s">
        <v>139</v>
      </c>
      <c r="AL258" t="s">
        <v>123</v>
      </c>
      <c r="AM258" t="s">
        <v>123</v>
      </c>
      <c r="AN258" t="s">
        <v>123</v>
      </c>
      <c r="AO258" t="s">
        <v>123</v>
      </c>
      <c r="AP258">
        <v>250</v>
      </c>
      <c r="AQ258">
        <v>50</v>
      </c>
      <c r="AR258">
        <v>10</v>
      </c>
      <c r="AS258" t="s">
        <v>123</v>
      </c>
      <c r="AT258" t="s">
        <v>123</v>
      </c>
      <c r="AU258" t="s">
        <v>123</v>
      </c>
      <c r="AV258" t="s">
        <v>123</v>
      </c>
      <c r="AW258" t="s">
        <v>123</v>
      </c>
      <c r="AX258" t="s">
        <v>123</v>
      </c>
      <c r="AY258" t="s">
        <v>123</v>
      </c>
      <c r="AZ258" t="s">
        <v>123</v>
      </c>
      <c r="BA258" t="s">
        <v>140</v>
      </c>
      <c r="BB258" t="s">
        <v>123</v>
      </c>
      <c r="BC258" t="s">
        <v>123</v>
      </c>
      <c r="BD258" t="s">
        <v>123</v>
      </c>
      <c r="BE258" t="s">
        <v>123</v>
      </c>
      <c r="BF258" t="s">
        <v>123</v>
      </c>
      <c r="BG258" t="s">
        <v>141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s="1">
        <v>45965.254737881944</v>
      </c>
      <c r="BZ258">
        <v>1577</v>
      </c>
      <c r="CA258" t="s">
        <v>123</v>
      </c>
      <c r="CB258" t="s">
        <v>123</v>
      </c>
      <c r="CC258">
        <v>0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>
        <v>1.5800000000000002E-2</v>
      </c>
      <c r="CL258" t="s">
        <v>123</v>
      </c>
      <c r="CM258">
        <v>1.8800000000000001E-2</v>
      </c>
      <c r="CN258" t="s">
        <v>123</v>
      </c>
      <c r="CO258" t="s">
        <v>123</v>
      </c>
      <c r="CP258" t="s">
        <v>123</v>
      </c>
      <c r="CQ258">
        <v>1.32E-2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152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  <c r="DN258" t="s">
        <v>123</v>
      </c>
      <c r="DO258" t="s">
        <v>123</v>
      </c>
      <c r="DP258" t="s">
        <v>123</v>
      </c>
      <c r="DQ258" t="s">
        <v>123</v>
      </c>
      <c r="DR258" t="s">
        <v>123</v>
      </c>
      <c r="DS258" t="s">
        <v>123</v>
      </c>
    </row>
    <row r="259" spans="1:123" x14ac:dyDescent="0.3">
      <c r="A259">
        <v>258</v>
      </c>
      <c r="B259" t="s">
        <v>123</v>
      </c>
      <c r="C259" t="s">
        <v>123</v>
      </c>
      <c r="D259" t="s">
        <v>1080</v>
      </c>
      <c r="E259" t="s">
        <v>123</v>
      </c>
      <c r="F259" t="s">
        <v>125</v>
      </c>
      <c r="G259" t="s">
        <v>126</v>
      </c>
      <c r="H259" t="s">
        <v>127</v>
      </c>
      <c r="I259" t="s">
        <v>128</v>
      </c>
      <c r="J259" t="s">
        <v>123</v>
      </c>
      <c r="K259" t="s">
        <v>1081</v>
      </c>
      <c r="L259" t="s">
        <v>130</v>
      </c>
      <c r="M259" t="s">
        <v>1082</v>
      </c>
      <c r="N259" t="s">
        <v>158</v>
      </c>
      <c r="O259" t="s">
        <v>159</v>
      </c>
      <c r="P259" t="s">
        <v>123</v>
      </c>
      <c r="Q259" t="s">
        <v>123</v>
      </c>
      <c r="R259" t="s">
        <v>123</v>
      </c>
      <c r="S259" t="s">
        <v>123</v>
      </c>
      <c r="T259" s="1">
        <v>46941</v>
      </c>
      <c r="U259" t="s">
        <v>123</v>
      </c>
      <c r="V259" t="s">
        <v>123</v>
      </c>
      <c r="W259" t="s">
        <v>123</v>
      </c>
      <c r="X259" t="s">
        <v>123</v>
      </c>
      <c r="Y259" t="s">
        <v>123</v>
      </c>
      <c r="Z259" t="s">
        <v>123</v>
      </c>
      <c r="AA259" t="s">
        <v>123</v>
      </c>
      <c r="AB259" t="s">
        <v>1083</v>
      </c>
      <c r="AC259" t="s">
        <v>135</v>
      </c>
      <c r="AD259" t="s">
        <v>123</v>
      </c>
      <c r="AE259" t="s">
        <v>123</v>
      </c>
      <c r="AF259" t="s">
        <v>1084</v>
      </c>
      <c r="AG259" t="s">
        <v>1085</v>
      </c>
      <c r="AH259" t="s">
        <v>123</v>
      </c>
      <c r="AI259" t="s">
        <v>128</v>
      </c>
      <c r="AJ259" t="s">
        <v>138</v>
      </c>
      <c r="AK259" t="s">
        <v>139</v>
      </c>
      <c r="AL259" t="s">
        <v>123</v>
      </c>
      <c r="AM259" t="s">
        <v>123</v>
      </c>
      <c r="AN259" t="s">
        <v>123</v>
      </c>
      <c r="AO259" t="s">
        <v>123</v>
      </c>
      <c r="AP259">
        <v>250</v>
      </c>
      <c r="AQ259">
        <v>50</v>
      </c>
      <c r="AR259">
        <v>10</v>
      </c>
      <c r="AS259" t="s">
        <v>123</v>
      </c>
      <c r="AT259" t="s">
        <v>123</v>
      </c>
      <c r="AU259" t="s">
        <v>123</v>
      </c>
      <c r="AV259" t="s">
        <v>123</v>
      </c>
      <c r="AW259" t="s">
        <v>123</v>
      </c>
      <c r="AX259" t="s">
        <v>123</v>
      </c>
      <c r="AY259" t="s">
        <v>123</v>
      </c>
      <c r="AZ259" t="s">
        <v>123</v>
      </c>
      <c r="BA259" t="s">
        <v>140</v>
      </c>
      <c r="BB259" t="s">
        <v>123</v>
      </c>
      <c r="BC259" t="s">
        <v>123</v>
      </c>
      <c r="BD259" t="s">
        <v>123</v>
      </c>
      <c r="BE259" t="s">
        <v>123</v>
      </c>
      <c r="BF259" t="s">
        <v>123</v>
      </c>
      <c r="BG259" t="s">
        <v>141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123</v>
      </c>
      <c r="BX259" t="s">
        <v>123</v>
      </c>
      <c r="BY259" s="1">
        <v>45965.254785185185</v>
      </c>
      <c r="BZ259">
        <v>1594</v>
      </c>
      <c r="CA259" t="s">
        <v>123</v>
      </c>
      <c r="CB259" t="s">
        <v>123</v>
      </c>
      <c r="CC259">
        <v>0</v>
      </c>
      <c r="CD259" t="s">
        <v>123</v>
      </c>
      <c r="CE259" t="s">
        <v>123</v>
      </c>
      <c r="CF259" t="s">
        <v>123</v>
      </c>
      <c r="CG259" t="s">
        <v>123</v>
      </c>
      <c r="CH259" t="s">
        <v>123</v>
      </c>
      <c r="CI259" t="s">
        <v>123</v>
      </c>
      <c r="CJ259" t="s">
        <v>123</v>
      </c>
      <c r="CK259">
        <v>6.7999999999999996E-3</v>
      </c>
      <c r="CL259">
        <v>7.1000000000000004E-3</v>
      </c>
      <c r="CM259">
        <v>9.5999999999999992E-3</v>
      </c>
      <c r="CN259">
        <v>0.01</v>
      </c>
      <c r="CO259" t="s">
        <v>123</v>
      </c>
      <c r="CP259" t="s">
        <v>123</v>
      </c>
      <c r="CQ259">
        <v>5.1000000000000004E-3</v>
      </c>
      <c r="CR259">
        <v>5.3E-3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766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  <c r="DN259" t="s">
        <v>123</v>
      </c>
      <c r="DO259" t="s">
        <v>123</v>
      </c>
      <c r="DP259" t="s">
        <v>123</v>
      </c>
      <c r="DQ259" t="s">
        <v>123</v>
      </c>
      <c r="DR259" t="s">
        <v>123</v>
      </c>
      <c r="DS259" t="s">
        <v>123</v>
      </c>
    </row>
    <row r="260" spans="1:123" x14ac:dyDescent="0.3">
      <c r="A260">
        <v>259</v>
      </c>
      <c r="B260" t="s">
        <v>123</v>
      </c>
      <c r="C260" t="s">
        <v>123</v>
      </c>
      <c r="D260" t="s">
        <v>1086</v>
      </c>
      <c r="E260" t="s">
        <v>123</v>
      </c>
      <c r="F260" t="s">
        <v>125</v>
      </c>
      <c r="G260" t="s">
        <v>126</v>
      </c>
      <c r="H260" t="s">
        <v>127</v>
      </c>
      <c r="I260" t="s">
        <v>128</v>
      </c>
      <c r="J260" t="s">
        <v>123</v>
      </c>
      <c r="K260" t="s">
        <v>1087</v>
      </c>
      <c r="L260" t="s">
        <v>130</v>
      </c>
      <c r="M260" t="s">
        <v>1088</v>
      </c>
      <c r="N260" t="s">
        <v>158</v>
      </c>
      <c r="O260" t="s">
        <v>123</v>
      </c>
      <c r="P260" t="s">
        <v>123</v>
      </c>
      <c r="Q260" t="s">
        <v>123</v>
      </c>
      <c r="R260" t="s">
        <v>123</v>
      </c>
      <c r="S260" t="s">
        <v>123</v>
      </c>
      <c r="T260" t="s">
        <v>123</v>
      </c>
      <c r="U260" t="s">
        <v>123</v>
      </c>
      <c r="V260" t="s">
        <v>123</v>
      </c>
      <c r="W260" t="s">
        <v>123</v>
      </c>
      <c r="X260" t="s">
        <v>123</v>
      </c>
      <c r="Y260" t="s">
        <v>123</v>
      </c>
      <c r="Z260" t="s">
        <v>123</v>
      </c>
      <c r="AA260" t="s">
        <v>123</v>
      </c>
      <c r="AB260" t="s">
        <v>1089</v>
      </c>
      <c r="AC260" t="s">
        <v>135</v>
      </c>
      <c r="AD260" t="s">
        <v>123</v>
      </c>
      <c r="AE260" t="s">
        <v>123</v>
      </c>
      <c r="AF260" t="s">
        <v>1090</v>
      </c>
      <c r="AG260" t="s">
        <v>733</v>
      </c>
      <c r="AH260" t="s">
        <v>123</v>
      </c>
      <c r="AI260" t="s">
        <v>128</v>
      </c>
      <c r="AJ260" t="s">
        <v>138</v>
      </c>
      <c r="AK260" t="s">
        <v>139</v>
      </c>
      <c r="AL260" t="s">
        <v>123</v>
      </c>
      <c r="AM260" t="s">
        <v>123</v>
      </c>
      <c r="AN260" t="s">
        <v>123</v>
      </c>
      <c r="AO260" t="s">
        <v>123</v>
      </c>
      <c r="AP260">
        <v>250</v>
      </c>
      <c r="AQ260">
        <v>50</v>
      </c>
      <c r="AR260">
        <v>10</v>
      </c>
      <c r="AS260" t="s">
        <v>123</v>
      </c>
      <c r="AT260" t="s">
        <v>123</v>
      </c>
      <c r="AU260" t="s">
        <v>123</v>
      </c>
      <c r="AV260" t="s">
        <v>123</v>
      </c>
      <c r="AW260" t="s">
        <v>123</v>
      </c>
      <c r="AX260" t="s">
        <v>123</v>
      </c>
      <c r="AY260" t="s">
        <v>123</v>
      </c>
      <c r="AZ260" t="s">
        <v>123</v>
      </c>
      <c r="BA260" t="s">
        <v>237</v>
      </c>
      <c r="BB260" t="s">
        <v>123</v>
      </c>
      <c r="BC260" t="s">
        <v>123</v>
      </c>
      <c r="BD260" t="s">
        <v>123</v>
      </c>
      <c r="BE260" t="s">
        <v>123</v>
      </c>
      <c r="BF260" t="s">
        <v>123</v>
      </c>
      <c r="BG260" t="s">
        <v>734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s="1">
        <v>45965.254809027778</v>
      </c>
      <c r="BZ260">
        <v>1583</v>
      </c>
      <c r="CA260" t="s">
        <v>123</v>
      </c>
      <c r="CB260" t="s">
        <v>123</v>
      </c>
      <c r="CC260">
        <v>0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>
        <v>3.5299999999999998E-2</v>
      </c>
      <c r="CL260">
        <v>0</v>
      </c>
      <c r="CM260">
        <v>5.7700000000000001E-2</v>
      </c>
      <c r="CN260">
        <v>0</v>
      </c>
      <c r="CO260" t="s">
        <v>123</v>
      </c>
      <c r="CP260" t="s">
        <v>123</v>
      </c>
      <c r="CQ260">
        <v>2.1299999999999999E-2</v>
      </c>
      <c r="CR260">
        <v>0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205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  <c r="DN260" t="s">
        <v>123</v>
      </c>
      <c r="DO260" t="s">
        <v>123</v>
      </c>
      <c r="DP260" t="s">
        <v>123</v>
      </c>
      <c r="DQ260" t="s">
        <v>123</v>
      </c>
      <c r="DR260" t="s">
        <v>123</v>
      </c>
      <c r="DS260" t="s">
        <v>123</v>
      </c>
    </row>
    <row r="261" spans="1:123" x14ac:dyDescent="0.3">
      <c r="A261">
        <v>260</v>
      </c>
      <c r="B261" t="s">
        <v>123</v>
      </c>
      <c r="C261" t="s">
        <v>123</v>
      </c>
      <c r="D261" t="s">
        <v>1091</v>
      </c>
      <c r="E261" t="s">
        <v>123</v>
      </c>
      <c r="F261" t="s">
        <v>125</v>
      </c>
      <c r="G261" t="s">
        <v>126</v>
      </c>
      <c r="H261" t="s">
        <v>127</v>
      </c>
      <c r="I261" t="s">
        <v>128</v>
      </c>
      <c r="J261" t="s">
        <v>123</v>
      </c>
      <c r="K261" t="s">
        <v>1092</v>
      </c>
      <c r="L261" t="s">
        <v>130</v>
      </c>
      <c r="M261" t="s">
        <v>1093</v>
      </c>
      <c r="N261" t="s">
        <v>180</v>
      </c>
      <c r="O261" t="s">
        <v>123</v>
      </c>
      <c r="P261" t="s">
        <v>123</v>
      </c>
      <c r="Q261" t="s">
        <v>123</v>
      </c>
      <c r="R261" t="s">
        <v>123</v>
      </c>
      <c r="S261" t="s">
        <v>123</v>
      </c>
      <c r="T261" s="1">
        <v>46773</v>
      </c>
      <c r="U261" t="s">
        <v>123</v>
      </c>
      <c r="V261" t="s">
        <v>123</v>
      </c>
      <c r="W261" t="s">
        <v>123</v>
      </c>
      <c r="X261" t="s">
        <v>123</v>
      </c>
      <c r="Y261" t="s">
        <v>123</v>
      </c>
      <c r="Z261" t="s">
        <v>123</v>
      </c>
      <c r="AA261" t="s">
        <v>123</v>
      </c>
      <c r="AB261" t="s">
        <v>1094</v>
      </c>
      <c r="AC261" t="s">
        <v>135</v>
      </c>
      <c r="AD261" t="s">
        <v>123</v>
      </c>
      <c r="AE261" t="s">
        <v>123</v>
      </c>
      <c r="AF261" t="s">
        <v>737</v>
      </c>
      <c r="AG261" t="s">
        <v>733</v>
      </c>
      <c r="AH261" t="s">
        <v>123</v>
      </c>
      <c r="AI261" t="s">
        <v>128</v>
      </c>
      <c r="AJ261" t="s">
        <v>186</v>
      </c>
      <c r="AK261" t="s">
        <v>139</v>
      </c>
      <c r="AL261" t="s">
        <v>123</v>
      </c>
      <c r="AM261" t="s">
        <v>123</v>
      </c>
      <c r="AN261" t="s">
        <v>123</v>
      </c>
      <c r="AO261" t="s">
        <v>123</v>
      </c>
      <c r="AP261">
        <v>250</v>
      </c>
      <c r="AQ261">
        <v>50</v>
      </c>
      <c r="AR261">
        <v>10</v>
      </c>
      <c r="AS261" t="s">
        <v>123</v>
      </c>
      <c r="AT261" t="s">
        <v>123</v>
      </c>
      <c r="AU261" t="s">
        <v>123</v>
      </c>
      <c r="AV261" t="s">
        <v>123</v>
      </c>
      <c r="AW261" t="s">
        <v>123</v>
      </c>
      <c r="AX261" t="s">
        <v>123</v>
      </c>
      <c r="AY261" t="s">
        <v>123</v>
      </c>
      <c r="AZ261" t="s">
        <v>123</v>
      </c>
      <c r="BA261" t="s">
        <v>237</v>
      </c>
      <c r="BB261" t="s">
        <v>123</v>
      </c>
      <c r="BC261" t="s">
        <v>123</v>
      </c>
      <c r="BD261" t="s">
        <v>123</v>
      </c>
      <c r="BE261" t="s">
        <v>123</v>
      </c>
      <c r="BF261" t="s">
        <v>123</v>
      </c>
      <c r="BG261" t="s">
        <v>734</v>
      </c>
      <c r="BH261" t="s">
        <v>123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123</v>
      </c>
      <c r="BX261" t="s">
        <v>123</v>
      </c>
      <c r="BY261" s="1">
        <v>45965.254857557869</v>
      </c>
      <c r="BZ261">
        <v>1583</v>
      </c>
      <c r="CA261" t="s">
        <v>123</v>
      </c>
      <c r="CB261" t="s">
        <v>123</v>
      </c>
      <c r="CC261">
        <v>0</v>
      </c>
      <c r="CD261" t="s">
        <v>123</v>
      </c>
      <c r="CE261" t="s">
        <v>123</v>
      </c>
      <c r="CF261" t="s">
        <v>123</v>
      </c>
      <c r="CG261" t="s">
        <v>123</v>
      </c>
      <c r="CH261" t="s">
        <v>123</v>
      </c>
      <c r="CI261" t="s">
        <v>123</v>
      </c>
      <c r="CJ261" t="s">
        <v>123</v>
      </c>
      <c r="CK261">
        <v>1.4999999999999999E-2</v>
      </c>
      <c r="CL261">
        <v>0</v>
      </c>
      <c r="CM261">
        <v>2.4500000000000001E-2</v>
      </c>
      <c r="CN261">
        <v>0</v>
      </c>
      <c r="CO261" t="s">
        <v>123</v>
      </c>
      <c r="CP261" t="s">
        <v>123</v>
      </c>
      <c r="CQ261">
        <v>8.5000000000000006E-3</v>
      </c>
      <c r="CR261">
        <v>0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205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  <c r="DN261" t="s">
        <v>123</v>
      </c>
      <c r="DO261" t="s">
        <v>123</v>
      </c>
      <c r="DP261" t="s">
        <v>123</v>
      </c>
      <c r="DQ261" t="s">
        <v>123</v>
      </c>
      <c r="DR261" t="s">
        <v>123</v>
      </c>
      <c r="DS261" t="s">
        <v>123</v>
      </c>
    </row>
    <row r="262" spans="1:123" x14ac:dyDescent="0.3">
      <c r="A262">
        <v>261</v>
      </c>
      <c r="B262" t="s">
        <v>123</v>
      </c>
      <c r="C262" t="s">
        <v>123</v>
      </c>
      <c r="D262" t="s">
        <v>1095</v>
      </c>
      <c r="E262" t="s">
        <v>123</v>
      </c>
      <c r="F262" t="s">
        <v>125</v>
      </c>
      <c r="G262" t="s">
        <v>126</v>
      </c>
      <c r="H262" t="s">
        <v>127</v>
      </c>
      <c r="I262" t="s">
        <v>128</v>
      </c>
      <c r="J262" t="s">
        <v>123</v>
      </c>
      <c r="K262" t="s">
        <v>1096</v>
      </c>
      <c r="L262" t="s">
        <v>130</v>
      </c>
      <c r="M262" t="s">
        <v>1097</v>
      </c>
      <c r="N262" t="s">
        <v>180</v>
      </c>
      <c r="O262" t="s">
        <v>133</v>
      </c>
      <c r="P262" t="s">
        <v>123</v>
      </c>
      <c r="Q262" t="s">
        <v>123</v>
      </c>
      <c r="R262" t="s">
        <v>123</v>
      </c>
      <c r="S262" t="s">
        <v>123</v>
      </c>
      <c r="T262" s="1">
        <v>46241</v>
      </c>
      <c r="U262" t="s">
        <v>123</v>
      </c>
      <c r="V262" t="s">
        <v>123</v>
      </c>
      <c r="W262" t="s">
        <v>123</v>
      </c>
      <c r="X262" t="s">
        <v>123</v>
      </c>
      <c r="Y262" t="s">
        <v>123</v>
      </c>
      <c r="Z262" t="s">
        <v>123</v>
      </c>
      <c r="AA262" t="s">
        <v>123</v>
      </c>
      <c r="AB262" t="s">
        <v>1098</v>
      </c>
      <c r="AC262" t="s">
        <v>135</v>
      </c>
      <c r="AD262" t="s">
        <v>123</v>
      </c>
      <c r="AE262" t="s">
        <v>123</v>
      </c>
      <c r="AF262" t="s">
        <v>550</v>
      </c>
      <c r="AG262" t="s">
        <v>162</v>
      </c>
      <c r="AH262" t="s">
        <v>123</v>
      </c>
      <c r="AI262" t="s">
        <v>128</v>
      </c>
      <c r="AJ262" t="s">
        <v>186</v>
      </c>
      <c r="AK262" t="s">
        <v>139</v>
      </c>
      <c r="AL262" t="s">
        <v>123</v>
      </c>
      <c r="AM262" t="s">
        <v>123</v>
      </c>
      <c r="AN262" t="s">
        <v>123</v>
      </c>
      <c r="AO262" t="s">
        <v>123</v>
      </c>
      <c r="AP262">
        <v>250</v>
      </c>
      <c r="AQ262">
        <v>50</v>
      </c>
      <c r="AR262">
        <v>10</v>
      </c>
      <c r="AS262" t="s">
        <v>123</v>
      </c>
      <c r="AT262" t="s">
        <v>123</v>
      </c>
      <c r="AU262" t="s">
        <v>123</v>
      </c>
      <c r="AV262" t="s">
        <v>123</v>
      </c>
      <c r="AW262" t="s">
        <v>123</v>
      </c>
      <c r="AX262" t="s">
        <v>123</v>
      </c>
      <c r="AY262" t="s">
        <v>123</v>
      </c>
      <c r="AZ262" t="s">
        <v>123</v>
      </c>
      <c r="BA262" t="s">
        <v>140</v>
      </c>
      <c r="BB262" t="s">
        <v>123</v>
      </c>
      <c r="BC262" t="s">
        <v>123</v>
      </c>
      <c r="BD262" t="s">
        <v>123</v>
      </c>
      <c r="BE262" t="s">
        <v>123</v>
      </c>
      <c r="BF262" t="s">
        <v>123</v>
      </c>
      <c r="BG262" t="s">
        <v>141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s="1">
        <v>45965.254902581015</v>
      </c>
      <c r="BZ262">
        <v>1592</v>
      </c>
      <c r="CA262" t="s">
        <v>123</v>
      </c>
      <c r="CB262" t="s">
        <v>123</v>
      </c>
      <c r="CC262">
        <v>0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>
        <v>1.03E-2</v>
      </c>
      <c r="CL262" t="s">
        <v>123</v>
      </c>
      <c r="CM262">
        <v>1.2E-2</v>
      </c>
      <c r="CN262">
        <v>0</v>
      </c>
      <c r="CO262" t="s">
        <v>123</v>
      </c>
      <c r="CP262" t="s">
        <v>123</v>
      </c>
      <c r="CQ262">
        <v>8.6999999999999994E-3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1022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  <c r="DN262" t="s">
        <v>123</v>
      </c>
      <c r="DO262" t="s">
        <v>123</v>
      </c>
      <c r="DP262" t="s">
        <v>123</v>
      </c>
      <c r="DQ262" t="s">
        <v>123</v>
      </c>
      <c r="DR262" t="s">
        <v>123</v>
      </c>
      <c r="DS262" t="s">
        <v>123</v>
      </c>
    </row>
    <row r="263" spans="1:123" x14ac:dyDescent="0.3">
      <c r="A263">
        <v>262</v>
      </c>
      <c r="B263" t="s">
        <v>123</v>
      </c>
      <c r="C263" t="s">
        <v>123</v>
      </c>
      <c r="D263" t="s">
        <v>1099</v>
      </c>
      <c r="E263" t="s">
        <v>123</v>
      </c>
      <c r="F263" t="s">
        <v>125</v>
      </c>
      <c r="G263" t="s">
        <v>126</v>
      </c>
      <c r="H263" t="s">
        <v>127</v>
      </c>
      <c r="I263" t="s">
        <v>128</v>
      </c>
      <c r="J263" t="s">
        <v>123</v>
      </c>
      <c r="K263" t="s">
        <v>1096</v>
      </c>
      <c r="L263" t="s">
        <v>130</v>
      </c>
      <c r="M263" t="s">
        <v>1097</v>
      </c>
      <c r="N263" t="s">
        <v>158</v>
      </c>
      <c r="O263" t="s">
        <v>133</v>
      </c>
      <c r="P263" t="s">
        <v>123</v>
      </c>
      <c r="Q263" t="s">
        <v>123</v>
      </c>
      <c r="R263" t="s">
        <v>123</v>
      </c>
      <c r="S263" t="s">
        <v>123</v>
      </c>
      <c r="T263" s="1">
        <v>46241</v>
      </c>
      <c r="U263" t="s">
        <v>123</v>
      </c>
      <c r="V263" t="s">
        <v>123</v>
      </c>
      <c r="W263" t="s">
        <v>123</v>
      </c>
      <c r="X263" t="s">
        <v>123</v>
      </c>
      <c r="Y263" t="s">
        <v>123</v>
      </c>
      <c r="Z263" t="s">
        <v>123</v>
      </c>
      <c r="AA263" t="s">
        <v>123</v>
      </c>
      <c r="AB263" t="s">
        <v>1100</v>
      </c>
      <c r="AC263" t="s">
        <v>135</v>
      </c>
      <c r="AD263" t="s">
        <v>123</v>
      </c>
      <c r="AE263" t="s">
        <v>123</v>
      </c>
      <c r="AF263" t="s">
        <v>1101</v>
      </c>
      <c r="AG263" t="s">
        <v>1102</v>
      </c>
      <c r="AH263" t="s">
        <v>123</v>
      </c>
      <c r="AI263" t="s">
        <v>128</v>
      </c>
      <c r="AJ263" t="s">
        <v>1103</v>
      </c>
      <c r="AK263" t="s">
        <v>139</v>
      </c>
      <c r="AL263" t="s">
        <v>123</v>
      </c>
      <c r="AM263" t="s">
        <v>123</v>
      </c>
      <c r="AN263" t="s">
        <v>123</v>
      </c>
      <c r="AO263" t="s">
        <v>123</v>
      </c>
      <c r="AP263">
        <v>250</v>
      </c>
      <c r="AQ263">
        <v>50</v>
      </c>
      <c r="AR263">
        <v>10</v>
      </c>
      <c r="AS263" t="s">
        <v>123</v>
      </c>
      <c r="AT263" t="s">
        <v>123</v>
      </c>
      <c r="AU263" t="s">
        <v>123</v>
      </c>
      <c r="AV263" t="s">
        <v>123</v>
      </c>
      <c r="AW263" t="s">
        <v>123</v>
      </c>
      <c r="AX263" t="s">
        <v>123</v>
      </c>
      <c r="AY263" t="s">
        <v>123</v>
      </c>
      <c r="AZ263" t="s">
        <v>123</v>
      </c>
      <c r="BA263" t="s">
        <v>140</v>
      </c>
      <c r="BB263" t="s">
        <v>123</v>
      </c>
      <c r="BC263" t="s">
        <v>123</v>
      </c>
      <c r="BD263" t="s">
        <v>123</v>
      </c>
      <c r="BE263" t="s">
        <v>123</v>
      </c>
      <c r="BF263" t="s">
        <v>123</v>
      </c>
      <c r="BG263" t="s">
        <v>141</v>
      </c>
      <c r="BH263" t="s">
        <v>123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123</v>
      </c>
      <c r="BX263" t="s">
        <v>123</v>
      </c>
      <c r="BY263" s="1">
        <v>45965.254928125003</v>
      </c>
      <c r="BZ263">
        <v>1592</v>
      </c>
      <c r="CA263" t="s">
        <v>123</v>
      </c>
      <c r="CB263" t="s">
        <v>123</v>
      </c>
      <c r="CC263">
        <v>0</v>
      </c>
      <c r="CD263" t="s">
        <v>123</v>
      </c>
      <c r="CE263" t="s">
        <v>123</v>
      </c>
      <c r="CF263" t="s">
        <v>123</v>
      </c>
      <c r="CG263" t="s">
        <v>123</v>
      </c>
      <c r="CH263" t="s">
        <v>123</v>
      </c>
      <c r="CI263" t="s">
        <v>123</v>
      </c>
      <c r="CJ263" t="s">
        <v>123</v>
      </c>
      <c r="CK263">
        <v>5.5999999999999999E-3</v>
      </c>
      <c r="CL263">
        <v>5.7000000000000002E-3</v>
      </c>
      <c r="CM263">
        <v>9.4999999999999998E-3</v>
      </c>
      <c r="CN263">
        <v>9.7999999999999997E-3</v>
      </c>
      <c r="CO263" t="s">
        <v>123</v>
      </c>
      <c r="CP263" t="s">
        <v>123</v>
      </c>
      <c r="CQ263">
        <v>3.0000000000000001E-3</v>
      </c>
      <c r="CR263">
        <v>3.0000000000000001E-3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1022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  <c r="DN263" t="s">
        <v>123</v>
      </c>
      <c r="DO263" t="s">
        <v>123</v>
      </c>
      <c r="DP263" t="s">
        <v>123</v>
      </c>
      <c r="DQ263" t="s">
        <v>123</v>
      </c>
      <c r="DR263" t="s">
        <v>123</v>
      </c>
      <c r="DS263" t="s">
        <v>123</v>
      </c>
    </row>
    <row r="264" spans="1:123" x14ac:dyDescent="0.3">
      <c r="A264">
        <v>263</v>
      </c>
      <c r="B264" t="s">
        <v>123</v>
      </c>
      <c r="C264" t="s">
        <v>123</v>
      </c>
      <c r="D264" t="s">
        <v>1104</v>
      </c>
      <c r="E264" t="s">
        <v>123</v>
      </c>
      <c r="F264" t="s">
        <v>125</v>
      </c>
      <c r="G264" t="s">
        <v>126</v>
      </c>
      <c r="H264" t="s">
        <v>127</v>
      </c>
      <c r="I264" t="s">
        <v>128</v>
      </c>
      <c r="J264" t="s">
        <v>123</v>
      </c>
      <c r="K264" t="s">
        <v>1105</v>
      </c>
      <c r="L264" t="s">
        <v>130</v>
      </c>
      <c r="M264" t="s">
        <v>1106</v>
      </c>
      <c r="N264" t="s">
        <v>158</v>
      </c>
      <c r="O264" t="s">
        <v>159</v>
      </c>
      <c r="P264" t="s">
        <v>123</v>
      </c>
      <c r="Q264" t="s">
        <v>123</v>
      </c>
      <c r="R264" t="s">
        <v>123</v>
      </c>
      <c r="S264" t="s">
        <v>123</v>
      </c>
      <c r="T264" s="1">
        <v>46911</v>
      </c>
      <c r="U264" t="s">
        <v>123</v>
      </c>
      <c r="V264" t="s">
        <v>123</v>
      </c>
      <c r="W264" t="s">
        <v>123</v>
      </c>
      <c r="X264" t="s">
        <v>123</v>
      </c>
      <c r="Y264" t="s">
        <v>123</v>
      </c>
      <c r="Z264" t="s">
        <v>123</v>
      </c>
      <c r="AA264" t="s">
        <v>123</v>
      </c>
      <c r="AB264" t="s">
        <v>1107</v>
      </c>
      <c r="AC264" t="s">
        <v>135</v>
      </c>
      <c r="AD264" t="s">
        <v>123</v>
      </c>
      <c r="AE264" t="s">
        <v>123</v>
      </c>
      <c r="AF264" t="s">
        <v>197</v>
      </c>
      <c r="AG264" t="s">
        <v>137</v>
      </c>
      <c r="AH264" t="s">
        <v>123</v>
      </c>
      <c r="AI264" t="s">
        <v>128</v>
      </c>
      <c r="AJ264" t="s">
        <v>138</v>
      </c>
      <c r="AK264" t="s">
        <v>139</v>
      </c>
      <c r="AL264" t="s">
        <v>123</v>
      </c>
      <c r="AM264" t="s">
        <v>123</v>
      </c>
      <c r="AN264" t="s">
        <v>123</v>
      </c>
      <c r="AO264" t="s">
        <v>123</v>
      </c>
      <c r="AP264">
        <v>250</v>
      </c>
      <c r="AQ264">
        <v>50</v>
      </c>
      <c r="AR264">
        <v>10</v>
      </c>
      <c r="AS264" t="s">
        <v>123</v>
      </c>
      <c r="AT264" t="s">
        <v>123</v>
      </c>
      <c r="AU264" t="s">
        <v>123</v>
      </c>
      <c r="AV264" t="s">
        <v>123</v>
      </c>
      <c r="AW264" t="s">
        <v>123</v>
      </c>
      <c r="AX264" t="s">
        <v>123</v>
      </c>
      <c r="AY264" t="s">
        <v>123</v>
      </c>
      <c r="AZ264" t="s">
        <v>123</v>
      </c>
      <c r="BA264" t="s">
        <v>140</v>
      </c>
      <c r="BB264" t="s">
        <v>123</v>
      </c>
      <c r="BC264" t="s">
        <v>123</v>
      </c>
      <c r="BD264" t="s">
        <v>123</v>
      </c>
      <c r="BE264" t="s">
        <v>123</v>
      </c>
      <c r="BF264" t="s">
        <v>123</v>
      </c>
      <c r="BG264" t="s">
        <v>141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s="1">
        <v>45965.254978159719</v>
      </c>
      <c r="BZ264">
        <v>1593</v>
      </c>
      <c r="CA264" t="s">
        <v>123</v>
      </c>
      <c r="CB264" t="s">
        <v>123</v>
      </c>
      <c r="CC264">
        <v>0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>
        <v>1.7999999999999999E-2</v>
      </c>
      <c r="CL264">
        <v>1.9900000000000001E-2</v>
      </c>
      <c r="CM264">
        <v>2.5399999999999999E-2</v>
      </c>
      <c r="CN264">
        <v>2.8000000000000001E-2</v>
      </c>
      <c r="CO264" t="s">
        <v>123</v>
      </c>
      <c r="CP264" t="s">
        <v>123</v>
      </c>
      <c r="CQ264">
        <v>1.2699999999999999E-2</v>
      </c>
      <c r="CR264">
        <v>1.4E-2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205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  <c r="DN264" t="s">
        <v>123</v>
      </c>
      <c r="DO264" t="s">
        <v>123</v>
      </c>
      <c r="DP264" t="s">
        <v>123</v>
      </c>
      <c r="DQ264" t="s">
        <v>123</v>
      </c>
      <c r="DR264" t="s">
        <v>123</v>
      </c>
      <c r="DS264" t="s">
        <v>123</v>
      </c>
    </row>
    <row r="265" spans="1:123" x14ac:dyDescent="0.3">
      <c r="A265">
        <v>264</v>
      </c>
      <c r="B265" t="s">
        <v>123</v>
      </c>
      <c r="C265" t="s">
        <v>123</v>
      </c>
      <c r="D265" t="s">
        <v>1108</v>
      </c>
      <c r="E265" t="s">
        <v>123</v>
      </c>
      <c r="F265" t="s">
        <v>125</v>
      </c>
      <c r="G265" t="s">
        <v>126</v>
      </c>
      <c r="H265" t="s">
        <v>127</v>
      </c>
      <c r="I265" t="s">
        <v>128</v>
      </c>
      <c r="J265" t="s">
        <v>123</v>
      </c>
      <c r="K265" t="s">
        <v>1040</v>
      </c>
      <c r="L265" t="s">
        <v>130</v>
      </c>
      <c r="M265" t="s">
        <v>1041</v>
      </c>
      <c r="N265" t="s">
        <v>158</v>
      </c>
      <c r="O265" t="s">
        <v>150</v>
      </c>
      <c r="P265" t="s">
        <v>123</v>
      </c>
      <c r="Q265" t="s">
        <v>123</v>
      </c>
      <c r="R265" t="s">
        <v>123</v>
      </c>
      <c r="S265" t="s">
        <v>123</v>
      </c>
      <c r="T265" s="1">
        <v>46484</v>
      </c>
      <c r="U265" t="s">
        <v>123</v>
      </c>
      <c r="V265" t="s">
        <v>123</v>
      </c>
      <c r="W265" t="s">
        <v>123</v>
      </c>
      <c r="X265" t="s">
        <v>123</v>
      </c>
      <c r="Y265" t="s">
        <v>123</v>
      </c>
      <c r="Z265" t="s">
        <v>123</v>
      </c>
      <c r="AA265" t="s">
        <v>123</v>
      </c>
      <c r="AB265" t="s">
        <v>1109</v>
      </c>
      <c r="AC265" t="s">
        <v>135</v>
      </c>
      <c r="AD265" t="s">
        <v>123</v>
      </c>
      <c r="AE265" t="s">
        <v>123</v>
      </c>
      <c r="AF265" t="s">
        <v>227</v>
      </c>
      <c r="AG265" t="s">
        <v>228</v>
      </c>
      <c r="AH265" t="s">
        <v>123</v>
      </c>
      <c r="AI265" t="s">
        <v>128</v>
      </c>
      <c r="AJ265" t="s">
        <v>186</v>
      </c>
      <c r="AK265" t="s">
        <v>163</v>
      </c>
      <c r="AL265" t="s">
        <v>123</v>
      </c>
      <c r="AM265" t="s">
        <v>123</v>
      </c>
      <c r="AN265" t="s">
        <v>123</v>
      </c>
      <c r="AO265" t="s">
        <v>123</v>
      </c>
      <c r="AP265">
        <v>250</v>
      </c>
      <c r="AQ265">
        <v>50</v>
      </c>
      <c r="AR265">
        <v>10</v>
      </c>
      <c r="AS265" t="s">
        <v>123</v>
      </c>
      <c r="AT265" t="s">
        <v>123</v>
      </c>
      <c r="AU265" t="s">
        <v>123</v>
      </c>
      <c r="AV265" t="s">
        <v>123</v>
      </c>
      <c r="AW265" t="s">
        <v>123</v>
      </c>
      <c r="AX265" t="s">
        <v>123</v>
      </c>
      <c r="AY265" t="s">
        <v>123</v>
      </c>
      <c r="AZ265" t="s">
        <v>123</v>
      </c>
      <c r="BA265" t="s">
        <v>140</v>
      </c>
      <c r="BB265" t="s">
        <v>123</v>
      </c>
      <c r="BC265" t="s">
        <v>123</v>
      </c>
      <c r="BD265" t="s">
        <v>123</v>
      </c>
      <c r="BE265" t="s">
        <v>123</v>
      </c>
      <c r="BF265" t="s">
        <v>123</v>
      </c>
      <c r="BG265" t="s">
        <v>141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s="1">
        <v>45965.255009803244</v>
      </c>
      <c r="BZ265">
        <v>1562</v>
      </c>
      <c r="CA265" t="s">
        <v>123</v>
      </c>
      <c r="CB265" t="s">
        <v>123</v>
      </c>
      <c r="CC265">
        <v>0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>
        <v>4.4600000000000001E-2</v>
      </c>
      <c r="CL265">
        <v>4.9099999999999998E-2</v>
      </c>
      <c r="CM265">
        <v>5.0799999999999998E-2</v>
      </c>
      <c r="CN265">
        <v>5.6399999999999999E-2</v>
      </c>
      <c r="CO265" t="s">
        <v>123</v>
      </c>
      <c r="CP265" t="s">
        <v>123</v>
      </c>
      <c r="CQ265">
        <v>3.9800000000000002E-2</v>
      </c>
      <c r="CR265">
        <v>4.3400000000000001E-2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152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  <c r="DN265" t="s">
        <v>123</v>
      </c>
      <c r="DO265" t="s">
        <v>123</v>
      </c>
      <c r="DP265" t="s">
        <v>123</v>
      </c>
      <c r="DQ265" t="s">
        <v>123</v>
      </c>
      <c r="DR265" t="s">
        <v>123</v>
      </c>
      <c r="DS265" t="s">
        <v>123</v>
      </c>
    </row>
    <row r="266" spans="1:123" x14ac:dyDescent="0.3">
      <c r="A266">
        <v>265</v>
      </c>
      <c r="B266" t="s">
        <v>123</v>
      </c>
      <c r="C266" t="s">
        <v>123</v>
      </c>
      <c r="D266" t="s">
        <v>1110</v>
      </c>
      <c r="E266" t="s">
        <v>123</v>
      </c>
      <c r="F266" t="s">
        <v>125</v>
      </c>
      <c r="G266" t="s">
        <v>126</v>
      </c>
      <c r="H266" t="s">
        <v>127</v>
      </c>
      <c r="I266" t="s">
        <v>199</v>
      </c>
      <c r="J266" t="s">
        <v>123</v>
      </c>
      <c r="K266" t="s">
        <v>1111</v>
      </c>
      <c r="L266" t="s">
        <v>130</v>
      </c>
      <c r="M266" t="s">
        <v>1112</v>
      </c>
      <c r="N266" t="s">
        <v>158</v>
      </c>
      <c r="O266" t="s">
        <v>133</v>
      </c>
      <c r="P266" t="s">
        <v>123</v>
      </c>
      <c r="Q266" t="s">
        <v>123</v>
      </c>
      <c r="R266" t="s">
        <v>123</v>
      </c>
      <c r="S266" t="s">
        <v>123</v>
      </c>
      <c r="T266" s="1">
        <v>46483</v>
      </c>
      <c r="U266" t="s">
        <v>123</v>
      </c>
      <c r="V266" t="s">
        <v>123</v>
      </c>
      <c r="W266" t="s">
        <v>123</v>
      </c>
      <c r="X266" t="s">
        <v>123</v>
      </c>
      <c r="Y266" t="s">
        <v>123</v>
      </c>
      <c r="Z266" t="s">
        <v>123</v>
      </c>
      <c r="AA266" t="s">
        <v>123</v>
      </c>
      <c r="AB266" t="s">
        <v>1113</v>
      </c>
      <c r="AC266" t="s">
        <v>135</v>
      </c>
      <c r="AD266" t="s">
        <v>123</v>
      </c>
      <c r="AE266" t="s">
        <v>123</v>
      </c>
      <c r="AF266" t="s">
        <v>905</v>
      </c>
      <c r="AG266" t="s">
        <v>906</v>
      </c>
      <c r="AH266" t="s">
        <v>123</v>
      </c>
      <c r="AI266" t="s">
        <v>199</v>
      </c>
      <c r="AJ266" t="s">
        <v>138</v>
      </c>
      <c r="AK266" t="s">
        <v>139</v>
      </c>
      <c r="AL266" t="s">
        <v>123</v>
      </c>
      <c r="AM266" t="s">
        <v>123</v>
      </c>
      <c r="AN266" t="s">
        <v>123</v>
      </c>
      <c r="AO266" t="s">
        <v>123</v>
      </c>
      <c r="AP266">
        <v>250</v>
      </c>
      <c r="AQ266">
        <v>50</v>
      </c>
      <c r="AR266">
        <v>10</v>
      </c>
      <c r="AS266" t="s">
        <v>123</v>
      </c>
      <c r="AT266" t="s">
        <v>123</v>
      </c>
      <c r="AU266" t="s">
        <v>123</v>
      </c>
      <c r="AV266" t="s">
        <v>123</v>
      </c>
      <c r="AW266" t="s">
        <v>123</v>
      </c>
      <c r="AX266" t="s">
        <v>123</v>
      </c>
      <c r="AY266" t="s">
        <v>123</v>
      </c>
      <c r="AZ266" t="s">
        <v>123</v>
      </c>
      <c r="BA266" t="s">
        <v>140</v>
      </c>
      <c r="BB266" t="s">
        <v>123</v>
      </c>
      <c r="BC266" t="s">
        <v>123</v>
      </c>
      <c r="BD266" t="s">
        <v>123</v>
      </c>
      <c r="BE266" t="s">
        <v>123</v>
      </c>
      <c r="BF266" t="s">
        <v>123</v>
      </c>
      <c r="BG266" t="s">
        <v>141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s="1">
        <v>45965.255100613424</v>
      </c>
      <c r="BZ266">
        <v>1515</v>
      </c>
      <c r="CA266" t="s">
        <v>123</v>
      </c>
      <c r="CB266" t="s">
        <v>123</v>
      </c>
      <c r="CC266">
        <v>0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>
        <v>2.46E-2</v>
      </c>
      <c r="CL266">
        <v>2.63E-2</v>
      </c>
      <c r="CM266">
        <v>3.9899999999999998E-2</v>
      </c>
      <c r="CN266">
        <v>4.3499999999999997E-2</v>
      </c>
      <c r="CO266" t="s">
        <v>123</v>
      </c>
      <c r="CP266" t="s">
        <v>123</v>
      </c>
      <c r="CQ266">
        <v>1.3899999999999999E-2</v>
      </c>
      <c r="CR266">
        <v>1.46E-2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152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  <c r="DN266" t="s">
        <v>123</v>
      </c>
      <c r="DO266" t="s">
        <v>123</v>
      </c>
      <c r="DP266" t="s">
        <v>123</v>
      </c>
      <c r="DQ266" t="s">
        <v>123</v>
      </c>
      <c r="DR266" t="s">
        <v>123</v>
      </c>
      <c r="DS266" t="s">
        <v>123</v>
      </c>
    </row>
    <row r="267" spans="1:123" x14ac:dyDescent="0.3">
      <c r="A267">
        <v>266</v>
      </c>
      <c r="B267" t="s">
        <v>123</v>
      </c>
      <c r="C267" t="s">
        <v>123</v>
      </c>
      <c r="D267" t="s">
        <v>1114</v>
      </c>
      <c r="E267" t="s">
        <v>123</v>
      </c>
      <c r="F267" t="s">
        <v>125</v>
      </c>
      <c r="G267" t="s">
        <v>126</v>
      </c>
      <c r="H267" t="s">
        <v>127</v>
      </c>
      <c r="I267" t="s">
        <v>199</v>
      </c>
      <c r="J267" t="s">
        <v>123</v>
      </c>
      <c r="K267" t="s">
        <v>1115</v>
      </c>
      <c r="L267" t="s">
        <v>130</v>
      </c>
      <c r="M267" t="s">
        <v>1116</v>
      </c>
      <c r="N267" t="s">
        <v>158</v>
      </c>
      <c r="O267" t="s">
        <v>150</v>
      </c>
      <c r="P267" t="s">
        <v>123</v>
      </c>
      <c r="Q267" t="s">
        <v>123</v>
      </c>
      <c r="R267" t="s">
        <v>123</v>
      </c>
      <c r="S267" t="s">
        <v>123</v>
      </c>
      <c r="T267" s="1">
        <v>46849</v>
      </c>
      <c r="U267" t="s">
        <v>123</v>
      </c>
      <c r="V267" t="s">
        <v>123</v>
      </c>
      <c r="W267" t="s">
        <v>123</v>
      </c>
      <c r="X267" t="s">
        <v>123</v>
      </c>
      <c r="Y267" t="s">
        <v>123</v>
      </c>
      <c r="Z267" t="s">
        <v>123</v>
      </c>
      <c r="AA267" t="s">
        <v>123</v>
      </c>
      <c r="AB267" t="s">
        <v>1117</v>
      </c>
      <c r="AC267" t="s">
        <v>135</v>
      </c>
      <c r="AD267" t="s">
        <v>123</v>
      </c>
      <c r="AE267" t="s">
        <v>123</v>
      </c>
      <c r="AF267" t="s">
        <v>905</v>
      </c>
      <c r="AG267" t="s">
        <v>906</v>
      </c>
      <c r="AH267" t="s">
        <v>123</v>
      </c>
      <c r="AI267" t="s">
        <v>199</v>
      </c>
      <c r="AJ267" t="s">
        <v>138</v>
      </c>
      <c r="AK267" t="s">
        <v>139</v>
      </c>
      <c r="AL267" t="s">
        <v>123</v>
      </c>
      <c r="AM267" t="s">
        <v>123</v>
      </c>
      <c r="AN267" t="s">
        <v>123</v>
      </c>
      <c r="AO267" t="s">
        <v>123</v>
      </c>
      <c r="AP267">
        <v>250</v>
      </c>
      <c r="AQ267">
        <v>50</v>
      </c>
      <c r="AR267">
        <v>10</v>
      </c>
      <c r="AS267" t="s">
        <v>123</v>
      </c>
      <c r="AT267" t="s">
        <v>123</v>
      </c>
      <c r="AU267" t="s">
        <v>123</v>
      </c>
      <c r="AV267" t="s">
        <v>123</v>
      </c>
      <c r="AW267" t="s">
        <v>123</v>
      </c>
      <c r="AX267" t="s">
        <v>123</v>
      </c>
      <c r="AY267" t="s">
        <v>123</v>
      </c>
      <c r="AZ267" t="s">
        <v>123</v>
      </c>
      <c r="BA267" t="s">
        <v>140</v>
      </c>
      <c r="BB267" t="s">
        <v>123</v>
      </c>
      <c r="BC267" t="s">
        <v>123</v>
      </c>
      <c r="BD267" t="s">
        <v>123</v>
      </c>
      <c r="BE267" t="s">
        <v>123</v>
      </c>
      <c r="BF267" t="s">
        <v>123</v>
      </c>
      <c r="BG267" t="s">
        <v>141</v>
      </c>
      <c r="BH267" t="s">
        <v>123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123</v>
      </c>
      <c r="BX267" t="s">
        <v>123</v>
      </c>
      <c r="BY267" s="1">
        <v>45965.255202928238</v>
      </c>
      <c r="BZ267">
        <v>1515</v>
      </c>
      <c r="CA267" t="s">
        <v>123</v>
      </c>
      <c r="CB267" t="s">
        <v>123</v>
      </c>
      <c r="CC267">
        <v>0</v>
      </c>
      <c r="CD267" t="s">
        <v>123</v>
      </c>
      <c r="CE267" t="s">
        <v>123</v>
      </c>
      <c r="CF267" t="s">
        <v>123</v>
      </c>
      <c r="CG267" t="s">
        <v>123</v>
      </c>
      <c r="CH267" t="s">
        <v>123</v>
      </c>
      <c r="CI267" t="s">
        <v>123</v>
      </c>
      <c r="CJ267" t="s">
        <v>123</v>
      </c>
      <c r="CK267">
        <v>9.9000000000000008E-3</v>
      </c>
      <c r="CL267">
        <v>1.0800000000000001E-2</v>
      </c>
      <c r="CM267">
        <v>1.37E-2</v>
      </c>
      <c r="CN267">
        <v>1.44E-2</v>
      </c>
      <c r="CO267" t="s">
        <v>123</v>
      </c>
      <c r="CP267" t="s">
        <v>123</v>
      </c>
      <c r="CQ267">
        <v>6.8999999999999999E-3</v>
      </c>
      <c r="CR267">
        <v>8.0000000000000002E-3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152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  <c r="DN267" t="s">
        <v>123</v>
      </c>
      <c r="DO267" t="s">
        <v>123</v>
      </c>
      <c r="DP267" t="s">
        <v>123</v>
      </c>
      <c r="DQ267" t="s">
        <v>123</v>
      </c>
      <c r="DR267" t="s">
        <v>123</v>
      </c>
      <c r="DS267" t="s">
        <v>123</v>
      </c>
    </row>
    <row r="268" spans="1:123" x14ac:dyDescent="0.3">
      <c r="A268">
        <v>267</v>
      </c>
      <c r="B268" t="s">
        <v>123</v>
      </c>
      <c r="C268" t="s">
        <v>123</v>
      </c>
      <c r="D268" t="s">
        <v>1118</v>
      </c>
      <c r="E268" t="s">
        <v>123</v>
      </c>
      <c r="F268" t="s">
        <v>125</v>
      </c>
      <c r="G268" t="s">
        <v>126</v>
      </c>
      <c r="H268" t="s">
        <v>127</v>
      </c>
      <c r="I268" t="s">
        <v>128</v>
      </c>
      <c r="J268" t="s">
        <v>123</v>
      </c>
      <c r="K268" t="s">
        <v>1040</v>
      </c>
      <c r="L268" t="s">
        <v>130</v>
      </c>
      <c r="M268" t="s">
        <v>1041</v>
      </c>
      <c r="N268" t="s">
        <v>158</v>
      </c>
      <c r="O268" t="s">
        <v>159</v>
      </c>
      <c r="P268" t="s">
        <v>123</v>
      </c>
      <c r="Q268" t="s">
        <v>123</v>
      </c>
      <c r="R268" t="s">
        <v>123</v>
      </c>
      <c r="S268" t="s">
        <v>123</v>
      </c>
      <c r="T268" s="1">
        <v>46850</v>
      </c>
      <c r="U268" t="s">
        <v>123</v>
      </c>
      <c r="V268" t="s">
        <v>123</v>
      </c>
      <c r="W268" t="s">
        <v>123</v>
      </c>
      <c r="X268" t="s">
        <v>123</v>
      </c>
      <c r="Y268" t="s">
        <v>123</v>
      </c>
      <c r="Z268" t="s">
        <v>123</v>
      </c>
      <c r="AA268" t="s">
        <v>123</v>
      </c>
      <c r="AB268" t="s">
        <v>1119</v>
      </c>
      <c r="AC268" t="s">
        <v>135</v>
      </c>
      <c r="AD268" t="s">
        <v>123</v>
      </c>
      <c r="AE268" t="s">
        <v>123</v>
      </c>
      <c r="AF268" t="s">
        <v>227</v>
      </c>
      <c r="AG268" t="s">
        <v>228</v>
      </c>
      <c r="AH268" t="s">
        <v>123</v>
      </c>
      <c r="AI268" t="s">
        <v>128</v>
      </c>
      <c r="AJ268" t="s">
        <v>138</v>
      </c>
      <c r="AK268" t="s">
        <v>163</v>
      </c>
      <c r="AL268" t="s">
        <v>123</v>
      </c>
      <c r="AM268" t="s">
        <v>123</v>
      </c>
      <c r="AN268" t="s">
        <v>123</v>
      </c>
      <c r="AO268" t="s">
        <v>123</v>
      </c>
      <c r="AP268">
        <v>250</v>
      </c>
      <c r="AQ268">
        <v>50</v>
      </c>
      <c r="AR268">
        <v>10</v>
      </c>
      <c r="AS268" t="s">
        <v>123</v>
      </c>
      <c r="AT268" t="s">
        <v>123</v>
      </c>
      <c r="AU268" t="s">
        <v>123</v>
      </c>
      <c r="AV268" t="s">
        <v>123</v>
      </c>
      <c r="AW268" t="s">
        <v>123</v>
      </c>
      <c r="AX268" t="s">
        <v>123</v>
      </c>
      <c r="AY268" t="s">
        <v>123</v>
      </c>
      <c r="AZ268" t="s">
        <v>123</v>
      </c>
      <c r="BA268" t="s">
        <v>140</v>
      </c>
      <c r="BB268" t="s">
        <v>123</v>
      </c>
      <c r="BC268" t="s">
        <v>123</v>
      </c>
      <c r="BD268" t="s">
        <v>123</v>
      </c>
      <c r="BE268" t="s">
        <v>123</v>
      </c>
      <c r="BF268" t="s">
        <v>123</v>
      </c>
      <c r="BG268" t="s">
        <v>141</v>
      </c>
      <c r="BH268" t="s">
        <v>123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123</v>
      </c>
      <c r="BX268" t="s">
        <v>123</v>
      </c>
      <c r="BY268" s="1">
        <v>45965.255292939815</v>
      </c>
      <c r="BZ268">
        <v>1562</v>
      </c>
      <c r="CA268" t="s">
        <v>123</v>
      </c>
      <c r="CB268" t="s">
        <v>123</v>
      </c>
      <c r="CC268">
        <v>0</v>
      </c>
      <c r="CD268" t="s">
        <v>123</v>
      </c>
      <c r="CE268" t="s">
        <v>123</v>
      </c>
      <c r="CF268" t="s">
        <v>123</v>
      </c>
      <c r="CG268" t="s">
        <v>123</v>
      </c>
      <c r="CH268" t="s">
        <v>123</v>
      </c>
      <c r="CI268" t="s">
        <v>123</v>
      </c>
      <c r="CJ268" t="s">
        <v>123</v>
      </c>
      <c r="CK268">
        <v>2.75E-2</v>
      </c>
      <c r="CL268">
        <v>3.0200000000000001E-2</v>
      </c>
      <c r="CM268">
        <v>3.1199999999999999E-2</v>
      </c>
      <c r="CN268">
        <v>3.4200000000000001E-2</v>
      </c>
      <c r="CO268" t="s">
        <v>123</v>
      </c>
      <c r="CP268" t="s">
        <v>123</v>
      </c>
      <c r="CQ268">
        <v>2.3900000000000001E-2</v>
      </c>
      <c r="CR268">
        <v>2.6200000000000001E-2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152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  <c r="DN268" t="s">
        <v>123</v>
      </c>
      <c r="DO268" t="s">
        <v>123</v>
      </c>
      <c r="DP268" t="s">
        <v>123</v>
      </c>
      <c r="DQ268" t="s">
        <v>123</v>
      </c>
      <c r="DR268" t="s">
        <v>123</v>
      </c>
      <c r="DS268" t="s">
        <v>123</v>
      </c>
    </row>
    <row r="269" spans="1:123" x14ac:dyDescent="0.3">
      <c r="A269">
        <v>268</v>
      </c>
      <c r="B269" t="s">
        <v>123</v>
      </c>
      <c r="C269" t="s">
        <v>123</v>
      </c>
      <c r="D269" t="s">
        <v>1120</v>
      </c>
      <c r="E269" t="s">
        <v>123</v>
      </c>
      <c r="F269" t="s">
        <v>125</v>
      </c>
      <c r="G269" t="s">
        <v>126</v>
      </c>
      <c r="H269" t="s">
        <v>127</v>
      </c>
      <c r="I269" t="s">
        <v>128</v>
      </c>
      <c r="J269" t="s">
        <v>123</v>
      </c>
      <c r="K269" t="s">
        <v>1040</v>
      </c>
      <c r="L269" t="s">
        <v>130</v>
      </c>
      <c r="M269" t="s">
        <v>1041</v>
      </c>
      <c r="N269" t="s">
        <v>180</v>
      </c>
      <c r="O269" t="s">
        <v>159</v>
      </c>
      <c r="P269" t="s">
        <v>123</v>
      </c>
      <c r="Q269" t="s">
        <v>123</v>
      </c>
      <c r="R269" t="s">
        <v>123</v>
      </c>
      <c r="S269" t="s">
        <v>123</v>
      </c>
      <c r="T269" s="1">
        <v>46850</v>
      </c>
      <c r="U269" t="s">
        <v>123</v>
      </c>
      <c r="V269" t="s">
        <v>123</v>
      </c>
      <c r="W269" t="s">
        <v>123</v>
      </c>
      <c r="X269" t="s">
        <v>123</v>
      </c>
      <c r="Y269" t="s">
        <v>123</v>
      </c>
      <c r="Z269" t="s">
        <v>123</v>
      </c>
      <c r="AA269" t="s">
        <v>123</v>
      </c>
      <c r="AB269" t="s">
        <v>1121</v>
      </c>
      <c r="AC269" t="s">
        <v>135</v>
      </c>
      <c r="AD269" t="s">
        <v>123</v>
      </c>
      <c r="AE269" t="s">
        <v>123</v>
      </c>
      <c r="AF269" t="s">
        <v>227</v>
      </c>
      <c r="AG269" t="s">
        <v>228</v>
      </c>
      <c r="AH269" t="s">
        <v>123</v>
      </c>
      <c r="AI269" t="s">
        <v>128</v>
      </c>
      <c r="AJ269" t="s">
        <v>138</v>
      </c>
      <c r="AK269" t="s">
        <v>163</v>
      </c>
      <c r="AL269" t="s">
        <v>123</v>
      </c>
      <c r="AM269" t="s">
        <v>123</v>
      </c>
      <c r="AN269" t="s">
        <v>123</v>
      </c>
      <c r="AO269" t="s">
        <v>123</v>
      </c>
      <c r="AP269">
        <v>250</v>
      </c>
      <c r="AQ269">
        <v>50</v>
      </c>
      <c r="AR269">
        <v>10</v>
      </c>
      <c r="AS269" t="s">
        <v>123</v>
      </c>
      <c r="AT269" t="s">
        <v>123</v>
      </c>
      <c r="AU269" t="s">
        <v>123</v>
      </c>
      <c r="AV269" t="s">
        <v>123</v>
      </c>
      <c r="AW269" t="s">
        <v>123</v>
      </c>
      <c r="AX269" t="s">
        <v>123</v>
      </c>
      <c r="AY269" t="s">
        <v>123</v>
      </c>
      <c r="AZ269" t="s">
        <v>123</v>
      </c>
      <c r="BA269" t="s">
        <v>140</v>
      </c>
      <c r="BB269" t="s">
        <v>123</v>
      </c>
      <c r="BC269" t="s">
        <v>123</v>
      </c>
      <c r="BD269" t="s">
        <v>123</v>
      </c>
      <c r="BE269" t="s">
        <v>123</v>
      </c>
      <c r="BF269" t="s">
        <v>123</v>
      </c>
      <c r="BG269" t="s">
        <v>141</v>
      </c>
      <c r="BH269" t="s">
        <v>123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123</v>
      </c>
      <c r="BX269" t="s">
        <v>123</v>
      </c>
      <c r="BY269" s="1">
        <v>45965.255401192131</v>
      </c>
      <c r="BZ269">
        <v>1562</v>
      </c>
      <c r="CA269" t="s">
        <v>123</v>
      </c>
      <c r="CB269" t="s">
        <v>123</v>
      </c>
      <c r="CC269">
        <v>0</v>
      </c>
      <c r="CD269" t="s">
        <v>123</v>
      </c>
      <c r="CE269" t="s">
        <v>123</v>
      </c>
      <c r="CF269" t="s">
        <v>123</v>
      </c>
      <c r="CG269" t="s">
        <v>123</v>
      </c>
      <c r="CH269" t="s">
        <v>123</v>
      </c>
      <c r="CI269" t="s">
        <v>123</v>
      </c>
      <c r="CJ269" t="s">
        <v>123</v>
      </c>
      <c r="CK269">
        <v>1.67E-2</v>
      </c>
      <c r="CL269">
        <v>1.9599999999999999E-2</v>
      </c>
      <c r="CM269">
        <v>2.6700000000000002E-2</v>
      </c>
      <c r="CN269">
        <v>3.1600000000000003E-2</v>
      </c>
      <c r="CO269" t="s">
        <v>123</v>
      </c>
      <c r="CP269" t="s">
        <v>123</v>
      </c>
      <c r="CQ269">
        <v>8.8000000000000005E-3</v>
      </c>
      <c r="CR269">
        <v>1.04E-2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152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  <c r="DN269" t="s">
        <v>123</v>
      </c>
      <c r="DO269" t="s">
        <v>123</v>
      </c>
      <c r="DP269" t="s">
        <v>123</v>
      </c>
      <c r="DQ269" t="s">
        <v>123</v>
      </c>
      <c r="DR269" t="s">
        <v>123</v>
      </c>
      <c r="DS269" t="s">
        <v>123</v>
      </c>
    </row>
    <row r="270" spans="1:123" x14ac:dyDescent="0.3">
      <c r="A270">
        <v>269</v>
      </c>
      <c r="B270" t="s">
        <v>123</v>
      </c>
      <c r="C270" t="s">
        <v>123</v>
      </c>
      <c r="D270" t="s">
        <v>1122</v>
      </c>
      <c r="E270" t="s">
        <v>123</v>
      </c>
      <c r="F270" t="s">
        <v>125</v>
      </c>
      <c r="G270" t="s">
        <v>126</v>
      </c>
      <c r="H270" t="s">
        <v>127</v>
      </c>
      <c r="I270" t="s">
        <v>128</v>
      </c>
      <c r="J270" t="s">
        <v>123</v>
      </c>
      <c r="K270" t="s">
        <v>902</v>
      </c>
      <c r="L270" t="s">
        <v>130</v>
      </c>
      <c r="M270" t="s">
        <v>903</v>
      </c>
      <c r="N270" t="s">
        <v>158</v>
      </c>
      <c r="O270" t="s">
        <v>159</v>
      </c>
      <c r="P270" t="s">
        <v>123</v>
      </c>
      <c r="Q270" t="s">
        <v>123</v>
      </c>
      <c r="R270" t="s">
        <v>123</v>
      </c>
      <c r="S270" t="s">
        <v>123</v>
      </c>
      <c r="T270" s="1">
        <v>46762</v>
      </c>
      <c r="U270" t="s">
        <v>123</v>
      </c>
      <c r="V270" t="s">
        <v>123</v>
      </c>
      <c r="W270" t="s">
        <v>123</v>
      </c>
      <c r="X270" t="s">
        <v>123</v>
      </c>
      <c r="Y270" t="s">
        <v>123</v>
      </c>
      <c r="Z270" t="s">
        <v>123</v>
      </c>
      <c r="AA270" t="s">
        <v>123</v>
      </c>
      <c r="AB270" t="s">
        <v>1123</v>
      </c>
      <c r="AC270" t="s">
        <v>135</v>
      </c>
      <c r="AD270" t="s">
        <v>123</v>
      </c>
      <c r="AE270" t="s">
        <v>123</v>
      </c>
      <c r="AF270" t="s">
        <v>905</v>
      </c>
      <c r="AG270" t="s">
        <v>906</v>
      </c>
      <c r="AH270" t="s">
        <v>123</v>
      </c>
      <c r="AI270" t="s">
        <v>128</v>
      </c>
      <c r="AJ270" t="s">
        <v>138</v>
      </c>
      <c r="AK270" t="s">
        <v>139</v>
      </c>
      <c r="AL270" t="s">
        <v>123</v>
      </c>
      <c r="AM270" t="s">
        <v>123</v>
      </c>
      <c r="AN270" t="s">
        <v>123</v>
      </c>
      <c r="AO270" t="s">
        <v>123</v>
      </c>
      <c r="AP270">
        <v>250</v>
      </c>
      <c r="AQ270">
        <v>50</v>
      </c>
      <c r="AR270">
        <v>10</v>
      </c>
      <c r="AS270" t="s">
        <v>123</v>
      </c>
      <c r="AT270" t="s">
        <v>123</v>
      </c>
      <c r="AU270" t="s">
        <v>123</v>
      </c>
      <c r="AV270" t="s">
        <v>123</v>
      </c>
      <c r="AW270" t="s">
        <v>123</v>
      </c>
      <c r="AX270" t="s">
        <v>123</v>
      </c>
      <c r="AY270" t="s">
        <v>123</v>
      </c>
      <c r="AZ270" t="s">
        <v>123</v>
      </c>
      <c r="BA270" t="s">
        <v>140</v>
      </c>
      <c r="BB270" t="s">
        <v>123</v>
      </c>
      <c r="BC270" t="s">
        <v>123</v>
      </c>
      <c r="BD270" t="s">
        <v>123</v>
      </c>
      <c r="BE270" t="s">
        <v>123</v>
      </c>
      <c r="BF270" t="s">
        <v>123</v>
      </c>
      <c r="BG270" t="s">
        <v>141</v>
      </c>
      <c r="BH270" t="s">
        <v>123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123</v>
      </c>
      <c r="BX270" t="s">
        <v>123</v>
      </c>
      <c r="BY270" s="1">
        <v>45965.255491701391</v>
      </c>
      <c r="BZ270">
        <v>1539</v>
      </c>
      <c r="CA270" t="s">
        <v>123</v>
      </c>
      <c r="CB270" t="s">
        <v>123</v>
      </c>
      <c r="CC270">
        <v>0</v>
      </c>
      <c r="CD270" t="s">
        <v>123</v>
      </c>
      <c r="CE270" t="s">
        <v>123</v>
      </c>
      <c r="CF270" t="s">
        <v>123</v>
      </c>
      <c r="CG270" t="s">
        <v>123</v>
      </c>
      <c r="CH270" t="s">
        <v>123</v>
      </c>
      <c r="CI270" t="s">
        <v>123</v>
      </c>
      <c r="CJ270" t="s">
        <v>123</v>
      </c>
      <c r="CK270">
        <v>1.41E-2</v>
      </c>
      <c r="CL270">
        <v>1.52E-2</v>
      </c>
      <c r="CM270">
        <v>2.07E-2</v>
      </c>
      <c r="CN270">
        <v>2.2599999999999999E-2</v>
      </c>
      <c r="CO270" t="s">
        <v>123</v>
      </c>
      <c r="CP270" t="s">
        <v>123</v>
      </c>
      <c r="CQ270">
        <v>1.01E-2</v>
      </c>
      <c r="CR270">
        <v>1.09E-2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551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  <c r="DN270" t="s">
        <v>123</v>
      </c>
      <c r="DO270" t="s">
        <v>123</v>
      </c>
      <c r="DP270" t="s">
        <v>123</v>
      </c>
      <c r="DQ270" t="s">
        <v>123</v>
      </c>
      <c r="DR270" t="s">
        <v>123</v>
      </c>
      <c r="DS270" t="s">
        <v>123</v>
      </c>
    </row>
    <row r="271" spans="1:123" x14ac:dyDescent="0.3">
      <c r="A271">
        <v>270</v>
      </c>
      <c r="B271" t="s">
        <v>123</v>
      </c>
      <c r="C271" t="s">
        <v>123</v>
      </c>
      <c r="D271" t="s">
        <v>1124</v>
      </c>
      <c r="E271" t="s">
        <v>123</v>
      </c>
      <c r="F271" t="s">
        <v>125</v>
      </c>
      <c r="G271" t="s">
        <v>126</v>
      </c>
      <c r="H271" t="s">
        <v>127</v>
      </c>
      <c r="I271" t="s">
        <v>128</v>
      </c>
      <c r="J271" t="s">
        <v>123</v>
      </c>
      <c r="K271" t="s">
        <v>902</v>
      </c>
      <c r="L271" t="s">
        <v>130</v>
      </c>
      <c r="M271" t="s">
        <v>903</v>
      </c>
      <c r="N271" t="s">
        <v>180</v>
      </c>
      <c r="O271" t="s">
        <v>159</v>
      </c>
      <c r="P271" t="s">
        <v>123</v>
      </c>
      <c r="Q271" t="s">
        <v>123</v>
      </c>
      <c r="R271" t="s">
        <v>123</v>
      </c>
      <c r="S271" t="s">
        <v>123</v>
      </c>
      <c r="T271" s="1">
        <v>46762</v>
      </c>
      <c r="U271" t="s">
        <v>123</v>
      </c>
      <c r="V271" t="s">
        <v>123</v>
      </c>
      <c r="W271" t="s">
        <v>123</v>
      </c>
      <c r="X271" t="s">
        <v>123</v>
      </c>
      <c r="Y271" t="s">
        <v>123</v>
      </c>
      <c r="Z271" t="s">
        <v>123</v>
      </c>
      <c r="AA271" t="s">
        <v>123</v>
      </c>
      <c r="AB271" t="s">
        <v>1125</v>
      </c>
      <c r="AC271" t="s">
        <v>135</v>
      </c>
      <c r="AD271" t="s">
        <v>123</v>
      </c>
      <c r="AE271" t="s">
        <v>123</v>
      </c>
      <c r="AF271" t="s">
        <v>905</v>
      </c>
      <c r="AG271" t="s">
        <v>906</v>
      </c>
      <c r="AH271" t="s">
        <v>123</v>
      </c>
      <c r="AI271" t="s">
        <v>128</v>
      </c>
      <c r="AJ271" t="s">
        <v>138</v>
      </c>
      <c r="AK271" t="s">
        <v>139</v>
      </c>
      <c r="AL271" t="s">
        <v>123</v>
      </c>
      <c r="AM271" t="s">
        <v>123</v>
      </c>
      <c r="AN271" t="s">
        <v>123</v>
      </c>
      <c r="AO271" t="s">
        <v>123</v>
      </c>
      <c r="AP271">
        <v>250</v>
      </c>
      <c r="AQ271">
        <v>50</v>
      </c>
      <c r="AR271">
        <v>10</v>
      </c>
      <c r="AS271" t="s">
        <v>123</v>
      </c>
      <c r="AT271" t="s">
        <v>123</v>
      </c>
      <c r="AU271" t="s">
        <v>123</v>
      </c>
      <c r="AV271" t="s">
        <v>123</v>
      </c>
      <c r="AW271" t="s">
        <v>123</v>
      </c>
      <c r="AX271" t="s">
        <v>123</v>
      </c>
      <c r="AY271" t="s">
        <v>123</v>
      </c>
      <c r="AZ271" t="s">
        <v>123</v>
      </c>
      <c r="BA271" t="s">
        <v>140</v>
      </c>
      <c r="BB271" t="s">
        <v>123</v>
      </c>
      <c r="BC271" t="s">
        <v>123</v>
      </c>
      <c r="BD271" t="s">
        <v>123</v>
      </c>
      <c r="BE271" t="s">
        <v>123</v>
      </c>
      <c r="BF271" t="s">
        <v>123</v>
      </c>
      <c r="BG271" t="s">
        <v>141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123</v>
      </c>
      <c r="BX271" t="s">
        <v>123</v>
      </c>
      <c r="BY271" s="1">
        <v>45965.25552515046</v>
      </c>
      <c r="BZ271">
        <v>1539</v>
      </c>
      <c r="CA271" t="s">
        <v>123</v>
      </c>
      <c r="CB271" t="s">
        <v>123</v>
      </c>
      <c r="CC271">
        <v>0</v>
      </c>
      <c r="CD271" t="s">
        <v>123</v>
      </c>
      <c r="CE271" t="s">
        <v>123</v>
      </c>
      <c r="CF271" t="s">
        <v>123</v>
      </c>
      <c r="CG271" t="s">
        <v>123</v>
      </c>
      <c r="CH271" t="s">
        <v>123</v>
      </c>
      <c r="CI271" t="s">
        <v>123</v>
      </c>
      <c r="CJ271" t="s">
        <v>123</v>
      </c>
      <c r="CK271">
        <v>5.16E-2</v>
      </c>
      <c r="CL271">
        <v>5.8299999999999998E-2</v>
      </c>
      <c r="CM271">
        <v>7.8799999999999995E-2</v>
      </c>
      <c r="CN271">
        <v>8.8999999999999996E-2</v>
      </c>
      <c r="CO271" t="s">
        <v>123</v>
      </c>
      <c r="CP271" t="s">
        <v>123</v>
      </c>
      <c r="CQ271">
        <v>3.4200000000000001E-2</v>
      </c>
      <c r="CR271">
        <v>3.8600000000000002E-2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551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  <c r="DN271" t="s">
        <v>123</v>
      </c>
      <c r="DO271" t="s">
        <v>123</v>
      </c>
      <c r="DP271" t="s">
        <v>123</v>
      </c>
      <c r="DQ271" t="s">
        <v>123</v>
      </c>
      <c r="DR271" t="s">
        <v>123</v>
      </c>
      <c r="DS271" t="s">
        <v>123</v>
      </c>
    </row>
    <row r="272" spans="1:123" x14ac:dyDescent="0.3">
      <c r="A272">
        <v>271</v>
      </c>
      <c r="B272" t="s">
        <v>123</v>
      </c>
      <c r="C272" t="s">
        <v>123</v>
      </c>
      <c r="D272" t="s">
        <v>1126</v>
      </c>
      <c r="E272" t="s">
        <v>123</v>
      </c>
      <c r="F272" t="s">
        <v>125</v>
      </c>
      <c r="G272" t="s">
        <v>126</v>
      </c>
      <c r="H272" t="s">
        <v>127</v>
      </c>
      <c r="I272" t="s">
        <v>128</v>
      </c>
      <c r="J272" t="s">
        <v>123</v>
      </c>
      <c r="K272" t="s">
        <v>902</v>
      </c>
      <c r="L272" t="s">
        <v>130</v>
      </c>
      <c r="M272" t="s">
        <v>903</v>
      </c>
      <c r="N272" t="s">
        <v>248</v>
      </c>
      <c r="O272" t="s">
        <v>159</v>
      </c>
      <c r="P272" t="s">
        <v>123</v>
      </c>
      <c r="Q272" t="s">
        <v>123</v>
      </c>
      <c r="R272" t="s">
        <v>123</v>
      </c>
      <c r="S272" t="s">
        <v>123</v>
      </c>
      <c r="T272" s="1">
        <v>46762</v>
      </c>
      <c r="U272" t="s">
        <v>123</v>
      </c>
      <c r="V272" t="s">
        <v>123</v>
      </c>
      <c r="W272" t="s">
        <v>123</v>
      </c>
      <c r="X272" t="s">
        <v>123</v>
      </c>
      <c r="Y272" t="s">
        <v>123</v>
      </c>
      <c r="Z272" t="s">
        <v>123</v>
      </c>
      <c r="AA272" t="s">
        <v>123</v>
      </c>
      <c r="AB272" t="s">
        <v>1127</v>
      </c>
      <c r="AC272" t="s">
        <v>135</v>
      </c>
      <c r="AD272" t="s">
        <v>123</v>
      </c>
      <c r="AE272" t="s">
        <v>123</v>
      </c>
      <c r="AF272" t="s">
        <v>1128</v>
      </c>
      <c r="AG272" t="s">
        <v>906</v>
      </c>
      <c r="AH272" t="s">
        <v>123</v>
      </c>
      <c r="AI272" t="s">
        <v>128</v>
      </c>
      <c r="AJ272" t="s">
        <v>186</v>
      </c>
      <c r="AK272" t="s">
        <v>139</v>
      </c>
      <c r="AL272" t="s">
        <v>123</v>
      </c>
      <c r="AM272" t="s">
        <v>123</v>
      </c>
      <c r="AN272" t="s">
        <v>123</v>
      </c>
      <c r="AO272" t="s">
        <v>123</v>
      </c>
      <c r="AP272">
        <v>250</v>
      </c>
      <c r="AQ272">
        <v>50</v>
      </c>
      <c r="AR272">
        <v>10</v>
      </c>
      <c r="AS272" t="s">
        <v>123</v>
      </c>
      <c r="AT272" t="s">
        <v>123</v>
      </c>
      <c r="AU272" t="s">
        <v>123</v>
      </c>
      <c r="AV272" t="s">
        <v>123</v>
      </c>
      <c r="AW272" t="s">
        <v>123</v>
      </c>
      <c r="AX272" t="s">
        <v>123</v>
      </c>
      <c r="AY272" t="s">
        <v>123</v>
      </c>
      <c r="AZ272" t="s">
        <v>123</v>
      </c>
      <c r="BA272" t="s">
        <v>140</v>
      </c>
      <c r="BB272" t="s">
        <v>123</v>
      </c>
      <c r="BC272" t="s">
        <v>123</v>
      </c>
      <c r="BD272" t="s">
        <v>123</v>
      </c>
      <c r="BE272" t="s">
        <v>123</v>
      </c>
      <c r="BF272" t="s">
        <v>123</v>
      </c>
      <c r="BG272" t="s">
        <v>141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123</v>
      </c>
      <c r="BX272" t="s">
        <v>123</v>
      </c>
      <c r="BY272" s="1">
        <v>45965.255553668983</v>
      </c>
      <c r="BZ272">
        <v>1539</v>
      </c>
      <c r="CA272" t="s">
        <v>123</v>
      </c>
      <c r="CB272" t="s">
        <v>123</v>
      </c>
      <c r="CC272">
        <v>0</v>
      </c>
      <c r="CD272" t="s">
        <v>123</v>
      </c>
      <c r="CE272" t="s">
        <v>123</v>
      </c>
      <c r="CF272" t="s">
        <v>123</v>
      </c>
      <c r="CG272" t="s">
        <v>123</v>
      </c>
      <c r="CH272" t="s">
        <v>123</v>
      </c>
      <c r="CI272" t="s">
        <v>123</v>
      </c>
      <c r="CJ272" t="s">
        <v>123</v>
      </c>
      <c r="CK272">
        <v>4.0599999999999997E-2</v>
      </c>
      <c r="CL272">
        <v>4.5400000000000003E-2</v>
      </c>
      <c r="CM272">
        <v>5.0299999999999997E-2</v>
      </c>
      <c r="CN272">
        <v>5.6000000000000001E-2</v>
      </c>
      <c r="CO272" t="s">
        <v>123</v>
      </c>
      <c r="CP272" t="s">
        <v>123</v>
      </c>
      <c r="CQ272">
        <v>3.2899999999999999E-2</v>
      </c>
      <c r="CR272">
        <v>3.6700000000000003E-2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551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  <c r="DN272" t="s">
        <v>123</v>
      </c>
      <c r="DO272" t="s">
        <v>123</v>
      </c>
      <c r="DP272" t="s">
        <v>123</v>
      </c>
      <c r="DQ272" t="s">
        <v>123</v>
      </c>
      <c r="DR272" t="s">
        <v>123</v>
      </c>
      <c r="DS272" t="s">
        <v>123</v>
      </c>
    </row>
    <row r="273" spans="1:123" x14ac:dyDescent="0.3">
      <c r="A273">
        <v>272</v>
      </c>
      <c r="B273" t="s">
        <v>123</v>
      </c>
      <c r="C273" t="s">
        <v>123</v>
      </c>
      <c r="D273" t="s">
        <v>1129</v>
      </c>
      <c r="E273" t="s">
        <v>123</v>
      </c>
      <c r="F273" t="s">
        <v>125</v>
      </c>
      <c r="G273" t="s">
        <v>126</v>
      </c>
      <c r="H273" t="s">
        <v>127</v>
      </c>
      <c r="I273" t="s">
        <v>128</v>
      </c>
      <c r="J273" t="s">
        <v>123</v>
      </c>
      <c r="K273" t="s">
        <v>1130</v>
      </c>
      <c r="L273" t="s">
        <v>130</v>
      </c>
      <c r="M273" t="s">
        <v>1131</v>
      </c>
      <c r="N273" t="s">
        <v>158</v>
      </c>
      <c r="O273" t="s">
        <v>133</v>
      </c>
      <c r="P273" t="s">
        <v>123</v>
      </c>
      <c r="Q273" t="s">
        <v>123</v>
      </c>
      <c r="R273" t="s">
        <v>123</v>
      </c>
      <c r="S273" t="s">
        <v>123</v>
      </c>
      <c r="T273" s="1">
        <v>46180</v>
      </c>
      <c r="U273" t="s">
        <v>123</v>
      </c>
      <c r="V273" t="s">
        <v>123</v>
      </c>
      <c r="W273" t="s">
        <v>123</v>
      </c>
      <c r="X273" t="s">
        <v>123</v>
      </c>
      <c r="Y273" t="s">
        <v>123</v>
      </c>
      <c r="Z273" t="s">
        <v>123</v>
      </c>
      <c r="AA273" t="s">
        <v>123</v>
      </c>
      <c r="AB273" t="s">
        <v>1132</v>
      </c>
      <c r="AC273" t="s">
        <v>135</v>
      </c>
      <c r="AD273" t="s">
        <v>123</v>
      </c>
      <c r="AE273" t="s">
        <v>123</v>
      </c>
      <c r="AF273" t="s">
        <v>748</v>
      </c>
      <c r="AG273" t="s">
        <v>749</v>
      </c>
      <c r="AH273" t="s">
        <v>123</v>
      </c>
      <c r="AI273" t="s">
        <v>128</v>
      </c>
      <c r="AJ273" t="s">
        <v>186</v>
      </c>
      <c r="AK273" t="s">
        <v>139</v>
      </c>
      <c r="AL273" t="s">
        <v>123</v>
      </c>
      <c r="AM273" t="s">
        <v>123</v>
      </c>
      <c r="AN273" t="s">
        <v>123</v>
      </c>
      <c r="AO273" t="s">
        <v>123</v>
      </c>
      <c r="AP273">
        <v>250</v>
      </c>
      <c r="AQ273">
        <v>50</v>
      </c>
      <c r="AR273">
        <v>10</v>
      </c>
      <c r="AS273" t="s">
        <v>123</v>
      </c>
      <c r="AT273" t="s">
        <v>123</v>
      </c>
      <c r="AU273" t="s">
        <v>123</v>
      </c>
      <c r="AV273" t="s">
        <v>123</v>
      </c>
      <c r="AW273" t="s">
        <v>123</v>
      </c>
      <c r="AX273" t="s">
        <v>123</v>
      </c>
      <c r="AY273" t="s">
        <v>123</v>
      </c>
      <c r="AZ273" t="s">
        <v>123</v>
      </c>
      <c r="BA273" t="s">
        <v>140</v>
      </c>
      <c r="BB273" t="s">
        <v>123</v>
      </c>
      <c r="BC273" t="s">
        <v>123</v>
      </c>
      <c r="BD273" t="s">
        <v>123</v>
      </c>
      <c r="BE273" t="s">
        <v>123</v>
      </c>
      <c r="BF273" t="s">
        <v>123</v>
      </c>
      <c r="BG273" t="s">
        <v>141</v>
      </c>
      <c r="BH273" t="s">
        <v>123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123</v>
      </c>
      <c r="BX273" t="s">
        <v>123</v>
      </c>
      <c r="BY273" s="1">
        <v>45965.255607754632</v>
      </c>
      <c r="BZ273">
        <v>1476</v>
      </c>
      <c r="CA273" t="s">
        <v>123</v>
      </c>
      <c r="CB273" t="s">
        <v>123</v>
      </c>
      <c r="CC273">
        <v>0</v>
      </c>
      <c r="CD273" t="s">
        <v>123</v>
      </c>
      <c r="CE273" t="s">
        <v>123</v>
      </c>
      <c r="CF273" t="s">
        <v>123</v>
      </c>
      <c r="CG273" t="s">
        <v>123</v>
      </c>
      <c r="CH273" t="s">
        <v>123</v>
      </c>
      <c r="CI273" t="s">
        <v>123</v>
      </c>
      <c r="CJ273" t="s">
        <v>123</v>
      </c>
      <c r="CK273">
        <v>2.0500000000000001E-2</v>
      </c>
      <c r="CL273">
        <v>2.2499999999999999E-2</v>
      </c>
      <c r="CM273">
        <v>2.58E-2</v>
      </c>
      <c r="CN273">
        <v>2.8299999999999999E-2</v>
      </c>
      <c r="CO273" t="s">
        <v>123</v>
      </c>
      <c r="CP273" t="s">
        <v>123</v>
      </c>
      <c r="CQ273">
        <v>1.6199999999999999E-2</v>
      </c>
      <c r="CR273">
        <v>1.78E-2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244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  <c r="DN273" t="s">
        <v>123</v>
      </c>
      <c r="DO273" t="s">
        <v>123</v>
      </c>
      <c r="DP273" t="s">
        <v>123</v>
      </c>
      <c r="DQ273" t="s">
        <v>123</v>
      </c>
      <c r="DR273" t="s">
        <v>123</v>
      </c>
      <c r="DS273" t="s">
        <v>123</v>
      </c>
    </row>
    <row r="274" spans="1:123" x14ac:dyDescent="0.3">
      <c r="A274">
        <v>273</v>
      </c>
      <c r="B274" t="s">
        <v>123</v>
      </c>
      <c r="C274" t="s">
        <v>123</v>
      </c>
      <c r="D274" t="s">
        <v>1133</v>
      </c>
      <c r="E274" t="s">
        <v>123</v>
      </c>
      <c r="F274" t="s">
        <v>125</v>
      </c>
      <c r="G274" t="s">
        <v>126</v>
      </c>
      <c r="H274" t="s">
        <v>127</v>
      </c>
      <c r="I274" t="s">
        <v>128</v>
      </c>
      <c r="J274" t="s">
        <v>123</v>
      </c>
      <c r="K274" t="s">
        <v>1130</v>
      </c>
      <c r="L274" t="s">
        <v>130</v>
      </c>
      <c r="M274" t="s">
        <v>1131</v>
      </c>
      <c r="N274" t="s">
        <v>158</v>
      </c>
      <c r="O274" t="s">
        <v>150</v>
      </c>
      <c r="P274" t="s">
        <v>123</v>
      </c>
      <c r="Q274" t="s">
        <v>123</v>
      </c>
      <c r="R274" t="s">
        <v>123</v>
      </c>
      <c r="S274" t="s">
        <v>123</v>
      </c>
      <c r="T274" s="1">
        <v>46545</v>
      </c>
      <c r="U274" t="s">
        <v>123</v>
      </c>
      <c r="V274" t="s">
        <v>123</v>
      </c>
      <c r="W274" t="s">
        <v>123</v>
      </c>
      <c r="X274" t="s">
        <v>123</v>
      </c>
      <c r="Y274" t="s">
        <v>123</v>
      </c>
      <c r="Z274" t="s">
        <v>123</v>
      </c>
      <c r="AA274" t="s">
        <v>123</v>
      </c>
      <c r="AB274" t="s">
        <v>1134</v>
      </c>
      <c r="AC274" t="s">
        <v>135</v>
      </c>
      <c r="AD274" t="s">
        <v>123</v>
      </c>
      <c r="AE274" t="s">
        <v>123</v>
      </c>
      <c r="AF274" t="s">
        <v>748</v>
      </c>
      <c r="AG274" t="s">
        <v>749</v>
      </c>
      <c r="AH274" t="s">
        <v>123</v>
      </c>
      <c r="AI274" t="s">
        <v>128</v>
      </c>
      <c r="AJ274" t="s">
        <v>186</v>
      </c>
      <c r="AK274" t="s">
        <v>139</v>
      </c>
      <c r="AL274" t="s">
        <v>123</v>
      </c>
      <c r="AM274" t="s">
        <v>123</v>
      </c>
      <c r="AN274" t="s">
        <v>123</v>
      </c>
      <c r="AO274" t="s">
        <v>123</v>
      </c>
      <c r="AP274">
        <v>250</v>
      </c>
      <c r="AQ274">
        <v>50</v>
      </c>
      <c r="AR274">
        <v>10</v>
      </c>
      <c r="AS274" t="s">
        <v>123</v>
      </c>
      <c r="AT274" t="s">
        <v>123</v>
      </c>
      <c r="AU274" t="s">
        <v>123</v>
      </c>
      <c r="AV274" t="s">
        <v>123</v>
      </c>
      <c r="AW274" t="s">
        <v>123</v>
      </c>
      <c r="AX274" t="s">
        <v>123</v>
      </c>
      <c r="AY274" t="s">
        <v>123</v>
      </c>
      <c r="AZ274" t="s">
        <v>123</v>
      </c>
      <c r="BA274" t="s">
        <v>140</v>
      </c>
      <c r="BB274" t="s">
        <v>123</v>
      </c>
      <c r="BC274" t="s">
        <v>123</v>
      </c>
      <c r="BD274" t="s">
        <v>123</v>
      </c>
      <c r="BE274" t="s">
        <v>123</v>
      </c>
      <c r="BF274" t="s">
        <v>123</v>
      </c>
      <c r="BG274" t="s">
        <v>141</v>
      </c>
      <c r="BH274" t="s">
        <v>123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123</v>
      </c>
      <c r="BX274" t="s">
        <v>123</v>
      </c>
      <c r="BY274" s="1">
        <v>45965.255656250003</v>
      </c>
      <c r="BZ274">
        <v>1476</v>
      </c>
      <c r="CA274" t="s">
        <v>123</v>
      </c>
      <c r="CB274" t="s">
        <v>123</v>
      </c>
      <c r="CC274">
        <v>0</v>
      </c>
      <c r="CD274" t="s">
        <v>123</v>
      </c>
      <c r="CE274" t="s">
        <v>123</v>
      </c>
      <c r="CF274" t="s">
        <v>123</v>
      </c>
      <c r="CG274" t="s">
        <v>123</v>
      </c>
      <c r="CH274" t="s">
        <v>123</v>
      </c>
      <c r="CI274" t="s">
        <v>123</v>
      </c>
      <c r="CJ274" t="s">
        <v>123</v>
      </c>
      <c r="CK274">
        <v>1.4200000000000001E-2</v>
      </c>
      <c r="CL274">
        <v>1.5599999999999999E-2</v>
      </c>
      <c r="CM274">
        <v>1.4800000000000001E-2</v>
      </c>
      <c r="CN274">
        <v>1.6400000000000001E-2</v>
      </c>
      <c r="CO274" t="s">
        <v>123</v>
      </c>
      <c r="CP274" t="s">
        <v>123</v>
      </c>
      <c r="CQ274">
        <v>1.3599999999999999E-2</v>
      </c>
      <c r="CR274">
        <v>1.49E-2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244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  <c r="DN274" t="s">
        <v>123</v>
      </c>
      <c r="DO274" t="s">
        <v>123</v>
      </c>
      <c r="DP274" t="s">
        <v>123</v>
      </c>
      <c r="DQ274" t="s">
        <v>123</v>
      </c>
      <c r="DR274" t="s">
        <v>123</v>
      </c>
      <c r="DS274" t="s">
        <v>123</v>
      </c>
    </row>
    <row r="275" spans="1:123" x14ac:dyDescent="0.3">
      <c r="A275">
        <v>274</v>
      </c>
      <c r="B275" t="s">
        <v>123</v>
      </c>
      <c r="C275" t="s">
        <v>123</v>
      </c>
      <c r="D275" t="s">
        <v>1135</v>
      </c>
      <c r="E275" t="s">
        <v>123</v>
      </c>
      <c r="F275" t="s">
        <v>125</v>
      </c>
      <c r="G275" t="s">
        <v>126</v>
      </c>
      <c r="H275" t="s">
        <v>127</v>
      </c>
      <c r="I275" t="s">
        <v>128</v>
      </c>
      <c r="J275" t="s">
        <v>123</v>
      </c>
      <c r="K275" t="s">
        <v>1130</v>
      </c>
      <c r="L275" t="s">
        <v>130</v>
      </c>
      <c r="M275" t="s">
        <v>1131</v>
      </c>
      <c r="N275" t="s">
        <v>180</v>
      </c>
      <c r="O275" t="s">
        <v>150</v>
      </c>
      <c r="P275" t="s">
        <v>123</v>
      </c>
      <c r="Q275" t="s">
        <v>123</v>
      </c>
      <c r="R275" t="s">
        <v>123</v>
      </c>
      <c r="S275" t="s">
        <v>123</v>
      </c>
      <c r="T275" s="1">
        <v>46545</v>
      </c>
      <c r="U275" t="s">
        <v>123</v>
      </c>
      <c r="V275" t="s">
        <v>123</v>
      </c>
      <c r="W275" t="s">
        <v>123</v>
      </c>
      <c r="X275" t="s">
        <v>123</v>
      </c>
      <c r="Y275" t="s">
        <v>123</v>
      </c>
      <c r="Z275" t="s">
        <v>123</v>
      </c>
      <c r="AA275" t="s">
        <v>123</v>
      </c>
      <c r="AB275" t="s">
        <v>1136</v>
      </c>
      <c r="AC275" t="s">
        <v>135</v>
      </c>
      <c r="AD275" t="s">
        <v>123</v>
      </c>
      <c r="AE275" t="s">
        <v>123</v>
      </c>
      <c r="AF275" t="s">
        <v>748</v>
      </c>
      <c r="AG275" t="s">
        <v>749</v>
      </c>
      <c r="AH275" t="s">
        <v>123</v>
      </c>
      <c r="AI275" t="s">
        <v>128</v>
      </c>
      <c r="AJ275" t="s">
        <v>186</v>
      </c>
      <c r="AK275" t="s">
        <v>139</v>
      </c>
      <c r="AL275" t="s">
        <v>123</v>
      </c>
      <c r="AM275" t="s">
        <v>123</v>
      </c>
      <c r="AN275" t="s">
        <v>123</v>
      </c>
      <c r="AO275" t="s">
        <v>123</v>
      </c>
      <c r="AP275">
        <v>250</v>
      </c>
      <c r="AQ275">
        <v>50</v>
      </c>
      <c r="AR275">
        <v>10</v>
      </c>
      <c r="AS275" t="s">
        <v>123</v>
      </c>
      <c r="AT275" t="s">
        <v>123</v>
      </c>
      <c r="AU275" t="s">
        <v>123</v>
      </c>
      <c r="AV275" t="s">
        <v>123</v>
      </c>
      <c r="AW275" t="s">
        <v>123</v>
      </c>
      <c r="AX275" t="s">
        <v>123</v>
      </c>
      <c r="AY275" t="s">
        <v>123</v>
      </c>
      <c r="AZ275" t="s">
        <v>123</v>
      </c>
      <c r="BA275" t="s">
        <v>140</v>
      </c>
      <c r="BB275" t="s">
        <v>123</v>
      </c>
      <c r="BC275" t="s">
        <v>123</v>
      </c>
      <c r="BD275" t="s">
        <v>123</v>
      </c>
      <c r="BE275" t="s">
        <v>123</v>
      </c>
      <c r="BF275" t="s">
        <v>123</v>
      </c>
      <c r="BG275" t="s">
        <v>141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s="1">
        <v>45965.255705208336</v>
      </c>
      <c r="BZ275">
        <v>1476</v>
      </c>
      <c r="CA275" t="s">
        <v>123</v>
      </c>
      <c r="CB275" t="s">
        <v>123</v>
      </c>
      <c r="CC275">
        <v>0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>
        <v>1.9599999999999999E-2</v>
      </c>
      <c r="CL275">
        <v>2.1600000000000001E-2</v>
      </c>
      <c r="CM275">
        <v>2.6100000000000002E-2</v>
      </c>
      <c r="CN275">
        <v>2.86E-2</v>
      </c>
      <c r="CO275" t="s">
        <v>123</v>
      </c>
      <c r="CP275" t="s">
        <v>123</v>
      </c>
      <c r="CQ275">
        <v>1.4800000000000001E-2</v>
      </c>
      <c r="CR275">
        <v>1.6400000000000001E-2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244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  <c r="DN275" t="s">
        <v>123</v>
      </c>
      <c r="DO275" t="s">
        <v>123</v>
      </c>
      <c r="DP275" t="s">
        <v>123</v>
      </c>
      <c r="DQ275" t="s">
        <v>123</v>
      </c>
      <c r="DR275" t="s">
        <v>123</v>
      </c>
      <c r="DS275" t="s">
        <v>123</v>
      </c>
    </row>
    <row r="276" spans="1:123" x14ac:dyDescent="0.3">
      <c r="A276">
        <v>275</v>
      </c>
      <c r="B276" t="s">
        <v>123</v>
      </c>
      <c r="C276" t="s">
        <v>123</v>
      </c>
      <c r="D276" t="s">
        <v>1137</v>
      </c>
      <c r="E276" t="s">
        <v>123</v>
      </c>
      <c r="F276" t="s">
        <v>125</v>
      </c>
      <c r="G276" t="s">
        <v>126</v>
      </c>
      <c r="H276" t="s">
        <v>127</v>
      </c>
      <c r="I276" t="s">
        <v>128</v>
      </c>
      <c r="J276" t="s">
        <v>123</v>
      </c>
      <c r="K276" t="s">
        <v>1130</v>
      </c>
      <c r="L276" t="s">
        <v>130</v>
      </c>
      <c r="M276" t="s">
        <v>1131</v>
      </c>
      <c r="N276" t="s">
        <v>248</v>
      </c>
      <c r="O276" t="s">
        <v>150</v>
      </c>
      <c r="P276" t="s">
        <v>123</v>
      </c>
      <c r="Q276" t="s">
        <v>123</v>
      </c>
      <c r="R276" t="s">
        <v>123</v>
      </c>
      <c r="S276" t="s">
        <v>123</v>
      </c>
      <c r="T276" s="1">
        <v>46180</v>
      </c>
      <c r="U276" t="s">
        <v>123</v>
      </c>
      <c r="V276" t="s">
        <v>123</v>
      </c>
      <c r="W276" t="s">
        <v>123</v>
      </c>
      <c r="X276" t="s">
        <v>123</v>
      </c>
      <c r="Y276" t="s">
        <v>123</v>
      </c>
      <c r="Z276" t="s">
        <v>123</v>
      </c>
      <c r="AA276" t="s">
        <v>123</v>
      </c>
      <c r="AB276" t="s">
        <v>1138</v>
      </c>
      <c r="AC276" t="s">
        <v>135</v>
      </c>
      <c r="AD276" t="s">
        <v>123</v>
      </c>
      <c r="AE276" t="s">
        <v>123</v>
      </c>
      <c r="AF276" t="s">
        <v>748</v>
      </c>
      <c r="AG276" t="s">
        <v>749</v>
      </c>
      <c r="AH276" t="s">
        <v>123</v>
      </c>
      <c r="AI276" t="s">
        <v>128</v>
      </c>
      <c r="AJ276" t="s">
        <v>186</v>
      </c>
      <c r="AK276" t="s">
        <v>139</v>
      </c>
      <c r="AL276" t="s">
        <v>123</v>
      </c>
      <c r="AM276" t="s">
        <v>123</v>
      </c>
      <c r="AN276" t="s">
        <v>123</v>
      </c>
      <c r="AO276" t="s">
        <v>123</v>
      </c>
      <c r="AP276">
        <v>250</v>
      </c>
      <c r="AQ276">
        <v>50</v>
      </c>
      <c r="AR276">
        <v>10</v>
      </c>
      <c r="AS276" t="s">
        <v>123</v>
      </c>
      <c r="AT276" t="s">
        <v>123</v>
      </c>
      <c r="AU276" t="s">
        <v>123</v>
      </c>
      <c r="AV276" t="s">
        <v>123</v>
      </c>
      <c r="AW276" t="s">
        <v>123</v>
      </c>
      <c r="AX276" t="s">
        <v>123</v>
      </c>
      <c r="AY276" t="s">
        <v>123</v>
      </c>
      <c r="AZ276" t="s">
        <v>123</v>
      </c>
      <c r="BA276" t="s">
        <v>140</v>
      </c>
      <c r="BB276" t="s">
        <v>123</v>
      </c>
      <c r="BC276" t="s">
        <v>123</v>
      </c>
      <c r="BD276" t="s">
        <v>123</v>
      </c>
      <c r="BE276" t="s">
        <v>123</v>
      </c>
      <c r="BF276" t="s">
        <v>123</v>
      </c>
      <c r="BG276" t="s">
        <v>141</v>
      </c>
      <c r="BH276" t="s">
        <v>123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123</v>
      </c>
      <c r="BX276" t="s">
        <v>123</v>
      </c>
      <c r="BY276" s="1">
        <v>45965.255755208331</v>
      </c>
      <c r="BZ276">
        <v>1476</v>
      </c>
      <c r="CA276" t="s">
        <v>123</v>
      </c>
      <c r="CB276" t="s">
        <v>123</v>
      </c>
      <c r="CC276">
        <v>0</v>
      </c>
      <c r="CD276" t="s">
        <v>123</v>
      </c>
      <c r="CE276" t="s">
        <v>123</v>
      </c>
      <c r="CF276" t="s">
        <v>123</v>
      </c>
      <c r="CG276" t="s">
        <v>123</v>
      </c>
      <c r="CH276" t="s">
        <v>123</v>
      </c>
      <c r="CI276" t="s">
        <v>123</v>
      </c>
      <c r="CJ276" t="s">
        <v>123</v>
      </c>
      <c r="CK276">
        <v>3.2899999999999999E-2</v>
      </c>
      <c r="CL276">
        <v>3.5799999999999998E-2</v>
      </c>
      <c r="CM276">
        <v>3.9699999999999999E-2</v>
      </c>
      <c r="CN276">
        <v>4.3099999999999999E-2</v>
      </c>
      <c r="CO276" t="s">
        <v>123</v>
      </c>
      <c r="CP276" t="s">
        <v>123</v>
      </c>
      <c r="CQ276">
        <v>2.75E-2</v>
      </c>
      <c r="CR276">
        <v>3.0099999999999998E-2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244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  <c r="DN276" t="s">
        <v>123</v>
      </c>
      <c r="DO276" t="s">
        <v>123</v>
      </c>
      <c r="DP276" t="s">
        <v>123</v>
      </c>
      <c r="DQ276" t="s">
        <v>123</v>
      </c>
      <c r="DR276" t="s">
        <v>123</v>
      </c>
      <c r="DS276" t="s">
        <v>123</v>
      </c>
    </row>
    <row r="277" spans="1:123" x14ac:dyDescent="0.3">
      <c r="A277">
        <v>276</v>
      </c>
      <c r="B277" t="s">
        <v>123</v>
      </c>
      <c r="C277" t="s">
        <v>123</v>
      </c>
      <c r="D277" t="s">
        <v>1139</v>
      </c>
      <c r="E277" t="s">
        <v>123</v>
      </c>
      <c r="F277" t="s">
        <v>125</v>
      </c>
      <c r="G277" t="s">
        <v>126</v>
      </c>
      <c r="H277" t="s">
        <v>127</v>
      </c>
      <c r="I277" t="s">
        <v>123</v>
      </c>
      <c r="J277" t="s">
        <v>123</v>
      </c>
      <c r="K277" t="s">
        <v>123</v>
      </c>
      <c r="L277" t="s">
        <v>130</v>
      </c>
      <c r="M277" t="s">
        <v>1140</v>
      </c>
      <c r="N277" t="s">
        <v>158</v>
      </c>
      <c r="O277" t="s">
        <v>720</v>
      </c>
      <c r="P277" t="s">
        <v>123</v>
      </c>
      <c r="Q277" t="s">
        <v>123</v>
      </c>
      <c r="R277" t="s">
        <v>123</v>
      </c>
      <c r="S277" t="s">
        <v>123</v>
      </c>
      <c r="T277" s="1">
        <v>46030</v>
      </c>
      <c r="U277" t="s">
        <v>123</v>
      </c>
      <c r="V277" t="s">
        <v>123</v>
      </c>
      <c r="W277" t="s">
        <v>123</v>
      </c>
      <c r="X277" t="s">
        <v>123</v>
      </c>
      <c r="Y277" t="s">
        <v>123</v>
      </c>
      <c r="Z277" t="s">
        <v>123</v>
      </c>
      <c r="AA277" t="s">
        <v>123</v>
      </c>
      <c r="AB277" t="s">
        <v>1141</v>
      </c>
      <c r="AC277" t="s">
        <v>135</v>
      </c>
      <c r="AD277" t="s">
        <v>123</v>
      </c>
      <c r="AE277" t="s">
        <v>123</v>
      </c>
      <c r="AF277" t="s">
        <v>123</v>
      </c>
      <c r="AG277" t="s">
        <v>123</v>
      </c>
      <c r="AH277" t="s">
        <v>123</v>
      </c>
      <c r="AI277" t="s">
        <v>123</v>
      </c>
      <c r="AJ277" t="s">
        <v>123</v>
      </c>
      <c r="AK277" t="s">
        <v>123</v>
      </c>
      <c r="AL277" t="s">
        <v>123</v>
      </c>
      <c r="AM277" t="s">
        <v>123</v>
      </c>
      <c r="AN277" t="s">
        <v>123</v>
      </c>
      <c r="AO277" t="s">
        <v>123</v>
      </c>
      <c r="AP277">
        <v>250</v>
      </c>
      <c r="AQ277">
        <v>50</v>
      </c>
      <c r="AR277">
        <v>10</v>
      </c>
      <c r="AS277" t="s">
        <v>123</v>
      </c>
      <c r="AT277" t="s">
        <v>123</v>
      </c>
      <c r="AU277" t="s">
        <v>123</v>
      </c>
      <c r="AV277" t="s">
        <v>123</v>
      </c>
      <c r="AW277" t="s">
        <v>123</v>
      </c>
      <c r="AX277" t="s">
        <v>123</v>
      </c>
      <c r="AY277" t="s">
        <v>123</v>
      </c>
      <c r="AZ277" t="s">
        <v>123</v>
      </c>
      <c r="BA277" t="s">
        <v>123</v>
      </c>
      <c r="BB277" t="s">
        <v>123</v>
      </c>
      <c r="BC277" t="s">
        <v>123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123</v>
      </c>
      <c r="BX277" t="s">
        <v>123</v>
      </c>
      <c r="BY277" s="1">
        <v>45965.255804166663</v>
      </c>
      <c r="BZ277">
        <v>1476</v>
      </c>
      <c r="CA277" t="s">
        <v>123</v>
      </c>
      <c r="CB277" t="s">
        <v>123</v>
      </c>
      <c r="CC277">
        <v>0</v>
      </c>
      <c r="CD277" t="s">
        <v>123</v>
      </c>
      <c r="CE277" t="s">
        <v>123</v>
      </c>
      <c r="CF277" t="s">
        <v>123</v>
      </c>
      <c r="CG277" t="s">
        <v>123</v>
      </c>
      <c r="CH277" t="s">
        <v>123</v>
      </c>
      <c r="CI277" t="s">
        <v>123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  <c r="DN277" t="s">
        <v>123</v>
      </c>
      <c r="DO277" t="s">
        <v>123</v>
      </c>
      <c r="DP277" t="s">
        <v>123</v>
      </c>
      <c r="DQ277" t="s">
        <v>123</v>
      </c>
      <c r="DR277" t="s">
        <v>123</v>
      </c>
      <c r="DS277" t="s">
        <v>123</v>
      </c>
    </row>
    <row r="278" spans="1:123" x14ac:dyDescent="0.3">
      <c r="A278">
        <v>277</v>
      </c>
      <c r="B278" t="s">
        <v>123</v>
      </c>
      <c r="C278" t="s">
        <v>123</v>
      </c>
      <c r="D278" t="s">
        <v>1142</v>
      </c>
      <c r="E278" t="s">
        <v>123</v>
      </c>
      <c r="F278" t="s">
        <v>125</v>
      </c>
      <c r="G278" t="s">
        <v>126</v>
      </c>
      <c r="H278" t="s">
        <v>127</v>
      </c>
      <c r="I278" t="s">
        <v>128</v>
      </c>
      <c r="J278" t="s">
        <v>123</v>
      </c>
      <c r="K278" t="s">
        <v>1143</v>
      </c>
      <c r="L278" t="s">
        <v>130</v>
      </c>
      <c r="M278" t="s">
        <v>416</v>
      </c>
      <c r="N278" t="s">
        <v>158</v>
      </c>
      <c r="O278" t="s">
        <v>699</v>
      </c>
      <c r="P278" t="s">
        <v>123</v>
      </c>
      <c r="Q278" t="s">
        <v>123</v>
      </c>
      <c r="R278" t="s">
        <v>123</v>
      </c>
      <c r="S278" t="s">
        <v>123</v>
      </c>
      <c r="T278" s="1">
        <v>46178</v>
      </c>
      <c r="U278" t="s">
        <v>123</v>
      </c>
      <c r="V278" t="s">
        <v>123</v>
      </c>
      <c r="W278" t="s">
        <v>123</v>
      </c>
      <c r="X278" t="s">
        <v>123</v>
      </c>
      <c r="Y278" t="s">
        <v>123</v>
      </c>
      <c r="Z278" t="s">
        <v>123</v>
      </c>
      <c r="AA278" t="s">
        <v>123</v>
      </c>
      <c r="AB278" t="s">
        <v>1144</v>
      </c>
      <c r="AC278" t="s">
        <v>135</v>
      </c>
      <c r="AD278" t="s">
        <v>123</v>
      </c>
      <c r="AE278" t="s">
        <v>123</v>
      </c>
      <c r="AF278" t="s">
        <v>1145</v>
      </c>
      <c r="AG278" t="s">
        <v>177</v>
      </c>
      <c r="AH278" t="s">
        <v>123</v>
      </c>
      <c r="AI278" t="s">
        <v>128</v>
      </c>
      <c r="AJ278" t="s">
        <v>138</v>
      </c>
      <c r="AK278" t="s">
        <v>139</v>
      </c>
      <c r="AL278" t="s">
        <v>123</v>
      </c>
      <c r="AM278" t="s">
        <v>123</v>
      </c>
      <c r="AN278" t="s">
        <v>123</v>
      </c>
      <c r="AO278" t="s">
        <v>123</v>
      </c>
      <c r="AP278">
        <v>250</v>
      </c>
      <c r="AQ278">
        <v>50</v>
      </c>
      <c r="AR278">
        <v>10</v>
      </c>
      <c r="AS278" t="s">
        <v>123</v>
      </c>
      <c r="AT278" t="s">
        <v>123</v>
      </c>
      <c r="AU278" t="s">
        <v>123</v>
      </c>
      <c r="AV278" t="s">
        <v>123</v>
      </c>
      <c r="AW278" t="s">
        <v>123</v>
      </c>
      <c r="AX278" t="s">
        <v>123</v>
      </c>
      <c r="AY278" t="s">
        <v>123</v>
      </c>
      <c r="AZ278" t="s">
        <v>123</v>
      </c>
      <c r="BA278" t="s">
        <v>140</v>
      </c>
      <c r="BB278" t="s">
        <v>123</v>
      </c>
      <c r="BC278" t="s">
        <v>123</v>
      </c>
      <c r="BD278" t="s">
        <v>123</v>
      </c>
      <c r="BE278" t="s">
        <v>123</v>
      </c>
      <c r="BF278" t="s">
        <v>123</v>
      </c>
      <c r="BG278" t="s">
        <v>141</v>
      </c>
      <c r="BH278" t="s">
        <v>123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123</v>
      </c>
      <c r="BX278" t="s">
        <v>123</v>
      </c>
      <c r="BY278" s="1">
        <v>45965.255885150465</v>
      </c>
      <c r="BZ278">
        <v>1578</v>
      </c>
      <c r="CA278" t="s">
        <v>123</v>
      </c>
      <c r="CB278" t="s">
        <v>123</v>
      </c>
      <c r="CC278">
        <v>0</v>
      </c>
      <c r="CD278" t="s">
        <v>123</v>
      </c>
      <c r="CE278" t="s">
        <v>123</v>
      </c>
      <c r="CF278" t="s">
        <v>123</v>
      </c>
      <c r="CG278" t="s">
        <v>123</v>
      </c>
      <c r="CH278" t="s">
        <v>123</v>
      </c>
      <c r="CI278" t="s">
        <v>123</v>
      </c>
      <c r="CJ278" t="s">
        <v>123</v>
      </c>
      <c r="CK278">
        <v>9.1000000000000004E-3</v>
      </c>
      <c r="CL278">
        <v>1.0699999999999999E-2</v>
      </c>
      <c r="CM278">
        <v>1.09E-2</v>
      </c>
      <c r="CN278">
        <v>1.26E-2</v>
      </c>
      <c r="CO278" t="s">
        <v>123</v>
      </c>
      <c r="CP278" t="s">
        <v>123</v>
      </c>
      <c r="CQ278">
        <v>7.4000000000000003E-3</v>
      </c>
      <c r="CR278">
        <v>8.6E-3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257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  <c r="DN278" t="s">
        <v>123</v>
      </c>
      <c r="DO278" t="s">
        <v>123</v>
      </c>
      <c r="DP278" t="s">
        <v>123</v>
      </c>
      <c r="DQ278" t="s">
        <v>123</v>
      </c>
      <c r="DR278" t="s">
        <v>123</v>
      </c>
      <c r="DS278" t="s">
        <v>123</v>
      </c>
    </row>
    <row r="279" spans="1:123" x14ac:dyDescent="0.3">
      <c r="A279">
        <v>278</v>
      </c>
      <c r="B279" t="s">
        <v>123</v>
      </c>
      <c r="C279" t="s">
        <v>123</v>
      </c>
      <c r="D279" t="s">
        <v>1146</v>
      </c>
      <c r="E279" t="s">
        <v>123</v>
      </c>
      <c r="F279" t="s">
        <v>125</v>
      </c>
      <c r="G279" t="s">
        <v>126</v>
      </c>
      <c r="H279" t="s">
        <v>127</v>
      </c>
      <c r="I279" t="s">
        <v>128</v>
      </c>
      <c r="J279" t="s">
        <v>123</v>
      </c>
      <c r="K279" t="s">
        <v>1147</v>
      </c>
      <c r="L279" t="s">
        <v>130</v>
      </c>
      <c r="M279" t="s">
        <v>1148</v>
      </c>
      <c r="N279" t="s">
        <v>158</v>
      </c>
      <c r="O279" t="s">
        <v>159</v>
      </c>
      <c r="P279" t="s">
        <v>123</v>
      </c>
      <c r="Q279" t="s">
        <v>123</v>
      </c>
      <c r="R279" t="s">
        <v>123</v>
      </c>
      <c r="S279" t="s">
        <v>123</v>
      </c>
      <c r="T279" s="1">
        <v>47126</v>
      </c>
      <c r="U279" t="s">
        <v>123</v>
      </c>
      <c r="V279" t="s">
        <v>123</v>
      </c>
      <c r="W279" t="s">
        <v>123</v>
      </c>
      <c r="X279" t="s">
        <v>123</v>
      </c>
      <c r="Y279" t="s">
        <v>123</v>
      </c>
      <c r="Z279" t="s">
        <v>123</v>
      </c>
      <c r="AA279" t="s">
        <v>123</v>
      </c>
      <c r="AB279" t="s">
        <v>1149</v>
      </c>
      <c r="AC279" t="s">
        <v>135</v>
      </c>
      <c r="AD279" t="s">
        <v>123</v>
      </c>
      <c r="AE279" t="s">
        <v>123</v>
      </c>
      <c r="AF279" t="s">
        <v>227</v>
      </c>
      <c r="AG279" t="s">
        <v>228</v>
      </c>
      <c r="AH279" t="s">
        <v>123</v>
      </c>
      <c r="AI279" t="s">
        <v>128</v>
      </c>
      <c r="AJ279" t="s">
        <v>186</v>
      </c>
      <c r="AK279" t="s">
        <v>163</v>
      </c>
      <c r="AL279" t="s">
        <v>123</v>
      </c>
      <c r="AM279" t="s">
        <v>123</v>
      </c>
      <c r="AN279" t="s">
        <v>123</v>
      </c>
      <c r="AO279" t="s">
        <v>123</v>
      </c>
      <c r="AP279">
        <v>250</v>
      </c>
      <c r="AQ279">
        <v>50</v>
      </c>
      <c r="AR279">
        <v>10</v>
      </c>
      <c r="AS279" t="s">
        <v>123</v>
      </c>
      <c r="AT279" t="s">
        <v>123</v>
      </c>
      <c r="AU279" t="s">
        <v>123</v>
      </c>
      <c r="AV279" t="s">
        <v>123</v>
      </c>
      <c r="AW279" t="s">
        <v>123</v>
      </c>
      <c r="AX279" t="s">
        <v>123</v>
      </c>
      <c r="AY279" t="s">
        <v>123</v>
      </c>
      <c r="AZ279" t="s">
        <v>123</v>
      </c>
      <c r="BA279" t="s">
        <v>140</v>
      </c>
      <c r="BB279" t="s">
        <v>123</v>
      </c>
      <c r="BC279" t="s">
        <v>123</v>
      </c>
      <c r="BD279" t="s">
        <v>123</v>
      </c>
      <c r="BE279" t="s">
        <v>123</v>
      </c>
      <c r="BF279" t="s">
        <v>123</v>
      </c>
      <c r="BG279" t="s">
        <v>141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123</v>
      </c>
      <c r="BX279" t="s">
        <v>123</v>
      </c>
      <c r="BY279" s="1">
        <v>45965.255962650466</v>
      </c>
      <c r="BZ279">
        <v>1561</v>
      </c>
      <c r="CA279" t="s">
        <v>123</v>
      </c>
      <c r="CB279" t="s">
        <v>123</v>
      </c>
      <c r="CC279">
        <v>0</v>
      </c>
      <c r="CD279" t="s">
        <v>123</v>
      </c>
      <c r="CE279" t="s">
        <v>123</v>
      </c>
      <c r="CF279" t="s">
        <v>123</v>
      </c>
      <c r="CG279" t="s">
        <v>123</v>
      </c>
      <c r="CH279" t="s">
        <v>123</v>
      </c>
      <c r="CI279" t="s">
        <v>123</v>
      </c>
      <c r="CJ279" t="s">
        <v>123</v>
      </c>
      <c r="CK279">
        <v>3.6600000000000001E-2</v>
      </c>
      <c r="CL279">
        <v>4.1399999999999999E-2</v>
      </c>
      <c r="CM279">
        <v>4.1599999999999998E-2</v>
      </c>
      <c r="CN279">
        <v>4.7100000000000003E-2</v>
      </c>
      <c r="CO279" t="s">
        <v>123</v>
      </c>
      <c r="CP279" t="s">
        <v>123</v>
      </c>
      <c r="CQ279">
        <v>3.1099999999999999E-2</v>
      </c>
      <c r="CR279">
        <v>3.5400000000000001E-2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178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  <c r="DN279" t="s">
        <v>123</v>
      </c>
      <c r="DO279" t="s">
        <v>123</v>
      </c>
      <c r="DP279" t="s">
        <v>123</v>
      </c>
      <c r="DQ279" t="s">
        <v>123</v>
      </c>
      <c r="DR279" t="s">
        <v>123</v>
      </c>
      <c r="DS279" t="s">
        <v>123</v>
      </c>
    </row>
    <row r="280" spans="1:123" x14ac:dyDescent="0.3">
      <c r="A280">
        <v>279</v>
      </c>
      <c r="B280" t="s">
        <v>123</v>
      </c>
      <c r="C280" t="s">
        <v>123</v>
      </c>
      <c r="D280" t="s">
        <v>1150</v>
      </c>
      <c r="E280" t="s">
        <v>123</v>
      </c>
      <c r="F280" t="s">
        <v>125</v>
      </c>
      <c r="G280" t="s">
        <v>126</v>
      </c>
      <c r="H280" t="s">
        <v>127</v>
      </c>
      <c r="I280" t="s">
        <v>128</v>
      </c>
      <c r="J280" t="s">
        <v>123</v>
      </c>
      <c r="K280" t="s">
        <v>1147</v>
      </c>
      <c r="L280" t="s">
        <v>130</v>
      </c>
      <c r="M280" t="s">
        <v>1148</v>
      </c>
      <c r="N280" t="s">
        <v>180</v>
      </c>
      <c r="O280" t="s">
        <v>159</v>
      </c>
      <c r="P280" t="s">
        <v>123</v>
      </c>
      <c r="Q280" t="s">
        <v>123</v>
      </c>
      <c r="R280" t="s">
        <v>123</v>
      </c>
      <c r="S280" t="s">
        <v>123</v>
      </c>
      <c r="T280" s="1">
        <v>46759</v>
      </c>
      <c r="U280" t="s">
        <v>123</v>
      </c>
      <c r="V280" t="s">
        <v>123</v>
      </c>
      <c r="W280" t="s">
        <v>123</v>
      </c>
      <c r="X280" t="s">
        <v>123</v>
      </c>
      <c r="Y280" t="s">
        <v>123</v>
      </c>
      <c r="Z280" t="s">
        <v>123</v>
      </c>
      <c r="AA280" t="s">
        <v>123</v>
      </c>
      <c r="AB280" t="s">
        <v>1151</v>
      </c>
      <c r="AC280" t="s">
        <v>135</v>
      </c>
      <c r="AD280" t="s">
        <v>123</v>
      </c>
      <c r="AE280" t="s">
        <v>123</v>
      </c>
      <c r="AF280" t="s">
        <v>227</v>
      </c>
      <c r="AG280" t="s">
        <v>228</v>
      </c>
      <c r="AH280" t="s">
        <v>123</v>
      </c>
      <c r="AI280" t="s">
        <v>128</v>
      </c>
      <c r="AJ280" t="s">
        <v>186</v>
      </c>
      <c r="AK280" t="s">
        <v>163</v>
      </c>
      <c r="AL280" t="s">
        <v>123</v>
      </c>
      <c r="AM280" t="s">
        <v>123</v>
      </c>
      <c r="AN280" t="s">
        <v>123</v>
      </c>
      <c r="AO280" t="s">
        <v>123</v>
      </c>
      <c r="AP280">
        <v>250</v>
      </c>
      <c r="AQ280">
        <v>50</v>
      </c>
      <c r="AR280">
        <v>10</v>
      </c>
      <c r="AS280" t="s">
        <v>123</v>
      </c>
      <c r="AT280" t="s">
        <v>123</v>
      </c>
      <c r="AU280" t="s">
        <v>123</v>
      </c>
      <c r="AV280" t="s">
        <v>123</v>
      </c>
      <c r="AW280" t="s">
        <v>123</v>
      </c>
      <c r="AX280" t="s">
        <v>123</v>
      </c>
      <c r="AY280" t="s">
        <v>123</v>
      </c>
      <c r="AZ280" t="s">
        <v>123</v>
      </c>
      <c r="BA280" t="s">
        <v>140</v>
      </c>
      <c r="BB280" t="s">
        <v>123</v>
      </c>
      <c r="BC280" t="s">
        <v>123</v>
      </c>
      <c r="BD280" t="s">
        <v>123</v>
      </c>
      <c r="BE280" t="s">
        <v>123</v>
      </c>
      <c r="BF280" t="s">
        <v>123</v>
      </c>
      <c r="BG280" t="s">
        <v>141</v>
      </c>
      <c r="BH280" t="s">
        <v>123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123</v>
      </c>
      <c r="BX280" t="s">
        <v>123</v>
      </c>
      <c r="BY280" s="1">
        <v>45965.256035300925</v>
      </c>
      <c r="BZ280">
        <v>1561</v>
      </c>
      <c r="CA280" t="s">
        <v>123</v>
      </c>
      <c r="CB280" t="s">
        <v>123</v>
      </c>
      <c r="CC280">
        <v>0</v>
      </c>
      <c r="CD280" t="s">
        <v>123</v>
      </c>
      <c r="CE280" t="s">
        <v>123</v>
      </c>
      <c r="CF280" t="s">
        <v>123</v>
      </c>
      <c r="CG280" t="s">
        <v>123</v>
      </c>
      <c r="CH280" t="s">
        <v>123</v>
      </c>
      <c r="CI280" t="s">
        <v>123</v>
      </c>
      <c r="CJ280" t="s">
        <v>123</v>
      </c>
      <c r="CK280">
        <v>4.8399999999999999E-2</v>
      </c>
      <c r="CL280">
        <v>5.5199999999999999E-2</v>
      </c>
      <c r="CM280">
        <v>5.6300000000000003E-2</v>
      </c>
      <c r="CN280">
        <v>6.4500000000000002E-2</v>
      </c>
      <c r="CO280" t="s">
        <v>123</v>
      </c>
      <c r="CP280" t="s">
        <v>123</v>
      </c>
      <c r="CQ280">
        <v>4.1599999999999998E-2</v>
      </c>
      <c r="CR280">
        <v>4.7100000000000003E-2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178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  <c r="DN280" t="s">
        <v>123</v>
      </c>
      <c r="DO280" t="s">
        <v>123</v>
      </c>
      <c r="DP280" t="s">
        <v>123</v>
      </c>
      <c r="DQ280" t="s">
        <v>123</v>
      </c>
      <c r="DR280" t="s">
        <v>123</v>
      </c>
      <c r="DS280" t="s">
        <v>123</v>
      </c>
    </row>
    <row r="281" spans="1:123" x14ac:dyDescent="0.3">
      <c r="A281">
        <v>280</v>
      </c>
      <c r="B281" t="s">
        <v>123</v>
      </c>
      <c r="C281" t="s">
        <v>123</v>
      </c>
      <c r="D281" t="s">
        <v>1152</v>
      </c>
      <c r="E281" t="s">
        <v>123</v>
      </c>
      <c r="F281" t="s">
        <v>125</v>
      </c>
      <c r="G281" t="s">
        <v>126</v>
      </c>
      <c r="H281" t="s">
        <v>127</v>
      </c>
      <c r="I281" t="s">
        <v>128</v>
      </c>
      <c r="J281" t="s">
        <v>123</v>
      </c>
      <c r="K281" t="s">
        <v>1147</v>
      </c>
      <c r="L281" t="s">
        <v>130</v>
      </c>
      <c r="M281" t="s">
        <v>1148</v>
      </c>
      <c r="N281" t="s">
        <v>158</v>
      </c>
      <c r="O281" t="s">
        <v>150</v>
      </c>
      <c r="P281" t="s">
        <v>123</v>
      </c>
      <c r="Q281" t="s">
        <v>123</v>
      </c>
      <c r="R281" t="s">
        <v>123</v>
      </c>
      <c r="S281" t="s">
        <v>123</v>
      </c>
      <c r="T281" s="1">
        <v>46563</v>
      </c>
      <c r="U281" t="s">
        <v>123</v>
      </c>
      <c r="V281" t="s">
        <v>123</v>
      </c>
      <c r="W281" t="s">
        <v>123</v>
      </c>
      <c r="X281" t="s">
        <v>123</v>
      </c>
      <c r="Y281" t="s">
        <v>123</v>
      </c>
      <c r="Z281" t="s">
        <v>123</v>
      </c>
      <c r="AA281" t="s">
        <v>123</v>
      </c>
      <c r="AB281" t="s">
        <v>1153</v>
      </c>
      <c r="AC281" t="s">
        <v>135</v>
      </c>
      <c r="AD281" t="s">
        <v>123</v>
      </c>
      <c r="AE281" t="s">
        <v>123</v>
      </c>
      <c r="AF281" t="s">
        <v>227</v>
      </c>
      <c r="AG281" t="s">
        <v>228</v>
      </c>
      <c r="AH281" t="s">
        <v>123</v>
      </c>
      <c r="AI281" t="s">
        <v>128</v>
      </c>
      <c r="AJ281" t="s">
        <v>186</v>
      </c>
      <c r="AK281" t="s">
        <v>163</v>
      </c>
      <c r="AL281" t="s">
        <v>123</v>
      </c>
      <c r="AM281" t="s">
        <v>123</v>
      </c>
      <c r="AN281" t="s">
        <v>123</v>
      </c>
      <c r="AO281" t="s">
        <v>123</v>
      </c>
      <c r="AP281">
        <v>250</v>
      </c>
      <c r="AQ281">
        <v>50</v>
      </c>
      <c r="AR281">
        <v>10</v>
      </c>
      <c r="AS281" t="s">
        <v>123</v>
      </c>
      <c r="AT281" t="s">
        <v>123</v>
      </c>
      <c r="AU281" t="s">
        <v>123</v>
      </c>
      <c r="AV281" t="s">
        <v>123</v>
      </c>
      <c r="AW281" t="s">
        <v>123</v>
      </c>
      <c r="AX281" t="s">
        <v>123</v>
      </c>
      <c r="AY281" t="s">
        <v>123</v>
      </c>
      <c r="AZ281" t="s">
        <v>123</v>
      </c>
      <c r="BA281" t="s">
        <v>140</v>
      </c>
      <c r="BB281" t="s">
        <v>123</v>
      </c>
      <c r="BC281" t="s">
        <v>123</v>
      </c>
      <c r="BD281" t="s">
        <v>123</v>
      </c>
      <c r="BE281" t="s">
        <v>123</v>
      </c>
      <c r="BF281" t="s">
        <v>123</v>
      </c>
      <c r="BG281" t="s">
        <v>141</v>
      </c>
      <c r="BH281" t="s">
        <v>123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123</v>
      </c>
      <c r="BX281" t="s">
        <v>123</v>
      </c>
      <c r="BY281" s="1">
        <v>45965.256099386577</v>
      </c>
      <c r="BZ281">
        <v>1561</v>
      </c>
      <c r="CA281" t="s">
        <v>123</v>
      </c>
      <c r="CB281" t="s">
        <v>123</v>
      </c>
      <c r="CC281">
        <v>0</v>
      </c>
      <c r="CD281" t="s">
        <v>123</v>
      </c>
      <c r="CE281" t="s">
        <v>123</v>
      </c>
      <c r="CF281" t="s">
        <v>123</v>
      </c>
      <c r="CG281" t="s">
        <v>123</v>
      </c>
      <c r="CH281" t="s">
        <v>123</v>
      </c>
      <c r="CI281" t="s">
        <v>123</v>
      </c>
      <c r="CJ281" t="s">
        <v>123</v>
      </c>
      <c r="CK281">
        <v>2.2200000000000001E-2</v>
      </c>
      <c r="CL281">
        <v>2.5000000000000001E-2</v>
      </c>
      <c r="CM281">
        <v>2.5999999999999999E-2</v>
      </c>
      <c r="CN281">
        <v>2.8899999999999999E-2</v>
      </c>
      <c r="CO281" t="s">
        <v>123</v>
      </c>
      <c r="CP281" t="s">
        <v>123</v>
      </c>
      <c r="CQ281">
        <v>1.9300000000000001E-2</v>
      </c>
      <c r="CR281">
        <v>2.18E-2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187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  <c r="DN281" t="s">
        <v>123</v>
      </c>
      <c r="DO281" t="s">
        <v>123</v>
      </c>
      <c r="DP281" t="s">
        <v>123</v>
      </c>
      <c r="DQ281" t="s">
        <v>123</v>
      </c>
      <c r="DR281" t="s">
        <v>123</v>
      </c>
      <c r="DS281" t="s">
        <v>123</v>
      </c>
    </row>
    <row r="282" spans="1:123" x14ac:dyDescent="0.3">
      <c r="A282">
        <v>281</v>
      </c>
      <c r="B282" t="s">
        <v>123</v>
      </c>
      <c r="C282" t="s">
        <v>123</v>
      </c>
      <c r="D282" t="s">
        <v>1154</v>
      </c>
      <c r="E282" t="s">
        <v>123</v>
      </c>
      <c r="F282" t="s">
        <v>125</v>
      </c>
      <c r="G282" t="s">
        <v>126</v>
      </c>
      <c r="H282" t="s">
        <v>127</v>
      </c>
      <c r="I282" t="s">
        <v>128</v>
      </c>
      <c r="J282" t="s">
        <v>123</v>
      </c>
      <c r="K282" t="s">
        <v>1147</v>
      </c>
      <c r="L282" t="s">
        <v>130</v>
      </c>
      <c r="M282" t="s">
        <v>1148</v>
      </c>
      <c r="N282" t="s">
        <v>158</v>
      </c>
      <c r="O282" t="s">
        <v>133</v>
      </c>
      <c r="P282" t="s">
        <v>123</v>
      </c>
      <c r="Q282" t="s">
        <v>123</v>
      </c>
      <c r="R282" t="s">
        <v>123</v>
      </c>
      <c r="S282" t="s">
        <v>123</v>
      </c>
      <c r="T282" s="1">
        <v>46030</v>
      </c>
      <c r="U282" t="s">
        <v>123</v>
      </c>
      <c r="V282" t="s">
        <v>123</v>
      </c>
      <c r="W282" t="s">
        <v>123</v>
      </c>
      <c r="X282" t="s">
        <v>123</v>
      </c>
      <c r="Y282" t="s">
        <v>123</v>
      </c>
      <c r="Z282" t="s">
        <v>123</v>
      </c>
      <c r="AA282" t="s">
        <v>123</v>
      </c>
      <c r="AB282" t="s">
        <v>1155</v>
      </c>
      <c r="AC282" t="s">
        <v>135</v>
      </c>
      <c r="AD282" t="s">
        <v>123</v>
      </c>
      <c r="AE282" t="s">
        <v>123</v>
      </c>
      <c r="AF282" t="s">
        <v>227</v>
      </c>
      <c r="AG282" t="s">
        <v>228</v>
      </c>
      <c r="AH282" t="s">
        <v>123</v>
      </c>
      <c r="AI282" t="s">
        <v>128</v>
      </c>
      <c r="AJ282" t="s">
        <v>186</v>
      </c>
      <c r="AK282" t="s">
        <v>163</v>
      </c>
      <c r="AL282" t="s">
        <v>123</v>
      </c>
      <c r="AM282" t="s">
        <v>123</v>
      </c>
      <c r="AN282" t="s">
        <v>123</v>
      </c>
      <c r="AO282" t="s">
        <v>123</v>
      </c>
      <c r="AP282">
        <v>250</v>
      </c>
      <c r="AQ282">
        <v>50</v>
      </c>
      <c r="AR282">
        <v>10</v>
      </c>
      <c r="AS282" t="s">
        <v>123</v>
      </c>
      <c r="AT282" t="s">
        <v>123</v>
      </c>
      <c r="AU282" t="s">
        <v>123</v>
      </c>
      <c r="AV282" t="s">
        <v>123</v>
      </c>
      <c r="AW282" t="s">
        <v>123</v>
      </c>
      <c r="AX282" t="s">
        <v>123</v>
      </c>
      <c r="AY282" t="s">
        <v>123</v>
      </c>
      <c r="AZ282" t="s">
        <v>123</v>
      </c>
      <c r="BA282" t="s">
        <v>140</v>
      </c>
      <c r="BB282" t="s">
        <v>123</v>
      </c>
      <c r="BC282" t="s">
        <v>123</v>
      </c>
      <c r="BD282" t="s">
        <v>123</v>
      </c>
      <c r="BE282" t="s">
        <v>123</v>
      </c>
      <c r="BF282" t="s">
        <v>123</v>
      </c>
      <c r="BG282" t="s">
        <v>141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s="1">
        <v>45965.256162928243</v>
      </c>
      <c r="BZ282">
        <v>1561</v>
      </c>
      <c r="CA282" t="s">
        <v>123</v>
      </c>
      <c r="CB282" t="s">
        <v>123</v>
      </c>
      <c r="CC282">
        <v>0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>
        <v>2.2499999999999999E-2</v>
      </c>
      <c r="CL282">
        <v>2.5000000000000001E-2</v>
      </c>
      <c r="CM282">
        <v>2.76E-2</v>
      </c>
      <c r="CN282">
        <v>3.0599999999999999E-2</v>
      </c>
      <c r="CO282" t="s">
        <v>123</v>
      </c>
      <c r="CP282" t="s">
        <v>123</v>
      </c>
      <c r="CQ282">
        <v>1.83E-2</v>
      </c>
      <c r="CR282">
        <v>2.0299999999999999E-2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187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  <c r="DN282" t="s">
        <v>123</v>
      </c>
      <c r="DO282" t="s">
        <v>123</v>
      </c>
      <c r="DP282" t="s">
        <v>123</v>
      </c>
      <c r="DQ282" t="s">
        <v>123</v>
      </c>
      <c r="DR282" t="s">
        <v>123</v>
      </c>
      <c r="DS282" t="s">
        <v>123</v>
      </c>
    </row>
    <row r="283" spans="1:123" x14ac:dyDescent="0.3">
      <c r="A283">
        <v>282</v>
      </c>
      <c r="B283" t="s">
        <v>123</v>
      </c>
      <c r="C283" t="s">
        <v>123</v>
      </c>
      <c r="D283" t="s">
        <v>1156</v>
      </c>
      <c r="E283" t="s">
        <v>123</v>
      </c>
      <c r="F283" t="s">
        <v>125</v>
      </c>
      <c r="G283" t="s">
        <v>126</v>
      </c>
      <c r="H283" t="s">
        <v>127</v>
      </c>
      <c r="I283" t="s">
        <v>128</v>
      </c>
      <c r="J283" t="s">
        <v>123</v>
      </c>
      <c r="K283" t="s">
        <v>1147</v>
      </c>
      <c r="L283" t="s">
        <v>130</v>
      </c>
      <c r="M283" t="s">
        <v>1148</v>
      </c>
      <c r="N283" t="s">
        <v>180</v>
      </c>
      <c r="O283" t="s">
        <v>133</v>
      </c>
      <c r="P283" t="s">
        <v>123</v>
      </c>
      <c r="Q283" t="s">
        <v>123</v>
      </c>
      <c r="R283" t="s">
        <v>123</v>
      </c>
      <c r="S283" t="s">
        <v>123</v>
      </c>
      <c r="T283" s="1">
        <v>46030</v>
      </c>
      <c r="U283" t="s">
        <v>123</v>
      </c>
      <c r="V283" t="s">
        <v>123</v>
      </c>
      <c r="W283" t="s">
        <v>123</v>
      </c>
      <c r="X283" t="s">
        <v>123</v>
      </c>
      <c r="Y283" t="s">
        <v>123</v>
      </c>
      <c r="Z283" t="s">
        <v>123</v>
      </c>
      <c r="AA283" t="s">
        <v>123</v>
      </c>
      <c r="AB283" t="s">
        <v>1157</v>
      </c>
      <c r="AC283" t="s">
        <v>135</v>
      </c>
      <c r="AD283" t="s">
        <v>123</v>
      </c>
      <c r="AE283" t="s">
        <v>123</v>
      </c>
      <c r="AF283" t="s">
        <v>227</v>
      </c>
      <c r="AG283" t="s">
        <v>228</v>
      </c>
      <c r="AH283" t="s">
        <v>123</v>
      </c>
      <c r="AI283" t="s">
        <v>128</v>
      </c>
      <c r="AJ283" t="s">
        <v>138</v>
      </c>
      <c r="AK283" t="s">
        <v>163</v>
      </c>
      <c r="AL283" t="s">
        <v>123</v>
      </c>
      <c r="AM283" t="s">
        <v>123</v>
      </c>
      <c r="AN283" t="s">
        <v>123</v>
      </c>
      <c r="AO283" t="s">
        <v>123</v>
      </c>
      <c r="AP283">
        <v>250</v>
      </c>
      <c r="AQ283">
        <v>50</v>
      </c>
      <c r="AR283">
        <v>10</v>
      </c>
      <c r="AS283" t="s">
        <v>123</v>
      </c>
      <c r="AT283" t="s">
        <v>123</v>
      </c>
      <c r="AU283" t="s">
        <v>123</v>
      </c>
      <c r="AV283" t="s">
        <v>123</v>
      </c>
      <c r="AW283" t="s">
        <v>123</v>
      </c>
      <c r="AX283" t="s">
        <v>123</v>
      </c>
      <c r="AY283" t="s">
        <v>123</v>
      </c>
      <c r="AZ283" t="s">
        <v>123</v>
      </c>
      <c r="BA283" t="s">
        <v>140</v>
      </c>
      <c r="BB283" t="s">
        <v>123</v>
      </c>
      <c r="BC283" t="s">
        <v>123</v>
      </c>
      <c r="BD283" t="s">
        <v>123</v>
      </c>
      <c r="BE283" t="s">
        <v>123</v>
      </c>
      <c r="BF283" t="s">
        <v>123</v>
      </c>
      <c r="BG283" t="s">
        <v>141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s="1">
        <v>45965.256252662039</v>
      </c>
      <c r="BZ283">
        <v>1561</v>
      </c>
      <c r="CA283" t="s">
        <v>123</v>
      </c>
      <c r="CB283" t="s">
        <v>123</v>
      </c>
      <c r="CC283">
        <v>0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>
        <v>3.2000000000000001E-2</v>
      </c>
      <c r="CL283">
        <v>3.5000000000000003E-2</v>
      </c>
      <c r="CM283">
        <v>3.6299999999999999E-2</v>
      </c>
      <c r="CN283">
        <v>4.02E-2</v>
      </c>
      <c r="CO283" t="s">
        <v>123</v>
      </c>
      <c r="CP283" t="s">
        <v>123</v>
      </c>
      <c r="CQ283">
        <v>2.8000000000000001E-2</v>
      </c>
      <c r="CR283">
        <v>3.0499999999999999E-2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187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  <c r="DN283" t="s">
        <v>123</v>
      </c>
      <c r="DO283" t="s">
        <v>123</v>
      </c>
      <c r="DP283" t="s">
        <v>123</v>
      </c>
      <c r="DQ283" t="s">
        <v>123</v>
      </c>
      <c r="DR283" t="s">
        <v>123</v>
      </c>
      <c r="DS283" t="s">
        <v>123</v>
      </c>
    </row>
    <row r="284" spans="1:123" x14ac:dyDescent="0.3">
      <c r="A284">
        <v>283</v>
      </c>
      <c r="B284" t="s">
        <v>123</v>
      </c>
      <c r="C284" t="s">
        <v>123</v>
      </c>
      <c r="D284" t="s">
        <v>1158</v>
      </c>
      <c r="E284" t="s">
        <v>123</v>
      </c>
      <c r="F284" t="s">
        <v>125</v>
      </c>
      <c r="G284" t="s">
        <v>126</v>
      </c>
      <c r="H284" t="s">
        <v>127</v>
      </c>
      <c r="I284" t="s">
        <v>199</v>
      </c>
      <c r="J284" t="s">
        <v>123</v>
      </c>
      <c r="K284" t="s">
        <v>1159</v>
      </c>
      <c r="L284" t="s">
        <v>130</v>
      </c>
      <c r="M284" t="s">
        <v>1160</v>
      </c>
      <c r="N284" t="s">
        <v>123</v>
      </c>
      <c r="O284" t="s">
        <v>123</v>
      </c>
      <c r="P284" t="s">
        <v>123</v>
      </c>
      <c r="Q284" t="s">
        <v>123</v>
      </c>
      <c r="R284" t="s">
        <v>123</v>
      </c>
      <c r="S284" t="s">
        <v>123</v>
      </c>
      <c r="T284" t="s">
        <v>123</v>
      </c>
      <c r="U284" t="s">
        <v>123</v>
      </c>
      <c r="V284" t="s">
        <v>123</v>
      </c>
      <c r="W284" t="s">
        <v>123</v>
      </c>
      <c r="X284" t="s">
        <v>123</v>
      </c>
      <c r="Y284" t="s">
        <v>123</v>
      </c>
      <c r="Z284" t="s">
        <v>123</v>
      </c>
      <c r="AA284" t="s">
        <v>123</v>
      </c>
      <c r="AB284">
        <v>272383405</v>
      </c>
      <c r="AC284" t="s">
        <v>135</v>
      </c>
      <c r="AD284" t="s">
        <v>123</v>
      </c>
      <c r="AE284" t="s">
        <v>123</v>
      </c>
      <c r="AF284" t="s">
        <v>1161</v>
      </c>
      <c r="AG284" t="s">
        <v>1162</v>
      </c>
      <c r="AH284" t="s">
        <v>123</v>
      </c>
      <c r="AI284" t="s">
        <v>199</v>
      </c>
      <c r="AJ284" t="s">
        <v>138</v>
      </c>
      <c r="AK284" t="s">
        <v>139</v>
      </c>
      <c r="AL284" t="s">
        <v>123</v>
      </c>
      <c r="AM284" t="s">
        <v>123</v>
      </c>
      <c r="AN284" t="s">
        <v>123</v>
      </c>
      <c r="AO284" t="s">
        <v>123</v>
      </c>
      <c r="AP284">
        <v>250</v>
      </c>
      <c r="AQ284">
        <v>50</v>
      </c>
      <c r="AR284">
        <v>10</v>
      </c>
      <c r="AS284" t="s">
        <v>123</v>
      </c>
      <c r="AT284" t="s">
        <v>123</v>
      </c>
      <c r="AU284" t="s">
        <v>123</v>
      </c>
      <c r="AV284" t="s">
        <v>123</v>
      </c>
      <c r="AW284" t="s">
        <v>123</v>
      </c>
      <c r="AX284" t="s">
        <v>123</v>
      </c>
      <c r="AY284" t="s">
        <v>123</v>
      </c>
      <c r="AZ284" t="s">
        <v>123</v>
      </c>
      <c r="BA284" t="s">
        <v>237</v>
      </c>
      <c r="BB284" t="s">
        <v>123</v>
      </c>
      <c r="BC284" t="s">
        <v>123</v>
      </c>
      <c r="BD284" t="s">
        <v>123</v>
      </c>
      <c r="BE284" t="s">
        <v>123</v>
      </c>
      <c r="BF284" t="s">
        <v>123</v>
      </c>
      <c r="BG284" t="s">
        <v>734</v>
      </c>
      <c r="BH284" t="s">
        <v>123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123</v>
      </c>
      <c r="BX284" t="s">
        <v>123</v>
      </c>
      <c r="BY284" s="1">
        <v>45965.256331249999</v>
      </c>
      <c r="BZ284">
        <v>1528</v>
      </c>
      <c r="CA284" t="s">
        <v>123</v>
      </c>
      <c r="CB284" t="s">
        <v>123</v>
      </c>
      <c r="CC284">
        <v>0</v>
      </c>
      <c r="CD284" t="s">
        <v>123</v>
      </c>
      <c r="CE284" t="s">
        <v>123</v>
      </c>
      <c r="CF284" t="s">
        <v>123</v>
      </c>
      <c r="CG284" t="s">
        <v>123</v>
      </c>
      <c r="CH284" t="s">
        <v>123</v>
      </c>
      <c r="CI284" t="s">
        <v>123</v>
      </c>
      <c r="CJ284" t="s">
        <v>123</v>
      </c>
      <c r="CK284">
        <v>8.0999999999999996E-3</v>
      </c>
      <c r="CL284" t="s">
        <v>123</v>
      </c>
      <c r="CM284">
        <v>9.4999999999999998E-3</v>
      </c>
      <c r="CN284" t="s">
        <v>123</v>
      </c>
      <c r="CO284" t="s">
        <v>123</v>
      </c>
      <c r="CP284" t="s">
        <v>123</v>
      </c>
      <c r="CQ284">
        <v>6.7999999999999996E-3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152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  <c r="DN284" t="s">
        <v>123</v>
      </c>
      <c r="DO284" t="s">
        <v>123</v>
      </c>
      <c r="DP284" t="s">
        <v>123</v>
      </c>
      <c r="DQ284" t="s">
        <v>123</v>
      </c>
      <c r="DR284" t="s">
        <v>123</v>
      </c>
      <c r="DS284" t="s">
        <v>123</v>
      </c>
    </row>
    <row r="285" spans="1:123" x14ac:dyDescent="0.3">
      <c r="A285">
        <v>284</v>
      </c>
      <c r="B285" t="s">
        <v>123</v>
      </c>
      <c r="C285" t="s">
        <v>123</v>
      </c>
      <c r="D285" t="s">
        <v>1163</v>
      </c>
      <c r="E285" t="s">
        <v>123</v>
      </c>
      <c r="F285" t="s">
        <v>125</v>
      </c>
      <c r="G285" t="s">
        <v>126</v>
      </c>
      <c r="H285" t="s">
        <v>127</v>
      </c>
      <c r="I285" t="s">
        <v>199</v>
      </c>
      <c r="J285" t="s">
        <v>123</v>
      </c>
      <c r="K285" t="s">
        <v>1164</v>
      </c>
      <c r="L285" t="s">
        <v>130</v>
      </c>
      <c r="M285" t="s">
        <v>1165</v>
      </c>
      <c r="N285" t="s">
        <v>158</v>
      </c>
      <c r="O285" t="s">
        <v>150</v>
      </c>
      <c r="P285" t="s">
        <v>123</v>
      </c>
      <c r="Q285" t="s">
        <v>123</v>
      </c>
      <c r="R285" t="s">
        <v>123</v>
      </c>
      <c r="S285" t="s">
        <v>123</v>
      </c>
      <c r="T285" s="1">
        <v>47135</v>
      </c>
      <c r="U285" t="s">
        <v>123</v>
      </c>
      <c r="V285" t="s">
        <v>123</v>
      </c>
      <c r="W285" t="s">
        <v>123</v>
      </c>
      <c r="X285" t="s">
        <v>123</v>
      </c>
      <c r="Y285" t="s">
        <v>123</v>
      </c>
      <c r="Z285" t="s">
        <v>123</v>
      </c>
      <c r="AA285" t="s">
        <v>123</v>
      </c>
      <c r="AB285" t="s">
        <v>1166</v>
      </c>
      <c r="AC285" t="s">
        <v>135</v>
      </c>
      <c r="AD285" t="s">
        <v>123</v>
      </c>
      <c r="AE285" t="s">
        <v>123</v>
      </c>
      <c r="AF285" t="s">
        <v>1167</v>
      </c>
      <c r="AG285" t="s">
        <v>1168</v>
      </c>
      <c r="AH285" t="s">
        <v>123</v>
      </c>
      <c r="AI285" t="s">
        <v>199</v>
      </c>
      <c r="AJ285" t="s">
        <v>138</v>
      </c>
      <c r="AK285" t="s">
        <v>139</v>
      </c>
      <c r="AL285" t="s">
        <v>123</v>
      </c>
      <c r="AM285" t="s">
        <v>123</v>
      </c>
      <c r="AN285" t="s">
        <v>123</v>
      </c>
      <c r="AO285" t="s">
        <v>123</v>
      </c>
      <c r="AP285">
        <v>250</v>
      </c>
      <c r="AQ285">
        <v>50</v>
      </c>
      <c r="AR285">
        <v>10</v>
      </c>
      <c r="AS285" t="s">
        <v>123</v>
      </c>
      <c r="AT285" t="s">
        <v>123</v>
      </c>
      <c r="AU285" t="s">
        <v>123</v>
      </c>
      <c r="AV285" t="s">
        <v>123</v>
      </c>
      <c r="AW285" t="s">
        <v>123</v>
      </c>
      <c r="AX285" t="s">
        <v>123</v>
      </c>
      <c r="AY285" t="s">
        <v>123</v>
      </c>
      <c r="AZ285" t="s">
        <v>123</v>
      </c>
      <c r="BA285" t="s">
        <v>237</v>
      </c>
      <c r="BB285" t="s">
        <v>123</v>
      </c>
      <c r="BC285" t="s">
        <v>123</v>
      </c>
      <c r="BD285" t="s">
        <v>123</v>
      </c>
      <c r="BE285" t="s">
        <v>123</v>
      </c>
      <c r="BF285" t="s">
        <v>123</v>
      </c>
      <c r="BG285" t="s">
        <v>734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s="1">
        <v>45965.256383414351</v>
      </c>
      <c r="BZ285">
        <v>1543</v>
      </c>
      <c r="CA285" t="s">
        <v>123</v>
      </c>
      <c r="CB285" t="s">
        <v>123</v>
      </c>
      <c r="CC285">
        <v>0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>
        <v>2.7E-2</v>
      </c>
      <c r="CL285">
        <v>2.4500000000000001E-2</v>
      </c>
      <c r="CM285">
        <v>0.03</v>
      </c>
      <c r="CN285">
        <v>2.6599999999999999E-2</v>
      </c>
      <c r="CO285" t="s">
        <v>123</v>
      </c>
      <c r="CP285" t="s">
        <v>123</v>
      </c>
      <c r="CQ285">
        <v>2.4299999999999999E-2</v>
      </c>
      <c r="CR285">
        <v>2.2700000000000001E-2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205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  <c r="DN285" t="s">
        <v>123</v>
      </c>
      <c r="DO285" t="s">
        <v>123</v>
      </c>
      <c r="DP285" t="s">
        <v>123</v>
      </c>
      <c r="DQ285" t="s">
        <v>123</v>
      </c>
      <c r="DR285" t="s">
        <v>123</v>
      </c>
      <c r="DS285" t="s">
        <v>123</v>
      </c>
    </row>
    <row r="286" spans="1:123" x14ac:dyDescent="0.3">
      <c r="A286">
        <v>285</v>
      </c>
      <c r="B286" t="s">
        <v>123</v>
      </c>
      <c r="C286" t="s">
        <v>123</v>
      </c>
      <c r="D286" t="s">
        <v>1169</v>
      </c>
      <c r="E286" t="s">
        <v>123</v>
      </c>
      <c r="F286" t="s">
        <v>125</v>
      </c>
      <c r="G286" t="s">
        <v>126</v>
      </c>
      <c r="H286" t="s">
        <v>127</v>
      </c>
      <c r="I286" t="s">
        <v>199</v>
      </c>
      <c r="J286" t="s">
        <v>123</v>
      </c>
      <c r="K286" t="s">
        <v>1164</v>
      </c>
      <c r="L286" t="s">
        <v>130</v>
      </c>
      <c r="M286" t="s">
        <v>1165</v>
      </c>
      <c r="N286" t="s">
        <v>158</v>
      </c>
      <c r="O286" t="s">
        <v>133</v>
      </c>
      <c r="P286" t="s">
        <v>123</v>
      </c>
      <c r="Q286" t="s">
        <v>123</v>
      </c>
      <c r="R286" t="s">
        <v>123</v>
      </c>
      <c r="S286" t="s">
        <v>123</v>
      </c>
      <c r="T286" s="1">
        <v>46395</v>
      </c>
      <c r="U286" t="s">
        <v>123</v>
      </c>
      <c r="V286" t="s">
        <v>123</v>
      </c>
      <c r="W286" t="s">
        <v>123</v>
      </c>
      <c r="X286" t="s">
        <v>123</v>
      </c>
      <c r="Y286" t="s">
        <v>123</v>
      </c>
      <c r="Z286" t="s">
        <v>123</v>
      </c>
      <c r="AA286" t="s">
        <v>123</v>
      </c>
      <c r="AB286" t="s">
        <v>1170</v>
      </c>
      <c r="AC286" t="s">
        <v>135</v>
      </c>
      <c r="AD286" t="s">
        <v>123</v>
      </c>
      <c r="AE286" t="s">
        <v>123</v>
      </c>
      <c r="AF286" t="s">
        <v>1167</v>
      </c>
      <c r="AG286" t="s">
        <v>1168</v>
      </c>
      <c r="AH286" t="s">
        <v>123</v>
      </c>
      <c r="AI286" t="s">
        <v>199</v>
      </c>
      <c r="AJ286" t="s">
        <v>138</v>
      </c>
      <c r="AK286" t="s">
        <v>139</v>
      </c>
      <c r="AL286" t="s">
        <v>123</v>
      </c>
      <c r="AM286" t="s">
        <v>123</v>
      </c>
      <c r="AN286" t="s">
        <v>123</v>
      </c>
      <c r="AO286" t="s">
        <v>123</v>
      </c>
      <c r="AP286">
        <v>250</v>
      </c>
      <c r="AQ286">
        <v>50</v>
      </c>
      <c r="AR286">
        <v>10</v>
      </c>
      <c r="AS286" t="s">
        <v>123</v>
      </c>
      <c r="AT286" t="s">
        <v>123</v>
      </c>
      <c r="AU286" t="s">
        <v>123</v>
      </c>
      <c r="AV286" t="s">
        <v>123</v>
      </c>
      <c r="AW286" t="s">
        <v>123</v>
      </c>
      <c r="AX286" t="s">
        <v>123</v>
      </c>
      <c r="AY286" t="s">
        <v>123</v>
      </c>
      <c r="AZ286" t="s">
        <v>123</v>
      </c>
      <c r="BA286" t="s">
        <v>237</v>
      </c>
      <c r="BB286" t="s">
        <v>123</v>
      </c>
      <c r="BC286" t="s">
        <v>123</v>
      </c>
      <c r="BD286" t="s">
        <v>123</v>
      </c>
      <c r="BE286" t="s">
        <v>123</v>
      </c>
      <c r="BF286" t="s">
        <v>123</v>
      </c>
      <c r="BG286" t="s">
        <v>734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s="1">
        <v>45965.256432523151</v>
      </c>
      <c r="BZ286">
        <v>1543</v>
      </c>
      <c r="CA286" t="s">
        <v>123</v>
      </c>
      <c r="CB286" t="s">
        <v>123</v>
      </c>
      <c r="CC286">
        <v>0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>
        <v>3.4200000000000001E-2</v>
      </c>
      <c r="CL286">
        <v>2.9000000000000001E-2</v>
      </c>
      <c r="CM286">
        <v>3.9600000000000003E-2</v>
      </c>
      <c r="CN286">
        <v>3.2099999999999997E-2</v>
      </c>
      <c r="CO286" t="s">
        <v>123</v>
      </c>
      <c r="CP286" t="s">
        <v>123</v>
      </c>
      <c r="CQ286">
        <v>2.98E-2</v>
      </c>
      <c r="CR286">
        <v>2.6200000000000001E-2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272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  <c r="DN286" t="s">
        <v>123</v>
      </c>
      <c r="DO286" t="s">
        <v>123</v>
      </c>
      <c r="DP286" t="s">
        <v>123</v>
      </c>
      <c r="DQ286" t="s">
        <v>123</v>
      </c>
      <c r="DR286" t="s">
        <v>123</v>
      </c>
      <c r="DS286" t="s">
        <v>123</v>
      </c>
    </row>
    <row r="287" spans="1:123" x14ac:dyDescent="0.3">
      <c r="A287">
        <v>286</v>
      </c>
      <c r="B287" t="s">
        <v>123</v>
      </c>
      <c r="C287" t="s">
        <v>123</v>
      </c>
      <c r="D287" t="s">
        <v>1171</v>
      </c>
      <c r="E287" t="s">
        <v>123</v>
      </c>
      <c r="F287" t="s">
        <v>125</v>
      </c>
      <c r="G287" t="s">
        <v>126</v>
      </c>
      <c r="H287" t="s">
        <v>127</v>
      </c>
      <c r="I287" t="s">
        <v>128</v>
      </c>
      <c r="J287" t="s">
        <v>123</v>
      </c>
      <c r="K287" t="s">
        <v>1172</v>
      </c>
      <c r="L287" t="s">
        <v>130</v>
      </c>
      <c r="M287" t="s">
        <v>1173</v>
      </c>
      <c r="N287" t="s">
        <v>158</v>
      </c>
      <c r="O287" t="s">
        <v>133</v>
      </c>
      <c r="P287" t="s">
        <v>123</v>
      </c>
      <c r="Q287" t="s">
        <v>123</v>
      </c>
      <c r="R287" t="s">
        <v>123</v>
      </c>
      <c r="S287" t="s">
        <v>123</v>
      </c>
      <c r="T287" s="1">
        <v>46121</v>
      </c>
      <c r="U287" t="s">
        <v>123</v>
      </c>
      <c r="V287" t="s">
        <v>123</v>
      </c>
      <c r="W287" t="s">
        <v>123</v>
      </c>
      <c r="X287" t="s">
        <v>123</v>
      </c>
      <c r="Y287" t="s">
        <v>123</v>
      </c>
      <c r="Z287" t="s">
        <v>123</v>
      </c>
      <c r="AA287" t="s">
        <v>123</v>
      </c>
      <c r="AB287" t="s">
        <v>1174</v>
      </c>
      <c r="AC287" t="s">
        <v>135</v>
      </c>
      <c r="AD287" t="s">
        <v>123</v>
      </c>
      <c r="AE287" t="s">
        <v>123</v>
      </c>
      <c r="AF287" t="s">
        <v>1175</v>
      </c>
      <c r="AG287" t="s">
        <v>1176</v>
      </c>
      <c r="AH287" t="s">
        <v>123</v>
      </c>
      <c r="AI287" t="s">
        <v>128</v>
      </c>
      <c r="AJ287" t="s">
        <v>138</v>
      </c>
      <c r="AK287" t="s">
        <v>139</v>
      </c>
      <c r="AL287" t="s">
        <v>123</v>
      </c>
      <c r="AM287" t="s">
        <v>123</v>
      </c>
      <c r="AN287" t="s">
        <v>123</v>
      </c>
      <c r="AO287" t="s">
        <v>123</v>
      </c>
      <c r="AP287">
        <v>250</v>
      </c>
      <c r="AQ287">
        <v>50</v>
      </c>
      <c r="AR287">
        <v>10</v>
      </c>
      <c r="AS287" t="s">
        <v>123</v>
      </c>
      <c r="AT287" t="s">
        <v>123</v>
      </c>
      <c r="AU287" t="s">
        <v>123</v>
      </c>
      <c r="AV287" t="s">
        <v>123</v>
      </c>
      <c r="AW287" t="s">
        <v>123</v>
      </c>
      <c r="AX287" t="s">
        <v>123</v>
      </c>
      <c r="AY287" t="s">
        <v>123</v>
      </c>
      <c r="AZ287" t="s">
        <v>123</v>
      </c>
      <c r="BA287" t="s">
        <v>140</v>
      </c>
      <c r="BB287" t="s">
        <v>123</v>
      </c>
      <c r="BC287" t="s">
        <v>123</v>
      </c>
      <c r="BD287" t="s">
        <v>123</v>
      </c>
      <c r="BE287" t="s">
        <v>123</v>
      </c>
      <c r="BF287" t="s">
        <v>123</v>
      </c>
      <c r="BG287" t="s">
        <v>141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123</v>
      </c>
      <c r="BX287" t="s">
        <v>123</v>
      </c>
      <c r="BY287" s="1">
        <v>45965.256480289354</v>
      </c>
      <c r="BZ287">
        <v>1532</v>
      </c>
      <c r="CA287" t="s">
        <v>123</v>
      </c>
      <c r="CB287" t="s">
        <v>123</v>
      </c>
      <c r="CC287">
        <v>0</v>
      </c>
      <c r="CD287" t="s">
        <v>123</v>
      </c>
      <c r="CE287" t="s">
        <v>123</v>
      </c>
      <c r="CF287" t="s">
        <v>123</v>
      </c>
      <c r="CG287" t="s">
        <v>123</v>
      </c>
      <c r="CH287" t="s">
        <v>123</v>
      </c>
      <c r="CI287" t="s">
        <v>123</v>
      </c>
      <c r="CJ287" t="s">
        <v>123</v>
      </c>
      <c r="CK287">
        <v>9.1900000000000003E-3</v>
      </c>
      <c r="CL287">
        <v>9.2499999999999995E-3</v>
      </c>
      <c r="CM287">
        <v>1.1390000000000001E-2</v>
      </c>
      <c r="CN287">
        <v>1.146E-2</v>
      </c>
      <c r="CO287" t="s">
        <v>123</v>
      </c>
      <c r="CP287" t="s">
        <v>123</v>
      </c>
      <c r="CQ287">
        <v>7.5799999999999999E-3</v>
      </c>
      <c r="CR287">
        <v>7.62E-3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205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  <c r="DN287" t="s">
        <v>123</v>
      </c>
      <c r="DO287" t="s">
        <v>123</v>
      </c>
      <c r="DP287" t="s">
        <v>123</v>
      </c>
      <c r="DQ287" t="s">
        <v>123</v>
      </c>
      <c r="DR287" t="s">
        <v>123</v>
      </c>
      <c r="DS287" t="s">
        <v>123</v>
      </c>
    </row>
    <row r="288" spans="1:123" x14ac:dyDescent="0.3">
      <c r="A288">
        <v>287</v>
      </c>
      <c r="B288" t="s">
        <v>123</v>
      </c>
      <c r="C288" t="s">
        <v>123</v>
      </c>
      <c r="D288" t="s">
        <v>1177</v>
      </c>
      <c r="E288" t="s">
        <v>123</v>
      </c>
      <c r="F288" t="s">
        <v>125</v>
      </c>
      <c r="G288" t="s">
        <v>126</v>
      </c>
      <c r="H288" t="s">
        <v>127</v>
      </c>
      <c r="I288" t="s">
        <v>128</v>
      </c>
      <c r="J288" t="s">
        <v>123</v>
      </c>
      <c r="K288" t="s">
        <v>1178</v>
      </c>
      <c r="L288" t="s">
        <v>130</v>
      </c>
      <c r="M288" t="s">
        <v>1179</v>
      </c>
      <c r="N288" t="s">
        <v>158</v>
      </c>
      <c r="O288" t="s">
        <v>150</v>
      </c>
      <c r="P288" t="s">
        <v>123</v>
      </c>
      <c r="Q288" t="s">
        <v>123</v>
      </c>
      <c r="R288" t="s">
        <v>123</v>
      </c>
      <c r="S288" t="s">
        <v>123</v>
      </c>
      <c r="T288" s="1">
        <v>46759</v>
      </c>
      <c r="U288" t="s">
        <v>123</v>
      </c>
      <c r="V288" t="s">
        <v>123</v>
      </c>
      <c r="W288" t="s">
        <v>123</v>
      </c>
      <c r="X288" t="s">
        <v>123</v>
      </c>
      <c r="Y288" t="s">
        <v>123</v>
      </c>
      <c r="Z288" t="s">
        <v>123</v>
      </c>
      <c r="AA288" t="s">
        <v>123</v>
      </c>
      <c r="AB288" t="s">
        <v>1180</v>
      </c>
      <c r="AC288" t="s">
        <v>135</v>
      </c>
      <c r="AD288" t="s">
        <v>123</v>
      </c>
      <c r="AE288" t="s">
        <v>123</v>
      </c>
      <c r="AF288" t="s">
        <v>453</v>
      </c>
      <c r="AG288" t="s">
        <v>265</v>
      </c>
      <c r="AH288" t="s">
        <v>123</v>
      </c>
      <c r="AI288" t="s">
        <v>128</v>
      </c>
      <c r="AJ288" t="s">
        <v>186</v>
      </c>
      <c r="AK288" t="s">
        <v>163</v>
      </c>
      <c r="AL288" t="s">
        <v>123</v>
      </c>
      <c r="AM288" t="s">
        <v>123</v>
      </c>
      <c r="AN288" t="s">
        <v>123</v>
      </c>
      <c r="AO288" t="s">
        <v>123</v>
      </c>
      <c r="AP288">
        <v>250</v>
      </c>
      <c r="AQ288">
        <v>50</v>
      </c>
      <c r="AR288">
        <v>10</v>
      </c>
      <c r="AS288" t="s">
        <v>123</v>
      </c>
      <c r="AT288" t="s">
        <v>123</v>
      </c>
      <c r="AU288" t="s">
        <v>123</v>
      </c>
      <c r="AV288" t="s">
        <v>123</v>
      </c>
      <c r="AW288" t="s">
        <v>123</v>
      </c>
      <c r="AX288" t="s">
        <v>123</v>
      </c>
      <c r="AY288" t="s">
        <v>123</v>
      </c>
      <c r="AZ288" t="s">
        <v>123</v>
      </c>
      <c r="BA288" t="s">
        <v>140</v>
      </c>
      <c r="BB288" t="s">
        <v>123</v>
      </c>
      <c r="BC288" t="s">
        <v>123</v>
      </c>
      <c r="BD288" t="s">
        <v>123</v>
      </c>
      <c r="BE288" t="s">
        <v>123</v>
      </c>
      <c r="BF288" t="s">
        <v>123</v>
      </c>
      <c r="BG288" t="s">
        <v>141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s="1">
        <v>45965.256527314814</v>
      </c>
      <c r="BZ288">
        <v>1521</v>
      </c>
      <c r="CA288" t="s">
        <v>123</v>
      </c>
      <c r="CB288" t="s">
        <v>123</v>
      </c>
      <c r="CC288">
        <v>0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>
        <v>2.92E-2</v>
      </c>
      <c r="CL288">
        <v>3.2500000000000001E-2</v>
      </c>
      <c r="CM288">
        <v>3.78E-2</v>
      </c>
      <c r="CN288">
        <v>4.24E-2</v>
      </c>
      <c r="CO288" t="s">
        <v>123</v>
      </c>
      <c r="CP288" t="s">
        <v>123</v>
      </c>
      <c r="CQ288">
        <v>2.2200000000000001E-2</v>
      </c>
      <c r="CR288">
        <v>2.4799999999999999E-2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152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  <c r="DN288" t="s">
        <v>123</v>
      </c>
      <c r="DO288" t="s">
        <v>123</v>
      </c>
      <c r="DP288" t="s">
        <v>123</v>
      </c>
      <c r="DQ288" t="s">
        <v>123</v>
      </c>
      <c r="DR288" t="s">
        <v>123</v>
      </c>
      <c r="DS288" t="s">
        <v>123</v>
      </c>
    </row>
    <row r="289" spans="1:123" x14ac:dyDescent="0.3">
      <c r="A289">
        <v>288</v>
      </c>
      <c r="B289" t="s">
        <v>123</v>
      </c>
      <c r="C289" t="s">
        <v>123</v>
      </c>
      <c r="D289" t="s">
        <v>1181</v>
      </c>
      <c r="E289" t="s">
        <v>123</v>
      </c>
      <c r="F289" t="s">
        <v>125</v>
      </c>
      <c r="G289" t="s">
        <v>126</v>
      </c>
      <c r="H289" t="s">
        <v>127</v>
      </c>
      <c r="I289" t="s">
        <v>128</v>
      </c>
      <c r="J289" t="s">
        <v>123</v>
      </c>
      <c r="K289" t="s">
        <v>1178</v>
      </c>
      <c r="L289" t="s">
        <v>130</v>
      </c>
      <c r="M289" t="s">
        <v>1179</v>
      </c>
      <c r="N289" t="s">
        <v>180</v>
      </c>
      <c r="O289" t="s">
        <v>150</v>
      </c>
      <c r="P289" t="s">
        <v>123</v>
      </c>
      <c r="Q289" t="s">
        <v>123</v>
      </c>
      <c r="R289" t="s">
        <v>123</v>
      </c>
      <c r="S289" t="s">
        <v>123</v>
      </c>
      <c r="T289" s="1">
        <v>46760</v>
      </c>
      <c r="U289" t="s">
        <v>123</v>
      </c>
      <c r="V289" t="s">
        <v>123</v>
      </c>
      <c r="W289" t="s">
        <v>123</v>
      </c>
      <c r="X289" t="s">
        <v>123</v>
      </c>
      <c r="Y289" t="s">
        <v>123</v>
      </c>
      <c r="Z289" t="s">
        <v>123</v>
      </c>
      <c r="AA289" t="s">
        <v>123</v>
      </c>
      <c r="AB289" t="s">
        <v>1182</v>
      </c>
      <c r="AC289" t="s">
        <v>135</v>
      </c>
      <c r="AD289" t="s">
        <v>123</v>
      </c>
      <c r="AE289" t="s">
        <v>123</v>
      </c>
      <c r="AF289" t="s">
        <v>453</v>
      </c>
      <c r="AG289" t="s">
        <v>265</v>
      </c>
      <c r="AH289" t="s">
        <v>123</v>
      </c>
      <c r="AI289" t="s">
        <v>128</v>
      </c>
      <c r="AJ289" t="s">
        <v>186</v>
      </c>
      <c r="AK289" t="s">
        <v>163</v>
      </c>
      <c r="AL289" t="s">
        <v>123</v>
      </c>
      <c r="AM289" t="s">
        <v>123</v>
      </c>
      <c r="AN289" t="s">
        <v>123</v>
      </c>
      <c r="AO289" t="s">
        <v>123</v>
      </c>
      <c r="AP289">
        <v>250</v>
      </c>
      <c r="AQ289">
        <v>50</v>
      </c>
      <c r="AR289">
        <v>10</v>
      </c>
      <c r="AS289" t="s">
        <v>123</v>
      </c>
      <c r="AT289" t="s">
        <v>123</v>
      </c>
      <c r="AU289" t="s">
        <v>123</v>
      </c>
      <c r="AV289" t="s">
        <v>123</v>
      </c>
      <c r="AW289" t="s">
        <v>123</v>
      </c>
      <c r="AX289" t="s">
        <v>123</v>
      </c>
      <c r="AY289" t="s">
        <v>123</v>
      </c>
      <c r="AZ289" t="s">
        <v>123</v>
      </c>
      <c r="BA289" t="s">
        <v>140</v>
      </c>
      <c r="BB289" t="s">
        <v>123</v>
      </c>
      <c r="BC289" t="s">
        <v>123</v>
      </c>
      <c r="BD289" t="s">
        <v>123</v>
      </c>
      <c r="BE289" t="s">
        <v>123</v>
      </c>
      <c r="BF289" t="s">
        <v>123</v>
      </c>
      <c r="BG289" t="s">
        <v>141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s="1">
        <v>45965.256596724539</v>
      </c>
      <c r="BZ289">
        <v>1521</v>
      </c>
      <c r="CA289" t="s">
        <v>123</v>
      </c>
      <c r="CB289" t="s">
        <v>123</v>
      </c>
      <c r="CC289">
        <v>0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>
        <v>4.5100000000000001E-2</v>
      </c>
      <c r="CL289">
        <v>5.0700000000000002E-2</v>
      </c>
      <c r="CM289">
        <v>6.3600000000000004E-2</v>
      </c>
      <c r="CN289">
        <v>7.2099999999999997E-2</v>
      </c>
      <c r="CO289" t="s">
        <v>123</v>
      </c>
      <c r="CP289" t="s">
        <v>123</v>
      </c>
      <c r="CQ289">
        <v>3.2300000000000002E-2</v>
      </c>
      <c r="CR289">
        <v>3.5799999999999998E-2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152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  <c r="DN289" t="s">
        <v>123</v>
      </c>
      <c r="DO289" t="s">
        <v>123</v>
      </c>
      <c r="DP289" t="s">
        <v>123</v>
      </c>
      <c r="DQ289" t="s">
        <v>123</v>
      </c>
      <c r="DR289" t="s">
        <v>123</v>
      </c>
      <c r="DS289" t="s">
        <v>123</v>
      </c>
    </row>
    <row r="290" spans="1:123" x14ac:dyDescent="0.3">
      <c r="A290">
        <v>289</v>
      </c>
      <c r="B290" t="s">
        <v>123</v>
      </c>
      <c r="C290" t="s">
        <v>123</v>
      </c>
      <c r="D290" t="s">
        <v>1183</v>
      </c>
      <c r="E290" t="s">
        <v>123</v>
      </c>
      <c r="F290" t="s">
        <v>125</v>
      </c>
      <c r="G290" t="s">
        <v>126</v>
      </c>
      <c r="H290" t="s">
        <v>127</v>
      </c>
      <c r="I290" t="s">
        <v>128</v>
      </c>
      <c r="J290" t="s">
        <v>123</v>
      </c>
      <c r="K290" t="s">
        <v>1178</v>
      </c>
      <c r="L290" t="s">
        <v>130</v>
      </c>
      <c r="M290" t="s">
        <v>1179</v>
      </c>
      <c r="N290" t="s">
        <v>158</v>
      </c>
      <c r="O290" t="s">
        <v>675</v>
      </c>
      <c r="P290" t="s">
        <v>123</v>
      </c>
      <c r="Q290" t="s">
        <v>123</v>
      </c>
      <c r="R290" t="s">
        <v>123</v>
      </c>
      <c r="S290" t="s">
        <v>123</v>
      </c>
      <c r="T290" s="1">
        <v>47126</v>
      </c>
      <c r="U290" t="s">
        <v>123</v>
      </c>
      <c r="V290" t="s">
        <v>123</v>
      </c>
      <c r="W290" t="s">
        <v>123</v>
      </c>
      <c r="X290" t="s">
        <v>123</v>
      </c>
      <c r="Y290" t="s">
        <v>123</v>
      </c>
      <c r="Z290" t="s">
        <v>123</v>
      </c>
      <c r="AA290" t="s">
        <v>123</v>
      </c>
      <c r="AB290" t="s">
        <v>1184</v>
      </c>
      <c r="AC290" t="s">
        <v>135</v>
      </c>
      <c r="AD290" t="s">
        <v>123</v>
      </c>
      <c r="AE290" t="s">
        <v>123</v>
      </c>
      <c r="AF290" t="s">
        <v>453</v>
      </c>
      <c r="AG290" t="s">
        <v>265</v>
      </c>
      <c r="AH290" t="s">
        <v>123</v>
      </c>
      <c r="AI290" t="s">
        <v>128</v>
      </c>
      <c r="AJ290" t="s">
        <v>186</v>
      </c>
      <c r="AK290" t="s">
        <v>163</v>
      </c>
      <c r="AL290" t="s">
        <v>123</v>
      </c>
      <c r="AM290" t="s">
        <v>123</v>
      </c>
      <c r="AN290" t="s">
        <v>123</v>
      </c>
      <c r="AO290" t="s">
        <v>123</v>
      </c>
      <c r="AP290">
        <v>250</v>
      </c>
      <c r="AQ290">
        <v>50</v>
      </c>
      <c r="AR290">
        <v>10</v>
      </c>
      <c r="AS290" t="s">
        <v>123</v>
      </c>
      <c r="AT290" t="s">
        <v>123</v>
      </c>
      <c r="AU290" t="s">
        <v>123</v>
      </c>
      <c r="AV290" t="s">
        <v>123</v>
      </c>
      <c r="AW290" t="s">
        <v>123</v>
      </c>
      <c r="AX290" t="s">
        <v>123</v>
      </c>
      <c r="AY290" t="s">
        <v>123</v>
      </c>
      <c r="AZ290" t="s">
        <v>123</v>
      </c>
      <c r="BA290" t="s">
        <v>140</v>
      </c>
      <c r="BB290" t="s">
        <v>123</v>
      </c>
      <c r="BC290" t="s">
        <v>123</v>
      </c>
      <c r="BD290" t="s">
        <v>123</v>
      </c>
      <c r="BE290" t="s">
        <v>123</v>
      </c>
      <c r="BF290" t="s">
        <v>123</v>
      </c>
      <c r="BG290" t="s">
        <v>141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123</v>
      </c>
      <c r="BX290" t="s">
        <v>123</v>
      </c>
      <c r="BY290" s="1">
        <v>45965.256656631944</v>
      </c>
      <c r="BZ290">
        <v>1521</v>
      </c>
      <c r="CA290" t="s">
        <v>123</v>
      </c>
      <c r="CB290" t="s">
        <v>123</v>
      </c>
      <c r="CC290">
        <v>0</v>
      </c>
      <c r="CD290" t="s">
        <v>123</v>
      </c>
      <c r="CE290" t="s">
        <v>123</v>
      </c>
      <c r="CF290" t="s">
        <v>123</v>
      </c>
      <c r="CG290" t="s">
        <v>123</v>
      </c>
      <c r="CH290" t="s">
        <v>123</v>
      </c>
      <c r="CI290" t="s">
        <v>123</v>
      </c>
      <c r="CJ290" t="s">
        <v>123</v>
      </c>
      <c r="CK290">
        <v>3.09E-2</v>
      </c>
      <c r="CL290">
        <v>3.44E-2</v>
      </c>
      <c r="CM290">
        <v>3.8899999999999997E-2</v>
      </c>
      <c r="CN290">
        <v>4.3400000000000001E-2</v>
      </c>
      <c r="CO290" t="s">
        <v>123</v>
      </c>
      <c r="CP290" t="s">
        <v>123</v>
      </c>
      <c r="CQ290">
        <v>2.4199999999999999E-2</v>
      </c>
      <c r="CR290">
        <v>2.7E-2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152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  <c r="DN290" t="s">
        <v>123</v>
      </c>
      <c r="DO290" t="s">
        <v>123</v>
      </c>
      <c r="DP290" t="s">
        <v>123</v>
      </c>
      <c r="DQ290" t="s">
        <v>123</v>
      </c>
      <c r="DR290" t="s">
        <v>123</v>
      </c>
      <c r="DS290" t="s">
        <v>123</v>
      </c>
    </row>
    <row r="291" spans="1:123" x14ac:dyDescent="0.3">
      <c r="A291">
        <v>290</v>
      </c>
      <c r="B291" t="s">
        <v>123</v>
      </c>
      <c r="C291" t="s">
        <v>123</v>
      </c>
      <c r="D291" t="s">
        <v>1185</v>
      </c>
      <c r="E291" t="s">
        <v>123</v>
      </c>
      <c r="F291" t="s">
        <v>125</v>
      </c>
      <c r="G291" t="s">
        <v>126</v>
      </c>
      <c r="H291" t="s">
        <v>127</v>
      </c>
      <c r="I291" t="s">
        <v>128</v>
      </c>
      <c r="J291" t="s">
        <v>123</v>
      </c>
      <c r="K291" t="s">
        <v>1178</v>
      </c>
      <c r="L291" t="s">
        <v>130</v>
      </c>
      <c r="M291" t="s">
        <v>1179</v>
      </c>
      <c r="N291" t="s">
        <v>180</v>
      </c>
      <c r="O291" t="s">
        <v>675</v>
      </c>
      <c r="P291" t="s">
        <v>123</v>
      </c>
      <c r="Q291" t="s">
        <v>123</v>
      </c>
      <c r="R291" t="s">
        <v>123</v>
      </c>
      <c r="S291" t="s">
        <v>123</v>
      </c>
      <c r="T291" s="1">
        <v>47126</v>
      </c>
      <c r="U291" t="s">
        <v>123</v>
      </c>
      <c r="V291" t="s">
        <v>123</v>
      </c>
      <c r="W291" t="s">
        <v>123</v>
      </c>
      <c r="X291" t="s">
        <v>123</v>
      </c>
      <c r="Y291" t="s">
        <v>123</v>
      </c>
      <c r="Z291" t="s">
        <v>123</v>
      </c>
      <c r="AA291" t="s">
        <v>123</v>
      </c>
      <c r="AB291" t="s">
        <v>1186</v>
      </c>
      <c r="AC291" t="s">
        <v>135</v>
      </c>
      <c r="AD291" t="s">
        <v>123</v>
      </c>
      <c r="AE291" t="s">
        <v>123</v>
      </c>
      <c r="AF291" t="s">
        <v>453</v>
      </c>
      <c r="AG291" t="s">
        <v>265</v>
      </c>
      <c r="AH291" t="s">
        <v>123</v>
      </c>
      <c r="AI291" t="s">
        <v>128</v>
      </c>
      <c r="AJ291" t="s">
        <v>186</v>
      </c>
      <c r="AK291" t="s">
        <v>163</v>
      </c>
      <c r="AL291" t="s">
        <v>123</v>
      </c>
      <c r="AM291" t="s">
        <v>123</v>
      </c>
      <c r="AN291" t="s">
        <v>123</v>
      </c>
      <c r="AO291" t="s">
        <v>123</v>
      </c>
      <c r="AP291">
        <v>250</v>
      </c>
      <c r="AQ291">
        <v>50</v>
      </c>
      <c r="AR291">
        <v>10</v>
      </c>
      <c r="AS291" t="s">
        <v>123</v>
      </c>
      <c r="AT291" t="s">
        <v>123</v>
      </c>
      <c r="AU291" t="s">
        <v>123</v>
      </c>
      <c r="AV291" t="s">
        <v>123</v>
      </c>
      <c r="AW291" t="s">
        <v>123</v>
      </c>
      <c r="AX291" t="s">
        <v>123</v>
      </c>
      <c r="AY291" t="s">
        <v>123</v>
      </c>
      <c r="AZ291" t="s">
        <v>123</v>
      </c>
      <c r="BA291" t="s">
        <v>140</v>
      </c>
      <c r="BB291" t="s">
        <v>123</v>
      </c>
      <c r="BC291" t="s">
        <v>123</v>
      </c>
      <c r="BD291" t="s">
        <v>123</v>
      </c>
      <c r="BE291" t="s">
        <v>123</v>
      </c>
      <c r="BF291" t="s">
        <v>123</v>
      </c>
      <c r="BG291" t="s">
        <v>141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s="1">
        <v>45965.256737037038</v>
      </c>
      <c r="BZ291">
        <v>1521</v>
      </c>
      <c r="CA291" t="s">
        <v>123</v>
      </c>
      <c r="CB291" t="s">
        <v>123</v>
      </c>
      <c r="CC291">
        <v>0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>
        <v>4.7E-2</v>
      </c>
      <c r="CL291">
        <v>5.3199999999999997E-2</v>
      </c>
      <c r="CM291">
        <v>6.5600000000000006E-2</v>
      </c>
      <c r="CN291">
        <v>7.4899999999999994E-2</v>
      </c>
      <c r="CO291" t="s">
        <v>123</v>
      </c>
      <c r="CP291" t="s">
        <v>123</v>
      </c>
      <c r="CQ291">
        <v>3.3700000000000001E-2</v>
      </c>
      <c r="CR291">
        <v>3.7600000000000001E-2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152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  <c r="DN291" t="s">
        <v>123</v>
      </c>
      <c r="DO291" t="s">
        <v>123</v>
      </c>
      <c r="DP291" t="s">
        <v>123</v>
      </c>
      <c r="DQ291" t="s">
        <v>123</v>
      </c>
      <c r="DR291" t="s">
        <v>123</v>
      </c>
      <c r="DS291" t="s">
        <v>123</v>
      </c>
    </row>
    <row r="292" spans="1:123" x14ac:dyDescent="0.3">
      <c r="A292">
        <v>291</v>
      </c>
      <c r="B292" t="s">
        <v>123</v>
      </c>
      <c r="C292" t="s">
        <v>123</v>
      </c>
      <c r="D292" t="s">
        <v>1187</v>
      </c>
      <c r="E292" t="s">
        <v>123</v>
      </c>
      <c r="F292" t="s">
        <v>125</v>
      </c>
      <c r="G292" t="s">
        <v>126</v>
      </c>
      <c r="H292" t="s">
        <v>127</v>
      </c>
      <c r="I292" t="s">
        <v>128</v>
      </c>
      <c r="J292" t="s">
        <v>123</v>
      </c>
      <c r="K292" t="s">
        <v>1178</v>
      </c>
      <c r="L292" t="s">
        <v>130</v>
      </c>
      <c r="M292" t="s">
        <v>1179</v>
      </c>
      <c r="N292" t="s">
        <v>248</v>
      </c>
      <c r="O292" t="s">
        <v>675</v>
      </c>
      <c r="P292" t="s">
        <v>123</v>
      </c>
      <c r="Q292" t="s">
        <v>123</v>
      </c>
      <c r="R292" t="s">
        <v>123</v>
      </c>
      <c r="S292" t="s">
        <v>123</v>
      </c>
      <c r="T292" s="1">
        <v>46395</v>
      </c>
      <c r="U292" t="s">
        <v>123</v>
      </c>
      <c r="V292" t="s">
        <v>123</v>
      </c>
      <c r="W292" t="s">
        <v>123</v>
      </c>
      <c r="X292" t="s">
        <v>123</v>
      </c>
      <c r="Y292" t="s">
        <v>123</v>
      </c>
      <c r="Z292" t="s">
        <v>123</v>
      </c>
      <c r="AA292" t="s">
        <v>123</v>
      </c>
      <c r="AB292" t="s">
        <v>1188</v>
      </c>
      <c r="AC292" t="s">
        <v>135</v>
      </c>
      <c r="AD292" t="s">
        <v>123</v>
      </c>
      <c r="AE292" t="s">
        <v>123</v>
      </c>
      <c r="AF292" t="s">
        <v>453</v>
      </c>
      <c r="AG292" t="s">
        <v>265</v>
      </c>
      <c r="AH292" t="s">
        <v>123</v>
      </c>
      <c r="AI292" t="s">
        <v>128</v>
      </c>
      <c r="AJ292" t="s">
        <v>186</v>
      </c>
      <c r="AK292" t="s">
        <v>163</v>
      </c>
      <c r="AL292" t="s">
        <v>123</v>
      </c>
      <c r="AM292" t="s">
        <v>123</v>
      </c>
      <c r="AN292" t="s">
        <v>123</v>
      </c>
      <c r="AO292" t="s">
        <v>123</v>
      </c>
      <c r="AP292">
        <v>250</v>
      </c>
      <c r="AQ292">
        <v>50</v>
      </c>
      <c r="AR292">
        <v>10</v>
      </c>
      <c r="AS292" t="s">
        <v>123</v>
      </c>
      <c r="AT292" t="s">
        <v>123</v>
      </c>
      <c r="AU292" t="s">
        <v>123</v>
      </c>
      <c r="AV292" t="s">
        <v>123</v>
      </c>
      <c r="AW292" t="s">
        <v>123</v>
      </c>
      <c r="AX292" t="s">
        <v>123</v>
      </c>
      <c r="AY292" t="s">
        <v>123</v>
      </c>
      <c r="AZ292" t="s">
        <v>123</v>
      </c>
      <c r="BA292" t="s">
        <v>140</v>
      </c>
      <c r="BB292" t="s">
        <v>123</v>
      </c>
      <c r="BC292" t="s">
        <v>123</v>
      </c>
      <c r="BD292" t="s">
        <v>123</v>
      </c>
      <c r="BE292" t="s">
        <v>123</v>
      </c>
      <c r="BF292" t="s">
        <v>123</v>
      </c>
      <c r="BG292" t="s">
        <v>141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s="1">
        <v>45965.25680787037</v>
      </c>
      <c r="BZ292">
        <v>1521</v>
      </c>
      <c r="CA292" t="s">
        <v>123</v>
      </c>
      <c r="CB292" t="s">
        <v>123</v>
      </c>
      <c r="CC292">
        <v>0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>
        <v>0.1042</v>
      </c>
      <c r="CL292">
        <v>0.1183</v>
      </c>
      <c r="CM292">
        <v>0.15210000000000001</v>
      </c>
      <c r="CN292">
        <v>0.17130000000000001</v>
      </c>
      <c r="CO292" t="s">
        <v>123</v>
      </c>
      <c r="CP292" t="s">
        <v>123</v>
      </c>
      <c r="CQ292">
        <v>6.9000000000000006E-2</v>
      </c>
      <c r="CR292">
        <v>7.8600000000000003E-2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152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  <c r="DN292" t="s">
        <v>123</v>
      </c>
      <c r="DO292" t="s">
        <v>123</v>
      </c>
      <c r="DP292" t="s">
        <v>123</v>
      </c>
      <c r="DQ292" t="s">
        <v>123</v>
      </c>
      <c r="DR292" t="s">
        <v>123</v>
      </c>
      <c r="DS292" t="s">
        <v>123</v>
      </c>
    </row>
    <row r="293" spans="1:123" x14ac:dyDescent="0.3">
      <c r="A293">
        <v>292</v>
      </c>
      <c r="B293" t="s">
        <v>123</v>
      </c>
      <c r="C293" t="s">
        <v>123</v>
      </c>
      <c r="D293" t="s">
        <v>1189</v>
      </c>
      <c r="E293" t="s">
        <v>123</v>
      </c>
      <c r="F293" t="s">
        <v>125</v>
      </c>
      <c r="G293" t="s">
        <v>126</v>
      </c>
      <c r="H293" t="s">
        <v>127</v>
      </c>
      <c r="I293" t="s">
        <v>128</v>
      </c>
      <c r="J293" t="s">
        <v>123</v>
      </c>
      <c r="K293" t="s">
        <v>1178</v>
      </c>
      <c r="L293" t="s">
        <v>130</v>
      </c>
      <c r="M293" t="s">
        <v>1179</v>
      </c>
      <c r="N293" t="s">
        <v>158</v>
      </c>
      <c r="O293" t="s">
        <v>167</v>
      </c>
      <c r="P293" t="s">
        <v>123</v>
      </c>
      <c r="Q293" t="s">
        <v>123</v>
      </c>
      <c r="R293" t="s">
        <v>123</v>
      </c>
      <c r="S293" t="s">
        <v>123</v>
      </c>
      <c r="T293" s="1">
        <v>46395</v>
      </c>
      <c r="U293" t="s">
        <v>123</v>
      </c>
      <c r="V293" t="s">
        <v>123</v>
      </c>
      <c r="W293" t="s">
        <v>123</v>
      </c>
      <c r="X293" t="s">
        <v>123</v>
      </c>
      <c r="Y293" t="s">
        <v>123</v>
      </c>
      <c r="Z293" t="s">
        <v>123</v>
      </c>
      <c r="AA293" t="s">
        <v>123</v>
      </c>
      <c r="AB293" t="s">
        <v>1190</v>
      </c>
      <c r="AC293" t="s">
        <v>135</v>
      </c>
      <c r="AD293" t="s">
        <v>123</v>
      </c>
      <c r="AE293" t="s">
        <v>123</v>
      </c>
      <c r="AF293" t="s">
        <v>1191</v>
      </c>
      <c r="AG293" t="s">
        <v>213</v>
      </c>
      <c r="AH293" t="s">
        <v>123</v>
      </c>
      <c r="AI293" t="s">
        <v>128</v>
      </c>
      <c r="AJ293" t="s">
        <v>186</v>
      </c>
      <c r="AK293" t="s">
        <v>163</v>
      </c>
      <c r="AL293" t="s">
        <v>123</v>
      </c>
      <c r="AM293" t="s">
        <v>123</v>
      </c>
      <c r="AN293" t="s">
        <v>123</v>
      </c>
      <c r="AO293" t="s">
        <v>123</v>
      </c>
      <c r="AP293">
        <v>250</v>
      </c>
      <c r="AQ293">
        <v>50</v>
      </c>
      <c r="AR293">
        <v>10</v>
      </c>
      <c r="AS293" t="s">
        <v>123</v>
      </c>
      <c r="AT293" t="s">
        <v>123</v>
      </c>
      <c r="AU293" t="s">
        <v>123</v>
      </c>
      <c r="AV293" t="s">
        <v>123</v>
      </c>
      <c r="AW293" t="s">
        <v>123</v>
      </c>
      <c r="AX293" t="s">
        <v>123</v>
      </c>
      <c r="AY293" t="s">
        <v>123</v>
      </c>
      <c r="AZ293" t="s">
        <v>123</v>
      </c>
      <c r="BA293" t="s">
        <v>140</v>
      </c>
      <c r="BB293" t="s">
        <v>123</v>
      </c>
      <c r="BC293" t="s">
        <v>123</v>
      </c>
      <c r="BD293" t="s">
        <v>123</v>
      </c>
      <c r="BE293" t="s">
        <v>123</v>
      </c>
      <c r="BF293" t="s">
        <v>123</v>
      </c>
      <c r="BG293" t="s">
        <v>141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s="1">
        <v>45965.256877858796</v>
      </c>
      <c r="BZ293">
        <v>1521</v>
      </c>
      <c r="CA293" t="s">
        <v>123</v>
      </c>
      <c r="CB293" t="s">
        <v>123</v>
      </c>
      <c r="CC293">
        <v>0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>
        <v>3.3700000000000001E-2</v>
      </c>
      <c r="CL293">
        <v>3.5999999999999997E-2</v>
      </c>
      <c r="CM293">
        <v>4.1099999999999998E-2</v>
      </c>
      <c r="CN293">
        <v>4.36E-2</v>
      </c>
      <c r="CO293" t="s">
        <v>123</v>
      </c>
      <c r="CP293" t="s">
        <v>123</v>
      </c>
      <c r="CQ293">
        <v>2.7699999999999999E-2</v>
      </c>
      <c r="CR293">
        <v>2.9399999999999999E-2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152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  <c r="DN293" t="s">
        <v>123</v>
      </c>
      <c r="DO293" t="s">
        <v>123</v>
      </c>
      <c r="DP293" t="s">
        <v>123</v>
      </c>
      <c r="DQ293" t="s">
        <v>123</v>
      </c>
      <c r="DR293" t="s">
        <v>123</v>
      </c>
      <c r="DS293" t="s">
        <v>123</v>
      </c>
    </row>
    <row r="294" spans="1:123" x14ac:dyDescent="0.3">
      <c r="A294">
        <v>293</v>
      </c>
      <c r="B294" t="s">
        <v>123</v>
      </c>
      <c r="C294" t="s">
        <v>123</v>
      </c>
      <c r="D294" t="s">
        <v>1192</v>
      </c>
      <c r="E294" t="s">
        <v>123</v>
      </c>
      <c r="F294" t="s">
        <v>125</v>
      </c>
      <c r="G294" t="s">
        <v>126</v>
      </c>
      <c r="H294" t="s">
        <v>127</v>
      </c>
      <c r="I294" t="s">
        <v>128</v>
      </c>
      <c r="J294" t="s">
        <v>123</v>
      </c>
      <c r="K294" t="s">
        <v>1193</v>
      </c>
      <c r="L294" t="s">
        <v>130</v>
      </c>
      <c r="M294" t="s">
        <v>1194</v>
      </c>
      <c r="N294" t="s">
        <v>158</v>
      </c>
      <c r="O294" t="s">
        <v>167</v>
      </c>
      <c r="P294" t="s">
        <v>123</v>
      </c>
      <c r="Q294" t="s">
        <v>123</v>
      </c>
      <c r="R294" t="s">
        <v>123</v>
      </c>
      <c r="S294" t="s">
        <v>123</v>
      </c>
      <c r="T294" s="1">
        <v>46174</v>
      </c>
      <c r="U294" t="s">
        <v>123</v>
      </c>
      <c r="V294" t="s">
        <v>123</v>
      </c>
      <c r="W294" t="s">
        <v>123</v>
      </c>
      <c r="X294" t="s">
        <v>123</v>
      </c>
      <c r="Y294" t="s">
        <v>123</v>
      </c>
      <c r="Z294" t="s">
        <v>123</v>
      </c>
      <c r="AA294" t="s">
        <v>123</v>
      </c>
      <c r="AB294" t="s">
        <v>1195</v>
      </c>
      <c r="AC294" t="s">
        <v>135</v>
      </c>
      <c r="AD294" t="s">
        <v>123</v>
      </c>
      <c r="AE294" t="s">
        <v>123</v>
      </c>
      <c r="AF294" t="s">
        <v>1196</v>
      </c>
      <c r="AG294" t="s">
        <v>322</v>
      </c>
      <c r="AH294" t="s">
        <v>123</v>
      </c>
      <c r="AI294" t="s">
        <v>128</v>
      </c>
      <c r="AJ294" t="s">
        <v>138</v>
      </c>
      <c r="AK294" t="s">
        <v>139</v>
      </c>
      <c r="AL294" t="s">
        <v>123</v>
      </c>
      <c r="AM294" t="s">
        <v>123</v>
      </c>
      <c r="AN294" t="s">
        <v>123</v>
      </c>
      <c r="AO294" t="s">
        <v>123</v>
      </c>
      <c r="AP294">
        <v>250</v>
      </c>
      <c r="AQ294">
        <v>50</v>
      </c>
      <c r="AR294">
        <v>10</v>
      </c>
      <c r="AS294" t="s">
        <v>123</v>
      </c>
      <c r="AT294" t="s">
        <v>123</v>
      </c>
      <c r="AU294" t="s">
        <v>123</v>
      </c>
      <c r="AV294" t="s">
        <v>123</v>
      </c>
      <c r="AW294" t="s">
        <v>123</v>
      </c>
      <c r="AX294" t="s">
        <v>123</v>
      </c>
      <c r="AY294" t="s">
        <v>123</v>
      </c>
      <c r="AZ294" t="s">
        <v>123</v>
      </c>
      <c r="BA294" t="s">
        <v>140</v>
      </c>
      <c r="BB294" t="s">
        <v>123</v>
      </c>
      <c r="BC294" t="s">
        <v>123</v>
      </c>
      <c r="BD294" t="s">
        <v>123</v>
      </c>
      <c r="BE294" t="s">
        <v>123</v>
      </c>
      <c r="BF294" t="s">
        <v>123</v>
      </c>
      <c r="BG294" t="s">
        <v>141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123</v>
      </c>
      <c r="BX294" t="s">
        <v>123</v>
      </c>
      <c r="BY294" s="1">
        <v>45965.256914386577</v>
      </c>
      <c r="BZ294">
        <v>1533</v>
      </c>
      <c r="CA294" t="s">
        <v>123</v>
      </c>
      <c r="CB294" t="s">
        <v>123</v>
      </c>
      <c r="CC294">
        <v>0</v>
      </c>
      <c r="CD294" t="s">
        <v>123</v>
      </c>
      <c r="CE294" t="s">
        <v>123</v>
      </c>
      <c r="CF294" t="s">
        <v>123</v>
      </c>
      <c r="CG294" t="s">
        <v>123</v>
      </c>
      <c r="CH294" t="s">
        <v>123</v>
      </c>
      <c r="CI294" t="s">
        <v>123</v>
      </c>
      <c r="CJ294" t="s">
        <v>123</v>
      </c>
      <c r="CK294">
        <v>1.1270000000000001E-2</v>
      </c>
      <c r="CL294">
        <v>1.197E-2</v>
      </c>
      <c r="CM294">
        <v>1.3480000000000001E-2</v>
      </c>
      <c r="CN294">
        <v>1.4319999999999999E-2</v>
      </c>
      <c r="CO294" t="s">
        <v>123</v>
      </c>
      <c r="CP294" t="s">
        <v>123</v>
      </c>
      <c r="CQ294">
        <v>9.4199999999999996E-3</v>
      </c>
      <c r="CR294">
        <v>1.008E-2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1022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  <c r="DN294" t="s">
        <v>123</v>
      </c>
      <c r="DO294" t="s">
        <v>123</v>
      </c>
      <c r="DP294" t="s">
        <v>123</v>
      </c>
      <c r="DQ294" t="s">
        <v>123</v>
      </c>
      <c r="DR294" t="s">
        <v>123</v>
      </c>
      <c r="DS294" t="s">
        <v>123</v>
      </c>
    </row>
    <row r="295" spans="1:123" x14ac:dyDescent="0.3">
      <c r="A295">
        <v>294</v>
      </c>
      <c r="B295" t="s">
        <v>123</v>
      </c>
      <c r="C295" t="s">
        <v>123</v>
      </c>
      <c r="D295" t="s">
        <v>1197</v>
      </c>
      <c r="E295" t="s">
        <v>123</v>
      </c>
      <c r="F295" t="s">
        <v>125</v>
      </c>
      <c r="G295" t="s">
        <v>126</v>
      </c>
      <c r="H295" t="s">
        <v>127</v>
      </c>
      <c r="I295" t="s">
        <v>384</v>
      </c>
      <c r="J295" t="s">
        <v>123</v>
      </c>
      <c r="K295" t="s">
        <v>1198</v>
      </c>
      <c r="L295" t="s">
        <v>130</v>
      </c>
      <c r="M295" t="s">
        <v>1199</v>
      </c>
      <c r="N295" t="s">
        <v>180</v>
      </c>
      <c r="O295" t="s">
        <v>133</v>
      </c>
      <c r="P295" t="s">
        <v>123</v>
      </c>
      <c r="Q295" t="s">
        <v>123</v>
      </c>
      <c r="R295" t="s">
        <v>123</v>
      </c>
      <c r="S295" t="s">
        <v>123</v>
      </c>
      <c r="T295" s="1">
        <v>46192</v>
      </c>
      <c r="U295" t="s">
        <v>123</v>
      </c>
      <c r="V295" t="s">
        <v>123</v>
      </c>
      <c r="W295" t="s">
        <v>123</v>
      </c>
      <c r="X295" t="s">
        <v>123</v>
      </c>
      <c r="Y295" t="s">
        <v>123</v>
      </c>
      <c r="Z295" t="s">
        <v>123</v>
      </c>
      <c r="AA295" t="s">
        <v>123</v>
      </c>
      <c r="AB295" t="s">
        <v>1200</v>
      </c>
      <c r="AC295" t="s">
        <v>135</v>
      </c>
      <c r="AD295" t="s">
        <v>123</v>
      </c>
      <c r="AE295" t="s">
        <v>123</v>
      </c>
      <c r="AF295" t="s">
        <v>550</v>
      </c>
      <c r="AG295" t="s">
        <v>162</v>
      </c>
      <c r="AH295" t="s">
        <v>123</v>
      </c>
      <c r="AI295" t="s">
        <v>384</v>
      </c>
      <c r="AJ295" t="s">
        <v>186</v>
      </c>
      <c r="AK295" t="s">
        <v>139</v>
      </c>
      <c r="AL295" t="s">
        <v>123</v>
      </c>
      <c r="AM295" t="s">
        <v>123</v>
      </c>
      <c r="AN295" t="s">
        <v>123</v>
      </c>
      <c r="AO295" t="s">
        <v>123</v>
      </c>
      <c r="AP295">
        <v>250</v>
      </c>
      <c r="AQ295">
        <v>50</v>
      </c>
      <c r="AR295">
        <v>10</v>
      </c>
      <c r="AS295" t="s">
        <v>123</v>
      </c>
      <c r="AT295" t="s">
        <v>123</v>
      </c>
      <c r="AU295" t="s">
        <v>123</v>
      </c>
      <c r="AV295" t="s">
        <v>123</v>
      </c>
      <c r="AW295" t="s">
        <v>123</v>
      </c>
      <c r="AX295" t="s">
        <v>123</v>
      </c>
      <c r="AY295" t="s">
        <v>123</v>
      </c>
      <c r="AZ295" t="s">
        <v>123</v>
      </c>
      <c r="BA295" t="s">
        <v>140</v>
      </c>
      <c r="BB295" t="s">
        <v>123</v>
      </c>
      <c r="BC295" t="s">
        <v>123</v>
      </c>
      <c r="BD295" t="s">
        <v>123</v>
      </c>
      <c r="BE295" t="s">
        <v>123</v>
      </c>
      <c r="BF295" t="s">
        <v>123</v>
      </c>
      <c r="BG295" t="s">
        <v>141</v>
      </c>
      <c r="BH295" t="s">
        <v>123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123</v>
      </c>
      <c r="BX295" t="s">
        <v>123</v>
      </c>
      <c r="BY295" s="1">
        <v>45965.256962731481</v>
      </c>
      <c r="BZ295">
        <v>1448</v>
      </c>
      <c r="CA295" t="s">
        <v>123</v>
      </c>
      <c r="CB295" t="s">
        <v>123</v>
      </c>
      <c r="CC295">
        <v>0</v>
      </c>
      <c r="CD295" t="s">
        <v>123</v>
      </c>
      <c r="CE295" t="s">
        <v>123</v>
      </c>
      <c r="CF295" t="s">
        <v>123</v>
      </c>
      <c r="CG295" t="s">
        <v>123</v>
      </c>
      <c r="CH295" t="s">
        <v>123</v>
      </c>
      <c r="CI295" t="s">
        <v>123</v>
      </c>
      <c r="CJ295" t="s">
        <v>123</v>
      </c>
      <c r="CK295">
        <v>1.8599999999999998E-2</v>
      </c>
      <c r="CL295" t="s">
        <v>123</v>
      </c>
      <c r="CM295">
        <v>1.9400000000000001E-2</v>
      </c>
      <c r="CN295" t="s">
        <v>123</v>
      </c>
      <c r="CO295" t="s">
        <v>123</v>
      </c>
      <c r="CP295" t="s">
        <v>123</v>
      </c>
      <c r="CQ295">
        <v>1.78E-2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1022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  <c r="DN295" t="s">
        <v>123</v>
      </c>
      <c r="DO295" t="s">
        <v>123</v>
      </c>
      <c r="DP295" t="s">
        <v>123</v>
      </c>
      <c r="DQ295" t="s">
        <v>123</v>
      </c>
      <c r="DR295" t="s">
        <v>123</v>
      </c>
      <c r="DS295" t="s">
        <v>123</v>
      </c>
    </row>
    <row r="296" spans="1:123" x14ac:dyDescent="0.3">
      <c r="A296">
        <v>295</v>
      </c>
      <c r="B296" t="s">
        <v>123</v>
      </c>
      <c r="C296" t="s">
        <v>123</v>
      </c>
      <c r="D296" t="s">
        <v>1201</v>
      </c>
      <c r="E296" t="s">
        <v>123</v>
      </c>
      <c r="F296" t="s">
        <v>125</v>
      </c>
      <c r="G296" t="s">
        <v>126</v>
      </c>
      <c r="H296" t="s">
        <v>127</v>
      </c>
      <c r="I296" t="s">
        <v>384</v>
      </c>
      <c r="J296" t="s">
        <v>123</v>
      </c>
      <c r="K296" t="s">
        <v>1198</v>
      </c>
      <c r="L296" t="s">
        <v>130</v>
      </c>
      <c r="M296" t="s">
        <v>1199</v>
      </c>
      <c r="N296" t="s">
        <v>1026</v>
      </c>
      <c r="O296" t="s">
        <v>133</v>
      </c>
      <c r="P296" t="s">
        <v>123</v>
      </c>
      <c r="Q296" t="s">
        <v>123</v>
      </c>
      <c r="R296" t="s">
        <v>123</v>
      </c>
      <c r="S296" t="s">
        <v>123</v>
      </c>
      <c r="T296" s="1">
        <v>46192</v>
      </c>
      <c r="U296" t="s">
        <v>123</v>
      </c>
      <c r="V296" t="s">
        <v>123</v>
      </c>
      <c r="W296" t="s">
        <v>123</v>
      </c>
      <c r="X296" t="s">
        <v>123</v>
      </c>
      <c r="Y296" t="s">
        <v>123</v>
      </c>
      <c r="Z296" t="s">
        <v>123</v>
      </c>
      <c r="AA296" t="s">
        <v>123</v>
      </c>
      <c r="AB296" t="s">
        <v>1202</v>
      </c>
      <c r="AC296" t="s">
        <v>135</v>
      </c>
      <c r="AD296" t="s">
        <v>123</v>
      </c>
      <c r="AE296" t="s">
        <v>123</v>
      </c>
      <c r="AF296" t="s">
        <v>550</v>
      </c>
      <c r="AG296" t="s">
        <v>162</v>
      </c>
      <c r="AH296" t="s">
        <v>123</v>
      </c>
      <c r="AI296" t="s">
        <v>384</v>
      </c>
      <c r="AJ296" t="s">
        <v>186</v>
      </c>
      <c r="AK296" t="s">
        <v>139</v>
      </c>
      <c r="AL296" t="s">
        <v>123</v>
      </c>
      <c r="AM296" t="s">
        <v>123</v>
      </c>
      <c r="AN296" t="s">
        <v>123</v>
      </c>
      <c r="AO296" t="s">
        <v>123</v>
      </c>
      <c r="AP296">
        <v>250</v>
      </c>
      <c r="AQ296">
        <v>50</v>
      </c>
      <c r="AR296">
        <v>10</v>
      </c>
      <c r="AS296" t="s">
        <v>123</v>
      </c>
      <c r="AT296" t="s">
        <v>123</v>
      </c>
      <c r="AU296" t="s">
        <v>123</v>
      </c>
      <c r="AV296" t="s">
        <v>123</v>
      </c>
      <c r="AW296" t="s">
        <v>123</v>
      </c>
      <c r="AX296" t="s">
        <v>123</v>
      </c>
      <c r="AY296" t="s">
        <v>123</v>
      </c>
      <c r="AZ296" t="s">
        <v>123</v>
      </c>
      <c r="BA296" t="s">
        <v>140</v>
      </c>
      <c r="BB296" t="s">
        <v>123</v>
      </c>
      <c r="BC296" t="s">
        <v>123</v>
      </c>
      <c r="BD296" t="s">
        <v>123</v>
      </c>
      <c r="BE296" t="s">
        <v>123</v>
      </c>
      <c r="BF296" t="s">
        <v>123</v>
      </c>
      <c r="BG296" t="s">
        <v>141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s="1">
        <v>45965.256986539353</v>
      </c>
      <c r="BZ296">
        <v>1448</v>
      </c>
      <c r="CA296" t="s">
        <v>123</v>
      </c>
      <c r="CB296" t="s">
        <v>123</v>
      </c>
      <c r="CC296">
        <v>0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>
        <v>3.2800000000000003E-2</v>
      </c>
      <c r="CL296" t="s">
        <v>123</v>
      </c>
      <c r="CM296">
        <v>3.5099999999999999E-2</v>
      </c>
      <c r="CN296" t="s">
        <v>123</v>
      </c>
      <c r="CO296" t="s">
        <v>123</v>
      </c>
      <c r="CP296" t="s">
        <v>123</v>
      </c>
      <c r="CQ296">
        <v>3.0700000000000002E-2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1022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  <c r="DN296" t="s">
        <v>123</v>
      </c>
      <c r="DO296" t="s">
        <v>123</v>
      </c>
      <c r="DP296" t="s">
        <v>123</v>
      </c>
      <c r="DQ296" t="s">
        <v>123</v>
      </c>
      <c r="DR296" t="s">
        <v>123</v>
      </c>
      <c r="DS296" t="s">
        <v>123</v>
      </c>
    </row>
    <row r="297" spans="1:123" x14ac:dyDescent="0.3">
      <c r="A297">
        <v>296</v>
      </c>
      <c r="B297" t="s">
        <v>123</v>
      </c>
      <c r="C297" t="s">
        <v>123</v>
      </c>
      <c r="D297" t="s">
        <v>1203</v>
      </c>
      <c r="E297" t="s">
        <v>123</v>
      </c>
      <c r="F297" t="s">
        <v>125</v>
      </c>
      <c r="G297" t="s">
        <v>126</v>
      </c>
      <c r="H297" t="s">
        <v>127</v>
      </c>
      <c r="I297" t="s">
        <v>199</v>
      </c>
      <c r="J297" t="s">
        <v>123</v>
      </c>
      <c r="K297" t="s">
        <v>1204</v>
      </c>
      <c r="L297" t="s">
        <v>130</v>
      </c>
      <c r="M297" t="s">
        <v>1205</v>
      </c>
      <c r="N297" t="s">
        <v>158</v>
      </c>
      <c r="O297" t="s">
        <v>150</v>
      </c>
      <c r="P297" t="s">
        <v>123</v>
      </c>
      <c r="Q297" t="s">
        <v>123</v>
      </c>
      <c r="R297" t="s">
        <v>123</v>
      </c>
      <c r="S297" t="s">
        <v>123</v>
      </c>
      <c r="T297" s="1">
        <v>46939</v>
      </c>
      <c r="U297" t="s">
        <v>123</v>
      </c>
      <c r="V297" t="s">
        <v>123</v>
      </c>
      <c r="W297" t="s">
        <v>123</v>
      </c>
      <c r="X297" t="s">
        <v>123</v>
      </c>
      <c r="Y297" t="s">
        <v>123</v>
      </c>
      <c r="Z297" t="s">
        <v>123</v>
      </c>
      <c r="AA297" t="s">
        <v>123</v>
      </c>
      <c r="AB297" t="s">
        <v>1206</v>
      </c>
      <c r="AC297" t="s">
        <v>135</v>
      </c>
      <c r="AD297" t="s">
        <v>123</v>
      </c>
      <c r="AE297" t="s">
        <v>123</v>
      </c>
      <c r="AF297" t="s">
        <v>1207</v>
      </c>
      <c r="AG297" t="s">
        <v>1208</v>
      </c>
      <c r="AH297" t="s">
        <v>123</v>
      </c>
      <c r="AI297" t="s">
        <v>199</v>
      </c>
      <c r="AJ297" t="s">
        <v>138</v>
      </c>
      <c r="AK297" t="s">
        <v>139</v>
      </c>
      <c r="AL297" t="s">
        <v>123</v>
      </c>
      <c r="AM297" t="s">
        <v>123</v>
      </c>
      <c r="AN297" t="s">
        <v>123</v>
      </c>
      <c r="AO297" t="s">
        <v>123</v>
      </c>
      <c r="AP297">
        <v>250</v>
      </c>
      <c r="AQ297">
        <v>50</v>
      </c>
      <c r="AR297">
        <v>10</v>
      </c>
      <c r="AS297" t="s">
        <v>123</v>
      </c>
      <c r="AT297" t="s">
        <v>123</v>
      </c>
      <c r="AU297" t="s">
        <v>123</v>
      </c>
      <c r="AV297" t="s">
        <v>123</v>
      </c>
      <c r="AW297" t="s">
        <v>123</v>
      </c>
      <c r="AX297" t="s">
        <v>123</v>
      </c>
      <c r="AY297" t="s">
        <v>123</v>
      </c>
      <c r="AZ297" t="s">
        <v>123</v>
      </c>
      <c r="BA297" t="s">
        <v>237</v>
      </c>
      <c r="BB297" t="s">
        <v>123</v>
      </c>
      <c r="BC297" t="s">
        <v>123</v>
      </c>
      <c r="BD297" t="s">
        <v>123</v>
      </c>
      <c r="BE297" t="s">
        <v>123</v>
      </c>
      <c r="BF297" t="s">
        <v>123</v>
      </c>
      <c r="BG297" t="s">
        <v>734</v>
      </c>
      <c r="BH297" t="s">
        <v>123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123</v>
      </c>
      <c r="BX297" t="s">
        <v>123</v>
      </c>
      <c r="BY297" s="1">
        <v>45965.257009687499</v>
      </c>
      <c r="BZ297">
        <v>1545</v>
      </c>
      <c r="CA297" t="s">
        <v>123</v>
      </c>
      <c r="CB297" t="s">
        <v>123</v>
      </c>
      <c r="CC297">
        <v>0</v>
      </c>
      <c r="CD297" t="s">
        <v>123</v>
      </c>
      <c r="CE297" t="s">
        <v>123</v>
      </c>
      <c r="CF297" t="s">
        <v>123</v>
      </c>
      <c r="CG297" t="s">
        <v>123</v>
      </c>
      <c r="CH297" t="s">
        <v>123</v>
      </c>
      <c r="CI297" t="s">
        <v>123</v>
      </c>
      <c r="CJ297" t="s">
        <v>123</v>
      </c>
      <c r="CK297">
        <v>2.1899999999999999E-2</v>
      </c>
      <c r="CL297" t="s">
        <v>123</v>
      </c>
      <c r="CM297">
        <v>2.47E-2</v>
      </c>
      <c r="CN297" t="s">
        <v>123</v>
      </c>
      <c r="CO297" t="s">
        <v>123</v>
      </c>
      <c r="CP297" t="s">
        <v>123</v>
      </c>
      <c r="CQ297">
        <v>1.9599999999999999E-2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244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  <c r="DN297" t="s">
        <v>123</v>
      </c>
      <c r="DO297" t="s">
        <v>123</v>
      </c>
      <c r="DP297" t="s">
        <v>123</v>
      </c>
      <c r="DQ297" t="s">
        <v>123</v>
      </c>
      <c r="DR297" t="s">
        <v>123</v>
      </c>
      <c r="DS297" t="s">
        <v>123</v>
      </c>
    </row>
    <row r="298" spans="1:123" x14ac:dyDescent="0.3">
      <c r="A298">
        <v>297</v>
      </c>
      <c r="B298" t="s">
        <v>123</v>
      </c>
      <c r="C298" t="s">
        <v>123</v>
      </c>
      <c r="D298" t="s">
        <v>1209</v>
      </c>
      <c r="E298" t="s">
        <v>123</v>
      </c>
      <c r="F298" t="s">
        <v>125</v>
      </c>
      <c r="G298" t="s">
        <v>126</v>
      </c>
      <c r="H298" t="s">
        <v>127</v>
      </c>
      <c r="I298" t="s">
        <v>128</v>
      </c>
      <c r="J298" t="s">
        <v>123</v>
      </c>
      <c r="K298" t="s">
        <v>1210</v>
      </c>
      <c r="L298" t="s">
        <v>130</v>
      </c>
      <c r="M298" t="s">
        <v>1211</v>
      </c>
      <c r="N298" t="s">
        <v>158</v>
      </c>
      <c r="O298" t="s">
        <v>133</v>
      </c>
      <c r="P298" t="s">
        <v>123</v>
      </c>
      <c r="Q298" t="s">
        <v>123</v>
      </c>
      <c r="R298" t="s">
        <v>123</v>
      </c>
      <c r="S298" t="s">
        <v>123</v>
      </c>
      <c r="T298" s="1">
        <v>46080</v>
      </c>
      <c r="U298" t="s">
        <v>123</v>
      </c>
      <c r="V298" t="s">
        <v>123</v>
      </c>
      <c r="W298" t="s">
        <v>123</v>
      </c>
      <c r="X298" t="s">
        <v>123</v>
      </c>
      <c r="Y298" t="s">
        <v>123</v>
      </c>
      <c r="Z298" t="s">
        <v>123</v>
      </c>
      <c r="AA298" t="s">
        <v>123</v>
      </c>
      <c r="AB298" t="s">
        <v>1212</v>
      </c>
      <c r="AC298" t="s">
        <v>135</v>
      </c>
      <c r="AD298" t="s">
        <v>123</v>
      </c>
      <c r="AE298" t="s">
        <v>123</v>
      </c>
      <c r="AF298" t="s">
        <v>169</v>
      </c>
      <c r="AG298" t="s">
        <v>170</v>
      </c>
      <c r="AH298" t="s">
        <v>123</v>
      </c>
      <c r="AI298" t="s">
        <v>128</v>
      </c>
      <c r="AJ298" t="s">
        <v>186</v>
      </c>
      <c r="AK298" t="s">
        <v>163</v>
      </c>
      <c r="AL298" t="s">
        <v>123</v>
      </c>
      <c r="AM298" t="s">
        <v>123</v>
      </c>
      <c r="AN298" t="s">
        <v>123</v>
      </c>
      <c r="AO298" t="s">
        <v>123</v>
      </c>
      <c r="AP298">
        <v>250</v>
      </c>
      <c r="AQ298">
        <v>50</v>
      </c>
      <c r="AR298">
        <v>10</v>
      </c>
      <c r="AS298" t="s">
        <v>123</v>
      </c>
      <c r="AT298" t="s">
        <v>123</v>
      </c>
      <c r="AU298" t="s">
        <v>123</v>
      </c>
      <c r="AV298" t="s">
        <v>123</v>
      </c>
      <c r="AW298" t="s">
        <v>123</v>
      </c>
      <c r="AX298" t="s">
        <v>123</v>
      </c>
      <c r="AY298" t="s">
        <v>123</v>
      </c>
      <c r="AZ298" t="s">
        <v>123</v>
      </c>
      <c r="BA298" t="s">
        <v>140</v>
      </c>
      <c r="BB298" t="s">
        <v>123</v>
      </c>
      <c r="BC298" t="s">
        <v>123</v>
      </c>
      <c r="BD298" t="s">
        <v>123</v>
      </c>
      <c r="BE298" t="s">
        <v>123</v>
      </c>
      <c r="BF298" t="s">
        <v>123</v>
      </c>
      <c r="BG298" t="s">
        <v>141</v>
      </c>
      <c r="BH298" t="s">
        <v>123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123</v>
      </c>
      <c r="BX298" t="s">
        <v>123</v>
      </c>
      <c r="BY298" s="1">
        <v>45965.257060451389</v>
      </c>
      <c r="BZ298">
        <v>1584</v>
      </c>
      <c r="CA298" t="s">
        <v>123</v>
      </c>
      <c r="CB298" t="s">
        <v>123</v>
      </c>
      <c r="CC298">
        <v>0</v>
      </c>
      <c r="CD298" t="s">
        <v>123</v>
      </c>
      <c r="CE298" t="s">
        <v>123</v>
      </c>
      <c r="CF298" t="s">
        <v>123</v>
      </c>
      <c r="CG298" t="s">
        <v>123</v>
      </c>
      <c r="CH298" t="s">
        <v>123</v>
      </c>
      <c r="CI298" t="s">
        <v>123</v>
      </c>
      <c r="CJ298" t="s">
        <v>123</v>
      </c>
      <c r="CK298">
        <v>2.5899999999999999E-2</v>
      </c>
      <c r="CL298">
        <v>2.9499999999999998E-2</v>
      </c>
      <c r="CM298">
        <v>3.04E-2</v>
      </c>
      <c r="CN298">
        <v>3.4500000000000003E-2</v>
      </c>
      <c r="CO298" t="s">
        <v>123</v>
      </c>
      <c r="CP298" t="s">
        <v>123</v>
      </c>
      <c r="CQ298">
        <v>2.2599999999999999E-2</v>
      </c>
      <c r="CR298">
        <v>2.58E-2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142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  <c r="DN298" t="s">
        <v>123</v>
      </c>
      <c r="DO298" t="s">
        <v>123</v>
      </c>
      <c r="DP298" t="s">
        <v>123</v>
      </c>
      <c r="DQ298" t="s">
        <v>123</v>
      </c>
      <c r="DR298" t="s">
        <v>123</v>
      </c>
      <c r="DS298" t="s">
        <v>123</v>
      </c>
    </row>
    <row r="299" spans="1:123" x14ac:dyDescent="0.3">
      <c r="A299">
        <v>298</v>
      </c>
      <c r="B299" t="s">
        <v>123</v>
      </c>
      <c r="C299" t="s">
        <v>123</v>
      </c>
      <c r="D299" t="s">
        <v>1213</v>
      </c>
      <c r="E299" t="s">
        <v>123</v>
      </c>
      <c r="F299" t="s">
        <v>125</v>
      </c>
      <c r="G299" t="s">
        <v>126</v>
      </c>
      <c r="H299" t="s">
        <v>127</v>
      </c>
      <c r="I299" t="s">
        <v>128</v>
      </c>
      <c r="J299" t="s">
        <v>123</v>
      </c>
      <c r="K299" t="s">
        <v>1210</v>
      </c>
      <c r="L299" t="s">
        <v>130</v>
      </c>
      <c r="M299" t="s">
        <v>1211</v>
      </c>
      <c r="N299" t="s">
        <v>180</v>
      </c>
      <c r="O299" t="s">
        <v>133</v>
      </c>
      <c r="P299" t="s">
        <v>123</v>
      </c>
      <c r="Q299" t="s">
        <v>123</v>
      </c>
      <c r="R299" t="s">
        <v>123</v>
      </c>
      <c r="S299" t="s">
        <v>123</v>
      </c>
      <c r="T299" s="1">
        <v>46080</v>
      </c>
      <c r="U299" t="s">
        <v>123</v>
      </c>
      <c r="V299" t="s">
        <v>123</v>
      </c>
      <c r="W299" t="s">
        <v>123</v>
      </c>
      <c r="X299" t="s">
        <v>123</v>
      </c>
      <c r="Y299" t="s">
        <v>123</v>
      </c>
      <c r="Z299" t="s">
        <v>123</v>
      </c>
      <c r="AA299" t="s">
        <v>123</v>
      </c>
      <c r="AB299" t="s">
        <v>1214</v>
      </c>
      <c r="AC299" t="s">
        <v>135</v>
      </c>
      <c r="AD299" t="s">
        <v>123</v>
      </c>
      <c r="AE299" t="s">
        <v>123</v>
      </c>
      <c r="AF299" t="s">
        <v>1215</v>
      </c>
      <c r="AG299" t="s">
        <v>170</v>
      </c>
      <c r="AH299" t="s">
        <v>123</v>
      </c>
      <c r="AI299" t="s">
        <v>128</v>
      </c>
      <c r="AJ299" t="s">
        <v>138</v>
      </c>
      <c r="AK299" t="s">
        <v>163</v>
      </c>
      <c r="AL299" t="s">
        <v>123</v>
      </c>
      <c r="AM299" t="s">
        <v>123</v>
      </c>
      <c r="AN299" t="s">
        <v>123</v>
      </c>
      <c r="AO299" t="s">
        <v>123</v>
      </c>
      <c r="AP299">
        <v>250</v>
      </c>
      <c r="AQ299">
        <v>50</v>
      </c>
      <c r="AR299">
        <v>10</v>
      </c>
      <c r="AS299" t="s">
        <v>123</v>
      </c>
      <c r="AT299" t="s">
        <v>123</v>
      </c>
      <c r="AU299" t="s">
        <v>123</v>
      </c>
      <c r="AV299" t="s">
        <v>123</v>
      </c>
      <c r="AW299" t="s">
        <v>123</v>
      </c>
      <c r="AX299" t="s">
        <v>123</v>
      </c>
      <c r="AY299" t="s">
        <v>123</v>
      </c>
      <c r="AZ299" t="s">
        <v>123</v>
      </c>
      <c r="BA299" t="s">
        <v>140</v>
      </c>
      <c r="BB299" t="s">
        <v>123</v>
      </c>
      <c r="BC299" t="s">
        <v>123</v>
      </c>
      <c r="BD299" t="s">
        <v>123</v>
      </c>
      <c r="BE299" t="s">
        <v>123</v>
      </c>
      <c r="BF299" t="s">
        <v>123</v>
      </c>
      <c r="BG299" t="s">
        <v>141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s="1">
        <v>45965.257138506946</v>
      </c>
      <c r="BZ299">
        <v>1584</v>
      </c>
      <c r="CA299" t="s">
        <v>123</v>
      </c>
      <c r="CB299" t="s">
        <v>123</v>
      </c>
      <c r="CC299">
        <v>0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>
        <v>3.8199999999999998E-2</v>
      </c>
      <c r="CL299">
        <v>4.2500000000000003E-2</v>
      </c>
      <c r="CM299">
        <v>4.58E-2</v>
      </c>
      <c r="CN299">
        <v>5.0999999999999997E-2</v>
      </c>
      <c r="CO299" t="s">
        <v>123</v>
      </c>
      <c r="CP299" t="s">
        <v>123</v>
      </c>
      <c r="CQ299">
        <v>3.1699999999999999E-2</v>
      </c>
      <c r="CR299">
        <v>3.5299999999999998E-2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142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  <c r="DN299" t="s">
        <v>123</v>
      </c>
      <c r="DO299" t="s">
        <v>123</v>
      </c>
      <c r="DP299" t="s">
        <v>123</v>
      </c>
      <c r="DQ299" t="s">
        <v>123</v>
      </c>
      <c r="DR299" t="s">
        <v>123</v>
      </c>
      <c r="DS299" t="s">
        <v>123</v>
      </c>
    </row>
    <row r="300" spans="1:123" x14ac:dyDescent="0.3">
      <c r="A300">
        <v>299</v>
      </c>
      <c r="B300" t="s">
        <v>123</v>
      </c>
      <c r="C300" t="s">
        <v>123</v>
      </c>
      <c r="D300" t="s">
        <v>1216</v>
      </c>
      <c r="E300" t="s">
        <v>123</v>
      </c>
      <c r="F300" t="s">
        <v>125</v>
      </c>
      <c r="G300" t="s">
        <v>126</v>
      </c>
      <c r="H300" t="s">
        <v>127</v>
      </c>
      <c r="I300" t="s">
        <v>128</v>
      </c>
      <c r="J300" t="s">
        <v>123</v>
      </c>
      <c r="K300" t="s">
        <v>1210</v>
      </c>
      <c r="L300" t="s">
        <v>130</v>
      </c>
      <c r="M300" t="s">
        <v>1211</v>
      </c>
      <c r="N300" t="s">
        <v>158</v>
      </c>
      <c r="O300" t="s">
        <v>150</v>
      </c>
      <c r="P300" t="s">
        <v>123</v>
      </c>
      <c r="Q300" t="s">
        <v>123</v>
      </c>
      <c r="R300" t="s">
        <v>123</v>
      </c>
      <c r="S300" t="s">
        <v>123</v>
      </c>
      <c r="T300" s="1">
        <v>46717</v>
      </c>
      <c r="U300" t="s">
        <v>123</v>
      </c>
      <c r="V300" t="s">
        <v>123</v>
      </c>
      <c r="W300" t="s">
        <v>123</v>
      </c>
      <c r="X300" t="s">
        <v>123</v>
      </c>
      <c r="Y300" t="s">
        <v>123</v>
      </c>
      <c r="Z300" t="s">
        <v>123</v>
      </c>
      <c r="AA300" t="s">
        <v>123</v>
      </c>
      <c r="AB300" t="s">
        <v>1217</v>
      </c>
      <c r="AC300" t="s">
        <v>135</v>
      </c>
      <c r="AD300" t="s">
        <v>123</v>
      </c>
      <c r="AE300" t="s">
        <v>123</v>
      </c>
      <c r="AF300" t="s">
        <v>169</v>
      </c>
      <c r="AG300" t="s">
        <v>170</v>
      </c>
      <c r="AH300" t="s">
        <v>123</v>
      </c>
      <c r="AI300" t="s">
        <v>128</v>
      </c>
      <c r="AJ300" t="s">
        <v>186</v>
      </c>
      <c r="AK300" t="s">
        <v>163</v>
      </c>
      <c r="AL300" t="s">
        <v>123</v>
      </c>
      <c r="AM300" t="s">
        <v>123</v>
      </c>
      <c r="AN300" t="s">
        <v>123</v>
      </c>
      <c r="AO300" t="s">
        <v>123</v>
      </c>
      <c r="AP300">
        <v>250</v>
      </c>
      <c r="AQ300">
        <v>50</v>
      </c>
      <c r="AR300">
        <v>10</v>
      </c>
      <c r="AS300" t="s">
        <v>123</v>
      </c>
      <c r="AT300" t="s">
        <v>123</v>
      </c>
      <c r="AU300" t="s">
        <v>123</v>
      </c>
      <c r="AV300" t="s">
        <v>123</v>
      </c>
      <c r="AW300" t="s">
        <v>123</v>
      </c>
      <c r="AX300" t="s">
        <v>123</v>
      </c>
      <c r="AY300" t="s">
        <v>123</v>
      </c>
      <c r="AZ300" t="s">
        <v>123</v>
      </c>
      <c r="BA300" t="s">
        <v>140</v>
      </c>
      <c r="BB300" t="s">
        <v>123</v>
      </c>
      <c r="BC300" t="s">
        <v>123</v>
      </c>
      <c r="BD300" t="s">
        <v>123</v>
      </c>
      <c r="BE300" t="s">
        <v>123</v>
      </c>
      <c r="BF300" t="s">
        <v>123</v>
      </c>
      <c r="BG300" t="s">
        <v>141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s="1">
        <v>45965.257182789355</v>
      </c>
      <c r="BZ300">
        <v>1584</v>
      </c>
      <c r="CA300" t="s">
        <v>123</v>
      </c>
      <c r="CB300" t="s">
        <v>123</v>
      </c>
      <c r="CC300">
        <v>0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>
        <v>2.47E-2</v>
      </c>
      <c r="CL300">
        <v>2.8400000000000002E-2</v>
      </c>
      <c r="CM300">
        <v>3.3000000000000002E-2</v>
      </c>
      <c r="CN300">
        <v>3.8399999999999997E-2</v>
      </c>
      <c r="CO300" t="s">
        <v>123</v>
      </c>
      <c r="CP300" t="s">
        <v>123</v>
      </c>
      <c r="CQ300">
        <v>1.77E-2</v>
      </c>
      <c r="CR300">
        <v>2.0500000000000001E-2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142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  <c r="DN300" t="s">
        <v>123</v>
      </c>
      <c r="DO300" t="s">
        <v>123</v>
      </c>
      <c r="DP300" t="s">
        <v>123</v>
      </c>
      <c r="DQ300" t="s">
        <v>123</v>
      </c>
      <c r="DR300" t="s">
        <v>123</v>
      </c>
      <c r="DS300" t="s">
        <v>123</v>
      </c>
    </row>
    <row r="301" spans="1:123" x14ac:dyDescent="0.3">
      <c r="A301">
        <v>300</v>
      </c>
      <c r="B301" t="s">
        <v>123</v>
      </c>
      <c r="C301" t="s">
        <v>123</v>
      </c>
      <c r="D301" t="s">
        <v>1218</v>
      </c>
      <c r="E301" t="s">
        <v>123</v>
      </c>
      <c r="F301" t="s">
        <v>125</v>
      </c>
      <c r="G301" t="s">
        <v>126</v>
      </c>
      <c r="H301" t="s">
        <v>127</v>
      </c>
      <c r="I301" t="s">
        <v>128</v>
      </c>
      <c r="J301" t="s">
        <v>123</v>
      </c>
      <c r="K301" t="s">
        <v>1210</v>
      </c>
      <c r="L301" t="s">
        <v>130</v>
      </c>
      <c r="M301" t="s">
        <v>1211</v>
      </c>
      <c r="N301" t="s">
        <v>180</v>
      </c>
      <c r="O301" t="s">
        <v>150</v>
      </c>
      <c r="P301" t="s">
        <v>123</v>
      </c>
      <c r="Q301" t="s">
        <v>123</v>
      </c>
      <c r="R301" t="s">
        <v>123</v>
      </c>
      <c r="S301" t="s">
        <v>123</v>
      </c>
      <c r="T301" s="1">
        <v>46717</v>
      </c>
      <c r="U301" t="s">
        <v>123</v>
      </c>
      <c r="V301" t="s">
        <v>123</v>
      </c>
      <c r="W301" t="s">
        <v>123</v>
      </c>
      <c r="X301" t="s">
        <v>123</v>
      </c>
      <c r="Y301" t="s">
        <v>123</v>
      </c>
      <c r="Z301" t="s">
        <v>123</v>
      </c>
      <c r="AA301" t="s">
        <v>123</v>
      </c>
      <c r="AB301" t="s">
        <v>1219</v>
      </c>
      <c r="AC301" t="s">
        <v>135</v>
      </c>
      <c r="AD301" t="s">
        <v>123</v>
      </c>
      <c r="AE301" t="s">
        <v>123</v>
      </c>
      <c r="AF301" t="s">
        <v>169</v>
      </c>
      <c r="AG301" t="s">
        <v>170</v>
      </c>
      <c r="AH301" t="s">
        <v>123</v>
      </c>
      <c r="AI301" t="s">
        <v>128</v>
      </c>
      <c r="AJ301" t="s">
        <v>186</v>
      </c>
      <c r="AK301" t="s">
        <v>163</v>
      </c>
      <c r="AL301" t="s">
        <v>123</v>
      </c>
      <c r="AM301" t="s">
        <v>123</v>
      </c>
      <c r="AN301" t="s">
        <v>123</v>
      </c>
      <c r="AO301" t="s">
        <v>123</v>
      </c>
      <c r="AP301">
        <v>250</v>
      </c>
      <c r="AQ301">
        <v>50</v>
      </c>
      <c r="AR301">
        <v>10</v>
      </c>
      <c r="AS301" t="s">
        <v>123</v>
      </c>
      <c r="AT301" t="s">
        <v>123</v>
      </c>
      <c r="AU301" t="s">
        <v>123</v>
      </c>
      <c r="AV301" t="s">
        <v>123</v>
      </c>
      <c r="AW301" t="s">
        <v>123</v>
      </c>
      <c r="AX301" t="s">
        <v>123</v>
      </c>
      <c r="AY301" t="s">
        <v>123</v>
      </c>
      <c r="AZ301" t="s">
        <v>123</v>
      </c>
      <c r="BA301" t="s">
        <v>140</v>
      </c>
      <c r="BB301" t="s">
        <v>123</v>
      </c>
      <c r="BC301" t="s">
        <v>123</v>
      </c>
      <c r="BD301" t="s">
        <v>123</v>
      </c>
      <c r="BE301" t="s">
        <v>123</v>
      </c>
      <c r="BF301" t="s">
        <v>123</v>
      </c>
      <c r="BG301" t="s">
        <v>141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s="1">
        <v>45965.257256747682</v>
      </c>
      <c r="BZ301">
        <v>1584</v>
      </c>
      <c r="CA301" t="s">
        <v>123</v>
      </c>
      <c r="CB301" t="s">
        <v>123</v>
      </c>
      <c r="CC301">
        <v>0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>
        <v>4.02E-2</v>
      </c>
      <c r="CL301">
        <v>4.6699999999999998E-2</v>
      </c>
      <c r="CM301">
        <v>4.7100000000000003E-2</v>
      </c>
      <c r="CN301">
        <v>5.5199999999999999E-2</v>
      </c>
      <c r="CO301" t="s">
        <v>123</v>
      </c>
      <c r="CP301" t="s">
        <v>123</v>
      </c>
      <c r="CQ301">
        <v>3.2899999999999999E-2</v>
      </c>
      <c r="CR301">
        <v>3.8300000000000001E-2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142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  <c r="DN301" t="s">
        <v>123</v>
      </c>
      <c r="DO301" t="s">
        <v>123</v>
      </c>
      <c r="DP301" t="s">
        <v>123</v>
      </c>
      <c r="DQ301" t="s">
        <v>123</v>
      </c>
      <c r="DR301" t="s">
        <v>123</v>
      </c>
      <c r="DS301" t="s">
        <v>123</v>
      </c>
    </row>
    <row r="302" spans="1:123" x14ac:dyDescent="0.3">
      <c r="A302">
        <v>301</v>
      </c>
      <c r="B302" t="s">
        <v>123</v>
      </c>
      <c r="C302" t="s">
        <v>123</v>
      </c>
      <c r="D302" t="s">
        <v>1220</v>
      </c>
      <c r="E302" t="s">
        <v>123</v>
      </c>
      <c r="F302" t="s">
        <v>125</v>
      </c>
      <c r="G302" t="s">
        <v>126</v>
      </c>
      <c r="H302" t="s">
        <v>127</v>
      </c>
      <c r="I302" t="s">
        <v>128</v>
      </c>
      <c r="J302" t="s">
        <v>123</v>
      </c>
      <c r="K302" t="s">
        <v>1210</v>
      </c>
      <c r="L302" t="s">
        <v>130</v>
      </c>
      <c r="M302" t="s">
        <v>1211</v>
      </c>
      <c r="N302" t="s">
        <v>158</v>
      </c>
      <c r="O302" t="s">
        <v>159</v>
      </c>
      <c r="P302" t="s">
        <v>123</v>
      </c>
      <c r="Q302" t="s">
        <v>123</v>
      </c>
      <c r="R302" t="s">
        <v>123</v>
      </c>
      <c r="S302" t="s">
        <v>123</v>
      </c>
      <c r="T302" s="1">
        <v>47308</v>
      </c>
      <c r="U302" t="s">
        <v>123</v>
      </c>
      <c r="V302" t="s">
        <v>123</v>
      </c>
      <c r="W302" t="s">
        <v>123</v>
      </c>
      <c r="X302" t="s">
        <v>123</v>
      </c>
      <c r="Y302" t="s">
        <v>123</v>
      </c>
      <c r="Z302" t="s">
        <v>123</v>
      </c>
      <c r="AA302" t="s">
        <v>123</v>
      </c>
      <c r="AB302" t="s">
        <v>1221</v>
      </c>
      <c r="AC302" t="s">
        <v>135</v>
      </c>
      <c r="AD302" t="s">
        <v>123</v>
      </c>
      <c r="AE302" t="s">
        <v>123</v>
      </c>
      <c r="AF302" t="s">
        <v>1222</v>
      </c>
      <c r="AG302" t="s">
        <v>1223</v>
      </c>
      <c r="AH302" t="s">
        <v>123</v>
      </c>
      <c r="AI302" t="s">
        <v>128</v>
      </c>
      <c r="AJ302" t="s">
        <v>186</v>
      </c>
      <c r="AK302" t="s">
        <v>163</v>
      </c>
      <c r="AL302" t="s">
        <v>123</v>
      </c>
      <c r="AM302" t="s">
        <v>123</v>
      </c>
      <c r="AN302" t="s">
        <v>123</v>
      </c>
      <c r="AO302" t="s">
        <v>123</v>
      </c>
      <c r="AP302">
        <v>250</v>
      </c>
      <c r="AQ302">
        <v>50</v>
      </c>
      <c r="AR302">
        <v>10</v>
      </c>
      <c r="AS302" t="s">
        <v>123</v>
      </c>
      <c r="AT302" t="s">
        <v>123</v>
      </c>
      <c r="AU302" t="s">
        <v>123</v>
      </c>
      <c r="AV302" t="s">
        <v>123</v>
      </c>
      <c r="AW302" t="s">
        <v>123</v>
      </c>
      <c r="AX302" t="s">
        <v>123</v>
      </c>
      <c r="AY302" t="s">
        <v>123</v>
      </c>
      <c r="AZ302" t="s">
        <v>123</v>
      </c>
      <c r="BA302" t="s">
        <v>140</v>
      </c>
      <c r="BB302" t="s">
        <v>123</v>
      </c>
      <c r="BC302" t="s">
        <v>123</v>
      </c>
      <c r="BD302" t="s">
        <v>123</v>
      </c>
      <c r="BE302" t="s">
        <v>123</v>
      </c>
      <c r="BF302" t="s">
        <v>123</v>
      </c>
      <c r="BG302" t="s">
        <v>141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s="1">
        <v>45965.25732045139</v>
      </c>
      <c r="BZ302">
        <v>1584</v>
      </c>
      <c r="CA302" t="s">
        <v>123</v>
      </c>
      <c r="CB302" t="s">
        <v>123</v>
      </c>
      <c r="CC302">
        <v>0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>
        <v>2.2499999999999999E-2</v>
      </c>
      <c r="CL302">
        <v>2.6100000000000002E-2</v>
      </c>
      <c r="CM302">
        <v>2.5399999999999999E-2</v>
      </c>
      <c r="CN302">
        <v>2.9000000000000001E-2</v>
      </c>
      <c r="CO302" t="s">
        <v>123</v>
      </c>
      <c r="CP302" t="s">
        <v>123</v>
      </c>
      <c r="CQ302">
        <v>1.9400000000000001E-2</v>
      </c>
      <c r="CR302">
        <v>2.29E-2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142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  <c r="DN302" t="s">
        <v>123</v>
      </c>
      <c r="DO302" t="s">
        <v>123</v>
      </c>
      <c r="DP302" t="s">
        <v>123</v>
      </c>
      <c r="DQ302" t="s">
        <v>123</v>
      </c>
      <c r="DR302" t="s">
        <v>123</v>
      </c>
      <c r="DS302" t="s">
        <v>123</v>
      </c>
    </row>
    <row r="303" spans="1:123" x14ac:dyDescent="0.3">
      <c r="A303">
        <v>302</v>
      </c>
      <c r="B303" t="s">
        <v>123</v>
      </c>
      <c r="C303" t="s">
        <v>123</v>
      </c>
      <c r="D303" t="s">
        <v>1224</v>
      </c>
      <c r="E303" t="s">
        <v>123</v>
      </c>
      <c r="F303" t="s">
        <v>125</v>
      </c>
      <c r="G303" t="s">
        <v>126</v>
      </c>
      <c r="H303" t="s">
        <v>127</v>
      </c>
      <c r="I303" t="s">
        <v>128</v>
      </c>
      <c r="J303" t="s">
        <v>123</v>
      </c>
      <c r="K303" t="s">
        <v>1210</v>
      </c>
      <c r="L303" t="s">
        <v>130</v>
      </c>
      <c r="M303" t="s">
        <v>1211</v>
      </c>
      <c r="N303" t="s">
        <v>180</v>
      </c>
      <c r="O303" t="s">
        <v>159</v>
      </c>
      <c r="P303" t="s">
        <v>123</v>
      </c>
      <c r="Q303" t="s">
        <v>123</v>
      </c>
      <c r="R303" t="s">
        <v>123</v>
      </c>
      <c r="S303" t="s">
        <v>123</v>
      </c>
      <c r="T303" s="1">
        <v>47308</v>
      </c>
      <c r="U303" t="s">
        <v>123</v>
      </c>
      <c r="V303" t="s">
        <v>123</v>
      </c>
      <c r="W303" t="s">
        <v>123</v>
      </c>
      <c r="X303" t="s">
        <v>123</v>
      </c>
      <c r="Y303" t="s">
        <v>123</v>
      </c>
      <c r="Z303" t="s">
        <v>123</v>
      </c>
      <c r="AA303" t="s">
        <v>123</v>
      </c>
      <c r="AB303" t="s">
        <v>1225</v>
      </c>
      <c r="AC303" t="s">
        <v>135</v>
      </c>
      <c r="AD303" t="s">
        <v>123</v>
      </c>
      <c r="AE303" t="s">
        <v>123</v>
      </c>
      <c r="AF303" t="s">
        <v>1222</v>
      </c>
      <c r="AG303" t="s">
        <v>1223</v>
      </c>
      <c r="AH303" t="s">
        <v>123</v>
      </c>
      <c r="AI303" t="s">
        <v>128</v>
      </c>
      <c r="AJ303" t="s">
        <v>186</v>
      </c>
      <c r="AK303" t="s">
        <v>163</v>
      </c>
      <c r="AL303" t="s">
        <v>123</v>
      </c>
      <c r="AM303" t="s">
        <v>123</v>
      </c>
      <c r="AN303" t="s">
        <v>123</v>
      </c>
      <c r="AO303" t="s">
        <v>123</v>
      </c>
      <c r="AP303">
        <v>250</v>
      </c>
      <c r="AQ303">
        <v>50</v>
      </c>
      <c r="AR303">
        <v>10</v>
      </c>
      <c r="AS303" t="s">
        <v>123</v>
      </c>
      <c r="AT303" t="s">
        <v>123</v>
      </c>
      <c r="AU303" t="s">
        <v>123</v>
      </c>
      <c r="AV303" t="s">
        <v>123</v>
      </c>
      <c r="AW303" t="s">
        <v>123</v>
      </c>
      <c r="AX303" t="s">
        <v>123</v>
      </c>
      <c r="AY303" t="s">
        <v>123</v>
      </c>
      <c r="AZ303" t="s">
        <v>123</v>
      </c>
      <c r="BA303" t="s">
        <v>140</v>
      </c>
      <c r="BB303" t="s">
        <v>123</v>
      </c>
      <c r="BC303" t="s">
        <v>123</v>
      </c>
      <c r="BD303" t="s">
        <v>123</v>
      </c>
      <c r="BE303" t="s">
        <v>123</v>
      </c>
      <c r="BF303" t="s">
        <v>123</v>
      </c>
      <c r="BG303" t="s">
        <v>141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s="1">
        <v>45965.257398495371</v>
      </c>
      <c r="BZ303">
        <v>1584</v>
      </c>
      <c r="CA303" t="s">
        <v>123</v>
      </c>
      <c r="CB303" t="s">
        <v>123</v>
      </c>
      <c r="CC303">
        <v>0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>
        <v>6.3500000000000001E-2</v>
      </c>
      <c r="CL303">
        <v>7.3499999999999996E-2</v>
      </c>
      <c r="CM303">
        <v>7.3499999999999996E-2</v>
      </c>
      <c r="CN303">
        <v>8.4400000000000003E-2</v>
      </c>
      <c r="CO303" t="s">
        <v>123</v>
      </c>
      <c r="CP303" t="s">
        <v>123</v>
      </c>
      <c r="CQ303">
        <v>5.3999999999999999E-2</v>
      </c>
      <c r="CR303">
        <v>6.3500000000000001E-2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142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  <c r="DN303" t="s">
        <v>123</v>
      </c>
      <c r="DO303" t="s">
        <v>123</v>
      </c>
      <c r="DP303" t="s">
        <v>123</v>
      </c>
      <c r="DQ303" t="s">
        <v>123</v>
      </c>
      <c r="DR303" t="s">
        <v>123</v>
      </c>
      <c r="DS303" t="s">
        <v>123</v>
      </c>
    </row>
    <row r="304" spans="1:123" x14ac:dyDescent="0.3">
      <c r="A304">
        <v>303</v>
      </c>
      <c r="B304" t="s">
        <v>123</v>
      </c>
      <c r="C304" t="s">
        <v>123</v>
      </c>
      <c r="D304" t="s">
        <v>1226</v>
      </c>
      <c r="E304" t="s">
        <v>123</v>
      </c>
      <c r="F304" t="s">
        <v>125</v>
      </c>
      <c r="G304" t="s">
        <v>126</v>
      </c>
      <c r="H304" t="s">
        <v>127</v>
      </c>
      <c r="I304" t="s">
        <v>128</v>
      </c>
      <c r="J304" t="s">
        <v>123</v>
      </c>
      <c r="K304" t="s">
        <v>1227</v>
      </c>
      <c r="L304" t="s">
        <v>130</v>
      </c>
      <c r="M304" t="s">
        <v>1228</v>
      </c>
      <c r="N304" t="s">
        <v>158</v>
      </c>
      <c r="O304" t="s">
        <v>150</v>
      </c>
      <c r="P304" t="s">
        <v>123</v>
      </c>
      <c r="Q304" t="s">
        <v>123</v>
      </c>
      <c r="R304" t="s">
        <v>123</v>
      </c>
      <c r="S304" t="s">
        <v>123</v>
      </c>
      <c r="T304" s="1">
        <v>46507</v>
      </c>
      <c r="U304" t="s">
        <v>123</v>
      </c>
      <c r="V304" t="s">
        <v>123</v>
      </c>
      <c r="W304" t="s">
        <v>123</v>
      </c>
      <c r="X304" t="s">
        <v>123</v>
      </c>
      <c r="Y304" t="s">
        <v>123</v>
      </c>
      <c r="Z304" t="s">
        <v>123</v>
      </c>
      <c r="AA304" t="s">
        <v>123</v>
      </c>
      <c r="AB304" t="s">
        <v>1229</v>
      </c>
      <c r="AC304" t="s">
        <v>135</v>
      </c>
      <c r="AD304" t="s">
        <v>123</v>
      </c>
      <c r="AE304" t="s">
        <v>123</v>
      </c>
      <c r="AF304" t="s">
        <v>1230</v>
      </c>
      <c r="AG304" t="s">
        <v>1231</v>
      </c>
      <c r="AH304" t="s">
        <v>123</v>
      </c>
      <c r="AI304" t="s">
        <v>128</v>
      </c>
      <c r="AJ304" t="s">
        <v>186</v>
      </c>
      <c r="AK304" t="s">
        <v>163</v>
      </c>
      <c r="AL304" t="s">
        <v>123</v>
      </c>
      <c r="AM304" t="s">
        <v>123</v>
      </c>
      <c r="AN304" t="s">
        <v>123</v>
      </c>
      <c r="AO304" t="s">
        <v>123</v>
      </c>
      <c r="AP304">
        <v>250</v>
      </c>
      <c r="AQ304">
        <v>50</v>
      </c>
      <c r="AR304">
        <v>10</v>
      </c>
      <c r="AS304" t="s">
        <v>123</v>
      </c>
      <c r="AT304" t="s">
        <v>123</v>
      </c>
      <c r="AU304" t="s">
        <v>123</v>
      </c>
      <c r="AV304" t="s">
        <v>123</v>
      </c>
      <c r="AW304" t="s">
        <v>123</v>
      </c>
      <c r="AX304" t="s">
        <v>123</v>
      </c>
      <c r="AY304" t="s">
        <v>123</v>
      </c>
      <c r="AZ304" t="s">
        <v>123</v>
      </c>
      <c r="BA304" t="s">
        <v>140</v>
      </c>
      <c r="BB304" t="s">
        <v>123</v>
      </c>
      <c r="BC304" t="s">
        <v>123</v>
      </c>
      <c r="BD304" t="s">
        <v>123</v>
      </c>
      <c r="BE304" t="s">
        <v>123</v>
      </c>
      <c r="BF304" t="s">
        <v>123</v>
      </c>
      <c r="BG304" t="s">
        <v>141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s="1">
        <v>45965.25746547454</v>
      </c>
      <c r="BZ304">
        <v>1526</v>
      </c>
      <c r="CA304" t="s">
        <v>123</v>
      </c>
      <c r="CB304" t="s">
        <v>123</v>
      </c>
      <c r="CC304">
        <v>0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>
        <v>1.04E-2</v>
      </c>
      <c r="CL304">
        <v>1.1599999999999999E-2</v>
      </c>
      <c r="CM304">
        <v>1.5900000000000001E-2</v>
      </c>
      <c r="CN304">
        <v>1.77E-2</v>
      </c>
      <c r="CO304" t="s">
        <v>123</v>
      </c>
      <c r="CP304" t="s">
        <v>123</v>
      </c>
      <c r="CQ304">
        <v>6.4999999999999997E-3</v>
      </c>
      <c r="CR304">
        <v>7.1999999999999998E-3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1232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  <c r="DN304" t="s">
        <v>123</v>
      </c>
      <c r="DO304" t="s">
        <v>123</v>
      </c>
      <c r="DP304" t="s">
        <v>123</v>
      </c>
      <c r="DQ304" t="s">
        <v>123</v>
      </c>
      <c r="DR304" t="s">
        <v>123</v>
      </c>
      <c r="DS304" t="s">
        <v>123</v>
      </c>
    </row>
    <row r="305" spans="1:123" x14ac:dyDescent="0.3">
      <c r="A305">
        <v>304</v>
      </c>
      <c r="B305" t="s">
        <v>123</v>
      </c>
      <c r="C305" t="s">
        <v>123</v>
      </c>
      <c r="D305" t="s">
        <v>1233</v>
      </c>
      <c r="E305" t="s">
        <v>123</v>
      </c>
      <c r="F305" t="s">
        <v>125</v>
      </c>
      <c r="G305" t="s">
        <v>126</v>
      </c>
      <c r="H305" t="s">
        <v>127</v>
      </c>
      <c r="I305" t="s">
        <v>128</v>
      </c>
      <c r="J305" t="s">
        <v>123</v>
      </c>
      <c r="K305" t="s">
        <v>1227</v>
      </c>
      <c r="L305" t="s">
        <v>130</v>
      </c>
      <c r="M305" t="s">
        <v>1228</v>
      </c>
      <c r="N305" t="s">
        <v>180</v>
      </c>
      <c r="O305" t="s">
        <v>150</v>
      </c>
      <c r="P305" t="s">
        <v>123</v>
      </c>
      <c r="Q305" t="s">
        <v>123</v>
      </c>
      <c r="R305" t="s">
        <v>123</v>
      </c>
      <c r="S305" t="s">
        <v>123</v>
      </c>
      <c r="T305" s="1">
        <v>46507</v>
      </c>
      <c r="U305" t="s">
        <v>123</v>
      </c>
      <c r="V305" t="s">
        <v>123</v>
      </c>
      <c r="W305" t="s">
        <v>123</v>
      </c>
      <c r="X305" t="s">
        <v>123</v>
      </c>
      <c r="Y305" t="s">
        <v>123</v>
      </c>
      <c r="Z305" t="s">
        <v>123</v>
      </c>
      <c r="AA305" t="s">
        <v>123</v>
      </c>
      <c r="AB305" t="s">
        <v>1234</v>
      </c>
      <c r="AC305" t="s">
        <v>135</v>
      </c>
      <c r="AD305" t="s">
        <v>123</v>
      </c>
      <c r="AE305" t="s">
        <v>123</v>
      </c>
      <c r="AF305" t="s">
        <v>1230</v>
      </c>
      <c r="AG305" t="s">
        <v>1231</v>
      </c>
      <c r="AH305" t="s">
        <v>123</v>
      </c>
      <c r="AI305" t="s">
        <v>128</v>
      </c>
      <c r="AJ305" t="s">
        <v>186</v>
      </c>
      <c r="AK305" t="s">
        <v>163</v>
      </c>
      <c r="AL305" t="s">
        <v>123</v>
      </c>
      <c r="AM305" t="s">
        <v>123</v>
      </c>
      <c r="AN305" t="s">
        <v>123</v>
      </c>
      <c r="AO305" t="s">
        <v>123</v>
      </c>
      <c r="AP305">
        <v>250</v>
      </c>
      <c r="AQ305">
        <v>50</v>
      </c>
      <c r="AR305">
        <v>10</v>
      </c>
      <c r="AS305" t="s">
        <v>123</v>
      </c>
      <c r="AT305" t="s">
        <v>123</v>
      </c>
      <c r="AU305" t="s">
        <v>123</v>
      </c>
      <c r="AV305" t="s">
        <v>123</v>
      </c>
      <c r="AW305" t="s">
        <v>123</v>
      </c>
      <c r="AX305" t="s">
        <v>123</v>
      </c>
      <c r="AY305" t="s">
        <v>123</v>
      </c>
      <c r="AZ305" t="s">
        <v>123</v>
      </c>
      <c r="BA305" t="s">
        <v>140</v>
      </c>
      <c r="BB305" t="s">
        <v>123</v>
      </c>
      <c r="BC305" t="s">
        <v>123</v>
      </c>
      <c r="BD305" t="s">
        <v>123</v>
      </c>
      <c r="BE305" t="s">
        <v>123</v>
      </c>
      <c r="BF305" t="s">
        <v>123</v>
      </c>
      <c r="BG305" t="s">
        <v>141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123</v>
      </c>
      <c r="BX305" t="s">
        <v>123</v>
      </c>
      <c r="BY305" s="1">
        <v>45965.25753865741</v>
      </c>
      <c r="BZ305">
        <v>1526</v>
      </c>
      <c r="CA305" t="s">
        <v>123</v>
      </c>
      <c r="CB305" t="s">
        <v>123</v>
      </c>
      <c r="CC305">
        <v>0</v>
      </c>
      <c r="CD305" t="s">
        <v>123</v>
      </c>
      <c r="CE305" t="s">
        <v>123</v>
      </c>
      <c r="CF305" t="s">
        <v>123</v>
      </c>
      <c r="CG305" t="s">
        <v>123</v>
      </c>
      <c r="CH305" t="s">
        <v>123</v>
      </c>
      <c r="CI305" t="s">
        <v>123</v>
      </c>
      <c r="CJ305" t="s">
        <v>123</v>
      </c>
      <c r="CK305">
        <v>2.5399999999999999E-2</v>
      </c>
      <c r="CL305">
        <v>2.8000000000000001E-2</v>
      </c>
      <c r="CM305">
        <v>3.8699999999999998E-2</v>
      </c>
      <c r="CN305">
        <v>4.2599999999999999E-2</v>
      </c>
      <c r="CO305" t="s">
        <v>123</v>
      </c>
      <c r="CP305" t="s">
        <v>123</v>
      </c>
      <c r="CQ305">
        <v>1.5900000000000001E-2</v>
      </c>
      <c r="CR305">
        <v>1.77E-2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1232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  <c r="DN305" t="s">
        <v>123</v>
      </c>
      <c r="DO305" t="s">
        <v>123</v>
      </c>
      <c r="DP305" t="s">
        <v>123</v>
      </c>
      <c r="DQ305" t="s">
        <v>123</v>
      </c>
      <c r="DR305" t="s">
        <v>123</v>
      </c>
      <c r="DS305" t="s">
        <v>123</v>
      </c>
    </row>
    <row r="306" spans="1:123" x14ac:dyDescent="0.3">
      <c r="A306">
        <v>305</v>
      </c>
      <c r="B306" t="s">
        <v>123</v>
      </c>
      <c r="C306" t="s">
        <v>123</v>
      </c>
      <c r="D306" t="s">
        <v>1235</v>
      </c>
      <c r="E306" t="s">
        <v>123</v>
      </c>
      <c r="F306" t="s">
        <v>125</v>
      </c>
      <c r="G306" t="s">
        <v>126</v>
      </c>
      <c r="H306" t="s">
        <v>127</v>
      </c>
      <c r="I306" t="s">
        <v>128</v>
      </c>
      <c r="J306" t="s">
        <v>123</v>
      </c>
      <c r="K306" t="s">
        <v>1236</v>
      </c>
      <c r="L306" t="s">
        <v>130</v>
      </c>
      <c r="M306" t="s">
        <v>252</v>
      </c>
      <c r="N306" t="s">
        <v>158</v>
      </c>
      <c r="O306" t="s">
        <v>378</v>
      </c>
      <c r="P306" t="s">
        <v>123</v>
      </c>
      <c r="Q306" t="s">
        <v>123</v>
      </c>
      <c r="R306" t="s">
        <v>123</v>
      </c>
      <c r="S306" t="s">
        <v>123</v>
      </c>
      <c r="T306" s="1">
        <v>46911</v>
      </c>
      <c r="U306" t="s">
        <v>123</v>
      </c>
      <c r="V306" t="s">
        <v>123</v>
      </c>
      <c r="W306" t="s">
        <v>123</v>
      </c>
      <c r="X306" t="s">
        <v>123</v>
      </c>
      <c r="Y306" t="s">
        <v>123</v>
      </c>
      <c r="Z306" t="s">
        <v>123</v>
      </c>
      <c r="AA306" t="s">
        <v>123</v>
      </c>
      <c r="AB306" t="s">
        <v>1237</v>
      </c>
      <c r="AC306" t="s">
        <v>135</v>
      </c>
      <c r="AD306" t="s">
        <v>123</v>
      </c>
      <c r="AE306" t="s">
        <v>123</v>
      </c>
      <c r="AF306" t="s">
        <v>1145</v>
      </c>
      <c r="AG306" t="s">
        <v>177</v>
      </c>
      <c r="AH306" t="s">
        <v>123</v>
      </c>
      <c r="AI306" t="s">
        <v>128</v>
      </c>
      <c r="AJ306" t="s">
        <v>138</v>
      </c>
      <c r="AK306" t="s">
        <v>139</v>
      </c>
      <c r="AL306" t="s">
        <v>123</v>
      </c>
      <c r="AM306" t="s">
        <v>123</v>
      </c>
      <c r="AN306" t="s">
        <v>123</v>
      </c>
      <c r="AO306" t="s">
        <v>123</v>
      </c>
      <c r="AP306">
        <v>250</v>
      </c>
      <c r="AQ306">
        <v>50</v>
      </c>
      <c r="AR306">
        <v>10</v>
      </c>
      <c r="AS306" t="s">
        <v>123</v>
      </c>
      <c r="AT306" t="s">
        <v>123</v>
      </c>
      <c r="AU306" t="s">
        <v>123</v>
      </c>
      <c r="AV306" t="s">
        <v>123</v>
      </c>
      <c r="AW306" t="s">
        <v>123</v>
      </c>
      <c r="AX306" t="s">
        <v>123</v>
      </c>
      <c r="AY306" t="s">
        <v>123</v>
      </c>
      <c r="AZ306" t="s">
        <v>123</v>
      </c>
      <c r="BA306" t="s">
        <v>140</v>
      </c>
      <c r="BB306" t="s">
        <v>123</v>
      </c>
      <c r="BC306" t="s">
        <v>123</v>
      </c>
      <c r="BD306" t="s">
        <v>123</v>
      </c>
      <c r="BE306" t="s">
        <v>123</v>
      </c>
      <c r="BF306" t="s">
        <v>123</v>
      </c>
      <c r="BG306" t="s">
        <v>141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123</v>
      </c>
      <c r="BX306" t="s">
        <v>123</v>
      </c>
      <c r="BY306" s="1">
        <v>45965.257600775461</v>
      </c>
      <c r="BZ306">
        <v>1578</v>
      </c>
      <c r="CA306" t="s">
        <v>123</v>
      </c>
      <c r="CB306" t="s">
        <v>123</v>
      </c>
      <c r="CC306">
        <v>0</v>
      </c>
      <c r="CD306" t="s">
        <v>123</v>
      </c>
      <c r="CE306" t="s">
        <v>123</v>
      </c>
      <c r="CF306" t="s">
        <v>123</v>
      </c>
      <c r="CG306" t="s">
        <v>123</v>
      </c>
      <c r="CH306" t="s">
        <v>123</v>
      </c>
      <c r="CI306" t="s">
        <v>123</v>
      </c>
      <c r="CJ306" t="s">
        <v>123</v>
      </c>
      <c r="CK306">
        <v>1.7399999999999999E-2</v>
      </c>
      <c r="CL306">
        <v>1.9900000000000001E-2</v>
      </c>
      <c r="CM306">
        <v>2.7699999999999999E-2</v>
      </c>
      <c r="CN306">
        <v>3.1899999999999998E-2</v>
      </c>
      <c r="CO306" t="s">
        <v>123</v>
      </c>
      <c r="CP306" t="s">
        <v>123</v>
      </c>
      <c r="CQ306">
        <v>1.0999999999999999E-2</v>
      </c>
      <c r="CR306">
        <v>1.2500000000000001E-2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152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  <c r="DN306" t="s">
        <v>123</v>
      </c>
      <c r="DO306" t="s">
        <v>123</v>
      </c>
      <c r="DP306" t="s">
        <v>123</v>
      </c>
      <c r="DQ306" t="s">
        <v>123</v>
      </c>
      <c r="DR306" t="s">
        <v>123</v>
      </c>
      <c r="DS306" t="s">
        <v>123</v>
      </c>
    </row>
    <row r="307" spans="1:123" x14ac:dyDescent="0.3">
      <c r="A307">
        <v>306</v>
      </c>
      <c r="B307" t="s">
        <v>123</v>
      </c>
      <c r="C307" t="s">
        <v>123</v>
      </c>
      <c r="D307" t="s">
        <v>1238</v>
      </c>
      <c r="E307" t="s">
        <v>123</v>
      </c>
      <c r="F307" t="s">
        <v>125</v>
      </c>
      <c r="G307" t="s">
        <v>126</v>
      </c>
      <c r="H307" t="s">
        <v>127</v>
      </c>
      <c r="I307" t="s">
        <v>128</v>
      </c>
      <c r="J307" t="s">
        <v>123</v>
      </c>
      <c r="K307" t="s">
        <v>1239</v>
      </c>
      <c r="L307" t="s">
        <v>130</v>
      </c>
      <c r="M307" t="s">
        <v>1240</v>
      </c>
      <c r="N307" t="s">
        <v>158</v>
      </c>
      <c r="O307" t="s">
        <v>133</v>
      </c>
      <c r="P307" t="s">
        <v>123</v>
      </c>
      <c r="Q307" t="s">
        <v>123</v>
      </c>
      <c r="R307" t="s">
        <v>123</v>
      </c>
      <c r="S307" t="s">
        <v>123</v>
      </c>
      <c r="T307" s="1">
        <v>46393</v>
      </c>
      <c r="U307" t="s">
        <v>123</v>
      </c>
      <c r="V307" t="s">
        <v>123</v>
      </c>
      <c r="W307" t="s">
        <v>123</v>
      </c>
      <c r="X307" t="s">
        <v>123</v>
      </c>
      <c r="Y307" t="s">
        <v>123</v>
      </c>
      <c r="Z307" t="s">
        <v>123</v>
      </c>
      <c r="AA307" t="s">
        <v>123</v>
      </c>
      <c r="AB307" t="s">
        <v>1241</v>
      </c>
      <c r="AC307" t="s">
        <v>135</v>
      </c>
      <c r="AD307" t="s">
        <v>123</v>
      </c>
      <c r="AE307" t="s">
        <v>123</v>
      </c>
      <c r="AF307" t="s">
        <v>1242</v>
      </c>
      <c r="AG307" t="s">
        <v>1243</v>
      </c>
      <c r="AH307" t="s">
        <v>123</v>
      </c>
      <c r="AI307" t="s">
        <v>128</v>
      </c>
      <c r="AJ307" t="s">
        <v>138</v>
      </c>
      <c r="AK307" t="s">
        <v>139</v>
      </c>
      <c r="AL307" t="s">
        <v>123</v>
      </c>
      <c r="AM307" t="s">
        <v>123</v>
      </c>
      <c r="AN307" t="s">
        <v>123</v>
      </c>
      <c r="AO307" t="s">
        <v>123</v>
      </c>
      <c r="AP307">
        <v>250</v>
      </c>
      <c r="AQ307">
        <v>50</v>
      </c>
      <c r="AR307">
        <v>10</v>
      </c>
      <c r="AS307" t="s">
        <v>123</v>
      </c>
      <c r="AT307" t="s">
        <v>123</v>
      </c>
      <c r="AU307" t="s">
        <v>123</v>
      </c>
      <c r="AV307" t="s">
        <v>123</v>
      </c>
      <c r="AW307" t="s">
        <v>123</v>
      </c>
      <c r="AX307" t="s">
        <v>123</v>
      </c>
      <c r="AY307" t="s">
        <v>123</v>
      </c>
      <c r="AZ307" t="s">
        <v>123</v>
      </c>
      <c r="BA307" t="s">
        <v>140</v>
      </c>
      <c r="BB307" t="s">
        <v>123</v>
      </c>
      <c r="BC307" t="s">
        <v>123</v>
      </c>
      <c r="BD307" t="s">
        <v>123</v>
      </c>
      <c r="BE307" t="s">
        <v>123</v>
      </c>
      <c r="BF307" t="s">
        <v>123</v>
      </c>
      <c r="BG307" t="s">
        <v>141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s="1">
        <v>45965.257652002314</v>
      </c>
      <c r="BZ307">
        <v>1523</v>
      </c>
      <c r="CA307" t="s">
        <v>123</v>
      </c>
      <c r="CB307" t="s">
        <v>123</v>
      </c>
      <c r="CC307">
        <v>0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>
        <v>7.7000000000000002E-3</v>
      </c>
      <c r="CL307">
        <v>8.8999999999999999E-3</v>
      </c>
      <c r="CM307">
        <v>1.1299999999999999E-2</v>
      </c>
      <c r="CN307">
        <v>1.3100000000000001E-2</v>
      </c>
      <c r="CO307" t="s">
        <v>123</v>
      </c>
      <c r="CP307" t="s">
        <v>123</v>
      </c>
      <c r="CQ307">
        <v>4.7999999999999996E-3</v>
      </c>
      <c r="CR307">
        <v>5.4000000000000003E-3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142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  <c r="DN307" t="s">
        <v>123</v>
      </c>
      <c r="DO307" t="s">
        <v>123</v>
      </c>
      <c r="DP307" t="s">
        <v>123</v>
      </c>
      <c r="DQ307" t="s">
        <v>123</v>
      </c>
      <c r="DR307" t="s">
        <v>123</v>
      </c>
      <c r="DS307" t="s">
        <v>123</v>
      </c>
    </row>
    <row r="308" spans="1:123" x14ac:dyDescent="0.3">
      <c r="A308">
        <v>307</v>
      </c>
      <c r="B308" t="s">
        <v>123</v>
      </c>
      <c r="C308" t="s">
        <v>123</v>
      </c>
      <c r="D308" t="s">
        <v>1244</v>
      </c>
      <c r="E308" t="s">
        <v>123</v>
      </c>
      <c r="F308" t="s">
        <v>125</v>
      </c>
      <c r="G308" t="s">
        <v>126</v>
      </c>
      <c r="H308" t="s">
        <v>127</v>
      </c>
      <c r="I308" t="s">
        <v>128</v>
      </c>
      <c r="J308" t="s">
        <v>123</v>
      </c>
      <c r="K308" t="s">
        <v>1245</v>
      </c>
      <c r="L308" t="s">
        <v>130</v>
      </c>
      <c r="M308" t="s">
        <v>1246</v>
      </c>
      <c r="N308" t="s">
        <v>158</v>
      </c>
      <c r="O308" t="s">
        <v>150</v>
      </c>
      <c r="P308" t="s">
        <v>123</v>
      </c>
      <c r="Q308" t="s">
        <v>123</v>
      </c>
      <c r="R308" t="s">
        <v>123</v>
      </c>
      <c r="S308" t="s">
        <v>123</v>
      </c>
      <c r="T308" s="1">
        <v>46863</v>
      </c>
      <c r="U308" t="s">
        <v>123</v>
      </c>
      <c r="V308" t="s">
        <v>123</v>
      </c>
      <c r="W308" t="s">
        <v>123</v>
      </c>
      <c r="X308" t="s">
        <v>123</v>
      </c>
      <c r="Y308" t="s">
        <v>123</v>
      </c>
      <c r="Z308" t="s">
        <v>123</v>
      </c>
      <c r="AA308" t="s">
        <v>123</v>
      </c>
      <c r="AB308" t="s">
        <v>1247</v>
      </c>
      <c r="AC308" t="s">
        <v>135</v>
      </c>
      <c r="AD308" t="s">
        <v>123</v>
      </c>
      <c r="AE308" t="s">
        <v>123</v>
      </c>
      <c r="AF308" t="s">
        <v>1248</v>
      </c>
      <c r="AG308" t="s">
        <v>1249</v>
      </c>
      <c r="AH308" t="s">
        <v>123</v>
      </c>
      <c r="AI308" t="s">
        <v>128</v>
      </c>
      <c r="AJ308" t="s">
        <v>138</v>
      </c>
      <c r="AK308" t="s">
        <v>139</v>
      </c>
      <c r="AL308" t="s">
        <v>123</v>
      </c>
      <c r="AM308" t="s">
        <v>123</v>
      </c>
      <c r="AN308" t="s">
        <v>123</v>
      </c>
      <c r="AO308" t="s">
        <v>123</v>
      </c>
      <c r="AP308">
        <v>250</v>
      </c>
      <c r="AQ308">
        <v>50</v>
      </c>
      <c r="AR308">
        <v>10</v>
      </c>
      <c r="AS308" t="s">
        <v>123</v>
      </c>
      <c r="AT308" t="s">
        <v>123</v>
      </c>
      <c r="AU308" t="s">
        <v>123</v>
      </c>
      <c r="AV308" t="s">
        <v>123</v>
      </c>
      <c r="AW308" t="s">
        <v>123</v>
      </c>
      <c r="AX308" t="s">
        <v>123</v>
      </c>
      <c r="AY308" t="s">
        <v>123</v>
      </c>
      <c r="AZ308" t="s">
        <v>123</v>
      </c>
      <c r="BA308" t="s">
        <v>237</v>
      </c>
      <c r="BB308" t="s">
        <v>123</v>
      </c>
      <c r="BC308" t="s">
        <v>123</v>
      </c>
      <c r="BD308" t="s">
        <v>123</v>
      </c>
      <c r="BE308" t="s">
        <v>123</v>
      </c>
      <c r="BF308" t="s">
        <v>123</v>
      </c>
      <c r="BG308" t="s">
        <v>734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123</v>
      </c>
      <c r="BX308" t="s">
        <v>123</v>
      </c>
      <c r="BY308" s="1">
        <v>45965.257706284719</v>
      </c>
      <c r="BZ308">
        <v>1490</v>
      </c>
      <c r="CA308" t="s">
        <v>123</v>
      </c>
      <c r="CB308" t="s">
        <v>123</v>
      </c>
      <c r="CC308">
        <v>0</v>
      </c>
      <c r="CD308" t="s">
        <v>123</v>
      </c>
      <c r="CE308" t="s">
        <v>123</v>
      </c>
      <c r="CF308" t="s">
        <v>123</v>
      </c>
      <c r="CG308" t="s">
        <v>123</v>
      </c>
      <c r="CH308" t="s">
        <v>123</v>
      </c>
      <c r="CI308" t="s">
        <v>123</v>
      </c>
      <c r="CJ308" t="s">
        <v>123</v>
      </c>
      <c r="CK308">
        <v>2.46E-2</v>
      </c>
      <c r="CL308" t="s">
        <v>123</v>
      </c>
      <c r="CM308">
        <v>3.0200000000000001E-2</v>
      </c>
      <c r="CN308" t="s">
        <v>123</v>
      </c>
      <c r="CO308" t="s">
        <v>123</v>
      </c>
      <c r="CP308" t="s">
        <v>123</v>
      </c>
      <c r="CQ308">
        <v>2.0199999999999999E-2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244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  <c r="DN308" t="s">
        <v>123</v>
      </c>
      <c r="DO308" t="s">
        <v>123</v>
      </c>
      <c r="DP308" t="s">
        <v>123</v>
      </c>
      <c r="DQ308" t="s">
        <v>123</v>
      </c>
      <c r="DR308" t="s">
        <v>123</v>
      </c>
      <c r="DS308" t="s">
        <v>123</v>
      </c>
    </row>
    <row r="309" spans="1:123" x14ac:dyDescent="0.3">
      <c r="A309">
        <v>308</v>
      </c>
      <c r="B309" t="s">
        <v>123</v>
      </c>
      <c r="C309" t="s">
        <v>123</v>
      </c>
      <c r="D309" t="s">
        <v>1250</v>
      </c>
      <c r="E309" t="s">
        <v>123</v>
      </c>
      <c r="F309" t="s">
        <v>125</v>
      </c>
      <c r="G309" t="s">
        <v>126</v>
      </c>
      <c r="H309" t="s">
        <v>127</v>
      </c>
      <c r="I309" t="s">
        <v>128</v>
      </c>
      <c r="J309" t="s">
        <v>123</v>
      </c>
      <c r="K309" t="s">
        <v>1251</v>
      </c>
      <c r="L309" t="s">
        <v>130</v>
      </c>
      <c r="M309" t="s">
        <v>242</v>
      </c>
      <c r="N309" t="s">
        <v>158</v>
      </c>
      <c r="O309" t="s">
        <v>133</v>
      </c>
      <c r="P309" t="s">
        <v>123</v>
      </c>
      <c r="Q309" t="s">
        <v>123</v>
      </c>
      <c r="R309" t="s">
        <v>123</v>
      </c>
      <c r="S309" t="s">
        <v>123</v>
      </c>
      <c r="T309" s="1">
        <v>46030</v>
      </c>
      <c r="U309" t="s">
        <v>123</v>
      </c>
      <c r="V309" t="s">
        <v>123</v>
      </c>
      <c r="W309" t="s">
        <v>123</v>
      </c>
      <c r="X309" t="s">
        <v>123</v>
      </c>
      <c r="Y309" t="s">
        <v>123</v>
      </c>
      <c r="Z309" t="s">
        <v>123</v>
      </c>
      <c r="AA309" t="s">
        <v>123</v>
      </c>
      <c r="AB309" t="s">
        <v>1252</v>
      </c>
      <c r="AC309" t="s">
        <v>135</v>
      </c>
      <c r="AD309" t="s">
        <v>123</v>
      </c>
      <c r="AE309" t="s">
        <v>123</v>
      </c>
      <c r="AF309" t="s">
        <v>192</v>
      </c>
      <c r="AG309" t="s">
        <v>137</v>
      </c>
      <c r="AH309" t="s">
        <v>123</v>
      </c>
      <c r="AI309" t="s">
        <v>128</v>
      </c>
      <c r="AJ309" t="s">
        <v>138</v>
      </c>
      <c r="AK309" t="s">
        <v>139</v>
      </c>
      <c r="AL309" t="s">
        <v>123</v>
      </c>
      <c r="AM309" t="s">
        <v>123</v>
      </c>
      <c r="AN309" t="s">
        <v>123</v>
      </c>
      <c r="AO309" t="s">
        <v>123</v>
      </c>
      <c r="AP309">
        <v>250</v>
      </c>
      <c r="AQ309">
        <v>50</v>
      </c>
      <c r="AR309">
        <v>10</v>
      </c>
      <c r="AS309" t="s">
        <v>123</v>
      </c>
      <c r="AT309" t="s">
        <v>123</v>
      </c>
      <c r="AU309" t="s">
        <v>123</v>
      </c>
      <c r="AV309" t="s">
        <v>123</v>
      </c>
      <c r="AW309" t="s">
        <v>123</v>
      </c>
      <c r="AX309" t="s">
        <v>123</v>
      </c>
      <c r="AY309" t="s">
        <v>123</v>
      </c>
      <c r="AZ309" t="s">
        <v>123</v>
      </c>
      <c r="BA309" t="s">
        <v>140</v>
      </c>
      <c r="BB309" t="s">
        <v>123</v>
      </c>
      <c r="BC309" t="s">
        <v>123</v>
      </c>
      <c r="BD309" t="s">
        <v>123</v>
      </c>
      <c r="BE309" t="s">
        <v>123</v>
      </c>
      <c r="BF309" t="s">
        <v>123</v>
      </c>
      <c r="BG309" t="s">
        <v>141</v>
      </c>
      <c r="BH309" t="s">
        <v>123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123</v>
      </c>
      <c r="BX309" t="s">
        <v>123</v>
      </c>
      <c r="BY309" s="1">
        <v>45965.257753935184</v>
      </c>
      <c r="BZ309">
        <v>1548</v>
      </c>
      <c r="CA309" t="s">
        <v>123</v>
      </c>
      <c r="CB309" t="s">
        <v>123</v>
      </c>
      <c r="CC309">
        <v>0</v>
      </c>
      <c r="CD309" t="s">
        <v>123</v>
      </c>
      <c r="CE309" t="s">
        <v>123</v>
      </c>
      <c r="CF309" t="s">
        <v>123</v>
      </c>
      <c r="CG309" t="s">
        <v>123</v>
      </c>
      <c r="CH309" t="s">
        <v>123</v>
      </c>
      <c r="CI309" t="s">
        <v>123</v>
      </c>
      <c r="CJ309" t="s">
        <v>123</v>
      </c>
      <c r="CK309">
        <v>8.6999999999999994E-3</v>
      </c>
      <c r="CL309">
        <v>9.7000000000000003E-3</v>
      </c>
      <c r="CM309">
        <v>9.4999999999999998E-3</v>
      </c>
      <c r="CN309">
        <v>1.06E-2</v>
      </c>
      <c r="CO309" t="s">
        <v>123</v>
      </c>
      <c r="CP309" t="s">
        <v>123</v>
      </c>
      <c r="CQ309">
        <v>8.0000000000000002E-3</v>
      </c>
      <c r="CR309">
        <v>8.8999999999999999E-3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244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  <c r="DN309" t="s">
        <v>123</v>
      </c>
      <c r="DO309" t="s">
        <v>123</v>
      </c>
      <c r="DP309" t="s">
        <v>123</v>
      </c>
      <c r="DQ309" t="s">
        <v>123</v>
      </c>
      <c r="DR309" t="s">
        <v>123</v>
      </c>
      <c r="DS309" t="s">
        <v>123</v>
      </c>
    </row>
    <row r="310" spans="1:123" x14ac:dyDescent="0.3">
      <c r="A310">
        <v>309</v>
      </c>
      <c r="B310" t="s">
        <v>123</v>
      </c>
      <c r="C310" t="s">
        <v>123</v>
      </c>
      <c r="D310" t="s">
        <v>1253</v>
      </c>
      <c r="E310" t="s">
        <v>123</v>
      </c>
      <c r="F310" t="s">
        <v>125</v>
      </c>
      <c r="G310" t="s">
        <v>126</v>
      </c>
      <c r="H310" t="s">
        <v>127</v>
      </c>
      <c r="I310" t="s">
        <v>199</v>
      </c>
      <c r="J310" t="s">
        <v>123</v>
      </c>
      <c r="K310" t="s">
        <v>1254</v>
      </c>
      <c r="L310" t="s">
        <v>130</v>
      </c>
      <c r="M310" t="s">
        <v>1255</v>
      </c>
      <c r="N310" t="s">
        <v>123</v>
      </c>
      <c r="O310" t="s">
        <v>123</v>
      </c>
      <c r="P310" t="s">
        <v>123</v>
      </c>
      <c r="Q310" t="s">
        <v>123</v>
      </c>
      <c r="R310" t="s">
        <v>123</v>
      </c>
      <c r="S310" t="s">
        <v>123</v>
      </c>
      <c r="T310" s="1">
        <v>46413</v>
      </c>
      <c r="U310" t="s">
        <v>123</v>
      </c>
      <c r="V310" t="s">
        <v>123</v>
      </c>
      <c r="W310" t="s">
        <v>123</v>
      </c>
      <c r="X310" t="s">
        <v>123</v>
      </c>
      <c r="Y310" t="s">
        <v>123</v>
      </c>
      <c r="Z310" t="s">
        <v>123</v>
      </c>
      <c r="AA310" t="s">
        <v>123</v>
      </c>
      <c r="AB310" t="s">
        <v>1256</v>
      </c>
      <c r="AC310" t="s">
        <v>135</v>
      </c>
      <c r="AD310" t="s">
        <v>123</v>
      </c>
      <c r="AE310" t="s">
        <v>123</v>
      </c>
      <c r="AF310" t="s">
        <v>1207</v>
      </c>
      <c r="AG310" t="s">
        <v>1208</v>
      </c>
      <c r="AH310" t="s">
        <v>123</v>
      </c>
      <c r="AI310" t="s">
        <v>199</v>
      </c>
      <c r="AJ310" t="s">
        <v>138</v>
      </c>
      <c r="AK310" t="s">
        <v>163</v>
      </c>
      <c r="AL310" t="s">
        <v>123</v>
      </c>
      <c r="AM310" t="s">
        <v>123</v>
      </c>
      <c r="AN310" t="s">
        <v>123</v>
      </c>
      <c r="AO310" t="s">
        <v>123</v>
      </c>
      <c r="AP310">
        <v>250</v>
      </c>
      <c r="AQ310">
        <v>50</v>
      </c>
      <c r="AR310">
        <v>10</v>
      </c>
      <c r="AS310" t="s">
        <v>123</v>
      </c>
      <c r="AT310" t="s">
        <v>123</v>
      </c>
      <c r="AU310" t="s">
        <v>123</v>
      </c>
      <c r="AV310" t="s">
        <v>123</v>
      </c>
      <c r="AW310" t="s">
        <v>123</v>
      </c>
      <c r="AX310" t="s">
        <v>123</v>
      </c>
      <c r="AY310" t="s">
        <v>123</v>
      </c>
      <c r="AZ310" t="s">
        <v>123</v>
      </c>
      <c r="BA310" t="s">
        <v>237</v>
      </c>
      <c r="BB310" t="s">
        <v>123</v>
      </c>
      <c r="BC310" t="s">
        <v>123</v>
      </c>
      <c r="BD310" t="s">
        <v>123</v>
      </c>
      <c r="BE310" t="s">
        <v>123</v>
      </c>
      <c r="BF310" t="s">
        <v>123</v>
      </c>
      <c r="BG310" t="s">
        <v>734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s="1">
        <v>45965.257786423608</v>
      </c>
      <c r="BZ310">
        <v>1496</v>
      </c>
      <c r="CA310" t="s">
        <v>123</v>
      </c>
      <c r="CB310" t="s">
        <v>123</v>
      </c>
      <c r="CC310">
        <v>0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>
        <v>2.1399999999999999E-2</v>
      </c>
      <c r="CL310" t="s">
        <v>123</v>
      </c>
      <c r="CM310">
        <v>3.0300000000000001E-2</v>
      </c>
      <c r="CN310" t="s">
        <v>123</v>
      </c>
      <c r="CO310" t="s">
        <v>123</v>
      </c>
      <c r="CP310" t="s">
        <v>123</v>
      </c>
      <c r="CQ310">
        <v>1.47E-2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551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  <c r="DN310" t="s">
        <v>123</v>
      </c>
      <c r="DO310" t="s">
        <v>123</v>
      </c>
      <c r="DP310" t="s">
        <v>123</v>
      </c>
      <c r="DQ310" t="s">
        <v>123</v>
      </c>
      <c r="DR310" t="s">
        <v>123</v>
      </c>
      <c r="DS310" t="s">
        <v>123</v>
      </c>
    </row>
    <row r="311" spans="1:123" x14ac:dyDescent="0.3">
      <c r="A311">
        <v>310</v>
      </c>
      <c r="B311" t="s">
        <v>123</v>
      </c>
      <c r="C311" t="s">
        <v>123</v>
      </c>
      <c r="D311" t="s">
        <v>1257</v>
      </c>
      <c r="E311" t="s">
        <v>123</v>
      </c>
      <c r="F311" t="s">
        <v>125</v>
      </c>
      <c r="G311" t="s">
        <v>126</v>
      </c>
      <c r="H311" t="s">
        <v>127</v>
      </c>
      <c r="I311" t="s">
        <v>128</v>
      </c>
      <c r="J311" t="s">
        <v>123</v>
      </c>
      <c r="K311" t="s">
        <v>1258</v>
      </c>
      <c r="L311" t="s">
        <v>130</v>
      </c>
      <c r="M311" t="s">
        <v>1259</v>
      </c>
      <c r="N311" t="s">
        <v>158</v>
      </c>
      <c r="O311" t="s">
        <v>133</v>
      </c>
      <c r="P311" t="s">
        <v>123</v>
      </c>
      <c r="Q311" t="s">
        <v>123</v>
      </c>
      <c r="R311" t="s">
        <v>123</v>
      </c>
      <c r="S311" t="s">
        <v>123</v>
      </c>
      <c r="T311" s="1">
        <v>46406</v>
      </c>
      <c r="U311" t="s">
        <v>123</v>
      </c>
      <c r="V311" t="s">
        <v>123</v>
      </c>
      <c r="W311" t="s">
        <v>123</v>
      </c>
      <c r="X311" t="s">
        <v>123</v>
      </c>
      <c r="Y311" t="s">
        <v>123</v>
      </c>
      <c r="Z311" t="s">
        <v>123</v>
      </c>
      <c r="AA311" t="s">
        <v>123</v>
      </c>
      <c r="AB311" t="s">
        <v>1260</v>
      </c>
      <c r="AC311" t="s">
        <v>135</v>
      </c>
      <c r="AD311" t="s">
        <v>123</v>
      </c>
      <c r="AE311" t="s">
        <v>123</v>
      </c>
      <c r="AF311" t="s">
        <v>1207</v>
      </c>
      <c r="AG311" t="s">
        <v>1208</v>
      </c>
      <c r="AH311" t="s">
        <v>123</v>
      </c>
      <c r="AI311" t="s">
        <v>128</v>
      </c>
      <c r="AJ311" t="s">
        <v>138</v>
      </c>
      <c r="AK311" t="s">
        <v>163</v>
      </c>
      <c r="AL311" t="s">
        <v>123</v>
      </c>
      <c r="AM311" t="s">
        <v>123</v>
      </c>
      <c r="AN311" t="s">
        <v>123</v>
      </c>
      <c r="AO311" t="s">
        <v>123</v>
      </c>
      <c r="AP311">
        <v>250</v>
      </c>
      <c r="AQ311">
        <v>50</v>
      </c>
      <c r="AR311">
        <v>10</v>
      </c>
      <c r="AS311" t="s">
        <v>123</v>
      </c>
      <c r="AT311" t="s">
        <v>123</v>
      </c>
      <c r="AU311" t="s">
        <v>123</v>
      </c>
      <c r="AV311" t="s">
        <v>123</v>
      </c>
      <c r="AW311" t="s">
        <v>123</v>
      </c>
      <c r="AX311" t="s">
        <v>123</v>
      </c>
      <c r="AY311" t="s">
        <v>123</v>
      </c>
      <c r="AZ311" t="s">
        <v>123</v>
      </c>
      <c r="BA311" t="s">
        <v>237</v>
      </c>
      <c r="BB311" t="s">
        <v>123</v>
      </c>
      <c r="BC311" t="s">
        <v>123</v>
      </c>
      <c r="BD311" t="s">
        <v>123</v>
      </c>
      <c r="BE311" t="s">
        <v>123</v>
      </c>
      <c r="BF311" t="s">
        <v>123</v>
      </c>
      <c r="BG311" t="s">
        <v>734</v>
      </c>
      <c r="BH311" t="s">
        <v>123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123</v>
      </c>
      <c r="BX311" t="s">
        <v>123</v>
      </c>
      <c r="BY311" s="1">
        <v>45965.257834456017</v>
      </c>
      <c r="BZ311">
        <v>1507</v>
      </c>
      <c r="CA311" t="s">
        <v>123</v>
      </c>
      <c r="CB311" t="s">
        <v>123</v>
      </c>
      <c r="CC311">
        <v>0</v>
      </c>
      <c r="CD311" t="s">
        <v>123</v>
      </c>
      <c r="CE311" t="s">
        <v>123</v>
      </c>
      <c r="CF311" t="s">
        <v>123</v>
      </c>
      <c r="CG311" t="s">
        <v>123</v>
      </c>
      <c r="CH311" t="s">
        <v>123</v>
      </c>
      <c r="CI311" t="s">
        <v>123</v>
      </c>
      <c r="CJ311" t="s">
        <v>123</v>
      </c>
      <c r="CK311">
        <v>4.4999999999999997E-3</v>
      </c>
      <c r="CL311">
        <v>0</v>
      </c>
      <c r="CM311">
        <v>5.7999999999999996E-3</v>
      </c>
      <c r="CN311">
        <v>0</v>
      </c>
      <c r="CO311" t="s">
        <v>123</v>
      </c>
      <c r="CP311" t="s">
        <v>123</v>
      </c>
      <c r="CQ311">
        <v>3.2000000000000002E-3</v>
      </c>
      <c r="CR311">
        <v>0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205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  <c r="DN311" t="s">
        <v>123</v>
      </c>
      <c r="DO311" t="s">
        <v>123</v>
      </c>
      <c r="DP311" t="s">
        <v>123</v>
      </c>
      <c r="DQ311" t="s">
        <v>123</v>
      </c>
      <c r="DR311" t="s">
        <v>123</v>
      </c>
      <c r="DS311" t="s">
        <v>123</v>
      </c>
    </row>
    <row r="312" spans="1:123" x14ac:dyDescent="0.3">
      <c r="A312">
        <v>311</v>
      </c>
      <c r="B312" t="s">
        <v>123</v>
      </c>
      <c r="C312" t="s">
        <v>123</v>
      </c>
      <c r="D312" t="s">
        <v>1261</v>
      </c>
      <c r="E312" t="s">
        <v>123</v>
      </c>
      <c r="F312" t="s">
        <v>125</v>
      </c>
      <c r="G312" t="s">
        <v>126</v>
      </c>
      <c r="H312" t="s">
        <v>127</v>
      </c>
      <c r="I312" t="s">
        <v>128</v>
      </c>
      <c r="J312" t="s">
        <v>123</v>
      </c>
      <c r="K312" t="s">
        <v>725</v>
      </c>
      <c r="L312" t="s">
        <v>130</v>
      </c>
      <c r="M312" t="s">
        <v>726</v>
      </c>
      <c r="N312" t="s">
        <v>158</v>
      </c>
      <c r="O312" t="s">
        <v>133</v>
      </c>
      <c r="P312" t="s">
        <v>123</v>
      </c>
      <c r="Q312" t="s">
        <v>123</v>
      </c>
      <c r="R312" t="s">
        <v>123</v>
      </c>
      <c r="S312" t="s">
        <v>123</v>
      </c>
      <c r="T312" s="1">
        <v>46178</v>
      </c>
      <c r="U312" t="s">
        <v>123</v>
      </c>
      <c r="V312" t="s">
        <v>123</v>
      </c>
      <c r="W312" t="s">
        <v>123</v>
      </c>
      <c r="X312" t="s">
        <v>123</v>
      </c>
      <c r="Y312" t="s">
        <v>123</v>
      </c>
      <c r="Z312" t="s">
        <v>123</v>
      </c>
      <c r="AA312" t="s">
        <v>123</v>
      </c>
      <c r="AB312" t="s">
        <v>1262</v>
      </c>
      <c r="AC312" t="s">
        <v>135</v>
      </c>
      <c r="AD312" t="s">
        <v>123</v>
      </c>
      <c r="AE312" t="s">
        <v>123</v>
      </c>
      <c r="AF312" t="s">
        <v>1230</v>
      </c>
      <c r="AG312" t="s">
        <v>1231</v>
      </c>
      <c r="AH312" t="s">
        <v>123</v>
      </c>
      <c r="AI312" t="s">
        <v>128</v>
      </c>
      <c r="AJ312" t="s">
        <v>186</v>
      </c>
      <c r="AK312" t="s">
        <v>163</v>
      </c>
      <c r="AL312" t="s">
        <v>123</v>
      </c>
      <c r="AM312" t="s">
        <v>123</v>
      </c>
      <c r="AN312" t="s">
        <v>123</v>
      </c>
      <c r="AO312" t="s">
        <v>123</v>
      </c>
      <c r="AP312">
        <v>250</v>
      </c>
      <c r="AQ312">
        <v>50</v>
      </c>
      <c r="AR312">
        <v>10</v>
      </c>
      <c r="AS312" t="s">
        <v>123</v>
      </c>
      <c r="AT312" t="s">
        <v>123</v>
      </c>
      <c r="AU312" t="s">
        <v>123</v>
      </c>
      <c r="AV312" t="s">
        <v>123</v>
      </c>
      <c r="AW312" t="s">
        <v>123</v>
      </c>
      <c r="AX312" t="s">
        <v>123</v>
      </c>
      <c r="AY312" t="s">
        <v>123</v>
      </c>
      <c r="AZ312" t="s">
        <v>123</v>
      </c>
      <c r="BA312" t="s">
        <v>237</v>
      </c>
      <c r="BB312" t="s">
        <v>123</v>
      </c>
      <c r="BC312" t="s">
        <v>123</v>
      </c>
      <c r="BD312" t="s">
        <v>123</v>
      </c>
      <c r="BE312" t="s">
        <v>123</v>
      </c>
      <c r="BF312" t="s">
        <v>123</v>
      </c>
      <c r="BG312" t="s">
        <v>399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123</v>
      </c>
      <c r="BX312" t="s">
        <v>123</v>
      </c>
      <c r="BY312" s="1">
        <v>45965.257864583335</v>
      </c>
      <c r="BZ312">
        <v>1489</v>
      </c>
      <c r="CA312" t="s">
        <v>123</v>
      </c>
      <c r="CB312" t="s">
        <v>123</v>
      </c>
      <c r="CC312">
        <v>0</v>
      </c>
      <c r="CD312" t="s">
        <v>123</v>
      </c>
      <c r="CE312" t="s">
        <v>123</v>
      </c>
      <c r="CF312" t="s">
        <v>123</v>
      </c>
      <c r="CG312" t="s">
        <v>123</v>
      </c>
      <c r="CH312" t="s">
        <v>123</v>
      </c>
      <c r="CI312" t="s">
        <v>123</v>
      </c>
      <c r="CJ312" t="s">
        <v>123</v>
      </c>
      <c r="CK312">
        <v>2.1000000000000001E-2</v>
      </c>
      <c r="CL312">
        <v>2.2100000000000002E-2</v>
      </c>
      <c r="CM312">
        <v>2.3900000000000001E-2</v>
      </c>
      <c r="CN312">
        <v>2.5100000000000001E-2</v>
      </c>
      <c r="CO312" t="s">
        <v>123</v>
      </c>
      <c r="CP312" t="s">
        <v>123</v>
      </c>
      <c r="CQ312">
        <v>1.7999999999999999E-2</v>
      </c>
      <c r="CR312">
        <v>1.9E-2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205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  <c r="DN312" t="s">
        <v>123</v>
      </c>
      <c r="DO312" t="s">
        <v>123</v>
      </c>
      <c r="DP312" t="s">
        <v>123</v>
      </c>
      <c r="DQ312" t="s">
        <v>123</v>
      </c>
      <c r="DR312" t="s">
        <v>123</v>
      </c>
      <c r="DS312" t="s">
        <v>123</v>
      </c>
    </row>
    <row r="313" spans="1:123" x14ac:dyDescent="0.3">
      <c r="A313">
        <v>312</v>
      </c>
      <c r="B313" t="s">
        <v>123</v>
      </c>
      <c r="C313" t="s">
        <v>123</v>
      </c>
      <c r="D313" t="s">
        <v>1263</v>
      </c>
      <c r="E313" t="s">
        <v>123</v>
      </c>
      <c r="F313" t="s">
        <v>125</v>
      </c>
      <c r="G313" t="s">
        <v>126</v>
      </c>
      <c r="H313" t="s">
        <v>127</v>
      </c>
      <c r="I313" t="s">
        <v>128</v>
      </c>
      <c r="J313" t="s">
        <v>123</v>
      </c>
      <c r="K313" t="s">
        <v>725</v>
      </c>
      <c r="L313" t="s">
        <v>130</v>
      </c>
      <c r="M313" t="s">
        <v>726</v>
      </c>
      <c r="N313" t="s">
        <v>158</v>
      </c>
      <c r="O313" t="s">
        <v>159</v>
      </c>
      <c r="P313" t="s">
        <v>123</v>
      </c>
      <c r="Q313" t="s">
        <v>123</v>
      </c>
      <c r="R313" t="s">
        <v>123</v>
      </c>
      <c r="S313" t="s">
        <v>123</v>
      </c>
      <c r="T313" s="1">
        <v>46911</v>
      </c>
      <c r="U313" t="s">
        <v>123</v>
      </c>
      <c r="V313" t="s">
        <v>123</v>
      </c>
      <c r="W313" t="s">
        <v>123</v>
      </c>
      <c r="X313" t="s">
        <v>123</v>
      </c>
      <c r="Y313" t="s">
        <v>123</v>
      </c>
      <c r="Z313" t="s">
        <v>123</v>
      </c>
      <c r="AA313" t="s">
        <v>123</v>
      </c>
      <c r="AB313" t="s">
        <v>1264</v>
      </c>
      <c r="AC313" t="s">
        <v>135</v>
      </c>
      <c r="AD313" t="s">
        <v>123</v>
      </c>
      <c r="AE313" t="s">
        <v>123</v>
      </c>
      <c r="AF313" t="s">
        <v>1265</v>
      </c>
      <c r="AG313" t="s">
        <v>1266</v>
      </c>
      <c r="AH313" t="s">
        <v>123</v>
      </c>
      <c r="AI313" t="s">
        <v>128</v>
      </c>
      <c r="AJ313" t="s">
        <v>186</v>
      </c>
      <c r="AK313" t="s">
        <v>163</v>
      </c>
      <c r="AL313" t="s">
        <v>123</v>
      </c>
      <c r="AM313" t="s">
        <v>123</v>
      </c>
      <c r="AN313" t="s">
        <v>123</v>
      </c>
      <c r="AO313" t="s">
        <v>123</v>
      </c>
      <c r="AP313">
        <v>250</v>
      </c>
      <c r="AQ313">
        <v>50</v>
      </c>
      <c r="AR313">
        <v>10</v>
      </c>
      <c r="AS313" t="s">
        <v>123</v>
      </c>
      <c r="AT313" t="s">
        <v>123</v>
      </c>
      <c r="AU313" t="s">
        <v>123</v>
      </c>
      <c r="AV313" t="s">
        <v>123</v>
      </c>
      <c r="AW313" t="s">
        <v>123</v>
      </c>
      <c r="AX313" t="s">
        <v>123</v>
      </c>
      <c r="AY313" t="s">
        <v>123</v>
      </c>
      <c r="AZ313" t="s">
        <v>123</v>
      </c>
      <c r="BA313" t="s">
        <v>237</v>
      </c>
      <c r="BB313" t="s">
        <v>123</v>
      </c>
      <c r="BC313" t="s">
        <v>123</v>
      </c>
      <c r="BD313" t="s">
        <v>123</v>
      </c>
      <c r="BE313" t="s">
        <v>123</v>
      </c>
      <c r="BF313" t="s">
        <v>123</v>
      </c>
      <c r="BG313" t="s">
        <v>399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123</v>
      </c>
      <c r="BX313" t="s">
        <v>123</v>
      </c>
      <c r="BY313" s="1">
        <v>45965.257948692131</v>
      </c>
      <c r="BZ313">
        <v>1489</v>
      </c>
      <c r="CA313" t="s">
        <v>123</v>
      </c>
      <c r="CB313" t="s">
        <v>123</v>
      </c>
      <c r="CC313">
        <v>0</v>
      </c>
      <c r="CD313" t="s">
        <v>123</v>
      </c>
      <c r="CE313" t="s">
        <v>123</v>
      </c>
      <c r="CF313" t="s">
        <v>123</v>
      </c>
      <c r="CG313" t="s">
        <v>123</v>
      </c>
      <c r="CH313" t="s">
        <v>123</v>
      </c>
      <c r="CI313" t="s">
        <v>123</v>
      </c>
      <c r="CJ313" t="s">
        <v>123</v>
      </c>
      <c r="CK313">
        <v>3.2899999999999999E-2</v>
      </c>
      <c r="CL313">
        <v>3.5099999999999999E-2</v>
      </c>
      <c r="CM313">
        <v>4.0800000000000003E-2</v>
      </c>
      <c r="CN313">
        <v>4.3299999999999998E-2</v>
      </c>
      <c r="CO313" t="s">
        <v>123</v>
      </c>
      <c r="CP313" t="s">
        <v>123</v>
      </c>
      <c r="CQ313">
        <v>2.7699999999999999E-2</v>
      </c>
      <c r="CR313">
        <v>2.98E-2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205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  <c r="DN313" t="s">
        <v>123</v>
      </c>
      <c r="DO313" t="s">
        <v>123</v>
      </c>
      <c r="DP313" t="s">
        <v>123</v>
      </c>
      <c r="DQ313" t="s">
        <v>123</v>
      </c>
      <c r="DR313" t="s">
        <v>123</v>
      </c>
      <c r="DS313" t="s">
        <v>123</v>
      </c>
    </row>
    <row r="314" spans="1:123" x14ac:dyDescent="0.3">
      <c r="A314">
        <v>313</v>
      </c>
      <c r="B314" t="s">
        <v>123</v>
      </c>
      <c r="C314" t="s">
        <v>123</v>
      </c>
      <c r="D314" t="s">
        <v>1267</v>
      </c>
      <c r="E314" t="s">
        <v>123</v>
      </c>
      <c r="F314" t="s">
        <v>125</v>
      </c>
      <c r="G314" t="s">
        <v>126</v>
      </c>
      <c r="H314" t="s">
        <v>127</v>
      </c>
      <c r="I314" t="s">
        <v>128</v>
      </c>
      <c r="J314" t="s">
        <v>123</v>
      </c>
      <c r="K314" t="s">
        <v>944</v>
      </c>
      <c r="L314" t="s">
        <v>130</v>
      </c>
      <c r="M314" t="s">
        <v>945</v>
      </c>
      <c r="N314" t="s">
        <v>158</v>
      </c>
      <c r="O314" t="s">
        <v>159</v>
      </c>
      <c r="P314" t="s">
        <v>123</v>
      </c>
      <c r="Q314" t="s">
        <v>123</v>
      </c>
      <c r="R314" t="s">
        <v>123</v>
      </c>
      <c r="S314" t="s">
        <v>123</v>
      </c>
      <c r="T314" s="1">
        <v>46944</v>
      </c>
      <c r="U314" t="s">
        <v>123</v>
      </c>
      <c r="V314" t="s">
        <v>123</v>
      </c>
      <c r="W314" t="s">
        <v>123</v>
      </c>
      <c r="X314" t="s">
        <v>123</v>
      </c>
      <c r="Y314" t="s">
        <v>123</v>
      </c>
      <c r="Z314" t="s">
        <v>123</v>
      </c>
      <c r="AA314" t="s">
        <v>123</v>
      </c>
      <c r="AB314" t="s">
        <v>1268</v>
      </c>
      <c r="AC314" t="s">
        <v>135</v>
      </c>
      <c r="AD314" t="s">
        <v>123</v>
      </c>
      <c r="AE314" t="s">
        <v>123</v>
      </c>
      <c r="AF314" t="s">
        <v>136</v>
      </c>
      <c r="AG314" t="s">
        <v>137</v>
      </c>
      <c r="AH314" t="s">
        <v>123</v>
      </c>
      <c r="AI314" t="s">
        <v>128</v>
      </c>
      <c r="AJ314" t="s">
        <v>138</v>
      </c>
      <c r="AK314" t="s">
        <v>139</v>
      </c>
      <c r="AL314" t="s">
        <v>123</v>
      </c>
      <c r="AM314" t="s">
        <v>123</v>
      </c>
      <c r="AN314" t="s">
        <v>123</v>
      </c>
      <c r="AO314" t="s">
        <v>123</v>
      </c>
      <c r="AP314">
        <v>250</v>
      </c>
      <c r="AQ314">
        <v>50</v>
      </c>
      <c r="AR314">
        <v>10</v>
      </c>
      <c r="AS314" t="s">
        <v>123</v>
      </c>
      <c r="AT314" t="s">
        <v>123</v>
      </c>
      <c r="AU314" t="s">
        <v>123</v>
      </c>
      <c r="AV314" t="s">
        <v>123</v>
      </c>
      <c r="AW314" t="s">
        <v>123</v>
      </c>
      <c r="AX314" t="s">
        <v>123</v>
      </c>
      <c r="AY314" t="s">
        <v>123</v>
      </c>
      <c r="AZ314" t="s">
        <v>123</v>
      </c>
      <c r="BA314" t="s">
        <v>140</v>
      </c>
      <c r="BB314" t="s">
        <v>123</v>
      </c>
      <c r="BC314" t="s">
        <v>123</v>
      </c>
      <c r="BD314" t="s">
        <v>123</v>
      </c>
      <c r="BE314" t="s">
        <v>123</v>
      </c>
      <c r="BF314" t="s">
        <v>123</v>
      </c>
      <c r="BG314" t="s">
        <v>141</v>
      </c>
      <c r="BH314" t="s">
        <v>123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123</v>
      </c>
      <c r="BX314" t="s">
        <v>123</v>
      </c>
      <c r="BY314" s="1">
        <v>45965.258033333332</v>
      </c>
      <c r="BZ314">
        <v>1505</v>
      </c>
      <c r="CA314" t="s">
        <v>123</v>
      </c>
      <c r="CB314" t="s">
        <v>123</v>
      </c>
      <c r="CC314">
        <v>0</v>
      </c>
      <c r="CD314" t="s">
        <v>123</v>
      </c>
      <c r="CE314" t="s">
        <v>123</v>
      </c>
      <c r="CF314" t="s">
        <v>123</v>
      </c>
      <c r="CG314" t="s">
        <v>123</v>
      </c>
      <c r="CH314" t="s">
        <v>123</v>
      </c>
      <c r="CI314" t="s">
        <v>123</v>
      </c>
      <c r="CJ314" t="s">
        <v>123</v>
      </c>
      <c r="CK314">
        <v>1.0200000000000001E-2</v>
      </c>
      <c r="CL314">
        <v>1.0800000000000001E-2</v>
      </c>
      <c r="CM314">
        <v>1.1299999999999999E-2</v>
      </c>
      <c r="CN314">
        <v>1.21E-2</v>
      </c>
      <c r="CO314" t="s">
        <v>123</v>
      </c>
      <c r="CP314" t="s">
        <v>123</v>
      </c>
      <c r="CQ314">
        <v>9.1999999999999998E-3</v>
      </c>
      <c r="CR314">
        <v>9.7000000000000003E-3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205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  <c r="DN314" t="s">
        <v>123</v>
      </c>
      <c r="DO314" t="s">
        <v>123</v>
      </c>
      <c r="DP314" t="s">
        <v>123</v>
      </c>
      <c r="DQ314" t="s">
        <v>123</v>
      </c>
      <c r="DR314" t="s">
        <v>123</v>
      </c>
      <c r="DS314" t="s">
        <v>123</v>
      </c>
    </row>
    <row r="315" spans="1:123" x14ac:dyDescent="0.3">
      <c r="A315">
        <v>314</v>
      </c>
      <c r="B315" t="s">
        <v>123</v>
      </c>
      <c r="C315" t="s">
        <v>123</v>
      </c>
      <c r="D315" t="s">
        <v>1269</v>
      </c>
      <c r="E315" t="s">
        <v>123</v>
      </c>
      <c r="F315" t="s">
        <v>125</v>
      </c>
      <c r="G315" t="s">
        <v>126</v>
      </c>
      <c r="H315" t="s">
        <v>127</v>
      </c>
      <c r="I315" t="s">
        <v>199</v>
      </c>
      <c r="J315" t="s">
        <v>123</v>
      </c>
      <c r="K315" t="s">
        <v>609</v>
      </c>
      <c r="L315" t="s">
        <v>130</v>
      </c>
      <c r="M315" t="s">
        <v>610</v>
      </c>
      <c r="N315" t="s">
        <v>180</v>
      </c>
      <c r="O315" t="s">
        <v>159</v>
      </c>
      <c r="P315" t="s">
        <v>123</v>
      </c>
      <c r="Q315" t="s">
        <v>123</v>
      </c>
      <c r="R315" t="s">
        <v>123</v>
      </c>
      <c r="S315" t="s">
        <v>123</v>
      </c>
      <c r="T315" s="1">
        <v>46822</v>
      </c>
      <c r="U315" t="s">
        <v>123</v>
      </c>
      <c r="V315" t="s">
        <v>123</v>
      </c>
      <c r="W315" t="s">
        <v>123</v>
      </c>
      <c r="X315" t="s">
        <v>123</v>
      </c>
      <c r="Y315" t="s">
        <v>123</v>
      </c>
      <c r="Z315" t="s">
        <v>123</v>
      </c>
      <c r="AA315" t="s">
        <v>123</v>
      </c>
      <c r="AB315" t="s">
        <v>1270</v>
      </c>
      <c r="AC315" t="s">
        <v>135</v>
      </c>
      <c r="AD315" t="s">
        <v>123</v>
      </c>
      <c r="AE315" t="s">
        <v>123</v>
      </c>
      <c r="AF315" t="s">
        <v>176</v>
      </c>
      <c r="AG315" t="s">
        <v>177</v>
      </c>
      <c r="AH315" t="s">
        <v>123</v>
      </c>
      <c r="AI315" t="s">
        <v>199</v>
      </c>
      <c r="AJ315" t="s">
        <v>138</v>
      </c>
      <c r="AK315" t="s">
        <v>139</v>
      </c>
      <c r="AL315" t="s">
        <v>123</v>
      </c>
      <c r="AM315" t="s">
        <v>123</v>
      </c>
      <c r="AN315" t="s">
        <v>123</v>
      </c>
      <c r="AO315" t="s">
        <v>123</v>
      </c>
      <c r="AP315">
        <v>250</v>
      </c>
      <c r="AQ315">
        <v>50</v>
      </c>
      <c r="AR315">
        <v>10</v>
      </c>
      <c r="AS315" t="s">
        <v>123</v>
      </c>
      <c r="AT315" t="s">
        <v>123</v>
      </c>
      <c r="AU315" t="s">
        <v>123</v>
      </c>
      <c r="AV315" t="s">
        <v>123</v>
      </c>
      <c r="AW315" t="s">
        <v>123</v>
      </c>
      <c r="AX315" t="s">
        <v>123</v>
      </c>
      <c r="AY315" t="s">
        <v>123</v>
      </c>
      <c r="AZ315" t="s">
        <v>123</v>
      </c>
      <c r="BA315" t="s">
        <v>140</v>
      </c>
      <c r="BB315" t="s">
        <v>123</v>
      </c>
      <c r="BC315" t="s">
        <v>123</v>
      </c>
      <c r="BD315" t="s">
        <v>123</v>
      </c>
      <c r="BE315" t="s">
        <v>123</v>
      </c>
      <c r="BF315" t="s">
        <v>123</v>
      </c>
      <c r="BG315" t="s">
        <v>141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s="1">
        <v>45965.258095451391</v>
      </c>
      <c r="BZ315">
        <v>1510</v>
      </c>
      <c r="CA315" t="s">
        <v>123</v>
      </c>
      <c r="CB315" t="s">
        <v>123</v>
      </c>
      <c r="CC315">
        <v>0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>
        <v>2.2499999999999999E-2</v>
      </c>
      <c r="CL315">
        <v>2.58E-2</v>
      </c>
      <c r="CM315">
        <v>2.8199999999999999E-2</v>
      </c>
      <c r="CN315">
        <v>3.2300000000000002E-2</v>
      </c>
      <c r="CO315" t="s">
        <v>123</v>
      </c>
      <c r="CP315" t="s">
        <v>123</v>
      </c>
      <c r="CQ315">
        <v>1.7999999999999999E-2</v>
      </c>
      <c r="CR315">
        <v>2.0500000000000001E-2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214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  <c r="DN315" t="s">
        <v>123</v>
      </c>
      <c r="DO315" t="s">
        <v>123</v>
      </c>
      <c r="DP315" t="s">
        <v>123</v>
      </c>
      <c r="DQ315" t="s">
        <v>123</v>
      </c>
      <c r="DR315" t="s">
        <v>123</v>
      </c>
      <c r="DS315" t="s">
        <v>123</v>
      </c>
    </row>
    <row r="316" spans="1:123" x14ac:dyDescent="0.3">
      <c r="A316">
        <v>315</v>
      </c>
      <c r="B316" t="s">
        <v>123</v>
      </c>
      <c r="C316" t="s">
        <v>123</v>
      </c>
      <c r="D316" t="s">
        <v>1271</v>
      </c>
      <c r="E316" t="s">
        <v>123</v>
      </c>
      <c r="F316" t="s">
        <v>125</v>
      </c>
      <c r="G316" t="s">
        <v>126</v>
      </c>
      <c r="H316" t="s">
        <v>127</v>
      </c>
      <c r="I316" t="s">
        <v>199</v>
      </c>
      <c r="J316" t="s">
        <v>123</v>
      </c>
      <c r="K316" t="s">
        <v>609</v>
      </c>
      <c r="L316" t="s">
        <v>130</v>
      </c>
      <c r="M316" t="s">
        <v>610</v>
      </c>
      <c r="N316" t="s">
        <v>158</v>
      </c>
      <c r="O316" t="s">
        <v>159</v>
      </c>
      <c r="P316" t="s">
        <v>123</v>
      </c>
      <c r="Q316" t="s">
        <v>123</v>
      </c>
      <c r="R316" t="s">
        <v>123</v>
      </c>
      <c r="S316" t="s">
        <v>123</v>
      </c>
      <c r="T316" s="1">
        <v>46822</v>
      </c>
      <c r="U316" t="s">
        <v>123</v>
      </c>
      <c r="V316" t="s">
        <v>123</v>
      </c>
      <c r="W316" t="s">
        <v>123</v>
      </c>
      <c r="X316" t="s">
        <v>123</v>
      </c>
      <c r="Y316" t="s">
        <v>123</v>
      </c>
      <c r="Z316" t="s">
        <v>123</v>
      </c>
      <c r="AA316" t="s">
        <v>123</v>
      </c>
      <c r="AB316" t="s">
        <v>1272</v>
      </c>
      <c r="AC316" t="s">
        <v>135</v>
      </c>
      <c r="AD316" t="s">
        <v>123</v>
      </c>
      <c r="AE316" t="s">
        <v>123</v>
      </c>
      <c r="AF316" t="s">
        <v>176</v>
      </c>
      <c r="AG316" t="s">
        <v>177</v>
      </c>
      <c r="AH316" t="s">
        <v>123</v>
      </c>
      <c r="AI316" t="s">
        <v>199</v>
      </c>
      <c r="AJ316" t="s">
        <v>138</v>
      </c>
      <c r="AK316" t="s">
        <v>139</v>
      </c>
      <c r="AL316" t="s">
        <v>123</v>
      </c>
      <c r="AM316" t="s">
        <v>123</v>
      </c>
      <c r="AN316" t="s">
        <v>123</v>
      </c>
      <c r="AO316" t="s">
        <v>123</v>
      </c>
      <c r="AP316">
        <v>250</v>
      </c>
      <c r="AQ316">
        <v>50</v>
      </c>
      <c r="AR316">
        <v>10</v>
      </c>
      <c r="AS316" t="s">
        <v>123</v>
      </c>
      <c r="AT316" t="s">
        <v>123</v>
      </c>
      <c r="AU316" t="s">
        <v>123</v>
      </c>
      <c r="AV316" t="s">
        <v>123</v>
      </c>
      <c r="AW316" t="s">
        <v>123</v>
      </c>
      <c r="AX316" t="s">
        <v>123</v>
      </c>
      <c r="AY316" t="s">
        <v>123</v>
      </c>
      <c r="AZ316" t="s">
        <v>123</v>
      </c>
      <c r="BA316" t="s">
        <v>140</v>
      </c>
      <c r="BB316" t="s">
        <v>123</v>
      </c>
      <c r="BC316" t="s">
        <v>123</v>
      </c>
      <c r="BD316" t="s">
        <v>123</v>
      </c>
      <c r="BE316" t="s">
        <v>123</v>
      </c>
      <c r="BF316" t="s">
        <v>123</v>
      </c>
      <c r="BG316" t="s">
        <v>141</v>
      </c>
      <c r="BH316" t="s">
        <v>123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123</v>
      </c>
      <c r="BX316" t="s">
        <v>123</v>
      </c>
      <c r="BY316" s="1">
        <v>45965.258121261577</v>
      </c>
      <c r="BZ316">
        <v>1510</v>
      </c>
      <c r="CA316" t="s">
        <v>123</v>
      </c>
      <c r="CB316" t="s">
        <v>123</v>
      </c>
      <c r="CC316">
        <v>0</v>
      </c>
      <c r="CD316" t="s">
        <v>123</v>
      </c>
      <c r="CE316" t="s">
        <v>123</v>
      </c>
      <c r="CF316" t="s">
        <v>123</v>
      </c>
      <c r="CG316" t="s">
        <v>123</v>
      </c>
      <c r="CH316" t="s">
        <v>123</v>
      </c>
      <c r="CI316" t="s">
        <v>123</v>
      </c>
      <c r="CJ316" t="s">
        <v>123</v>
      </c>
      <c r="CK316">
        <v>1.2999999999999999E-2</v>
      </c>
      <c r="CL316">
        <v>1.4999999999999999E-2</v>
      </c>
      <c r="CM316">
        <v>1.41E-2</v>
      </c>
      <c r="CN316">
        <v>1.6400000000000001E-2</v>
      </c>
      <c r="CO316" t="s">
        <v>123</v>
      </c>
      <c r="CP316" t="s">
        <v>123</v>
      </c>
      <c r="CQ316">
        <v>1.2E-2</v>
      </c>
      <c r="CR316">
        <v>1.3899999999999999E-2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214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  <c r="DN316" t="s">
        <v>123</v>
      </c>
      <c r="DO316" t="s">
        <v>123</v>
      </c>
      <c r="DP316" t="s">
        <v>123</v>
      </c>
      <c r="DQ316" t="s">
        <v>123</v>
      </c>
      <c r="DR316" t="s">
        <v>123</v>
      </c>
      <c r="DS316" t="s">
        <v>123</v>
      </c>
    </row>
    <row r="317" spans="1:123" x14ac:dyDescent="0.3">
      <c r="A317">
        <v>316</v>
      </c>
      <c r="B317" t="s">
        <v>123</v>
      </c>
      <c r="C317" t="s">
        <v>123</v>
      </c>
      <c r="D317" t="s">
        <v>1273</v>
      </c>
      <c r="E317" t="s">
        <v>123</v>
      </c>
      <c r="F317" t="s">
        <v>125</v>
      </c>
      <c r="G317" t="s">
        <v>126</v>
      </c>
      <c r="H317" t="s">
        <v>127</v>
      </c>
      <c r="I317" t="s">
        <v>128</v>
      </c>
      <c r="J317" t="s">
        <v>123</v>
      </c>
      <c r="K317" t="s">
        <v>1274</v>
      </c>
      <c r="L317" t="s">
        <v>130</v>
      </c>
      <c r="M317" t="s">
        <v>595</v>
      </c>
      <c r="N317" t="s">
        <v>180</v>
      </c>
      <c r="O317" t="s">
        <v>159</v>
      </c>
      <c r="P317" t="s">
        <v>123</v>
      </c>
      <c r="Q317" t="s">
        <v>123</v>
      </c>
      <c r="R317" t="s">
        <v>123</v>
      </c>
      <c r="S317" t="s">
        <v>123</v>
      </c>
      <c r="T317" s="1">
        <v>46790</v>
      </c>
      <c r="U317" t="s">
        <v>123</v>
      </c>
      <c r="V317" t="s">
        <v>123</v>
      </c>
      <c r="W317" t="s">
        <v>123</v>
      </c>
      <c r="X317" t="s">
        <v>123</v>
      </c>
      <c r="Y317" t="s">
        <v>123</v>
      </c>
      <c r="Z317" t="s">
        <v>123</v>
      </c>
      <c r="AA317" t="s">
        <v>123</v>
      </c>
      <c r="AB317" t="s">
        <v>1275</v>
      </c>
      <c r="AC317" t="s">
        <v>135</v>
      </c>
      <c r="AD317" t="s">
        <v>123</v>
      </c>
      <c r="AE317" t="s">
        <v>123</v>
      </c>
      <c r="AF317" t="s">
        <v>1276</v>
      </c>
      <c r="AG317" t="s">
        <v>1277</v>
      </c>
      <c r="AH317" t="s">
        <v>123</v>
      </c>
      <c r="AI317" t="s">
        <v>128</v>
      </c>
      <c r="AJ317" t="s">
        <v>138</v>
      </c>
      <c r="AK317" t="s">
        <v>163</v>
      </c>
      <c r="AL317" t="s">
        <v>123</v>
      </c>
      <c r="AM317" t="s">
        <v>123</v>
      </c>
      <c r="AN317" t="s">
        <v>123</v>
      </c>
      <c r="AO317" t="s">
        <v>123</v>
      </c>
      <c r="AP317">
        <v>250</v>
      </c>
      <c r="AQ317">
        <v>50</v>
      </c>
      <c r="AR317">
        <v>10</v>
      </c>
      <c r="AS317" t="s">
        <v>123</v>
      </c>
      <c r="AT317" t="s">
        <v>123</v>
      </c>
      <c r="AU317" t="s">
        <v>123</v>
      </c>
      <c r="AV317" t="s">
        <v>123</v>
      </c>
      <c r="AW317" t="s">
        <v>123</v>
      </c>
      <c r="AX317" t="s">
        <v>123</v>
      </c>
      <c r="AY317" t="s">
        <v>123</v>
      </c>
      <c r="AZ317" t="s">
        <v>123</v>
      </c>
      <c r="BA317" t="s">
        <v>140</v>
      </c>
      <c r="BB317" t="s">
        <v>123</v>
      </c>
      <c r="BC317" t="s">
        <v>123</v>
      </c>
      <c r="BD317" t="s">
        <v>123</v>
      </c>
      <c r="BE317" t="s">
        <v>123</v>
      </c>
      <c r="BF317" t="s">
        <v>123</v>
      </c>
      <c r="BG317" t="s">
        <v>141</v>
      </c>
      <c r="BH317" t="s">
        <v>123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123</v>
      </c>
      <c r="BX317" t="s">
        <v>123</v>
      </c>
      <c r="BY317" s="1">
        <v>45965.258151655093</v>
      </c>
      <c r="BZ317">
        <v>1546</v>
      </c>
      <c r="CA317" t="s">
        <v>123</v>
      </c>
      <c r="CB317" t="s">
        <v>123</v>
      </c>
      <c r="CC317">
        <v>0</v>
      </c>
      <c r="CD317" t="s">
        <v>123</v>
      </c>
      <c r="CE317" t="s">
        <v>123</v>
      </c>
      <c r="CF317" t="s">
        <v>123</v>
      </c>
      <c r="CG317" t="s">
        <v>123</v>
      </c>
      <c r="CH317" t="s">
        <v>123</v>
      </c>
      <c r="CI317" t="s">
        <v>123</v>
      </c>
      <c r="CJ317" t="s">
        <v>123</v>
      </c>
      <c r="CK317">
        <v>9.1999999999999998E-3</v>
      </c>
      <c r="CL317">
        <v>0</v>
      </c>
      <c r="CM317">
        <v>1.01E-2</v>
      </c>
      <c r="CN317">
        <v>0</v>
      </c>
      <c r="CO317" t="s">
        <v>123</v>
      </c>
      <c r="CP317" t="s">
        <v>123</v>
      </c>
      <c r="CQ317">
        <v>8.2000000000000007E-3</v>
      </c>
      <c r="CR317">
        <v>0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551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  <c r="DN317" t="s">
        <v>123</v>
      </c>
      <c r="DO317" t="s">
        <v>123</v>
      </c>
      <c r="DP317" t="s">
        <v>123</v>
      </c>
      <c r="DQ317" t="s">
        <v>123</v>
      </c>
      <c r="DR317" t="s">
        <v>123</v>
      </c>
      <c r="DS317" t="s">
        <v>123</v>
      </c>
    </row>
    <row r="318" spans="1:123" x14ac:dyDescent="0.3">
      <c r="A318">
        <v>317</v>
      </c>
      <c r="B318" t="s">
        <v>123</v>
      </c>
      <c r="C318" t="s">
        <v>123</v>
      </c>
      <c r="D318" t="s">
        <v>1278</v>
      </c>
      <c r="E318" t="s">
        <v>123</v>
      </c>
      <c r="F318" t="s">
        <v>125</v>
      </c>
      <c r="G318" t="s">
        <v>126</v>
      </c>
      <c r="H318" t="s">
        <v>127</v>
      </c>
      <c r="I318" t="s">
        <v>128</v>
      </c>
      <c r="J318" t="s">
        <v>123</v>
      </c>
      <c r="K318" t="s">
        <v>1274</v>
      </c>
      <c r="L318" t="s">
        <v>130</v>
      </c>
      <c r="M318" t="s">
        <v>595</v>
      </c>
      <c r="N318" t="s">
        <v>158</v>
      </c>
      <c r="O318" t="s">
        <v>159</v>
      </c>
      <c r="P318" t="s">
        <v>123</v>
      </c>
      <c r="Q318" t="s">
        <v>123</v>
      </c>
      <c r="R318" t="s">
        <v>123</v>
      </c>
      <c r="S318" t="s">
        <v>123</v>
      </c>
      <c r="T318" s="1">
        <v>46790</v>
      </c>
      <c r="U318" t="s">
        <v>123</v>
      </c>
      <c r="V318" t="s">
        <v>123</v>
      </c>
      <c r="W318" t="s">
        <v>123</v>
      </c>
      <c r="X318" t="s">
        <v>123</v>
      </c>
      <c r="Y318" t="s">
        <v>123</v>
      </c>
      <c r="Z318" t="s">
        <v>123</v>
      </c>
      <c r="AA318" t="s">
        <v>123</v>
      </c>
      <c r="AB318" t="s">
        <v>1279</v>
      </c>
      <c r="AC318" t="s">
        <v>135</v>
      </c>
      <c r="AD318" t="s">
        <v>123</v>
      </c>
      <c r="AE318" t="s">
        <v>123</v>
      </c>
      <c r="AF318" t="s">
        <v>1280</v>
      </c>
      <c r="AG318" t="s">
        <v>1281</v>
      </c>
      <c r="AH318" t="s">
        <v>123</v>
      </c>
      <c r="AI318" t="s">
        <v>128</v>
      </c>
      <c r="AJ318" t="s">
        <v>186</v>
      </c>
      <c r="AK318" t="s">
        <v>163</v>
      </c>
      <c r="AL318" t="s">
        <v>123</v>
      </c>
      <c r="AM318" t="s">
        <v>123</v>
      </c>
      <c r="AN318" t="s">
        <v>123</v>
      </c>
      <c r="AO318" t="s">
        <v>123</v>
      </c>
      <c r="AP318">
        <v>250</v>
      </c>
      <c r="AQ318">
        <v>50</v>
      </c>
      <c r="AR318">
        <v>10</v>
      </c>
      <c r="AS318" t="s">
        <v>123</v>
      </c>
      <c r="AT318" t="s">
        <v>123</v>
      </c>
      <c r="AU318" t="s">
        <v>123</v>
      </c>
      <c r="AV318" t="s">
        <v>123</v>
      </c>
      <c r="AW318" t="s">
        <v>123</v>
      </c>
      <c r="AX318" t="s">
        <v>123</v>
      </c>
      <c r="AY318" t="s">
        <v>123</v>
      </c>
      <c r="AZ318" t="s">
        <v>123</v>
      </c>
      <c r="BA318" t="s">
        <v>140</v>
      </c>
      <c r="BB318" t="s">
        <v>123</v>
      </c>
      <c r="BC318" t="s">
        <v>123</v>
      </c>
      <c r="BD318" t="s">
        <v>123</v>
      </c>
      <c r="BE318" t="s">
        <v>123</v>
      </c>
      <c r="BF318" t="s">
        <v>123</v>
      </c>
      <c r="BG318" t="s">
        <v>141</v>
      </c>
      <c r="BH318" t="s">
        <v>123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123</v>
      </c>
      <c r="BX318" t="s">
        <v>123</v>
      </c>
      <c r="BY318" s="1">
        <v>45965.258220520831</v>
      </c>
      <c r="BZ318">
        <v>1546</v>
      </c>
      <c r="CA318" t="s">
        <v>123</v>
      </c>
      <c r="CB318" t="s">
        <v>123</v>
      </c>
      <c r="CC318">
        <v>0</v>
      </c>
      <c r="CD318" t="s">
        <v>123</v>
      </c>
      <c r="CE318" t="s">
        <v>123</v>
      </c>
      <c r="CF318" t="s">
        <v>123</v>
      </c>
      <c r="CG318" t="s">
        <v>123</v>
      </c>
      <c r="CH318" t="s">
        <v>123</v>
      </c>
      <c r="CI318" t="s">
        <v>123</v>
      </c>
      <c r="CJ318" t="s">
        <v>123</v>
      </c>
      <c r="CK318">
        <v>7.4999999999999997E-2</v>
      </c>
      <c r="CL318">
        <v>8.5199999999999998E-2</v>
      </c>
      <c r="CM318">
        <v>0.10440000000000001</v>
      </c>
      <c r="CN318">
        <v>0.11849999999999999</v>
      </c>
      <c r="CO318" t="s">
        <v>123</v>
      </c>
      <c r="CP318" t="s">
        <v>123</v>
      </c>
      <c r="CQ318">
        <v>4.6100000000000002E-2</v>
      </c>
      <c r="CR318">
        <v>5.1900000000000002E-2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551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  <c r="DN318" t="s">
        <v>123</v>
      </c>
      <c r="DO318" t="s">
        <v>123</v>
      </c>
      <c r="DP318" t="s">
        <v>123</v>
      </c>
      <c r="DQ318" t="s">
        <v>123</v>
      </c>
      <c r="DR318" t="s">
        <v>123</v>
      </c>
      <c r="DS318" t="s">
        <v>123</v>
      </c>
    </row>
    <row r="319" spans="1:123" x14ac:dyDescent="0.3">
      <c r="A319">
        <v>318</v>
      </c>
      <c r="B319" t="s">
        <v>123</v>
      </c>
      <c r="C319" t="s">
        <v>123</v>
      </c>
      <c r="D319" t="s">
        <v>1282</v>
      </c>
      <c r="E319" t="s">
        <v>123</v>
      </c>
      <c r="F319" t="s">
        <v>125</v>
      </c>
      <c r="G319" t="s">
        <v>126</v>
      </c>
      <c r="H319" t="s">
        <v>127</v>
      </c>
      <c r="I319" t="s">
        <v>128</v>
      </c>
      <c r="J319" t="s">
        <v>123</v>
      </c>
      <c r="K319" t="s">
        <v>1283</v>
      </c>
      <c r="L319" t="s">
        <v>130</v>
      </c>
      <c r="M319" t="s">
        <v>1284</v>
      </c>
      <c r="N319" t="s">
        <v>158</v>
      </c>
      <c r="O319" t="s">
        <v>133</v>
      </c>
      <c r="P319" t="s">
        <v>123</v>
      </c>
      <c r="Q319" t="s">
        <v>123</v>
      </c>
      <c r="R319" t="s">
        <v>123</v>
      </c>
      <c r="S319" t="s">
        <v>123</v>
      </c>
      <c r="T319" s="1">
        <v>46395</v>
      </c>
      <c r="U319" t="s">
        <v>123</v>
      </c>
      <c r="V319" t="s">
        <v>123</v>
      </c>
      <c r="W319" t="s">
        <v>123</v>
      </c>
      <c r="X319" t="s">
        <v>123</v>
      </c>
      <c r="Y319" t="s">
        <v>123</v>
      </c>
      <c r="Z319" t="s">
        <v>123</v>
      </c>
      <c r="AA319" t="s">
        <v>123</v>
      </c>
      <c r="AB319" t="s">
        <v>1285</v>
      </c>
      <c r="AC319" t="s">
        <v>135</v>
      </c>
      <c r="AD319" t="s">
        <v>123</v>
      </c>
      <c r="AE319" t="s">
        <v>123</v>
      </c>
      <c r="AF319" t="s">
        <v>1230</v>
      </c>
      <c r="AG319" t="s">
        <v>1231</v>
      </c>
      <c r="AH319" t="s">
        <v>123</v>
      </c>
      <c r="AI319" t="s">
        <v>128</v>
      </c>
      <c r="AJ319" t="s">
        <v>138</v>
      </c>
      <c r="AK319" t="s">
        <v>163</v>
      </c>
      <c r="AL319" t="s">
        <v>123</v>
      </c>
      <c r="AM319" t="s">
        <v>123</v>
      </c>
      <c r="AN319" t="s">
        <v>123</v>
      </c>
      <c r="AO319" t="s">
        <v>123</v>
      </c>
      <c r="AP319">
        <v>250</v>
      </c>
      <c r="AQ319">
        <v>50</v>
      </c>
      <c r="AR319">
        <v>10</v>
      </c>
      <c r="AS319" t="s">
        <v>123</v>
      </c>
      <c r="AT319" t="s">
        <v>123</v>
      </c>
      <c r="AU319" t="s">
        <v>123</v>
      </c>
      <c r="AV319" t="s">
        <v>123</v>
      </c>
      <c r="AW319" t="s">
        <v>123</v>
      </c>
      <c r="AX319" t="s">
        <v>123</v>
      </c>
      <c r="AY319" t="s">
        <v>123</v>
      </c>
      <c r="AZ319" t="s">
        <v>123</v>
      </c>
      <c r="BA319" t="s">
        <v>140</v>
      </c>
      <c r="BB319" t="s">
        <v>123</v>
      </c>
      <c r="BC319" t="s">
        <v>123</v>
      </c>
      <c r="BD319" t="s">
        <v>123</v>
      </c>
      <c r="BE319" t="s">
        <v>123</v>
      </c>
      <c r="BF319" t="s">
        <v>123</v>
      </c>
      <c r="BG319" t="s">
        <v>141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s="1">
        <v>45965.25830173611</v>
      </c>
      <c r="BZ319">
        <v>1479</v>
      </c>
      <c r="CA319" t="s">
        <v>123</v>
      </c>
      <c r="CB319" t="s">
        <v>123</v>
      </c>
      <c r="CC319">
        <v>0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>
        <v>5.1299999999999998E-2</v>
      </c>
      <c r="CL319">
        <v>5.5800000000000002E-2</v>
      </c>
      <c r="CM319">
        <v>8.4099999999999994E-2</v>
      </c>
      <c r="CN319">
        <v>9.1999999999999998E-2</v>
      </c>
      <c r="CO319" t="s">
        <v>123</v>
      </c>
      <c r="CP319" t="s">
        <v>123</v>
      </c>
      <c r="CQ319">
        <v>3.1800000000000002E-2</v>
      </c>
      <c r="CR319">
        <v>3.44E-2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205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  <c r="DN319" t="s">
        <v>123</v>
      </c>
      <c r="DO319" t="s">
        <v>123</v>
      </c>
      <c r="DP319" t="s">
        <v>123</v>
      </c>
      <c r="DQ319" t="s">
        <v>123</v>
      </c>
      <c r="DR319" t="s">
        <v>123</v>
      </c>
      <c r="DS319" t="s">
        <v>123</v>
      </c>
    </row>
    <row r="320" spans="1:123" x14ac:dyDescent="0.3">
      <c r="A320">
        <v>319</v>
      </c>
      <c r="B320" t="s">
        <v>123</v>
      </c>
      <c r="C320" t="s">
        <v>123</v>
      </c>
      <c r="D320" t="s">
        <v>1286</v>
      </c>
      <c r="E320" t="s">
        <v>123</v>
      </c>
      <c r="F320" t="s">
        <v>125</v>
      </c>
      <c r="G320" t="s">
        <v>126</v>
      </c>
      <c r="H320" t="s">
        <v>127</v>
      </c>
      <c r="I320" t="s">
        <v>128</v>
      </c>
      <c r="J320" t="s">
        <v>123</v>
      </c>
      <c r="K320" t="s">
        <v>1178</v>
      </c>
      <c r="L320" t="s">
        <v>130</v>
      </c>
      <c r="M320" t="s">
        <v>1179</v>
      </c>
      <c r="N320" t="s">
        <v>158</v>
      </c>
      <c r="O320" t="s">
        <v>159</v>
      </c>
      <c r="P320" t="s">
        <v>123</v>
      </c>
      <c r="Q320" t="s">
        <v>123</v>
      </c>
      <c r="R320" t="s">
        <v>123</v>
      </c>
      <c r="S320" t="s">
        <v>123</v>
      </c>
      <c r="T320" s="1">
        <v>46545</v>
      </c>
      <c r="U320" t="s">
        <v>123</v>
      </c>
      <c r="V320" t="s">
        <v>123</v>
      </c>
      <c r="W320" t="s">
        <v>123</v>
      </c>
      <c r="X320" t="s">
        <v>123</v>
      </c>
      <c r="Y320" t="s">
        <v>123</v>
      </c>
      <c r="Z320" t="s">
        <v>123</v>
      </c>
      <c r="AA320" t="s">
        <v>123</v>
      </c>
      <c r="AB320" t="s">
        <v>1287</v>
      </c>
      <c r="AC320" t="s">
        <v>135</v>
      </c>
      <c r="AD320" t="s">
        <v>123</v>
      </c>
      <c r="AE320" t="s">
        <v>123</v>
      </c>
      <c r="AF320" t="s">
        <v>1288</v>
      </c>
      <c r="AG320" t="s">
        <v>1289</v>
      </c>
      <c r="AH320" t="s">
        <v>123</v>
      </c>
      <c r="AI320" t="s">
        <v>128</v>
      </c>
      <c r="AJ320" t="s">
        <v>186</v>
      </c>
      <c r="AK320" t="s">
        <v>163</v>
      </c>
      <c r="AL320" t="s">
        <v>123</v>
      </c>
      <c r="AM320" t="s">
        <v>123</v>
      </c>
      <c r="AN320" t="s">
        <v>123</v>
      </c>
      <c r="AO320" t="s">
        <v>123</v>
      </c>
      <c r="AP320">
        <v>250</v>
      </c>
      <c r="AQ320">
        <v>50</v>
      </c>
      <c r="AR320">
        <v>10</v>
      </c>
      <c r="AS320" t="s">
        <v>123</v>
      </c>
      <c r="AT320" t="s">
        <v>123</v>
      </c>
      <c r="AU320" t="s">
        <v>123</v>
      </c>
      <c r="AV320" t="s">
        <v>123</v>
      </c>
      <c r="AW320" t="s">
        <v>123</v>
      </c>
      <c r="AX320" t="s">
        <v>123</v>
      </c>
      <c r="AY320" t="s">
        <v>123</v>
      </c>
      <c r="AZ320" t="s">
        <v>123</v>
      </c>
      <c r="BA320" t="s">
        <v>140</v>
      </c>
      <c r="BB320" t="s">
        <v>123</v>
      </c>
      <c r="BC320" t="s">
        <v>123</v>
      </c>
      <c r="BD320" t="s">
        <v>123</v>
      </c>
      <c r="BE320" t="s">
        <v>123</v>
      </c>
      <c r="BF320" t="s">
        <v>123</v>
      </c>
      <c r="BG320" t="s">
        <v>141</v>
      </c>
      <c r="BH320" t="s">
        <v>123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123</v>
      </c>
      <c r="BX320" t="s">
        <v>123</v>
      </c>
      <c r="BY320" s="1">
        <v>45965.258386886577</v>
      </c>
      <c r="BZ320">
        <v>1521</v>
      </c>
      <c r="CA320" t="s">
        <v>123</v>
      </c>
      <c r="CB320" t="s">
        <v>123</v>
      </c>
      <c r="CC320">
        <v>0</v>
      </c>
      <c r="CD320" t="s">
        <v>123</v>
      </c>
      <c r="CE320" t="s">
        <v>123</v>
      </c>
      <c r="CF320" t="s">
        <v>123</v>
      </c>
      <c r="CG320" t="s">
        <v>123</v>
      </c>
      <c r="CH320" t="s">
        <v>123</v>
      </c>
      <c r="CI320" t="s">
        <v>123</v>
      </c>
      <c r="CJ320" t="s">
        <v>123</v>
      </c>
      <c r="CK320">
        <v>8.7900000000000006E-2</v>
      </c>
      <c r="CL320">
        <v>9.9500000000000005E-2</v>
      </c>
      <c r="CM320">
        <v>0.14580000000000001</v>
      </c>
      <c r="CN320">
        <v>0.1623</v>
      </c>
      <c r="CO320" t="s">
        <v>123</v>
      </c>
      <c r="CP320" t="s">
        <v>123</v>
      </c>
      <c r="CQ320">
        <v>4.6100000000000002E-2</v>
      </c>
      <c r="CR320">
        <v>5.3800000000000001E-2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152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  <c r="DN320" t="s">
        <v>123</v>
      </c>
      <c r="DO320" t="s">
        <v>123</v>
      </c>
      <c r="DP320" t="s">
        <v>123</v>
      </c>
      <c r="DQ320" t="s">
        <v>123</v>
      </c>
      <c r="DR320" t="s">
        <v>123</v>
      </c>
      <c r="DS320" t="s">
        <v>123</v>
      </c>
    </row>
    <row r="321" spans="1:123" x14ac:dyDescent="0.3">
      <c r="A321">
        <v>320</v>
      </c>
      <c r="B321" t="s">
        <v>123</v>
      </c>
      <c r="C321" t="s">
        <v>123</v>
      </c>
      <c r="D321" t="s">
        <v>1290</v>
      </c>
      <c r="E321" t="s">
        <v>123</v>
      </c>
      <c r="F321" t="s">
        <v>125</v>
      </c>
      <c r="G321" t="s">
        <v>126</v>
      </c>
      <c r="H321" t="s">
        <v>127</v>
      </c>
      <c r="I321" t="s">
        <v>128</v>
      </c>
      <c r="J321" t="s">
        <v>123</v>
      </c>
      <c r="K321" t="s">
        <v>268</v>
      </c>
      <c r="L321" t="s">
        <v>130</v>
      </c>
      <c r="M321" t="s">
        <v>269</v>
      </c>
      <c r="N321">
        <v>2</v>
      </c>
      <c r="O321" t="s">
        <v>1291</v>
      </c>
      <c r="P321" t="s">
        <v>123</v>
      </c>
      <c r="Q321" t="s">
        <v>123</v>
      </c>
      <c r="R321" t="s">
        <v>123</v>
      </c>
      <c r="S321" t="s">
        <v>123</v>
      </c>
      <c r="T321" t="s">
        <v>123</v>
      </c>
      <c r="U321" t="s">
        <v>123</v>
      </c>
      <c r="V321" t="s">
        <v>123</v>
      </c>
      <c r="W321" t="s">
        <v>123</v>
      </c>
      <c r="X321" t="s">
        <v>123</v>
      </c>
      <c r="Y321" t="s">
        <v>123</v>
      </c>
      <c r="Z321" t="s">
        <v>123</v>
      </c>
      <c r="AA321" t="s">
        <v>123</v>
      </c>
      <c r="AB321" t="s">
        <v>1292</v>
      </c>
      <c r="AC321" t="s">
        <v>135</v>
      </c>
      <c r="AD321" t="s">
        <v>123</v>
      </c>
      <c r="AE321" t="s">
        <v>123</v>
      </c>
      <c r="AF321" t="s">
        <v>136</v>
      </c>
      <c r="AG321" t="s">
        <v>137</v>
      </c>
      <c r="AH321" t="s">
        <v>123</v>
      </c>
      <c r="AI321" t="s">
        <v>128</v>
      </c>
      <c r="AJ321" t="s">
        <v>138</v>
      </c>
      <c r="AK321" t="s">
        <v>139</v>
      </c>
      <c r="AL321" t="s">
        <v>123</v>
      </c>
      <c r="AM321" t="s">
        <v>123</v>
      </c>
      <c r="AN321" t="s">
        <v>123</v>
      </c>
      <c r="AO321" t="s">
        <v>123</v>
      </c>
      <c r="AP321">
        <v>250</v>
      </c>
      <c r="AQ321">
        <v>50</v>
      </c>
      <c r="AR321">
        <v>10</v>
      </c>
      <c r="AS321" t="s">
        <v>123</v>
      </c>
      <c r="AT321" t="s">
        <v>123</v>
      </c>
      <c r="AU321" t="s">
        <v>123</v>
      </c>
      <c r="AV321" t="s">
        <v>123</v>
      </c>
      <c r="AW321" t="s">
        <v>123</v>
      </c>
      <c r="AX321" t="s">
        <v>123</v>
      </c>
      <c r="AY321" t="s">
        <v>123</v>
      </c>
      <c r="AZ321" t="s">
        <v>123</v>
      </c>
      <c r="BA321" t="s">
        <v>140</v>
      </c>
      <c r="BB321" t="s">
        <v>123</v>
      </c>
      <c r="BC321" t="s">
        <v>123</v>
      </c>
      <c r="BD321" t="s">
        <v>123</v>
      </c>
      <c r="BE321" t="s">
        <v>123</v>
      </c>
      <c r="BF321" t="s">
        <v>123</v>
      </c>
      <c r="BG321" t="s">
        <v>141</v>
      </c>
      <c r="BH321" t="s">
        <v>123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123</v>
      </c>
      <c r="BX321" t="s">
        <v>123</v>
      </c>
      <c r="BY321" s="1">
        <v>45968.075776238424</v>
      </c>
      <c r="BZ321">
        <v>1477</v>
      </c>
      <c r="CA321" t="s">
        <v>123</v>
      </c>
      <c r="CB321" t="s">
        <v>123</v>
      </c>
      <c r="CC321">
        <v>0</v>
      </c>
      <c r="CD321" t="s">
        <v>123</v>
      </c>
      <c r="CE321" t="s">
        <v>123</v>
      </c>
      <c r="CF321" t="s">
        <v>123</v>
      </c>
      <c r="CG321" t="s">
        <v>123</v>
      </c>
      <c r="CH321" t="s">
        <v>123</v>
      </c>
      <c r="CI321" t="s">
        <v>123</v>
      </c>
      <c r="CJ321" t="s">
        <v>123</v>
      </c>
      <c r="CK321">
        <v>6.4699999999999994E-2</v>
      </c>
      <c r="CL321">
        <v>7.2700000000000001E-2</v>
      </c>
      <c r="CM321">
        <v>8.8700000000000001E-2</v>
      </c>
      <c r="CN321">
        <v>9.9099999999999994E-2</v>
      </c>
      <c r="CO321" t="s">
        <v>123</v>
      </c>
      <c r="CP321" t="s">
        <v>123</v>
      </c>
      <c r="CQ321">
        <v>4.7300000000000002E-2</v>
      </c>
      <c r="CR321">
        <v>5.3699999999999998E-2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272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  <c r="DN321" t="s">
        <v>123</v>
      </c>
      <c r="DO321" t="s">
        <v>123</v>
      </c>
      <c r="DP321" t="s">
        <v>123</v>
      </c>
      <c r="DQ321" t="s">
        <v>123</v>
      </c>
      <c r="DR321" t="s">
        <v>123</v>
      </c>
      <c r="DS321" t="s">
        <v>123</v>
      </c>
    </row>
    <row r="322" spans="1:123" x14ac:dyDescent="0.3">
      <c r="A322">
        <v>327</v>
      </c>
      <c r="B322" t="s">
        <v>123</v>
      </c>
      <c r="C322" t="s">
        <v>123</v>
      </c>
      <c r="D322" t="s">
        <v>1293</v>
      </c>
      <c r="E322" t="s">
        <v>123</v>
      </c>
      <c r="F322" t="s">
        <v>125</v>
      </c>
      <c r="G322" t="s">
        <v>126</v>
      </c>
      <c r="H322" t="s">
        <v>127</v>
      </c>
      <c r="I322" t="s">
        <v>128</v>
      </c>
      <c r="J322" t="s">
        <v>123</v>
      </c>
      <c r="K322" t="s">
        <v>461</v>
      </c>
      <c r="L322" t="s">
        <v>130</v>
      </c>
      <c r="M322" t="s">
        <v>462</v>
      </c>
      <c r="N322" t="s">
        <v>180</v>
      </c>
      <c r="O322" t="s">
        <v>133</v>
      </c>
      <c r="P322" t="s">
        <v>123</v>
      </c>
      <c r="Q322" t="s">
        <v>123</v>
      </c>
      <c r="R322" t="s">
        <v>123</v>
      </c>
      <c r="S322" t="s">
        <v>123</v>
      </c>
      <c r="T322" s="1">
        <v>46394</v>
      </c>
      <c r="U322" t="s">
        <v>123</v>
      </c>
      <c r="V322" t="s">
        <v>123</v>
      </c>
      <c r="W322" t="s">
        <v>123</v>
      </c>
      <c r="X322" t="s">
        <v>123</v>
      </c>
      <c r="Y322" t="s">
        <v>123</v>
      </c>
      <c r="Z322" t="s">
        <v>123</v>
      </c>
      <c r="AA322" t="s">
        <v>123</v>
      </c>
      <c r="AB322" t="s">
        <v>467</v>
      </c>
      <c r="AC322" t="s">
        <v>135</v>
      </c>
      <c r="AD322" t="s">
        <v>123</v>
      </c>
      <c r="AE322" t="s">
        <v>123</v>
      </c>
      <c r="AF322" t="s">
        <v>136</v>
      </c>
      <c r="AG322" t="s">
        <v>137</v>
      </c>
      <c r="AH322" t="s">
        <v>123</v>
      </c>
      <c r="AI322" t="s">
        <v>128</v>
      </c>
      <c r="AJ322" t="s">
        <v>138</v>
      </c>
      <c r="AK322" t="s">
        <v>139</v>
      </c>
      <c r="AL322" t="s">
        <v>123</v>
      </c>
      <c r="AM322" t="s">
        <v>123</v>
      </c>
      <c r="AN322" t="s">
        <v>123</v>
      </c>
      <c r="AO322" t="s">
        <v>123</v>
      </c>
      <c r="AP322">
        <v>250</v>
      </c>
      <c r="AQ322">
        <v>50</v>
      </c>
      <c r="AR322">
        <v>10</v>
      </c>
      <c r="AS322" t="s">
        <v>123</v>
      </c>
      <c r="AT322" t="s">
        <v>123</v>
      </c>
      <c r="AU322" t="s">
        <v>123</v>
      </c>
      <c r="AV322" t="s">
        <v>123</v>
      </c>
      <c r="AW322" t="s">
        <v>123</v>
      </c>
      <c r="AX322" t="s">
        <v>123</v>
      </c>
      <c r="AY322" t="s">
        <v>123</v>
      </c>
      <c r="AZ322" t="s">
        <v>123</v>
      </c>
      <c r="BA322" t="s">
        <v>140</v>
      </c>
      <c r="BB322" t="s">
        <v>123</v>
      </c>
      <c r="BC322" t="s">
        <v>123</v>
      </c>
      <c r="BD322" t="s">
        <v>123</v>
      </c>
      <c r="BE322" t="s">
        <v>123</v>
      </c>
      <c r="BF322" t="s">
        <v>123</v>
      </c>
      <c r="BG322" t="s">
        <v>141</v>
      </c>
      <c r="BH322" t="s">
        <v>123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123</v>
      </c>
      <c r="BX322" t="s">
        <v>123</v>
      </c>
      <c r="BY322" s="1">
        <v>45974.303248032411</v>
      </c>
      <c r="BZ322">
        <v>1466</v>
      </c>
      <c r="CA322" t="s">
        <v>123</v>
      </c>
      <c r="CB322" t="s">
        <v>123</v>
      </c>
      <c r="CC322">
        <v>0</v>
      </c>
      <c r="CD322" t="s">
        <v>123</v>
      </c>
      <c r="CE322" t="s">
        <v>123</v>
      </c>
      <c r="CF322" t="s">
        <v>123</v>
      </c>
      <c r="CG322" t="s">
        <v>123</v>
      </c>
      <c r="CH322" t="s">
        <v>123</v>
      </c>
      <c r="CI322" t="s">
        <v>123</v>
      </c>
      <c r="CJ322" t="s">
        <v>123</v>
      </c>
      <c r="CK322">
        <v>2.4400000000000002E-2</v>
      </c>
      <c r="CL322">
        <v>2.63E-2</v>
      </c>
      <c r="CM322">
        <v>4.19E-2</v>
      </c>
      <c r="CN322">
        <v>4.4999999999999998E-2</v>
      </c>
      <c r="CO322" t="s">
        <v>123</v>
      </c>
      <c r="CP322" t="s">
        <v>123</v>
      </c>
      <c r="CQ322">
        <v>1.2800000000000001E-2</v>
      </c>
      <c r="CR322">
        <v>1.3899999999999999E-2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142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  <c r="DN322" t="s">
        <v>123</v>
      </c>
      <c r="DO322" t="s">
        <v>123</v>
      </c>
      <c r="DP322" t="s">
        <v>123</v>
      </c>
      <c r="DQ322" t="s">
        <v>123</v>
      </c>
      <c r="DR322" t="s">
        <v>123</v>
      </c>
      <c r="DS322" t="s">
        <v>123</v>
      </c>
    </row>
    <row r="323" spans="1:123" x14ac:dyDescent="0.3">
      <c r="A323">
        <v>331</v>
      </c>
      <c r="B323" t="s">
        <v>123</v>
      </c>
      <c r="C323" t="s">
        <v>123</v>
      </c>
      <c r="D323" t="s">
        <v>1294</v>
      </c>
      <c r="E323" t="s">
        <v>123</v>
      </c>
      <c r="F323" t="s">
        <v>125</v>
      </c>
      <c r="G323" t="s">
        <v>126</v>
      </c>
      <c r="H323" t="s">
        <v>127</v>
      </c>
      <c r="I323" t="s">
        <v>128</v>
      </c>
      <c r="J323" t="s">
        <v>123</v>
      </c>
      <c r="K323" t="s">
        <v>461</v>
      </c>
      <c r="L323" t="s">
        <v>130</v>
      </c>
      <c r="M323" t="s">
        <v>462</v>
      </c>
      <c r="N323" t="s">
        <v>1295</v>
      </c>
      <c r="O323" t="s">
        <v>150</v>
      </c>
      <c r="P323" t="s">
        <v>123</v>
      </c>
      <c r="Q323" t="s">
        <v>123</v>
      </c>
      <c r="R323" t="s">
        <v>123</v>
      </c>
      <c r="S323" t="s">
        <v>123</v>
      </c>
      <c r="T323" s="1">
        <v>46759</v>
      </c>
      <c r="U323" t="s">
        <v>123</v>
      </c>
      <c r="V323" t="s">
        <v>123</v>
      </c>
      <c r="W323" t="s">
        <v>123</v>
      </c>
      <c r="X323" t="s">
        <v>123</v>
      </c>
      <c r="Y323" t="s">
        <v>123</v>
      </c>
      <c r="Z323" t="s">
        <v>123</v>
      </c>
      <c r="AA323" t="s">
        <v>123</v>
      </c>
      <c r="AB323" t="s">
        <v>471</v>
      </c>
      <c r="AC323" t="s">
        <v>135</v>
      </c>
      <c r="AD323" t="s">
        <v>123</v>
      </c>
      <c r="AE323" t="s">
        <v>123</v>
      </c>
      <c r="AF323" t="s">
        <v>136</v>
      </c>
      <c r="AG323" t="s">
        <v>137</v>
      </c>
      <c r="AH323" t="s">
        <v>123</v>
      </c>
      <c r="AI323" t="s">
        <v>128</v>
      </c>
      <c r="AJ323" t="s">
        <v>138</v>
      </c>
      <c r="AK323" t="s">
        <v>139</v>
      </c>
      <c r="AL323" t="s">
        <v>123</v>
      </c>
      <c r="AM323" t="s">
        <v>123</v>
      </c>
      <c r="AN323" t="s">
        <v>123</v>
      </c>
      <c r="AO323" t="s">
        <v>123</v>
      </c>
      <c r="AP323">
        <v>250</v>
      </c>
      <c r="AQ323">
        <v>50</v>
      </c>
      <c r="AR323">
        <v>10</v>
      </c>
      <c r="AS323" t="s">
        <v>123</v>
      </c>
      <c r="AT323" t="s">
        <v>123</v>
      </c>
      <c r="AU323" t="s">
        <v>123</v>
      </c>
      <c r="AV323" t="s">
        <v>123</v>
      </c>
      <c r="AW323" t="s">
        <v>123</v>
      </c>
      <c r="AX323" t="s">
        <v>123</v>
      </c>
      <c r="AY323" t="s">
        <v>123</v>
      </c>
      <c r="AZ323" t="s">
        <v>123</v>
      </c>
      <c r="BA323" t="s">
        <v>140</v>
      </c>
      <c r="BB323" t="s">
        <v>123</v>
      </c>
      <c r="BC323" t="s">
        <v>123</v>
      </c>
      <c r="BD323" t="s">
        <v>123</v>
      </c>
      <c r="BE323" t="s">
        <v>123</v>
      </c>
      <c r="BF323" t="s">
        <v>123</v>
      </c>
      <c r="BG323" t="s">
        <v>141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s="1">
        <v>45974.319969756943</v>
      </c>
      <c r="BZ323">
        <v>1466</v>
      </c>
      <c r="CA323" t="s">
        <v>123</v>
      </c>
      <c r="CB323" t="s">
        <v>123</v>
      </c>
      <c r="CC323">
        <v>0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>
        <v>2.7699999999999999E-2</v>
      </c>
      <c r="CL323">
        <v>0.03</v>
      </c>
      <c r="CM323">
        <v>4.1000000000000002E-2</v>
      </c>
      <c r="CN323">
        <v>4.4400000000000002E-2</v>
      </c>
      <c r="CO323" t="s">
        <v>123</v>
      </c>
      <c r="CP323" t="s">
        <v>123</v>
      </c>
      <c r="CQ323">
        <v>1.84E-2</v>
      </c>
      <c r="CR323">
        <v>1.9599999999999999E-2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142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  <c r="DN323" t="s">
        <v>123</v>
      </c>
      <c r="DO323" t="s">
        <v>123</v>
      </c>
      <c r="DP323" t="s">
        <v>123</v>
      </c>
      <c r="DQ323" t="s">
        <v>123</v>
      </c>
      <c r="DR323" t="s">
        <v>123</v>
      </c>
      <c r="DS323" t="s">
        <v>123</v>
      </c>
    </row>
    <row r="324" spans="1:123" x14ac:dyDescent="0.3">
      <c r="A324">
        <v>332</v>
      </c>
      <c r="B324" t="s">
        <v>123</v>
      </c>
      <c r="C324" t="s">
        <v>123</v>
      </c>
      <c r="D324" t="s">
        <v>1296</v>
      </c>
      <c r="E324" t="s">
        <v>123</v>
      </c>
      <c r="F324" t="s">
        <v>125</v>
      </c>
      <c r="G324" t="s">
        <v>126</v>
      </c>
      <c r="H324" t="s">
        <v>127</v>
      </c>
      <c r="I324" t="s">
        <v>128</v>
      </c>
      <c r="J324" t="s">
        <v>123</v>
      </c>
      <c r="K324" t="s">
        <v>1178</v>
      </c>
      <c r="L324" t="s">
        <v>130</v>
      </c>
      <c r="M324" t="s">
        <v>1179</v>
      </c>
      <c r="N324" t="s">
        <v>1297</v>
      </c>
      <c r="O324" t="s">
        <v>159</v>
      </c>
      <c r="P324" t="s">
        <v>123</v>
      </c>
      <c r="Q324" t="s">
        <v>123</v>
      </c>
      <c r="R324" t="s">
        <v>123</v>
      </c>
      <c r="S324" t="s">
        <v>123</v>
      </c>
      <c r="T324" s="1">
        <v>46545</v>
      </c>
      <c r="U324" t="s">
        <v>123</v>
      </c>
      <c r="V324" t="s">
        <v>123</v>
      </c>
      <c r="W324" t="s">
        <v>123</v>
      </c>
      <c r="X324" t="s">
        <v>123</v>
      </c>
      <c r="Y324" t="s">
        <v>123</v>
      </c>
      <c r="Z324" t="s">
        <v>123</v>
      </c>
      <c r="AA324" t="s">
        <v>123</v>
      </c>
      <c r="AB324" t="s">
        <v>1287</v>
      </c>
      <c r="AC324" t="s">
        <v>135</v>
      </c>
      <c r="AD324" t="s">
        <v>123</v>
      </c>
      <c r="AE324" t="s">
        <v>123</v>
      </c>
      <c r="AF324" t="s">
        <v>1288</v>
      </c>
      <c r="AG324" t="s">
        <v>1289</v>
      </c>
      <c r="AH324" t="s">
        <v>123</v>
      </c>
      <c r="AI324" t="s">
        <v>128</v>
      </c>
      <c r="AJ324" t="s">
        <v>186</v>
      </c>
      <c r="AK324" t="s">
        <v>163</v>
      </c>
      <c r="AL324" t="s">
        <v>123</v>
      </c>
      <c r="AM324" t="s">
        <v>123</v>
      </c>
      <c r="AN324" t="s">
        <v>123</v>
      </c>
      <c r="AO324" t="s">
        <v>123</v>
      </c>
      <c r="AP324">
        <v>250</v>
      </c>
      <c r="AQ324">
        <v>50</v>
      </c>
      <c r="AR324">
        <v>10</v>
      </c>
      <c r="AS324" t="s">
        <v>123</v>
      </c>
      <c r="AT324" t="s">
        <v>123</v>
      </c>
      <c r="AU324" t="s">
        <v>123</v>
      </c>
      <c r="AV324" t="s">
        <v>123</v>
      </c>
      <c r="AW324" t="s">
        <v>123</v>
      </c>
      <c r="AX324" t="s">
        <v>123</v>
      </c>
      <c r="AY324" t="s">
        <v>123</v>
      </c>
      <c r="AZ324" t="s">
        <v>123</v>
      </c>
      <c r="BA324" t="s">
        <v>140</v>
      </c>
      <c r="BB324" t="s">
        <v>123</v>
      </c>
      <c r="BC324" t="s">
        <v>123</v>
      </c>
      <c r="BD324" t="s">
        <v>123</v>
      </c>
      <c r="BE324" t="s">
        <v>123</v>
      </c>
      <c r="BF324" t="s">
        <v>123</v>
      </c>
      <c r="BG324" t="s">
        <v>141</v>
      </c>
      <c r="BH324" t="s">
        <v>123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123</v>
      </c>
      <c r="BX324" t="s">
        <v>123</v>
      </c>
      <c r="BY324" s="1">
        <v>45980.145668321762</v>
      </c>
      <c r="BZ324">
        <v>1521</v>
      </c>
      <c r="CA324" t="s">
        <v>123</v>
      </c>
      <c r="CB324" t="s">
        <v>123</v>
      </c>
      <c r="CC324">
        <v>0</v>
      </c>
      <c r="CD324" t="s">
        <v>123</v>
      </c>
      <c r="CE324" t="s">
        <v>123</v>
      </c>
      <c r="CF324" t="s">
        <v>123</v>
      </c>
      <c r="CG324" t="s">
        <v>123</v>
      </c>
      <c r="CH324" t="s">
        <v>123</v>
      </c>
      <c r="CI324" t="s">
        <v>123</v>
      </c>
      <c r="CJ324" t="s">
        <v>123</v>
      </c>
      <c r="CK324">
        <v>8.7900000000000006E-2</v>
      </c>
      <c r="CL324">
        <v>9.9500000000000005E-2</v>
      </c>
      <c r="CM324">
        <v>0.14580000000000001</v>
      </c>
      <c r="CN324">
        <v>0.1623</v>
      </c>
      <c r="CO324" t="s">
        <v>123</v>
      </c>
      <c r="CP324" t="s">
        <v>123</v>
      </c>
      <c r="CQ324">
        <v>4.6100000000000002E-2</v>
      </c>
      <c r="CR324">
        <v>5.3800000000000001E-2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152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  <c r="DN324" t="s">
        <v>123</v>
      </c>
      <c r="DO324" t="s">
        <v>123</v>
      </c>
      <c r="DP324" t="s">
        <v>123</v>
      </c>
      <c r="DQ324" t="s">
        <v>123</v>
      </c>
      <c r="DR324" t="s">
        <v>123</v>
      </c>
      <c r="DS324" t="s">
        <v>123</v>
      </c>
    </row>
    <row r="325" spans="1:123" x14ac:dyDescent="0.3">
      <c r="A325">
        <v>333</v>
      </c>
      <c r="B325" t="s">
        <v>123</v>
      </c>
      <c r="C325" t="s">
        <v>123</v>
      </c>
      <c r="D325" t="s">
        <v>1298</v>
      </c>
      <c r="E325" t="s">
        <v>123</v>
      </c>
      <c r="F325" t="s">
        <v>125</v>
      </c>
      <c r="G325" t="s">
        <v>126</v>
      </c>
      <c r="H325" t="s">
        <v>127</v>
      </c>
      <c r="I325" t="s">
        <v>1050</v>
      </c>
      <c r="J325" t="s">
        <v>123</v>
      </c>
      <c r="K325" t="s">
        <v>1051</v>
      </c>
      <c r="L325" t="s">
        <v>130</v>
      </c>
      <c r="M325" t="s">
        <v>1052</v>
      </c>
      <c r="N325" t="s">
        <v>158</v>
      </c>
      <c r="O325" t="s">
        <v>150</v>
      </c>
      <c r="P325" t="s">
        <v>123</v>
      </c>
      <c r="Q325" t="s">
        <v>123</v>
      </c>
      <c r="R325" t="s">
        <v>123</v>
      </c>
      <c r="S325" t="s">
        <v>123</v>
      </c>
      <c r="T325" s="1">
        <v>46458</v>
      </c>
      <c r="U325" t="s">
        <v>123</v>
      </c>
      <c r="V325" t="s">
        <v>123</v>
      </c>
      <c r="W325" t="s">
        <v>123</v>
      </c>
      <c r="X325" t="s">
        <v>123</v>
      </c>
      <c r="Y325" t="s">
        <v>123</v>
      </c>
      <c r="Z325" t="s">
        <v>123</v>
      </c>
      <c r="AA325" t="s">
        <v>123</v>
      </c>
      <c r="AB325" t="s">
        <v>1058</v>
      </c>
      <c r="AC325" t="s">
        <v>135</v>
      </c>
      <c r="AD325" t="s">
        <v>123</v>
      </c>
      <c r="AE325" t="s">
        <v>123</v>
      </c>
      <c r="AF325" t="s">
        <v>1054</v>
      </c>
      <c r="AG325" t="s">
        <v>265</v>
      </c>
      <c r="AH325" t="s">
        <v>123</v>
      </c>
      <c r="AI325" t="s">
        <v>1050</v>
      </c>
      <c r="AJ325" t="s">
        <v>138</v>
      </c>
      <c r="AK325" t="s">
        <v>139</v>
      </c>
      <c r="AL325" t="s">
        <v>123</v>
      </c>
      <c r="AM325" t="s">
        <v>123</v>
      </c>
      <c r="AN325" t="s">
        <v>123</v>
      </c>
      <c r="AO325" t="s">
        <v>123</v>
      </c>
      <c r="AP325">
        <v>250</v>
      </c>
      <c r="AQ325">
        <v>50</v>
      </c>
      <c r="AR325">
        <v>10</v>
      </c>
      <c r="AS325" t="s">
        <v>123</v>
      </c>
      <c r="AT325" t="s">
        <v>123</v>
      </c>
      <c r="AU325" t="s">
        <v>123</v>
      </c>
      <c r="AV325" t="s">
        <v>123</v>
      </c>
      <c r="AW325" t="s">
        <v>123</v>
      </c>
      <c r="AX325" t="s">
        <v>123</v>
      </c>
      <c r="AY325" t="s">
        <v>123</v>
      </c>
      <c r="AZ325" t="s">
        <v>123</v>
      </c>
      <c r="BA325" t="s">
        <v>140</v>
      </c>
      <c r="BB325" t="s">
        <v>123</v>
      </c>
      <c r="BC325" t="s">
        <v>123</v>
      </c>
      <c r="BD325" t="s">
        <v>123</v>
      </c>
      <c r="BE325" t="s">
        <v>123</v>
      </c>
      <c r="BF325" t="s">
        <v>123</v>
      </c>
      <c r="BG325" t="s">
        <v>141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s="1">
        <v>45980.145901585645</v>
      </c>
      <c r="BZ325">
        <v>1458</v>
      </c>
      <c r="CA325" t="s">
        <v>123</v>
      </c>
      <c r="CB325" t="s">
        <v>123</v>
      </c>
      <c r="CC325">
        <v>0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>
        <v>5.0099999999999999E-2</v>
      </c>
      <c r="CL325" t="s">
        <v>123</v>
      </c>
      <c r="CM325">
        <v>5.79E-2</v>
      </c>
      <c r="CN325" t="s">
        <v>123</v>
      </c>
      <c r="CO325" t="s">
        <v>123</v>
      </c>
      <c r="CP325" t="s">
        <v>123</v>
      </c>
      <c r="CQ325">
        <v>4.3200000000000002E-2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152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  <c r="DN325" t="s">
        <v>123</v>
      </c>
      <c r="DO325" t="s">
        <v>123</v>
      </c>
      <c r="DP325" t="s">
        <v>123</v>
      </c>
      <c r="DQ325" t="s">
        <v>123</v>
      </c>
      <c r="DR325" t="s">
        <v>123</v>
      </c>
      <c r="DS325" t="s">
        <v>123</v>
      </c>
    </row>
    <row r="326" spans="1:123" x14ac:dyDescent="0.3">
      <c r="A326">
        <v>334</v>
      </c>
      <c r="B326" t="s">
        <v>123</v>
      </c>
      <c r="C326" t="s">
        <v>123</v>
      </c>
      <c r="D326" t="s">
        <v>1299</v>
      </c>
      <c r="E326" t="s">
        <v>123</v>
      </c>
      <c r="F326" t="s">
        <v>125</v>
      </c>
      <c r="G326" t="s">
        <v>126</v>
      </c>
      <c r="H326" t="s">
        <v>127</v>
      </c>
      <c r="I326" t="s">
        <v>128</v>
      </c>
      <c r="J326" t="s">
        <v>123</v>
      </c>
      <c r="K326" t="s">
        <v>1300</v>
      </c>
      <c r="L326" t="s">
        <v>130</v>
      </c>
      <c r="M326" t="s">
        <v>1301</v>
      </c>
      <c r="N326" t="s">
        <v>158</v>
      </c>
      <c r="O326" t="s">
        <v>159</v>
      </c>
      <c r="P326" t="s">
        <v>123</v>
      </c>
      <c r="Q326" t="s">
        <v>123</v>
      </c>
      <c r="R326" t="s">
        <v>123</v>
      </c>
      <c r="S326" t="s">
        <v>123</v>
      </c>
      <c r="T326" s="1">
        <v>47459</v>
      </c>
      <c r="U326" t="s">
        <v>123</v>
      </c>
      <c r="V326" t="s">
        <v>123</v>
      </c>
      <c r="W326" t="s">
        <v>123</v>
      </c>
      <c r="X326" t="s">
        <v>123</v>
      </c>
      <c r="Y326" t="s">
        <v>123</v>
      </c>
      <c r="Z326" t="s">
        <v>123</v>
      </c>
      <c r="AA326" t="s">
        <v>123</v>
      </c>
      <c r="AB326" t="s">
        <v>1302</v>
      </c>
      <c r="AC326" t="s">
        <v>135</v>
      </c>
      <c r="AD326" t="s">
        <v>123</v>
      </c>
      <c r="AE326" t="s">
        <v>123</v>
      </c>
      <c r="AF326" t="s">
        <v>1303</v>
      </c>
      <c r="AG326" t="s">
        <v>1304</v>
      </c>
      <c r="AH326" t="s">
        <v>123</v>
      </c>
      <c r="AI326" t="s">
        <v>128</v>
      </c>
      <c r="AJ326" t="s">
        <v>138</v>
      </c>
      <c r="AK326" t="s">
        <v>163</v>
      </c>
      <c r="AL326" t="s">
        <v>123</v>
      </c>
      <c r="AM326" t="s">
        <v>123</v>
      </c>
      <c r="AN326" t="s">
        <v>123</v>
      </c>
      <c r="AO326" t="s">
        <v>123</v>
      </c>
      <c r="AP326">
        <v>250</v>
      </c>
      <c r="AQ326">
        <v>50</v>
      </c>
      <c r="AR326">
        <v>10</v>
      </c>
      <c r="AS326" t="s">
        <v>123</v>
      </c>
      <c r="AT326" t="s">
        <v>123</v>
      </c>
      <c r="AU326" t="s">
        <v>123</v>
      </c>
      <c r="AV326" t="s">
        <v>123</v>
      </c>
      <c r="AW326" t="s">
        <v>123</v>
      </c>
      <c r="AX326" t="s">
        <v>123</v>
      </c>
      <c r="AY326" t="s">
        <v>123</v>
      </c>
      <c r="AZ326" t="s">
        <v>123</v>
      </c>
      <c r="BA326" t="s">
        <v>140</v>
      </c>
      <c r="BB326" t="s">
        <v>123</v>
      </c>
      <c r="BC326" t="s">
        <v>123</v>
      </c>
      <c r="BD326" t="s">
        <v>123</v>
      </c>
      <c r="BE326" t="s">
        <v>123</v>
      </c>
      <c r="BF326" t="s">
        <v>123</v>
      </c>
      <c r="BG326" t="s">
        <v>141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s="1">
        <v>45980.163087581015</v>
      </c>
      <c r="BZ326">
        <v>1596</v>
      </c>
      <c r="CA326" t="s">
        <v>123</v>
      </c>
      <c r="CB326" t="s">
        <v>123</v>
      </c>
      <c r="CC326">
        <v>0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>
        <v>6.9599999999999995E-2</v>
      </c>
      <c r="CL326">
        <v>7.8200000000000006E-2</v>
      </c>
      <c r="CM326">
        <v>7.7799999999999994E-2</v>
      </c>
      <c r="CN326">
        <v>8.72E-2</v>
      </c>
      <c r="CO326" t="s">
        <v>123</v>
      </c>
      <c r="CP326" t="s">
        <v>123</v>
      </c>
      <c r="CQ326">
        <v>6.2700000000000006E-2</v>
      </c>
      <c r="CR326">
        <v>7.0599999999999996E-2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214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  <c r="DN326" t="s">
        <v>123</v>
      </c>
      <c r="DO326" t="s">
        <v>123</v>
      </c>
      <c r="DP326" t="s">
        <v>123</v>
      </c>
      <c r="DQ326" t="s">
        <v>123</v>
      </c>
      <c r="DR326" t="s">
        <v>123</v>
      </c>
      <c r="DS326" t="s">
        <v>123</v>
      </c>
    </row>
    <row r="327" spans="1:123" x14ac:dyDescent="0.3">
      <c r="A327">
        <v>335</v>
      </c>
      <c r="B327" t="s">
        <v>123</v>
      </c>
      <c r="C327" t="s">
        <v>123</v>
      </c>
      <c r="D327" t="s">
        <v>1305</v>
      </c>
      <c r="E327" t="s">
        <v>123</v>
      </c>
      <c r="F327" t="s">
        <v>125</v>
      </c>
      <c r="G327" t="s">
        <v>126</v>
      </c>
      <c r="H327" t="s">
        <v>127</v>
      </c>
      <c r="I327" t="s">
        <v>128</v>
      </c>
      <c r="J327" t="s">
        <v>123</v>
      </c>
      <c r="K327" t="s">
        <v>1300</v>
      </c>
      <c r="L327" t="s">
        <v>130</v>
      </c>
      <c r="M327" t="s">
        <v>1301</v>
      </c>
      <c r="N327" t="s">
        <v>248</v>
      </c>
      <c r="O327" t="s">
        <v>159</v>
      </c>
      <c r="P327" t="s">
        <v>123</v>
      </c>
      <c r="Q327" t="s">
        <v>123</v>
      </c>
      <c r="R327" t="s">
        <v>123</v>
      </c>
      <c r="S327" t="s">
        <v>123</v>
      </c>
      <c r="T327" s="1">
        <v>47459</v>
      </c>
      <c r="U327" t="s">
        <v>123</v>
      </c>
      <c r="V327" t="s">
        <v>123</v>
      </c>
      <c r="W327" t="s">
        <v>123</v>
      </c>
      <c r="X327" t="s">
        <v>123</v>
      </c>
      <c r="Y327" t="s">
        <v>123</v>
      </c>
      <c r="Z327" t="s">
        <v>123</v>
      </c>
      <c r="AA327" t="s">
        <v>123</v>
      </c>
      <c r="AB327" t="s">
        <v>1306</v>
      </c>
      <c r="AC327" t="s">
        <v>135</v>
      </c>
      <c r="AD327" t="s">
        <v>123</v>
      </c>
      <c r="AE327" t="s">
        <v>123</v>
      </c>
      <c r="AF327" t="s">
        <v>1307</v>
      </c>
      <c r="AG327" t="s">
        <v>1308</v>
      </c>
      <c r="AH327" t="s">
        <v>123</v>
      </c>
      <c r="AI327" t="s">
        <v>128</v>
      </c>
      <c r="AJ327" t="s">
        <v>186</v>
      </c>
      <c r="AK327" t="s">
        <v>163</v>
      </c>
      <c r="AL327" t="s">
        <v>123</v>
      </c>
      <c r="AM327" t="s">
        <v>123</v>
      </c>
      <c r="AN327" t="s">
        <v>123</v>
      </c>
      <c r="AO327" t="s">
        <v>123</v>
      </c>
      <c r="AP327">
        <v>250</v>
      </c>
      <c r="AQ327">
        <v>50</v>
      </c>
      <c r="AR327">
        <v>10</v>
      </c>
      <c r="AS327" t="s">
        <v>123</v>
      </c>
      <c r="AT327" t="s">
        <v>123</v>
      </c>
      <c r="AU327" t="s">
        <v>123</v>
      </c>
      <c r="AV327" t="s">
        <v>123</v>
      </c>
      <c r="AW327" t="s">
        <v>123</v>
      </c>
      <c r="AX327" t="s">
        <v>123</v>
      </c>
      <c r="AY327" t="s">
        <v>123</v>
      </c>
      <c r="AZ327" t="s">
        <v>123</v>
      </c>
      <c r="BA327" t="s">
        <v>140</v>
      </c>
      <c r="BB327" t="s">
        <v>123</v>
      </c>
      <c r="BC327" t="s">
        <v>123</v>
      </c>
      <c r="BD327" t="s">
        <v>123</v>
      </c>
      <c r="BE327" t="s">
        <v>123</v>
      </c>
      <c r="BF327" t="s">
        <v>123</v>
      </c>
      <c r="BG327" t="s">
        <v>141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s="1">
        <v>45980.163116979165</v>
      </c>
      <c r="BZ327">
        <v>1596</v>
      </c>
      <c r="CA327" t="s">
        <v>123</v>
      </c>
      <c r="CB327" t="s">
        <v>123</v>
      </c>
      <c r="CC327">
        <v>0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>
        <v>2.1399999999999999E-2</v>
      </c>
      <c r="CL327">
        <v>2.8400000000000002E-2</v>
      </c>
      <c r="CM327">
        <v>2.2200000000000001E-2</v>
      </c>
      <c r="CN327">
        <v>2.92E-2</v>
      </c>
      <c r="CO327" t="s">
        <v>123</v>
      </c>
      <c r="CP327" t="s">
        <v>123</v>
      </c>
      <c r="CQ327">
        <v>2.0199999999999999E-2</v>
      </c>
      <c r="CR327">
        <v>2.7199999999999998E-2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214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  <c r="DN327" t="s">
        <v>123</v>
      </c>
      <c r="DO327" t="s">
        <v>123</v>
      </c>
      <c r="DP327" t="s">
        <v>123</v>
      </c>
      <c r="DQ327" t="s">
        <v>123</v>
      </c>
      <c r="DR327" t="s">
        <v>123</v>
      </c>
      <c r="DS327" t="s">
        <v>123</v>
      </c>
    </row>
    <row r="328" spans="1:123" x14ac:dyDescent="0.3">
      <c r="A328">
        <v>336</v>
      </c>
      <c r="B328" t="s">
        <v>123</v>
      </c>
      <c r="C328" t="s">
        <v>123</v>
      </c>
      <c r="D328" t="s">
        <v>1309</v>
      </c>
      <c r="E328" t="s">
        <v>123</v>
      </c>
      <c r="F328" t="s">
        <v>125</v>
      </c>
      <c r="G328" t="s">
        <v>126</v>
      </c>
      <c r="H328" t="s">
        <v>127</v>
      </c>
      <c r="I328" t="s">
        <v>199</v>
      </c>
      <c r="J328" t="s">
        <v>123</v>
      </c>
      <c r="K328" t="s">
        <v>669</v>
      </c>
      <c r="L328" t="s">
        <v>130</v>
      </c>
      <c r="M328" t="s">
        <v>670</v>
      </c>
      <c r="N328" t="s">
        <v>180</v>
      </c>
      <c r="O328" t="s">
        <v>159</v>
      </c>
      <c r="P328" t="s">
        <v>123</v>
      </c>
      <c r="Q328" t="s">
        <v>123</v>
      </c>
      <c r="R328" t="s">
        <v>123</v>
      </c>
      <c r="S328" t="s">
        <v>123</v>
      </c>
      <c r="T328" t="s">
        <v>123</v>
      </c>
      <c r="U328" t="s">
        <v>123</v>
      </c>
      <c r="V328" t="s">
        <v>123</v>
      </c>
      <c r="W328" t="s">
        <v>123</v>
      </c>
      <c r="X328" t="s">
        <v>123</v>
      </c>
      <c r="Y328" t="s">
        <v>123</v>
      </c>
      <c r="Z328" t="s">
        <v>123</v>
      </c>
      <c r="AA328" t="s">
        <v>123</v>
      </c>
      <c r="AB328" t="s">
        <v>1310</v>
      </c>
      <c r="AC328" t="s">
        <v>135</v>
      </c>
      <c r="AD328" t="s">
        <v>123</v>
      </c>
      <c r="AE328" t="s">
        <v>123</v>
      </c>
      <c r="AF328" t="s">
        <v>1311</v>
      </c>
      <c r="AG328" t="s">
        <v>204</v>
      </c>
      <c r="AH328" t="s">
        <v>123</v>
      </c>
      <c r="AI328" t="s">
        <v>199</v>
      </c>
      <c r="AJ328" t="s">
        <v>138</v>
      </c>
      <c r="AK328" t="s">
        <v>139</v>
      </c>
      <c r="AL328" t="s">
        <v>123</v>
      </c>
      <c r="AM328" t="s">
        <v>123</v>
      </c>
      <c r="AN328" t="s">
        <v>123</v>
      </c>
      <c r="AO328" t="s">
        <v>123</v>
      </c>
      <c r="AP328">
        <v>250</v>
      </c>
      <c r="AQ328">
        <v>50</v>
      </c>
      <c r="AR328">
        <v>10</v>
      </c>
      <c r="AS328" t="s">
        <v>123</v>
      </c>
      <c r="AT328" t="s">
        <v>123</v>
      </c>
      <c r="AU328" t="s">
        <v>123</v>
      </c>
      <c r="AV328" t="s">
        <v>123</v>
      </c>
      <c r="AW328" t="s">
        <v>123</v>
      </c>
      <c r="AX328" t="s">
        <v>123</v>
      </c>
      <c r="AY328" t="s">
        <v>123</v>
      </c>
      <c r="AZ328" t="s">
        <v>123</v>
      </c>
      <c r="BA328" t="s">
        <v>140</v>
      </c>
      <c r="BB328" t="s">
        <v>123</v>
      </c>
      <c r="BC328" t="s">
        <v>123</v>
      </c>
      <c r="BD328" t="s">
        <v>123</v>
      </c>
      <c r="BE328" t="s">
        <v>123</v>
      </c>
      <c r="BF328" t="s">
        <v>123</v>
      </c>
      <c r="BG328" t="s">
        <v>141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s="1">
        <v>45999.057826539349</v>
      </c>
      <c r="BZ328">
        <v>1547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>
        <v>2.3800000000000002E-2</v>
      </c>
      <c r="CL328">
        <v>2.5899999999999999E-2</v>
      </c>
      <c r="CM328">
        <v>3.6999999999999998E-2</v>
      </c>
      <c r="CN328">
        <v>3.9899999999999998E-2</v>
      </c>
      <c r="CO328" t="s">
        <v>123</v>
      </c>
      <c r="CP328" t="s">
        <v>123</v>
      </c>
      <c r="CQ328">
        <v>1.5599999999999999E-2</v>
      </c>
      <c r="CR328">
        <v>1.6899999999999998E-2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205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  <c r="DN328" t="s">
        <v>123</v>
      </c>
      <c r="DO328" t="s">
        <v>123</v>
      </c>
      <c r="DP328" t="s">
        <v>123</v>
      </c>
      <c r="DQ328" t="s">
        <v>123</v>
      </c>
      <c r="DR328" t="s">
        <v>123</v>
      </c>
      <c r="DS328" t="s">
        <v>123</v>
      </c>
    </row>
    <row r="329" spans="1:123" x14ac:dyDescent="0.3">
      <c r="A329">
        <v>337</v>
      </c>
      <c r="B329" t="s">
        <v>123</v>
      </c>
      <c r="C329" t="s">
        <v>123</v>
      </c>
      <c r="D329" t="s">
        <v>1312</v>
      </c>
      <c r="E329" t="s">
        <v>123</v>
      </c>
      <c r="F329" t="s">
        <v>125</v>
      </c>
      <c r="G329" t="s">
        <v>126</v>
      </c>
      <c r="H329" t="s">
        <v>127</v>
      </c>
      <c r="I329" t="s">
        <v>199</v>
      </c>
      <c r="J329" t="s">
        <v>123</v>
      </c>
      <c r="K329" t="s">
        <v>669</v>
      </c>
      <c r="L329" t="s">
        <v>130</v>
      </c>
      <c r="M329" t="s">
        <v>670</v>
      </c>
      <c r="N329" t="s">
        <v>590</v>
      </c>
      <c r="O329" t="s">
        <v>159</v>
      </c>
      <c r="P329" t="s">
        <v>123</v>
      </c>
      <c r="Q329" t="s">
        <v>123</v>
      </c>
      <c r="R329" t="s">
        <v>123</v>
      </c>
      <c r="S329" t="s">
        <v>123</v>
      </c>
      <c r="T329" t="s">
        <v>123</v>
      </c>
      <c r="U329" t="s">
        <v>123</v>
      </c>
      <c r="V329" t="s">
        <v>123</v>
      </c>
      <c r="W329" t="s">
        <v>123</v>
      </c>
      <c r="X329" t="s">
        <v>123</v>
      </c>
      <c r="Y329" t="s">
        <v>123</v>
      </c>
      <c r="Z329" t="s">
        <v>123</v>
      </c>
      <c r="AA329" t="s">
        <v>123</v>
      </c>
      <c r="AB329" t="s">
        <v>1313</v>
      </c>
      <c r="AC329" t="s">
        <v>135</v>
      </c>
      <c r="AD329" t="s">
        <v>123</v>
      </c>
      <c r="AE329" t="s">
        <v>123</v>
      </c>
      <c r="AF329" t="s">
        <v>1314</v>
      </c>
      <c r="AG329" t="s">
        <v>204</v>
      </c>
      <c r="AH329" t="s">
        <v>123</v>
      </c>
      <c r="AI329" t="s">
        <v>199</v>
      </c>
      <c r="AJ329" t="s">
        <v>186</v>
      </c>
      <c r="AK329" t="s">
        <v>139</v>
      </c>
      <c r="AL329" t="s">
        <v>123</v>
      </c>
      <c r="AM329" t="s">
        <v>123</v>
      </c>
      <c r="AN329" t="s">
        <v>123</v>
      </c>
      <c r="AO329" t="s">
        <v>123</v>
      </c>
      <c r="AP329">
        <v>250</v>
      </c>
      <c r="AQ329">
        <v>50</v>
      </c>
      <c r="AR329">
        <v>10</v>
      </c>
      <c r="AS329" t="s">
        <v>123</v>
      </c>
      <c r="AT329" t="s">
        <v>123</v>
      </c>
      <c r="AU329" t="s">
        <v>123</v>
      </c>
      <c r="AV329" t="s">
        <v>123</v>
      </c>
      <c r="AW329" t="s">
        <v>123</v>
      </c>
      <c r="AX329" t="s">
        <v>123</v>
      </c>
      <c r="AY329" t="s">
        <v>123</v>
      </c>
      <c r="AZ329" t="s">
        <v>123</v>
      </c>
      <c r="BA329" t="s">
        <v>140</v>
      </c>
      <c r="BB329" t="s">
        <v>123</v>
      </c>
      <c r="BC329" t="s">
        <v>123</v>
      </c>
      <c r="BD329" t="s">
        <v>123</v>
      </c>
      <c r="BE329" t="s">
        <v>123</v>
      </c>
      <c r="BF329" t="s">
        <v>123</v>
      </c>
      <c r="BG329" t="s">
        <v>141</v>
      </c>
      <c r="BH329" t="s">
        <v>123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123</v>
      </c>
      <c r="BX329" t="s">
        <v>123</v>
      </c>
      <c r="BY329" s="1">
        <v>45999.057903506946</v>
      </c>
      <c r="BZ329">
        <v>1547</v>
      </c>
      <c r="CA329" t="s">
        <v>123</v>
      </c>
      <c r="CB329" t="s">
        <v>123</v>
      </c>
      <c r="CC329" t="s">
        <v>123</v>
      </c>
      <c r="CD329" t="s">
        <v>123</v>
      </c>
      <c r="CE329" t="s">
        <v>123</v>
      </c>
      <c r="CF329" t="s">
        <v>123</v>
      </c>
      <c r="CG329" t="s">
        <v>123</v>
      </c>
      <c r="CH329" t="s">
        <v>123</v>
      </c>
      <c r="CI329" t="s">
        <v>123</v>
      </c>
      <c r="CJ329" t="s">
        <v>123</v>
      </c>
      <c r="CK329">
        <v>1.2999999999999999E-2</v>
      </c>
      <c r="CL329">
        <v>1.4800000000000001E-2</v>
      </c>
      <c r="CM329">
        <v>2.92E-2</v>
      </c>
      <c r="CN329">
        <v>3.27E-2</v>
      </c>
      <c r="CO329" t="s">
        <v>123</v>
      </c>
      <c r="CP329" t="s">
        <v>123</v>
      </c>
      <c r="CQ329">
        <v>6.3E-3</v>
      </c>
      <c r="CR329">
        <v>7.4000000000000003E-3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205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  <c r="DN329" t="s">
        <v>123</v>
      </c>
      <c r="DO329" t="s">
        <v>123</v>
      </c>
      <c r="DP329" t="s">
        <v>123</v>
      </c>
      <c r="DQ329" t="s">
        <v>123</v>
      </c>
      <c r="DR329" t="s">
        <v>123</v>
      </c>
      <c r="DS329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EF90-17CE-4A3E-BEF2-23A4F522E8CF}">
  <sheetPr codeName="Sheet2"/>
  <dimension ref="A1:CC59"/>
  <sheetViews>
    <sheetView workbookViewId="0">
      <selection activeCell="E19" sqref="E19"/>
    </sheetView>
  </sheetViews>
  <sheetFormatPr defaultRowHeight="14.4" x14ac:dyDescent="0.3"/>
  <cols>
    <col min="1" max="1" width="9.109375" bestFit="1" customWidth="1"/>
    <col min="2" max="2" width="8.33203125" bestFit="1" customWidth="1"/>
    <col min="3" max="3" width="8" bestFit="1" customWidth="1"/>
    <col min="4" max="4" width="13.77734375" bestFit="1" customWidth="1"/>
    <col min="5" max="5" width="52.33203125" bestFit="1" customWidth="1"/>
    <col min="6" max="6" width="25.88671875" bestFit="1" customWidth="1"/>
    <col min="7" max="7" width="6.6640625" bestFit="1" customWidth="1"/>
    <col min="8" max="8" width="8.5546875" bestFit="1" customWidth="1"/>
    <col min="9" max="9" width="5.5546875" bestFit="1" customWidth="1"/>
    <col min="10" max="10" width="7.6640625" bestFit="1" customWidth="1"/>
    <col min="11" max="11" width="7.109375" bestFit="1" customWidth="1"/>
    <col min="12" max="12" width="9" bestFit="1" customWidth="1"/>
    <col min="13" max="13" width="10.33203125" style="3" bestFit="1" customWidth="1"/>
    <col min="14" max="14" width="18.44140625" bestFit="1" customWidth="1"/>
    <col min="15" max="15" width="11.77734375" style="3" bestFit="1" customWidth="1"/>
    <col min="16" max="16" width="11.33203125" bestFit="1" customWidth="1"/>
    <col min="17" max="17" width="15.21875" bestFit="1" customWidth="1"/>
    <col min="18" max="18" width="12.77734375" style="3" bestFit="1" customWidth="1"/>
    <col min="19" max="19" width="12.6640625" bestFit="1" customWidth="1"/>
    <col min="20" max="20" width="16.21875" bestFit="1" customWidth="1"/>
    <col min="21" max="21" width="14" bestFit="1" customWidth="1"/>
    <col min="22" max="22" width="12.88671875" bestFit="1" customWidth="1"/>
    <col min="23" max="23" width="12" bestFit="1" customWidth="1"/>
    <col min="24" max="24" width="22.77734375" bestFit="1" customWidth="1"/>
    <col min="25" max="25" width="21.77734375" bestFit="1" customWidth="1"/>
    <col min="26" max="26" width="15.109375" bestFit="1" customWidth="1"/>
    <col min="27" max="27" width="9.33203125" bestFit="1" customWidth="1"/>
    <col min="28" max="28" width="14.33203125" bestFit="1" customWidth="1"/>
    <col min="29" max="31" width="12" bestFit="1" customWidth="1"/>
    <col min="32" max="32" width="15.77734375" bestFit="1" customWidth="1"/>
    <col min="33" max="34" width="12" bestFit="1" customWidth="1"/>
    <col min="35" max="35" width="16.33203125" bestFit="1" customWidth="1"/>
    <col min="36" max="36" width="16.88671875" bestFit="1" customWidth="1"/>
    <col min="37" max="37" width="13.88671875" bestFit="1" customWidth="1"/>
    <col min="38" max="38" width="9.21875" bestFit="1" customWidth="1"/>
    <col min="39" max="39" width="8.5546875" bestFit="1" customWidth="1"/>
    <col min="40" max="40" width="15.88671875" bestFit="1" customWidth="1"/>
    <col min="41" max="41" width="11.77734375" bestFit="1" customWidth="1"/>
    <col min="42" max="42" width="5.33203125" bestFit="1" customWidth="1"/>
    <col min="43" max="43" width="12.21875" bestFit="1" customWidth="1"/>
    <col min="44" max="44" width="16.21875" bestFit="1" customWidth="1"/>
    <col min="45" max="45" width="11.77734375" bestFit="1" customWidth="1"/>
    <col min="46" max="46" width="10.5546875" bestFit="1" customWidth="1"/>
    <col min="47" max="47" width="27.21875" bestFit="1" customWidth="1"/>
    <col min="48" max="48" width="11" bestFit="1" customWidth="1"/>
    <col min="49" max="50" width="12" bestFit="1" customWidth="1"/>
    <col min="51" max="51" width="18" bestFit="1" customWidth="1"/>
    <col min="52" max="52" width="11" bestFit="1" customWidth="1"/>
    <col min="53" max="53" width="22.109375" bestFit="1" customWidth="1"/>
    <col min="54" max="54" width="5" bestFit="1" customWidth="1"/>
    <col min="55" max="55" width="11" bestFit="1" customWidth="1"/>
    <col min="56" max="56" width="7.21875" bestFit="1" customWidth="1"/>
    <col min="57" max="57" width="12" bestFit="1" customWidth="1"/>
    <col min="58" max="58" width="8" bestFit="1" customWidth="1"/>
    <col min="59" max="59" width="17.33203125" bestFit="1" customWidth="1"/>
    <col min="60" max="60" width="9.77734375" bestFit="1" customWidth="1"/>
    <col min="61" max="61" width="5" bestFit="1" customWidth="1"/>
    <col min="62" max="62" width="13.5546875" bestFit="1" customWidth="1"/>
    <col min="63" max="63" width="26.21875" bestFit="1" customWidth="1"/>
    <col min="64" max="64" width="32.33203125" bestFit="1" customWidth="1"/>
    <col min="65" max="65" width="15.44140625" bestFit="1" customWidth="1"/>
    <col min="66" max="66" width="20.77734375" bestFit="1" customWidth="1"/>
    <col min="67" max="67" width="19.33203125" bestFit="1" customWidth="1"/>
    <col min="68" max="68" width="16" bestFit="1" customWidth="1"/>
    <col min="69" max="69" width="19.21875" bestFit="1" customWidth="1"/>
    <col min="70" max="70" width="7.88671875" bestFit="1" customWidth="1"/>
    <col min="71" max="71" width="13.6640625" bestFit="1" customWidth="1"/>
    <col min="72" max="72" width="12.5546875" bestFit="1" customWidth="1"/>
    <col min="73" max="73" width="12.21875" bestFit="1" customWidth="1"/>
    <col min="74" max="74" width="11.77734375" bestFit="1" customWidth="1"/>
    <col min="75" max="75" width="14.21875" bestFit="1" customWidth="1"/>
    <col min="76" max="76" width="11.5546875" bestFit="1" customWidth="1"/>
    <col min="77" max="77" width="6.88671875" bestFit="1" customWidth="1"/>
    <col min="78" max="78" width="17.6640625" bestFit="1" customWidth="1"/>
    <col min="79" max="79" width="18.109375" bestFit="1" customWidth="1"/>
    <col min="80" max="80" width="10" bestFit="1" customWidth="1"/>
    <col min="81" max="81" width="11" bestFit="1" customWidth="1"/>
  </cols>
  <sheetData>
    <row r="1" spans="1:81" s="2" customFormat="1" x14ac:dyDescent="0.3">
      <c r="A1" s="2" t="s">
        <v>1413</v>
      </c>
      <c r="B1" s="2" t="s">
        <v>1452</v>
      </c>
      <c r="C1" s="2" t="s">
        <v>2</v>
      </c>
      <c r="D1" s="2" t="s">
        <v>0</v>
      </c>
      <c r="E1" s="2" t="s">
        <v>3</v>
      </c>
      <c r="F1" s="2" t="s">
        <v>1315</v>
      </c>
      <c r="G1" s="2" t="s">
        <v>14</v>
      </c>
      <c r="H1" s="2" t="s">
        <v>13</v>
      </c>
      <c r="I1" s="2" t="s">
        <v>1316</v>
      </c>
      <c r="J1" s="2" t="s">
        <v>1416</v>
      </c>
      <c r="K1" s="2" t="s">
        <v>1321</v>
      </c>
      <c r="L1" s="2" t="s">
        <v>35</v>
      </c>
      <c r="M1" s="2" t="s">
        <v>1389</v>
      </c>
      <c r="N1" s="2" t="s">
        <v>1446</v>
      </c>
      <c r="O1" s="4" t="s">
        <v>1447</v>
      </c>
      <c r="P1" s="2" t="s">
        <v>1445</v>
      </c>
      <c r="Q1" s="2" t="s">
        <v>1441</v>
      </c>
      <c r="R1" s="4" t="s">
        <v>1390</v>
      </c>
      <c r="S1" s="4" t="s">
        <v>1391</v>
      </c>
      <c r="T1" s="2" t="s">
        <v>1392</v>
      </c>
      <c r="U1" s="2" t="s">
        <v>1393</v>
      </c>
      <c r="V1" s="2" t="s">
        <v>1394</v>
      </c>
      <c r="W1" s="2" t="s">
        <v>1395</v>
      </c>
      <c r="X1" s="2" t="s">
        <v>1396</v>
      </c>
      <c r="Y1" s="2" t="s">
        <v>1397</v>
      </c>
      <c r="Z1" s="2" t="s">
        <v>1398</v>
      </c>
      <c r="AA1" s="2" t="s">
        <v>1399</v>
      </c>
      <c r="AB1" s="2" t="s">
        <v>1400</v>
      </c>
      <c r="AC1" s="2" t="s">
        <v>1401</v>
      </c>
      <c r="AD1" s="2" t="s">
        <v>1322</v>
      </c>
      <c r="AE1" s="2" t="s">
        <v>1402</v>
      </c>
      <c r="AF1" s="2" t="s">
        <v>1403</v>
      </c>
      <c r="AG1" s="2" t="s">
        <v>1404</v>
      </c>
      <c r="AH1" s="2" t="s">
        <v>1405</v>
      </c>
      <c r="AI1" s="2" t="s">
        <v>1406</v>
      </c>
      <c r="AJ1" s="2" t="s">
        <v>1407</v>
      </c>
      <c r="AK1" s="2" t="s">
        <v>1408</v>
      </c>
      <c r="AL1" s="2" t="s">
        <v>1409</v>
      </c>
      <c r="AM1" s="2" t="s">
        <v>1410</v>
      </c>
      <c r="AN1" s="2" t="s">
        <v>1411</v>
      </c>
      <c r="AO1" s="2" t="s">
        <v>1412</v>
      </c>
      <c r="AP1" s="2" t="s">
        <v>1414</v>
      </c>
      <c r="AQ1" s="2" t="s">
        <v>1415</v>
      </c>
      <c r="AR1" s="2" t="s">
        <v>1417</v>
      </c>
      <c r="AS1" s="2" t="s">
        <v>1418</v>
      </c>
      <c r="AT1" s="2" t="s">
        <v>71</v>
      </c>
      <c r="AU1" s="2" t="s">
        <v>1419</v>
      </c>
      <c r="AV1" s="2" t="s">
        <v>1420</v>
      </c>
      <c r="AW1" s="2" t="s">
        <v>1421</v>
      </c>
      <c r="AX1" s="2" t="s">
        <v>1422</v>
      </c>
      <c r="AY1" s="2" t="s">
        <v>1423</v>
      </c>
      <c r="AZ1" s="2" t="s">
        <v>1424</v>
      </c>
      <c r="BA1" s="2" t="s">
        <v>1425</v>
      </c>
      <c r="BB1" s="2" t="s">
        <v>1318</v>
      </c>
      <c r="BC1" s="2" t="s">
        <v>1426</v>
      </c>
      <c r="BD1" s="2" t="s">
        <v>1427</v>
      </c>
      <c r="BE1" s="2" t="s">
        <v>1428</v>
      </c>
      <c r="BF1" s="2" t="s">
        <v>1429</v>
      </c>
      <c r="BG1" s="2" t="s">
        <v>1430</v>
      </c>
      <c r="BH1" s="2" t="s">
        <v>1431</v>
      </c>
      <c r="BI1" s="2" t="s">
        <v>1432</v>
      </c>
      <c r="BJ1" s="2" t="s">
        <v>1433</v>
      </c>
      <c r="BK1" s="2" t="s">
        <v>1434</v>
      </c>
      <c r="BL1" s="2" t="s">
        <v>1435</v>
      </c>
      <c r="BM1" s="2" t="s">
        <v>1436</v>
      </c>
      <c r="BN1" s="2" t="s">
        <v>1437</v>
      </c>
      <c r="BO1" s="2" t="s">
        <v>1438</v>
      </c>
      <c r="BP1" s="2" t="s">
        <v>1439</v>
      </c>
      <c r="BQ1" s="2" t="s">
        <v>1440</v>
      </c>
      <c r="BR1" s="2" t="s">
        <v>1442</v>
      </c>
      <c r="BS1" s="2" t="s">
        <v>1443</v>
      </c>
      <c r="BT1" s="2" t="s">
        <v>1444</v>
      </c>
      <c r="BU1" s="2" t="s">
        <v>1448</v>
      </c>
      <c r="BV1" s="2" t="s">
        <v>1449</v>
      </c>
      <c r="BW1" s="2" t="s">
        <v>1450</v>
      </c>
      <c r="BX1" s="2" t="s">
        <v>1451</v>
      </c>
      <c r="BY1" s="2" t="s">
        <v>1317</v>
      </c>
      <c r="BZ1" s="2" t="s">
        <v>1320</v>
      </c>
      <c r="CA1" s="2" t="s">
        <v>1453</v>
      </c>
      <c r="CB1" s="2" t="s">
        <v>1323</v>
      </c>
      <c r="CC1" s="2" t="s">
        <v>1324</v>
      </c>
    </row>
    <row r="2" spans="1:81" x14ac:dyDescent="0.3">
      <c r="A2">
        <v>1</v>
      </c>
      <c r="B2">
        <v>368</v>
      </c>
      <c r="C2" t="s">
        <v>1563</v>
      </c>
      <c r="D2">
        <v>151</v>
      </c>
      <c r="E2" t="s">
        <v>711</v>
      </c>
      <c r="F2" t="s">
        <v>1327</v>
      </c>
      <c r="G2" t="s">
        <v>150</v>
      </c>
      <c r="H2" t="s">
        <v>1328</v>
      </c>
      <c r="I2">
        <v>2025</v>
      </c>
      <c r="J2" t="s">
        <v>714</v>
      </c>
      <c r="K2">
        <v>250000</v>
      </c>
      <c r="L2" t="s">
        <v>1456</v>
      </c>
      <c r="M2"/>
      <c r="N2" t="s">
        <v>1326</v>
      </c>
      <c r="O2" s="3">
        <v>45749</v>
      </c>
      <c r="P2">
        <v>6.2164799999999999E-2</v>
      </c>
      <c r="Q2">
        <v>2.3430280000000001E-2</v>
      </c>
      <c r="R2" s="3">
        <v>45405</v>
      </c>
      <c r="S2" s="3">
        <v>47212</v>
      </c>
      <c r="U2" t="s">
        <v>1325</v>
      </c>
      <c r="V2">
        <v>0</v>
      </c>
      <c r="W2">
        <v>150000000</v>
      </c>
      <c r="X2">
        <v>9324720</v>
      </c>
      <c r="Y2">
        <v>250000.5</v>
      </c>
      <c r="Z2">
        <v>250000.5</v>
      </c>
      <c r="AA2">
        <v>0</v>
      </c>
      <c r="AB2">
        <v>101</v>
      </c>
      <c r="AC2">
        <v>1.6666700000000001E-3</v>
      </c>
      <c r="AD2">
        <v>15541.2310824</v>
      </c>
      <c r="AE2">
        <v>252500.505</v>
      </c>
      <c r="AF2">
        <v>1971.5092803</v>
      </c>
      <c r="AG2">
        <v>22005.247728229999</v>
      </c>
      <c r="AH2">
        <v>0</v>
      </c>
      <c r="AI2">
        <v>250000.5</v>
      </c>
      <c r="AJ2">
        <v>1.315792E-2</v>
      </c>
      <c r="AK2">
        <v>0</v>
      </c>
      <c r="AL2" t="s">
        <v>1571</v>
      </c>
      <c r="AM2">
        <v>0</v>
      </c>
      <c r="AN2">
        <v>0</v>
      </c>
      <c r="AO2">
        <v>0</v>
      </c>
      <c r="AP2" t="s">
        <v>123</v>
      </c>
      <c r="AQ2" t="s">
        <v>123</v>
      </c>
      <c r="AR2" t="s">
        <v>123</v>
      </c>
      <c r="AS2" t="s">
        <v>123</v>
      </c>
      <c r="AT2">
        <v>0</v>
      </c>
      <c r="AU2" t="s">
        <v>123</v>
      </c>
      <c r="AV2">
        <v>0.12685669999999999</v>
      </c>
      <c r="AW2">
        <v>5000.01</v>
      </c>
      <c r="AX2">
        <v>13569.721802100001</v>
      </c>
      <c r="AY2">
        <v>2.7139389299999999</v>
      </c>
      <c r="AZ2">
        <v>0.87314329999999996</v>
      </c>
      <c r="BA2">
        <v>0</v>
      </c>
      <c r="BB2">
        <v>1232</v>
      </c>
      <c r="BC2">
        <v>5.6722120000000001E-2</v>
      </c>
      <c r="BE2">
        <v>0</v>
      </c>
      <c r="BF2">
        <v>99</v>
      </c>
      <c r="BG2" t="s">
        <v>1564</v>
      </c>
      <c r="BH2">
        <v>0</v>
      </c>
      <c r="BI2">
        <v>1183</v>
      </c>
      <c r="BJ2" t="s">
        <v>1329</v>
      </c>
      <c r="BK2" s="1">
        <v>45749</v>
      </c>
      <c r="BL2" s="1">
        <v>45749</v>
      </c>
      <c r="BM2" t="s">
        <v>123</v>
      </c>
      <c r="BN2" t="s">
        <v>123</v>
      </c>
      <c r="BO2" t="s">
        <v>123</v>
      </c>
      <c r="BP2" t="s">
        <v>139</v>
      </c>
      <c r="BQ2">
        <v>0</v>
      </c>
      <c r="BS2">
        <v>0</v>
      </c>
      <c r="BT2" t="s">
        <v>1330</v>
      </c>
      <c r="BU2">
        <v>0</v>
      </c>
      <c r="BV2" t="s">
        <v>123</v>
      </c>
      <c r="BW2">
        <v>0</v>
      </c>
      <c r="BX2">
        <v>0</v>
      </c>
      <c r="BY2">
        <v>0</v>
      </c>
      <c r="BZ2">
        <v>1</v>
      </c>
      <c r="CA2">
        <v>0.9919</v>
      </c>
      <c r="CB2">
        <v>8.0999999999999996E-3</v>
      </c>
      <c r="CC2">
        <v>7.7000000000000002E-3</v>
      </c>
    </row>
    <row r="3" spans="1:81" x14ac:dyDescent="0.3">
      <c r="A3">
        <v>1</v>
      </c>
      <c r="B3">
        <v>364</v>
      </c>
      <c r="C3" t="s">
        <v>1565</v>
      </c>
      <c r="D3">
        <v>268</v>
      </c>
      <c r="E3" t="s">
        <v>1120</v>
      </c>
      <c r="F3" t="s">
        <v>1331</v>
      </c>
      <c r="G3" t="s">
        <v>159</v>
      </c>
      <c r="H3" t="s">
        <v>1332</v>
      </c>
      <c r="I3">
        <v>2025</v>
      </c>
      <c r="J3" t="s">
        <v>1121</v>
      </c>
      <c r="K3">
        <v>250000</v>
      </c>
      <c r="L3" t="s">
        <v>1456</v>
      </c>
      <c r="M3"/>
      <c r="N3" t="s">
        <v>1326</v>
      </c>
      <c r="O3" s="3">
        <v>45751</v>
      </c>
      <c r="P3">
        <v>0.10476479</v>
      </c>
      <c r="Q3">
        <v>6.6102750000000002E-2</v>
      </c>
      <c r="R3" s="3">
        <v>45686</v>
      </c>
      <c r="S3" s="3">
        <v>46850</v>
      </c>
      <c r="U3" t="s">
        <v>1325</v>
      </c>
      <c r="V3">
        <v>5000000</v>
      </c>
      <c r="W3">
        <v>5000000</v>
      </c>
      <c r="X3">
        <v>3142943.7</v>
      </c>
      <c r="Y3">
        <v>249999.9</v>
      </c>
      <c r="Z3">
        <v>249999.9</v>
      </c>
      <c r="AA3">
        <v>0</v>
      </c>
      <c r="AB3">
        <v>100.2</v>
      </c>
      <c r="AC3">
        <v>8.3333299999999999E-3</v>
      </c>
      <c r="AD3">
        <v>26191.18702352</v>
      </c>
      <c r="AE3">
        <v>250499.89980000001</v>
      </c>
      <c r="AF3">
        <v>7224.1725552300004</v>
      </c>
      <c r="AG3">
        <v>40913.053250049998</v>
      </c>
      <c r="AH3">
        <v>249999.9</v>
      </c>
      <c r="AI3">
        <v>249999.9</v>
      </c>
      <c r="AJ3">
        <v>1.315789E-2</v>
      </c>
      <c r="AK3">
        <v>0</v>
      </c>
      <c r="AL3" t="s">
        <v>1571</v>
      </c>
      <c r="AM3">
        <v>0</v>
      </c>
      <c r="AN3">
        <v>0</v>
      </c>
      <c r="AO3">
        <v>0</v>
      </c>
      <c r="AP3" t="s">
        <v>123</v>
      </c>
      <c r="AQ3" t="s">
        <v>123</v>
      </c>
      <c r="AR3" t="s">
        <v>123</v>
      </c>
      <c r="AS3" t="s">
        <v>123</v>
      </c>
      <c r="AT3">
        <v>0</v>
      </c>
      <c r="AU3" t="s">
        <v>123</v>
      </c>
      <c r="AV3">
        <v>0.27582456</v>
      </c>
      <c r="AW3">
        <v>118884.92704756001</v>
      </c>
      <c r="AX3">
        <v>18967.0144683</v>
      </c>
      <c r="AY3">
        <v>0.15954094999999999</v>
      </c>
      <c r="AZ3">
        <v>0.72417544</v>
      </c>
      <c r="BA3">
        <v>0</v>
      </c>
      <c r="BB3">
        <v>870</v>
      </c>
      <c r="BC3">
        <v>0.10367698</v>
      </c>
      <c r="BE3">
        <v>99999.96</v>
      </c>
      <c r="BF3">
        <v>99</v>
      </c>
      <c r="BG3" t="s">
        <v>1566</v>
      </c>
      <c r="BH3">
        <v>0</v>
      </c>
      <c r="BI3">
        <v>1184</v>
      </c>
      <c r="BJ3" t="s">
        <v>1333</v>
      </c>
      <c r="BK3" s="1">
        <v>45751</v>
      </c>
      <c r="BL3" s="1">
        <v>45751</v>
      </c>
      <c r="BM3" t="s">
        <v>123</v>
      </c>
      <c r="BN3" t="s">
        <v>123</v>
      </c>
      <c r="BO3" t="s">
        <v>123</v>
      </c>
      <c r="BP3" t="s">
        <v>1334</v>
      </c>
      <c r="BQ3">
        <v>0</v>
      </c>
      <c r="BS3">
        <v>0</v>
      </c>
      <c r="BT3" t="s">
        <v>1330</v>
      </c>
      <c r="BU3">
        <v>0</v>
      </c>
      <c r="BV3" t="s">
        <v>123</v>
      </c>
      <c r="BW3">
        <v>0</v>
      </c>
      <c r="BX3">
        <v>0</v>
      </c>
      <c r="BY3">
        <v>0</v>
      </c>
      <c r="BZ3">
        <v>1</v>
      </c>
      <c r="CA3">
        <v>0.96840000000000004</v>
      </c>
      <c r="CB3">
        <v>3.3399999999999999E-2</v>
      </c>
      <c r="CC3">
        <v>3.1300000000000001E-2</v>
      </c>
    </row>
    <row r="4" spans="1:81" x14ac:dyDescent="0.3">
      <c r="A4">
        <v>1</v>
      </c>
      <c r="B4">
        <v>286</v>
      </c>
      <c r="C4" t="s">
        <v>1567</v>
      </c>
      <c r="D4">
        <v>138</v>
      </c>
      <c r="E4" t="s">
        <v>668</v>
      </c>
      <c r="F4" t="s">
        <v>1335</v>
      </c>
      <c r="G4" t="s">
        <v>133</v>
      </c>
      <c r="H4" t="s">
        <v>1336</v>
      </c>
      <c r="I4">
        <v>2025</v>
      </c>
      <c r="J4" t="s">
        <v>671</v>
      </c>
      <c r="K4">
        <v>250000</v>
      </c>
      <c r="L4" t="s">
        <v>1456</v>
      </c>
      <c r="M4"/>
      <c r="N4" t="s">
        <v>1326</v>
      </c>
      <c r="O4" s="3">
        <v>45751</v>
      </c>
      <c r="P4">
        <v>9.06E-2</v>
      </c>
      <c r="Q4">
        <v>5.2493049999999999E-2</v>
      </c>
      <c r="R4" s="3">
        <v>45252</v>
      </c>
      <c r="S4" s="3">
        <v>46395</v>
      </c>
      <c r="U4" t="s">
        <v>1325</v>
      </c>
      <c r="V4">
        <v>0</v>
      </c>
      <c r="W4">
        <v>600000000</v>
      </c>
      <c r="X4">
        <v>18120000</v>
      </c>
      <c r="Y4">
        <v>250000</v>
      </c>
      <c r="Z4">
        <v>250000</v>
      </c>
      <c r="AA4">
        <v>0</v>
      </c>
      <c r="AB4">
        <v>102.85</v>
      </c>
      <c r="AC4">
        <v>1.25E-3</v>
      </c>
      <c r="AD4">
        <v>22650</v>
      </c>
      <c r="AE4">
        <v>257125</v>
      </c>
      <c r="AF4">
        <v>5261.3498553700001</v>
      </c>
      <c r="AG4">
        <v>34138.576508040001</v>
      </c>
      <c r="AH4">
        <v>249999.9975</v>
      </c>
      <c r="AI4">
        <v>249999.9975</v>
      </c>
      <c r="AJ4">
        <v>1.315789E-2</v>
      </c>
      <c r="AK4">
        <v>0</v>
      </c>
      <c r="AL4" t="s">
        <v>1571</v>
      </c>
      <c r="AM4">
        <v>0</v>
      </c>
      <c r="AN4">
        <v>0</v>
      </c>
      <c r="AO4">
        <v>0</v>
      </c>
      <c r="AP4" t="s">
        <v>123</v>
      </c>
      <c r="AQ4" t="s">
        <v>123</v>
      </c>
      <c r="AR4" t="s">
        <v>123</v>
      </c>
      <c r="AS4" t="s">
        <v>123</v>
      </c>
      <c r="AT4">
        <v>0</v>
      </c>
      <c r="AU4" t="s">
        <v>123</v>
      </c>
      <c r="AV4">
        <v>0.23228918000000001</v>
      </c>
      <c r="AW4">
        <v>32644.740919219999</v>
      </c>
      <c r="AX4">
        <v>17388.650144629999</v>
      </c>
      <c r="AY4">
        <v>0.53266314000000003</v>
      </c>
      <c r="AZ4">
        <v>0.76771082000000002</v>
      </c>
      <c r="BA4">
        <v>0</v>
      </c>
      <c r="BB4">
        <v>415</v>
      </c>
      <c r="BC4">
        <v>7.6703099999999996E-2</v>
      </c>
      <c r="BE4">
        <v>99999.998999999996</v>
      </c>
      <c r="BF4">
        <v>99</v>
      </c>
      <c r="BG4" t="s">
        <v>1568</v>
      </c>
      <c r="BH4">
        <v>0</v>
      </c>
      <c r="BI4">
        <v>1185</v>
      </c>
      <c r="BJ4" t="s">
        <v>1333</v>
      </c>
      <c r="BK4" s="1">
        <v>45751</v>
      </c>
      <c r="BL4" s="1">
        <v>45751</v>
      </c>
      <c r="BM4" t="s">
        <v>123</v>
      </c>
      <c r="BN4" t="s">
        <v>123</v>
      </c>
      <c r="BO4" t="s">
        <v>123</v>
      </c>
      <c r="BP4" t="s">
        <v>139</v>
      </c>
      <c r="BQ4">
        <v>0</v>
      </c>
      <c r="BS4">
        <v>0</v>
      </c>
      <c r="BT4" t="s">
        <v>1330</v>
      </c>
      <c r="BU4">
        <v>0</v>
      </c>
      <c r="BV4" t="s">
        <v>123</v>
      </c>
      <c r="BW4">
        <v>0</v>
      </c>
      <c r="BX4">
        <v>0</v>
      </c>
      <c r="BY4">
        <v>0</v>
      </c>
      <c r="BZ4">
        <v>1</v>
      </c>
      <c r="CA4">
        <v>0.97360000000000002</v>
      </c>
      <c r="CB4">
        <v>2.8000000000000001E-2</v>
      </c>
      <c r="CC4">
        <v>1.6E-2</v>
      </c>
    </row>
    <row r="5" spans="1:81" x14ac:dyDescent="0.3">
      <c r="A5">
        <v>1</v>
      </c>
      <c r="B5">
        <v>440</v>
      </c>
      <c r="C5" t="s">
        <v>1569</v>
      </c>
      <c r="D5">
        <v>196</v>
      </c>
      <c r="E5" t="s">
        <v>856</v>
      </c>
      <c r="F5" t="s">
        <v>1337</v>
      </c>
      <c r="G5" t="s">
        <v>167</v>
      </c>
      <c r="H5" t="s">
        <v>1338</v>
      </c>
      <c r="I5">
        <v>2025</v>
      </c>
      <c r="J5" t="s">
        <v>858</v>
      </c>
      <c r="K5">
        <v>250000</v>
      </c>
      <c r="L5" t="s">
        <v>1456</v>
      </c>
      <c r="M5"/>
      <c r="N5" t="s">
        <v>1326</v>
      </c>
      <c r="O5" s="3">
        <v>45751</v>
      </c>
      <c r="P5">
        <v>6.6600000000000006E-2</v>
      </c>
      <c r="Q5">
        <v>2.8000799999999999E-2</v>
      </c>
      <c r="R5" s="3">
        <v>44650</v>
      </c>
      <c r="S5" s="3">
        <v>46119</v>
      </c>
      <c r="U5" t="s">
        <v>1325</v>
      </c>
      <c r="V5">
        <v>0</v>
      </c>
      <c r="W5">
        <v>100000000</v>
      </c>
      <c r="X5">
        <v>7992000</v>
      </c>
      <c r="Y5">
        <v>249999.6</v>
      </c>
      <c r="Z5">
        <v>249999.6</v>
      </c>
      <c r="AA5">
        <v>0</v>
      </c>
      <c r="AB5">
        <v>101</v>
      </c>
      <c r="AC5">
        <v>2.08333E-3</v>
      </c>
      <c r="AD5">
        <v>16649.97336</v>
      </c>
      <c r="AE5">
        <v>252499.59599999999</v>
      </c>
      <c r="AF5">
        <v>3783.1094999500001</v>
      </c>
      <c r="AG5">
        <v>30259.525223830002</v>
      </c>
      <c r="AH5">
        <v>249999.6</v>
      </c>
      <c r="AI5">
        <v>249999.6</v>
      </c>
      <c r="AJ5">
        <v>1.315787E-2</v>
      </c>
      <c r="AK5">
        <v>0</v>
      </c>
      <c r="AL5" t="s">
        <v>1571</v>
      </c>
      <c r="AM5">
        <v>0</v>
      </c>
      <c r="AN5">
        <v>0</v>
      </c>
      <c r="AO5">
        <v>0</v>
      </c>
      <c r="AP5" t="s">
        <v>123</v>
      </c>
      <c r="AQ5" t="s">
        <v>123</v>
      </c>
      <c r="AR5" t="s">
        <v>123</v>
      </c>
      <c r="AS5" t="s">
        <v>123</v>
      </c>
      <c r="AT5">
        <v>0</v>
      </c>
      <c r="AU5" t="s">
        <v>123</v>
      </c>
      <c r="AV5">
        <v>0.22721415</v>
      </c>
      <c r="AW5">
        <v>2499.9960000000001</v>
      </c>
      <c r="AX5">
        <v>12866.86386005</v>
      </c>
      <c r="AY5">
        <v>5.1467537800000001</v>
      </c>
      <c r="AZ5">
        <v>0.77278585</v>
      </c>
      <c r="BA5">
        <v>0</v>
      </c>
      <c r="BB5">
        <v>139</v>
      </c>
      <c r="BC5">
        <v>5.962858E-2</v>
      </c>
      <c r="BE5">
        <v>0</v>
      </c>
      <c r="BF5">
        <v>99</v>
      </c>
      <c r="BG5" t="s">
        <v>1570</v>
      </c>
      <c r="BH5">
        <v>0</v>
      </c>
      <c r="BI5">
        <v>1186</v>
      </c>
      <c r="BJ5" t="s">
        <v>1333</v>
      </c>
      <c r="BK5" s="1">
        <v>45751</v>
      </c>
      <c r="BL5" s="1">
        <v>45751</v>
      </c>
      <c r="BM5" t="s">
        <v>123</v>
      </c>
      <c r="BN5" t="s">
        <v>123</v>
      </c>
      <c r="BO5" t="s">
        <v>123</v>
      </c>
      <c r="BP5" t="s">
        <v>139</v>
      </c>
      <c r="BQ5">
        <v>0</v>
      </c>
      <c r="BS5">
        <v>0</v>
      </c>
      <c r="BT5" t="s">
        <v>1330</v>
      </c>
      <c r="BU5">
        <v>0</v>
      </c>
      <c r="BV5" t="s">
        <v>123</v>
      </c>
      <c r="BW5">
        <v>0</v>
      </c>
      <c r="BX5">
        <v>0</v>
      </c>
      <c r="BY5">
        <v>0</v>
      </c>
      <c r="BZ5">
        <v>1</v>
      </c>
      <c r="CA5">
        <v>0.98429999999999995</v>
      </c>
      <c r="CB5">
        <v>1.5900000000000001E-2</v>
      </c>
      <c r="CC5">
        <v>0</v>
      </c>
    </row>
    <row r="6" spans="1:81" x14ac:dyDescent="0.3">
      <c r="A6">
        <v>1</v>
      </c>
      <c r="B6">
        <v>402</v>
      </c>
      <c r="C6" t="s">
        <v>1454</v>
      </c>
      <c r="D6">
        <v>243</v>
      </c>
      <c r="E6" t="s">
        <v>1028</v>
      </c>
      <c r="F6" t="s">
        <v>1339</v>
      </c>
      <c r="G6" t="s">
        <v>528</v>
      </c>
      <c r="H6" t="s">
        <v>1340</v>
      </c>
      <c r="I6">
        <v>2024</v>
      </c>
      <c r="J6" t="s">
        <v>1029</v>
      </c>
      <c r="K6">
        <v>250000</v>
      </c>
      <c r="L6" t="s">
        <v>1456</v>
      </c>
      <c r="M6"/>
      <c r="N6" t="s">
        <v>1326</v>
      </c>
      <c r="O6" s="3">
        <v>45751</v>
      </c>
      <c r="P6">
        <v>9.3200000000000005E-2</v>
      </c>
      <c r="Q6">
        <v>5.500062E-2</v>
      </c>
      <c r="R6" s="3">
        <v>45267</v>
      </c>
      <c r="S6" s="3">
        <v>46363</v>
      </c>
      <c r="U6" t="s">
        <v>1325</v>
      </c>
      <c r="V6">
        <v>0</v>
      </c>
      <c r="W6">
        <v>1000000000</v>
      </c>
      <c r="X6">
        <v>27960000</v>
      </c>
      <c r="Y6">
        <v>249999</v>
      </c>
      <c r="Z6">
        <v>249999</v>
      </c>
      <c r="AA6">
        <v>0</v>
      </c>
      <c r="AB6">
        <v>103.95</v>
      </c>
      <c r="AC6">
        <v>8.3332999999999996E-4</v>
      </c>
      <c r="AD6">
        <v>23299.906800000001</v>
      </c>
      <c r="AE6">
        <v>259873.96049999999</v>
      </c>
      <c r="AF6">
        <v>2019.6864694799999</v>
      </c>
      <c r="AG6">
        <v>22128.20021381</v>
      </c>
      <c r="AH6">
        <v>0</v>
      </c>
      <c r="AI6">
        <v>249999</v>
      </c>
      <c r="AJ6">
        <v>1.3157840000000001E-2</v>
      </c>
      <c r="AK6">
        <v>0</v>
      </c>
      <c r="AL6" t="s">
        <v>1571</v>
      </c>
      <c r="AM6">
        <v>0</v>
      </c>
      <c r="AN6">
        <v>0</v>
      </c>
      <c r="AO6">
        <v>0</v>
      </c>
      <c r="AP6" t="s">
        <v>123</v>
      </c>
      <c r="AQ6" t="s">
        <v>123</v>
      </c>
      <c r="AR6" t="s">
        <v>123</v>
      </c>
      <c r="AS6" t="s">
        <v>123</v>
      </c>
      <c r="AT6">
        <v>0</v>
      </c>
      <c r="AU6" t="s">
        <v>123</v>
      </c>
      <c r="AV6">
        <v>8.6682170000000003E-2</v>
      </c>
      <c r="AW6">
        <v>14999.94</v>
      </c>
      <c r="AX6">
        <v>21280.220330519998</v>
      </c>
      <c r="AY6">
        <v>1.4186870300000001</v>
      </c>
      <c r="AZ6">
        <v>0.91331783</v>
      </c>
      <c r="BA6">
        <v>0</v>
      </c>
      <c r="BB6">
        <v>383</v>
      </c>
      <c r="BC6">
        <v>7.1253140000000006E-2</v>
      </c>
      <c r="BE6">
        <v>0</v>
      </c>
      <c r="BF6">
        <v>99</v>
      </c>
      <c r="BG6" t="s">
        <v>1455</v>
      </c>
      <c r="BH6">
        <v>0</v>
      </c>
      <c r="BI6">
        <v>1187</v>
      </c>
      <c r="BJ6" t="s">
        <v>1329</v>
      </c>
      <c r="BK6" s="1">
        <v>45751</v>
      </c>
      <c r="BL6" s="1">
        <v>45751</v>
      </c>
      <c r="BM6" t="s">
        <v>123</v>
      </c>
      <c r="BN6" t="s">
        <v>123</v>
      </c>
      <c r="BO6" t="s">
        <v>123</v>
      </c>
      <c r="BP6" t="s">
        <v>139</v>
      </c>
      <c r="BQ6">
        <v>0</v>
      </c>
      <c r="BS6">
        <v>0</v>
      </c>
      <c r="BT6" t="s">
        <v>1330</v>
      </c>
      <c r="BU6">
        <v>0</v>
      </c>
      <c r="BV6" t="s">
        <v>123</v>
      </c>
      <c r="BW6">
        <v>0</v>
      </c>
      <c r="BX6">
        <v>0</v>
      </c>
      <c r="BY6">
        <v>0</v>
      </c>
      <c r="BZ6">
        <v>1</v>
      </c>
      <c r="CA6">
        <v>0.99150000000000005</v>
      </c>
      <c r="CB6">
        <v>8.5000000000000006E-3</v>
      </c>
      <c r="CC6">
        <v>7.7000000000000002E-3</v>
      </c>
    </row>
    <row r="7" spans="1:81" x14ac:dyDescent="0.3">
      <c r="A7">
        <v>1</v>
      </c>
      <c r="B7">
        <v>769</v>
      </c>
      <c r="C7" t="s">
        <v>1457</v>
      </c>
      <c r="D7">
        <v>127</v>
      </c>
      <c r="E7" t="s">
        <v>625</v>
      </c>
      <c r="F7" t="s">
        <v>1341</v>
      </c>
      <c r="G7" t="s">
        <v>159</v>
      </c>
      <c r="H7" t="s">
        <v>1336</v>
      </c>
      <c r="J7" t="s">
        <v>626</v>
      </c>
      <c r="K7">
        <v>250000</v>
      </c>
      <c r="L7" t="s">
        <v>1456</v>
      </c>
      <c r="M7"/>
      <c r="N7" t="s">
        <v>1326</v>
      </c>
      <c r="O7" s="3">
        <v>45755</v>
      </c>
      <c r="P7">
        <v>7.3507139999999999E-2</v>
      </c>
      <c r="Q7">
        <v>3.496664E-2</v>
      </c>
      <c r="R7" s="3">
        <v>45693</v>
      </c>
      <c r="S7" s="3">
        <v>46820</v>
      </c>
      <c r="U7" t="s">
        <v>1325</v>
      </c>
      <c r="V7">
        <v>0</v>
      </c>
      <c r="W7">
        <v>300000000</v>
      </c>
      <c r="X7">
        <v>22052142</v>
      </c>
      <c r="Y7">
        <v>249999</v>
      </c>
      <c r="Z7">
        <v>249999</v>
      </c>
      <c r="AA7">
        <v>0</v>
      </c>
      <c r="AB7">
        <v>100.25</v>
      </c>
      <c r="AC7">
        <v>8.3332999999999996E-4</v>
      </c>
      <c r="AD7">
        <v>18376.711492859999</v>
      </c>
      <c r="AE7">
        <v>250623.9975</v>
      </c>
      <c r="AF7">
        <v>2315.9785326199999</v>
      </c>
      <c r="AG7">
        <v>23132.7027151</v>
      </c>
      <c r="AH7">
        <v>101536.98720046</v>
      </c>
      <c r="AI7">
        <v>249999</v>
      </c>
      <c r="AJ7">
        <v>1.3157840000000001E-2</v>
      </c>
      <c r="AK7">
        <v>0</v>
      </c>
      <c r="AL7" t="s">
        <v>1571</v>
      </c>
      <c r="AM7">
        <v>0</v>
      </c>
      <c r="AN7">
        <v>0</v>
      </c>
      <c r="AO7">
        <v>0</v>
      </c>
      <c r="AP7" t="s">
        <v>123</v>
      </c>
      <c r="AQ7" t="s">
        <v>123</v>
      </c>
      <c r="AR7" t="s">
        <v>123</v>
      </c>
      <c r="AS7" t="s">
        <v>123</v>
      </c>
      <c r="AT7">
        <v>0</v>
      </c>
      <c r="AU7" t="s">
        <v>123</v>
      </c>
      <c r="AV7">
        <v>0.12602790999999999</v>
      </c>
      <c r="AW7">
        <v>19999.919999999998</v>
      </c>
      <c r="AX7">
        <v>16060.73296024</v>
      </c>
      <c r="AY7">
        <v>0.80303986000000005</v>
      </c>
      <c r="AZ7">
        <v>0.87397208999999998</v>
      </c>
      <c r="BA7">
        <v>0</v>
      </c>
      <c r="BB7">
        <v>840</v>
      </c>
      <c r="BC7">
        <v>7.558753E-2</v>
      </c>
      <c r="BE7">
        <v>0</v>
      </c>
      <c r="BF7">
        <v>99</v>
      </c>
      <c r="BG7" t="s">
        <v>1458</v>
      </c>
      <c r="BH7">
        <v>0</v>
      </c>
      <c r="BI7">
        <v>1188</v>
      </c>
      <c r="BJ7" t="s">
        <v>1333</v>
      </c>
      <c r="BK7" s="1">
        <v>45755</v>
      </c>
      <c r="BL7" s="1">
        <v>45755</v>
      </c>
      <c r="BM7" t="s">
        <v>123</v>
      </c>
      <c r="BN7" t="s">
        <v>123</v>
      </c>
      <c r="BO7" t="s">
        <v>123</v>
      </c>
      <c r="BP7" t="s">
        <v>139</v>
      </c>
      <c r="BQ7">
        <v>0</v>
      </c>
      <c r="BS7">
        <v>0</v>
      </c>
      <c r="BT7" t="s">
        <v>1330</v>
      </c>
      <c r="BU7">
        <v>0</v>
      </c>
      <c r="BV7" t="s">
        <v>123</v>
      </c>
      <c r="BW7">
        <v>0</v>
      </c>
      <c r="BX7">
        <v>0</v>
      </c>
      <c r="BY7">
        <v>0</v>
      </c>
      <c r="BZ7">
        <v>1</v>
      </c>
      <c r="CA7">
        <v>0.98939999999999995</v>
      </c>
      <c r="CB7">
        <v>1.11E-2</v>
      </c>
      <c r="CC7">
        <v>0</v>
      </c>
    </row>
    <row r="8" spans="1:81" x14ac:dyDescent="0.3">
      <c r="A8">
        <v>1</v>
      </c>
      <c r="B8">
        <v>614</v>
      </c>
      <c r="C8" t="s">
        <v>1549</v>
      </c>
      <c r="D8">
        <v>266</v>
      </c>
      <c r="E8" t="s">
        <v>1114</v>
      </c>
      <c r="F8" t="s">
        <v>1342</v>
      </c>
      <c r="G8" t="s">
        <v>150</v>
      </c>
      <c r="H8" t="s">
        <v>1336</v>
      </c>
      <c r="I8">
        <v>2025</v>
      </c>
      <c r="J8" t="s">
        <v>1117</v>
      </c>
      <c r="K8">
        <v>250000</v>
      </c>
      <c r="L8" t="s">
        <v>1456</v>
      </c>
      <c r="M8"/>
      <c r="N8" t="s">
        <v>1326</v>
      </c>
      <c r="O8" s="3">
        <v>45755</v>
      </c>
      <c r="P8">
        <v>8.9599999999999999E-2</v>
      </c>
      <c r="Q8">
        <v>5.1341879999999999E-2</v>
      </c>
      <c r="R8" s="3">
        <v>45649</v>
      </c>
      <c r="S8" s="3">
        <v>46849</v>
      </c>
      <c r="U8" t="s">
        <v>1325</v>
      </c>
      <c r="V8">
        <v>0</v>
      </c>
      <c r="W8">
        <v>300000000</v>
      </c>
      <c r="X8">
        <v>17920000</v>
      </c>
      <c r="Y8">
        <v>250000</v>
      </c>
      <c r="Z8">
        <v>250000</v>
      </c>
      <c r="AA8">
        <v>0</v>
      </c>
      <c r="AB8">
        <v>100.65</v>
      </c>
      <c r="AC8">
        <v>1.25E-3</v>
      </c>
      <c r="AD8">
        <v>22400</v>
      </c>
      <c r="AE8">
        <v>251625</v>
      </c>
      <c r="AF8">
        <v>2970.2306110099998</v>
      </c>
      <c r="AG8">
        <v>25886.925799510002</v>
      </c>
      <c r="AH8">
        <v>212102.31331062</v>
      </c>
      <c r="AI8">
        <v>250000.00125</v>
      </c>
      <c r="AJ8">
        <v>1.315789E-2</v>
      </c>
      <c r="AK8">
        <v>0</v>
      </c>
      <c r="AL8" t="s">
        <v>1571</v>
      </c>
      <c r="AM8">
        <v>0</v>
      </c>
      <c r="AN8">
        <v>0</v>
      </c>
      <c r="AO8">
        <v>0</v>
      </c>
      <c r="AP8" t="s">
        <v>123</v>
      </c>
      <c r="AQ8" t="s">
        <v>123</v>
      </c>
      <c r="AR8" t="s">
        <v>123</v>
      </c>
      <c r="AS8" t="s">
        <v>123</v>
      </c>
      <c r="AT8">
        <v>0</v>
      </c>
      <c r="AU8" t="s">
        <v>123</v>
      </c>
      <c r="AV8">
        <v>0.13259957999999999</v>
      </c>
      <c r="AW8">
        <v>130971.03507637</v>
      </c>
      <c r="AX8">
        <v>19429.76938899</v>
      </c>
      <c r="AY8">
        <v>0.14835165</v>
      </c>
      <c r="AZ8">
        <v>0.86740041999999995</v>
      </c>
      <c r="BA8">
        <v>0</v>
      </c>
      <c r="BB8">
        <v>869</v>
      </c>
      <c r="BC8">
        <v>9.0424110000000002E-2</v>
      </c>
      <c r="BE8">
        <v>225000.00112500001</v>
      </c>
      <c r="BF8">
        <v>99</v>
      </c>
      <c r="BG8" t="s">
        <v>1550</v>
      </c>
      <c r="BH8">
        <v>0</v>
      </c>
      <c r="BI8">
        <v>1227</v>
      </c>
      <c r="BJ8" t="s">
        <v>1333</v>
      </c>
      <c r="BK8" s="1">
        <v>45755</v>
      </c>
      <c r="BL8" s="1">
        <v>45755</v>
      </c>
      <c r="BM8" t="s">
        <v>123</v>
      </c>
      <c r="BN8" t="s">
        <v>123</v>
      </c>
      <c r="BO8" t="s">
        <v>123</v>
      </c>
      <c r="BP8" t="s">
        <v>139</v>
      </c>
      <c r="BQ8">
        <v>0</v>
      </c>
      <c r="BS8">
        <v>0</v>
      </c>
      <c r="BT8" t="s">
        <v>1330</v>
      </c>
      <c r="BU8">
        <v>0</v>
      </c>
      <c r="BV8" t="s">
        <v>123</v>
      </c>
      <c r="BW8">
        <v>0</v>
      </c>
      <c r="BX8">
        <v>0</v>
      </c>
      <c r="BY8">
        <v>0</v>
      </c>
      <c r="BZ8">
        <v>1</v>
      </c>
      <c r="CA8">
        <v>0.98550000000000004</v>
      </c>
      <c r="CB8">
        <v>1.4999999999999999E-2</v>
      </c>
      <c r="CC8">
        <v>9.1999999999999998E-3</v>
      </c>
    </row>
    <row r="9" spans="1:81" x14ac:dyDescent="0.3">
      <c r="A9">
        <v>1</v>
      </c>
      <c r="B9">
        <v>316</v>
      </c>
      <c r="C9" t="s">
        <v>1551</v>
      </c>
      <c r="D9">
        <v>226</v>
      </c>
      <c r="E9" t="s">
        <v>963</v>
      </c>
      <c r="F9" t="s">
        <v>1343</v>
      </c>
      <c r="G9" t="s">
        <v>150</v>
      </c>
      <c r="H9" t="s">
        <v>1336</v>
      </c>
      <c r="I9">
        <v>2025</v>
      </c>
      <c r="J9" t="s">
        <v>966</v>
      </c>
      <c r="K9">
        <v>250000</v>
      </c>
      <c r="L9" t="s">
        <v>1456</v>
      </c>
      <c r="M9"/>
      <c r="N9" t="s">
        <v>1326</v>
      </c>
      <c r="O9" s="3">
        <v>45756</v>
      </c>
      <c r="P9">
        <v>7.85E-2</v>
      </c>
      <c r="Q9">
        <v>4.0195000000000002E-2</v>
      </c>
      <c r="R9" s="3">
        <v>45300</v>
      </c>
      <c r="S9" s="3">
        <v>46395</v>
      </c>
      <c r="U9" t="s">
        <v>1325</v>
      </c>
      <c r="V9">
        <v>0</v>
      </c>
      <c r="W9">
        <v>400000000</v>
      </c>
      <c r="X9">
        <v>20017500</v>
      </c>
      <c r="Y9">
        <v>249999.45</v>
      </c>
      <c r="Z9">
        <v>249999.45</v>
      </c>
      <c r="AA9">
        <v>0</v>
      </c>
      <c r="AB9">
        <v>102.3</v>
      </c>
      <c r="AC9">
        <v>9.8039000000000004E-4</v>
      </c>
      <c r="AD9">
        <v>19624.956825000001</v>
      </c>
      <c r="AE9">
        <v>255749.43734999999</v>
      </c>
      <c r="AF9">
        <v>407.35961205000001</v>
      </c>
      <c r="AG9">
        <v>9001.9858960099991</v>
      </c>
      <c r="AH9">
        <v>0</v>
      </c>
      <c r="AI9">
        <v>97412.904708810005</v>
      </c>
      <c r="AJ9">
        <v>1.315787E-2</v>
      </c>
      <c r="AK9">
        <v>0</v>
      </c>
      <c r="AL9" t="s">
        <v>1571</v>
      </c>
      <c r="AM9">
        <v>0</v>
      </c>
      <c r="AN9">
        <v>0</v>
      </c>
      <c r="AO9">
        <v>0</v>
      </c>
      <c r="AP9" t="s">
        <v>123</v>
      </c>
      <c r="AQ9" t="s">
        <v>123</v>
      </c>
      <c r="AR9" t="s">
        <v>123</v>
      </c>
      <c r="AS9" t="s">
        <v>123</v>
      </c>
      <c r="AT9">
        <v>0</v>
      </c>
      <c r="AU9" t="s">
        <v>123</v>
      </c>
      <c r="AV9">
        <v>2.075722E-2</v>
      </c>
      <c r="AW9">
        <v>2711.7950614000001</v>
      </c>
      <c r="AX9">
        <v>19217.597212950001</v>
      </c>
      <c r="AY9">
        <v>7.0866701900000004</v>
      </c>
      <c r="AZ9">
        <v>0.97924277999999998</v>
      </c>
      <c r="BA9">
        <v>0</v>
      </c>
      <c r="BB9">
        <v>415</v>
      </c>
      <c r="BC9">
        <v>6.7969870000000002E-2</v>
      </c>
      <c r="BE9">
        <v>0</v>
      </c>
      <c r="BF9">
        <v>99</v>
      </c>
      <c r="BG9" t="s">
        <v>1552</v>
      </c>
      <c r="BH9">
        <v>0</v>
      </c>
      <c r="BI9">
        <v>1228</v>
      </c>
      <c r="BJ9" t="s">
        <v>1333</v>
      </c>
      <c r="BK9" s="1">
        <v>45756</v>
      </c>
      <c r="BL9" s="1">
        <v>45756</v>
      </c>
      <c r="BM9" t="s">
        <v>123</v>
      </c>
      <c r="BN9" t="s">
        <v>123</v>
      </c>
      <c r="BO9" t="s">
        <v>123</v>
      </c>
      <c r="BP9" t="s">
        <v>139</v>
      </c>
      <c r="BQ9">
        <v>0</v>
      </c>
      <c r="BS9">
        <v>0</v>
      </c>
      <c r="BT9" t="s">
        <v>1330</v>
      </c>
      <c r="BU9">
        <v>0</v>
      </c>
      <c r="BV9" t="s">
        <v>123</v>
      </c>
      <c r="BW9">
        <v>0</v>
      </c>
      <c r="BX9">
        <v>0</v>
      </c>
      <c r="BY9">
        <v>0</v>
      </c>
      <c r="BZ9">
        <v>1</v>
      </c>
      <c r="CA9">
        <v>0.99760000000000004</v>
      </c>
      <c r="CB9">
        <v>2.5000000000000001E-3</v>
      </c>
      <c r="CC9">
        <v>8.0000000000000004E-4</v>
      </c>
    </row>
    <row r="10" spans="1:81" x14ac:dyDescent="0.3">
      <c r="A10">
        <v>1</v>
      </c>
      <c r="B10">
        <v>510</v>
      </c>
      <c r="C10" t="s">
        <v>1459</v>
      </c>
      <c r="D10">
        <v>65</v>
      </c>
      <c r="E10" t="s">
        <v>418</v>
      </c>
      <c r="F10" t="s">
        <v>1344</v>
      </c>
      <c r="G10" t="s">
        <v>133</v>
      </c>
      <c r="H10" t="s">
        <v>1336</v>
      </c>
      <c r="I10">
        <v>2025</v>
      </c>
      <c r="J10" t="s">
        <v>419</v>
      </c>
      <c r="K10">
        <v>250000</v>
      </c>
      <c r="L10" t="s">
        <v>1456</v>
      </c>
      <c r="M10"/>
      <c r="N10" t="s">
        <v>1326</v>
      </c>
      <c r="O10" s="3">
        <v>45756</v>
      </c>
      <c r="P10">
        <v>9.2999999999999999E-2</v>
      </c>
      <c r="Q10">
        <v>5.4591849999999997E-2</v>
      </c>
      <c r="R10" s="3">
        <v>45016</v>
      </c>
      <c r="S10" s="3">
        <v>46484</v>
      </c>
      <c r="U10" t="s">
        <v>1325</v>
      </c>
      <c r="V10">
        <v>0</v>
      </c>
      <c r="W10">
        <v>750000000</v>
      </c>
      <c r="X10">
        <v>9300000</v>
      </c>
      <c r="Y10">
        <v>250000</v>
      </c>
      <c r="Z10">
        <v>250000</v>
      </c>
      <c r="AA10">
        <v>0</v>
      </c>
      <c r="AB10">
        <v>102.6</v>
      </c>
      <c r="AC10">
        <v>2.5000000000000001E-3</v>
      </c>
      <c r="AD10">
        <v>23250</v>
      </c>
      <c r="AE10">
        <v>256500</v>
      </c>
      <c r="AF10">
        <v>2599.5734973799999</v>
      </c>
      <c r="AG10">
        <v>24816.24814652</v>
      </c>
      <c r="AH10">
        <v>179115.2422982</v>
      </c>
      <c r="AI10">
        <v>249999.99374999999</v>
      </c>
      <c r="AJ10">
        <v>1.315789E-2</v>
      </c>
      <c r="AK10">
        <v>0</v>
      </c>
      <c r="AL10" t="s">
        <v>1571</v>
      </c>
      <c r="AM10">
        <v>0</v>
      </c>
      <c r="AN10">
        <v>0</v>
      </c>
      <c r="AO10">
        <v>0</v>
      </c>
      <c r="AP10" t="s">
        <v>123</v>
      </c>
      <c r="AQ10" t="s">
        <v>123</v>
      </c>
      <c r="AR10" t="s">
        <v>123</v>
      </c>
      <c r="AS10" t="s">
        <v>123</v>
      </c>
      <c r="AT10">
        <v>0</v>
      </c>
      <c r="AU10" t="s">
        <v>123</v>
      </c>
      <c r="AV10">
        <v>0.11180961</v>
      </c>
      <c r="AW10">
        <v>51791.151172979997</v>
      </c>
      <c r="AX10">
        <v>20650.426502620001</v>
      </c>
      <c r="AY10">
        <v>0.398725</v>
      </c>
      <c r="AZ10">
        <v>0.88819039</v>
      </c>
      <c r="BA10">
        <v>0</v>
      </c>
      <c r="BB10">
        <v>504</v>
      </c>
      <c r="BC10">
        <v>8.2214540000000003E-2</v>
      </c>
      <c r="BE10">
        <v>74999.998124999998</v>
      </c>
      <c r="BF10">
        <v>99</v>
      </c>
      <c r="BG10" t="s">
        <v>1460</v>
      </c>
      <c r="BH10">
        <v>0</v>
      </c>
      <c r="BI10">
        <v>1189</v>
      </c>
      <c r="BJ10" t="s">
        <v>1333</v>
      </c>
      <c r="BK10" s="1">
        <v>45756</v>
      </c>
      <c r="BL10" s="1">
        <v>45756</v>
      </c>
      <c r="BM10" t="s">
        <v>123</v>
      </c>
      <c r="BN10" t="s">
        <v>123</v>
      </c>
      <c r="BO10" t="s">
        <v>123</v>
      </c>
      <c r="BP10" t="s">
        <v>139</v>
      </c>
      <c r="BQ10">
        <v>0</v>
      </c>
      <c r="BS10">
        <v>0</v>
      </c>
      <c r="BT10" t="s">
        <v>1330</v>
      </c>
      <c r="BU10">
        <v>0</v>
      </c>
      <c r="BV10" t="s">
        <v>123</v>
      </c>
      <c r="BW10">
        <v>0</v>
      </c>
      <c r="BX10">
        <v>0</v>
      </c>
      <c r="BY10">
        <v>0</v>
      </c>
      <c r="BZ10">
        <v>1</v>
      </c>
      <c r="CA10">
        <v>0.98829999999999996</v>
      </c>
      <c r="CB10">
        <v>1.24E-2</v>
      </c>
      <c r="CC10">
        <v>9.1999999999999998E-3</v>
      </c>
    </row>
    <row r="11" spans="1:81" x14ac:dyDescent="0.3">
      <c r="A11">
        <v>1</v>
      </c>
      <c r="B11">
        <v>355</v>
      </c>
      <c r="C11" t="s">
        <v>1461</v>
      </c>
      <c r="D11">
        <v>208</v>
      </c>
      <c r="E11" t="s">
        <v>895</v>
      </c>
      <c r="F11" t="s">
        <v>1345</v>
      </c>
      <c r="G11" t="s">
        <v>150</v>
      </c>
      <c r="H11" t="s">
        <v>1336</v>
      </c>
      <c r="J11" t="s">
        <v>1346</v>
      </c>
      <c r="K11">
        <v>250000</v>
      </c>
      <c r="L11" t="s">
        <v>1456</v>
      </c>
      <c r="M11"/>
      <c r="N11" t="s">
        <v>1326</v>
      </c>
      <c r="O11" s="3">
        <v>45756</v>
      </c>
      <c r="P11">
        <v>7.3099999999999998E-2</v>
      </c>
      <c r="Q11">
        <v>3.4997439999999998E-2</v>
      </c>
      <c r="R11" s="3">
        <v>45630</v>
      </c>
      <c r="S11" s="3">
        <v>46762</v>
      </c>
      <c r="U11" t="s">
        <v>1325</v>
      </c>
      <c r="V11">
        <v>0</v>
      </c>
      <c r="W11">
        <v>100000000</v>
      </c>
      <c r="X11">
        <v>7310000</v>
      </c>
      <c r="Y11">
        <v>250000</v>
      </c>
      <c r="Z11">
        <v>250000</v>
      </c>
      <c r="AA11">
        <v>0</v>
      </c>
      <c r="AB11">
        <v>101.6</v>
      </c>
      <c r="AC11">
        <v>2.5000000000000001E-3</v>
      </c>
      <c r="AD11">
        <v>18275</v>
      </c>
      <c r="AE11">
        <v>254000</v>
      </c>
      <c r="AF11">
        <v>2306.25</v>
      </c>
      <c r="AG11">
        <v>22853.28205505</v>
      </c>
      <c r="AH11">
        <v>62500</v>
      </c>
      <c r="AI11">
        <v>250000</v>
      </c>
      <c r="AJ11">
        <v>1.315789E-2</v>
      </c>
      <c r="AK11">
        <v>0</v>
      </c>
      <c r="AL11" t="s">
        <v>1571</v>
      </c>
      <c r="AM11">
        <v>0</v>
      </c>
      <c r="AN11">
        <v>0</v>
      </c>
      <c r="AO11">
        <v>0</v>
      </c>
      <c r="AP11" t="s">
        <v>123</v>
      </c>
      <c r="AQ11" t="s">
        <v>123</v>
      </c>
      <c r="AR11" t="s">
        <v>123</v>
      </c>
      <c r="AS11" t="s">
        <v>123</v>
      </c>
      <c r="AT11">
        <v>0</v>
      </c>
      <c r="AU11" t="s">
        <v>123</v>
      </c>
      <c r="AV11">
        <v>0.12619699000000001</v>
      </c>
      <c r="AW11">
        <v>6562.5</v>
      </c>
      <c r="AX11">
        <v>15968.75</v>
      </c>
      <c r="AY11">
        <v>2.43333333</v>
      </c>
      <c r="AZ11">
        <v>0.87380301000000005</v>
      </c>
      <c r="BA11">
        <v>0</v>
      </c>
      <c r="BB11">
        <v>782</v>
      </c>
      <c r="BC11">
        <v>6.9968119999999995E-2</v>
      </c>
      <c r="BE11">
        <v>0</v>
      </c>
      <c r="BF11">
        <v>99</v>
      </c>
      <c r="BG11" t="s">
        <v>1462</v>
      </c>
      <c r="BH11">
        <v>0</v>
      </c>
      <c r="BI11">
        <v>1190</v>
      </c>
      <c r="BJ11" t="s">
        <v>1333</v>
      </c>
      <c r="BK11" s="1">
        <v>45756</v>
      </c>
      <c r="BL11" s="1">
        <v>45756</v>
      </c>
      <c r="BM11" t="s">
        <v>123</v>
      </c>
      <c r="BN11" t="s">
        <v>123</v>
      </c>
      <c r="BO11" t="s">
        <v>123</v>
      </c>
      <c r="BP11" t="s">
        <v>1347</v>
      </c>
      <c r="BQ11">
        <v>0</v>
      </c>
      <c r="BS11">
        <v>0</v>
      </c>
      <c r="BT11" t="s">
        <v>1330</v>
      </c>
      <c r="BU11">
        <v>0</v>
      </c>
      <c r="BV11" t="s">
        <v>123</v>
      </c>
      <c r="BW11">
        <v>0</v>
      </c>
      <c r="BX11">
        <v>0</v>
      </c>
      <c r="BY11">
        <v>0</v>
      </c>
      <c r="BZ11">
        <v>1</v>
      </c>
      <c r="CA11">
        <v>0.98870000000000002</v>
      </c>
      <c r="CB11">
        <v>1.1299999999999999E-2</v>
      </c>
      <c r="CC11">
        <v>0</v>
      </c>
    </row>
    <row r="12" spans="1:81" x14ac:dyDescent="0.3">
      <c r="A12">
        <v>1</v>
      </c>
      <c r="B12">
        <v>314</v>
      </c>
      <c r="C12" t="s">
        <v>1463</v>
      </c>
      <c r="D12">
        <v>58</v>
      </c>
      <c r="E12" t="s">
        <v>373</v>
      </c>
      <c r="F12" t="s">
        <v>1348</v>
      </c>
      <c r="G12" t="s">
        <v>159</v>
      </c>
      <c r="H12" t="s">
        <v>1349</v>
      </c>
      <c r="J12" t="s">
        <v>375</v>
      </c>
      <c r="K12">
        <v>250000</v>
      </c>
      <c r="L12" t="s">
        <v>1456</v>
      </c>
      <c r="M12"/>
      <c r="N12" t="s">
        <v>1326</v>
      </c>
      <c r="O12" s="3">
        <v>45758</v>
      </c>
      <c r="P12">
        <v>0.13366479000000001</v>
      </c>
      <c r="Q12">
        <v>9.4942250000000006E-2</v>
      </c>
      <c r="R12" s="3">
        <v>45715</v>
      </c>
      <c r="S12" s="3">
        <v>46575</v>
      </c>
      <c r="U12" t="s">
        <v>1325</v>
      </c>
      <c r="V12">
        <v>200000000</v>
      </c>
      <c r="W12">
        <v>200000000</v>
      </c>
      <c r="X12">
        <v>20049718.5</v>
      </c>
      <c r="Y12">
        <v>250000.5</v>
      </c>
      <c r="Z12">
        <v>250000.5</v>
      </c>
      <c r="AA12">
        <v>0</v>
      </c>
      <c r="AB12">
        <v>100.1</v>
      </c>
      <c r="AC12">
        <v>1.6666700000000001E-3</v>
      </c>
      <c r="AD12">
        <v>33416.264332400002</v>
      </c>
      <c r="AE12">
        <v>250250.50049999999</v>
      </c>
      <c r="AF12">
        <v>4186.0910556400004</v>
      </c>
      <c r="AG12">
        <v>28308.701808500002</v>
      </c>
      <c r="AH12">
        <v>209612.74096868001</v>
      </c>
      <c r="AI12">
        <v>250000.5</v>
      </c>
      <c r="AJ12">
        <v>1.315792E-2</v>
      </c>
      <c r="AK12">
        <v>0</v>
      </c>
      <c r="AL12" t="s">
        <v>1571</v>
      </c>
      <c r="AM12">
        <v>0</v>
      </c>
      <c r="AN12">
        <v>0</v>
      </c>
      <c r="AO12">
        <v>0</v>
      </c>
      <c r="AP12" t="s">
        <v>123</v>
      </c>
      <c r="AQ12" t="s">
        <v>123</v>
      </c>
      <c r="AR12" t="s">
        <v>123</v>
      </c>
      <c r="AS12" t="s">
        <v>123</v>
      </c>
      <c r="AT12">
        <v>0</v>
      </c>
      <c r="AU12" t="s">
        <v>123</v>
      </c>
      <c r="AV12">
        <v>0.12527107000000001</v>
      </c>
      <c r="AW12">
        <v>67087.63701654</v>
      </c>
      <c r="AX12">
        <v>29230.173276760001</v>
      </c>
      <c r="AY12">
        <v>0.43570133999999999</v>
      </c>
      <c r="AZ12">
        <v>0.87472892999999996</v>
      </c>
      <c r="BA12">
        <v>0</v>
      </c>
      <c r="BB12">
        <v>595</v>
      </c>
      <c r="BC12">
        <v>0.13305328999999999</v>
      </c>
      <c r="BE12">
        <v>100887.35672570999</v>
      </c>
      <c r="BF12">
        <v>99</v>
      </c>
      <c r="BG12" t="s">
        <v>1464</v>
      </c>
      <c r="BH12">
        <v>0</v>
      </c>
      <c r="BI12">
        <v>1191</v>
      </c>
      <c r="BJ12" t="s">
        <v>1350</v>
      </c>
      <c r="BK12" s="1">
        <v>45758</v>
      </c>
      <c r="BL12" s="1">
        <v>45758</v>
      </c>
      <c r="BM12" t="s">
        <v>123</v>
      </c>
      <c r="BN12" t="s">
        <v>123</v>
      </c>
      <c r="BO12" t="s">
        <v>123</v>
      </c>
      <c r="BP12" t="s">
        <v>139</v>
      </c>
      <c r="BQ12">
        <v>0</v>
      </c>
      <c r="BS12">
        <v>0</v>
      </c>
      <c r="BT12" t="s">
        <v>1330</v>
      </c>
      <c r="BU12">
        <v>0</v>
      </c>
      <c r="BV12" t="s">
        <v>123</v>
      </c>
      <c r="BW12">
        <v>0</v>
      </c>
      <c r="BX12">
        <v>0</v>
      </c>
      <c r="BY12">
        <v>0</v>
      </c>
      <c r="BZ12">
        <v>1</v>
      </c>
      <c r="CA12">
        <v>0.9748</v>
      </c>
      <c r="CB12">
        <v>3.0200000000000001E-2</v>
      </c>
      <c r="CC12">
        <v>0</v>
      </c>
    </row>
    <row r="13" spans="1:81" x14ac:dyDescent="0.3">
      <c r="A13">
        <v>1</v>
      </c>
      <c r="B13">
        <v>539</v>
      </c>
      <c r="C13" t="s">
        <v>1553</v>
      </c>
      <c r="D13">
        <v>146</v>
      </c>
      <c r="E13" t="s">
        <v>695</v>
      </c>
      <c r="F13" t="s">
        <v>1351</v>
      </c>
      <c r="G13" t="s">
        <v>150</v>
      </c>
      <c r="H13" t="s">
        <v>1336</v>
      </c>
      <c r="I13">
        <v>2025</v>
      </c>
      <c r="J13" t="s">
        <v>697</v>
      </c>
      <c r="K13">
        <v>250000</v>
      </c>
      <c r="L13" t="s">
        <v>1456</v>
      </c>
      <c r="M13"/>
      <c r="N13" t="s">
        <v>1326</v>
      </c>
      <c r="O13" s="3">
        <v>45761</v>
      </c>
      <c r="P13">
        <v>0.12966</v>
      </c>
      <c r="Q13">
        <v>9.1247229999999999E-2</v>
      </c>
      <c r="R13" s="3">
        <v>45391</v>
      </c>
      <c r="S13" s="3">
        <v>46545</v>
      </c>
      <c r="U13" t="s">
        <v>1325</v>
      </c>
      <c r="V13">
        <v>0</v>
      </c>
      <c r="W13">
        <v>300000000</v>
      </c>
      <c r="X13">
        <v>27228600</v>
      </c>
      <c r="Y13">
        <v>250000.8</v>
      </c>
      <c r="Z13">
        <v>250000.8</v>
      </c>
      <c r="AA13">
        <v>0</v>
      </c>
      <c r="AB13">
        <v>102.6</v>
      </c>
      <c r="AC13">
        <v>1.1904800000000001E-3</v>
      </c>
      <c r="AD13">
        <v>32415.103727999998</v>
      </c>
      <c r="AE13">
        <v>256500.82079999999</v>
      </c>
      <c r="AF13">
        <v>4326.6511753499999</v>
      </c>
      <c r="AG13">
        <v>31900.14992661</v>
      </c>
      <c r="AH13">
        <v>250000.8</v>
      </c>
      <c r="AI13">
        <v>250000.8</v>
      </c>
      <c r="AJ13">
        <v>1.315794E-2</v>
      </c>
      <c r="AK13">
        <v>0</v>
      </c>
      <c r="AL13" t="s">
        <v>1571</v>
      </c>
      <c r="AM13">
        <v>0</v>
      </c>
      <c r="AN13">
        <v>0</v>
      </c>
      <c r="AO13">
        <v>0</v>
      </c>
      <c r="AP13" t="s">
        <v>123</v>
      </c>
      <c r="AQ13" t="s">
        <v>123</v>
      </c>
      <c r="AR13" t="s">
        <v>123</v>
      </c>
      <c r="AS13" t="s">
        <v>123</v>
      </c>
      <c r="AT13">
        <v>0</v>
      </c>
      <c r="AU13" t="s">
        <v>123</v>
      </c>
      <c r="AV13">
        <v>0.13347639</v>
      </c>
      <c r="AW13">
        <v>175192.16963469001</v>
      </c>
      <c r="AX13">
        <v>28088.45255265</v>
      </c>
      <c r="AY13">
        <v>0.16032937999999999</v>
      </c>
      <c r="AZ13">
        <v>0.86652361</v>
      </c>
      <c r="BA13">
        <v>0</v>
      </c>
      <c r="BB13">
        <v>565</v>
      </c>
      <c r="BC13">
        <v>0.11921872999999999</v>
      </c>
      <c r="BE13">
        <v>225000.72</v>
      </c>
      <c r="BF13">
        <v>99</v>
      </c>
      <c r="BG13" t="s">
        <v>1554</v>
      </c>
      <c r="BH13">
        <v>0</v>
      </c>
      <c r="BI13">
        <v>1230</v>
      </c>
      <c r="BJ13" t="s">
        <v>1333</v>
      </c>
      <c r="BK13" s="1">
        <v>45761</v>
      </c>
      <c r="BL13" s="1">
        <v>45761</v>
      </c>
      <c r="BM13" t="s">
        <v>123</v>
      </c>
      <c r="BN13" t="s">
        <v>123</v>
      </c>
      <c r="BO13" t="s">
        <v>123</v>
      </c>
      <c r="BP13" t="s">
        <v>139</v>
      </c>
      <c r="BQ13">
        <v>0</v>
      </c>
      <c r="BS13">
        <v>0</v>
      </c>
      <c r="BT13" t="s">
        <v>1330</v>
      </c>
      <c r="BU13">
        <v>0</v>
      </c>
      <c r="BV13" t="s">
        <v>123</v>
      </c>
      <c r="BW13">
        <v>0</v>
      </c>
      <c r="BX13">
        <v>0</v>
      </c>
      <c r="BY13">
        <v>0</v>
      </c>
      <c r="BZ13">
        <v>1</v>
      </c>
      <c r="CA13">
        <v>0.98089999999999999</v>
      </c>
      <c r="CB13">
        <v>0.02</v>
      </c>
      <c r="CC13">
        <v>0</v>
      </c>
    </row>
    <row r="14" spans="1:81" x14ac:dyDescent="0.3">
      <c r="A14">
        <v>1</v>
      </c>
      <c r="B14">
        <v>282</v>
      </c>
      <c r="C14" t="s">
        <v>1465</v>
      </c>
      <c r="D14">
        <v>104</v>
      </c>
      <c r="E14" t="s">
        <v>538</v>
      </c>
      <c r="F14" t="s">
        <v>1352</v>
      </c>
      <c r="G14" t="s">
        <v>150</v>
      </c>
      <c r="H14" t="s">
        <v>1336</v>
      </c>
      <c r="I14">
        <v>2025</v>
      </c>
      <c r="J14" t="s">
        <v>541</v>
      </c>
      <c r="K14">
        <v>250000</v>
      </c>
      <c r="L14" t="s">
        <v>1456</v>
      </c>
      <c r="M14"/>
      <c r="N14" t="s">
        <v>1326</v>
      </c>
      <c r="O14" s="3">
        <v>45763</v>
      </c>
      <c r="P14">
        <v>9.3007140000000002E-2</v>
      </c>
      <c r="Q14">
        <v>5.4388600000000002E-2</v>
      </c>
      <c r="R14" s="3">
        <v>45379</v>
      </c>
      <c r="S14" s="3">
        <v>46484</v>
      </c>
      <c r="U14" t="s">
        <v>1325</v>
      </c>
      <c r="V14">
        <v>0</v>
      </c>
      <c r="W14">
        <v>250000000</v>
      </c>
      <c r="X14">
        <v>9300714</v>
      </c>
      <c r="Y14">
        <v>250000</v>
      </c>
      <c r="Z14">
        <v>250000</v>
      </c>
      <c r="AA14">
        <v>0</v>
      </c>
      <c r="AB14">
        <v>103.85</v>
      </c>
      <c r="AC14">
        <v>2.5000000000000001E-3</v>
      </c>
      <c r="AD14">
        <v>23251.785</v>
      </c>
      <c r="AE14">
        <v>259625</v>
      </c>
      <c r="AF14">
        <v>1669.55969888</v>
      </c>
      <c r="AG14">
        <v>19286.86242885</v>
      </c>
      <c r="AH14">
        <v>0</v>
      </c>
      <c r="AI14">
        <v>250000</v>
      </c>
      <c r="AJ14">
        <v>1.315789E-2</v>
      </c>
      <c r="AK14">
        <v>0</v>
      </c>
      <c r="AL14" t="s">
        <v>1571</v>
      </c>
      <c r="AM14">
        <v>0</v>
      </c>
      <c r="AN14">
        <v>0</v>
      </c>
      <c r="AO14">
        <v>0</v>
      </c>
      <c r="AP14" t="s">
        <v>123</v>
      </c>
      <c r="AQ14" t="s">
        <v>123</v>
      </c>
      <c r="AR14" t="s">
        <v>123</v>
      </c>
      <c r="AS14" t="s">
        <v>123</v>
      </c>
      <c r="AT14">
        <v>0</v>
      </c>
      <c r="AU14" t="s">
        <v>123</v>
      </c>
      <c r="AV14">
        <v>7.1803510000000001E-2</v>
      </c>
      <c r="AW14">
        <v>21387.456453930001</v>
      </c>
      <c r="AX14">
        <v>21582.225301120001</v>
      </c>
      <c r="AY14">
        <v>1.0091066900000001</v>
      </c>
      <c r="AZ14">
        <v>0.92819649000000004</v>
      </c>
      <c r="BA14">
        <v>0</v>
      </c>
      <c r="BB14">
        <v>504</v>
      </c>
      <c r="BC14">
        <v>7.5250440000000002E-2</v>
      </c>
      <c r="BE14">
        <v>14570.60800681</v>
      </c>
      <c r="BF14">
        <v>99</v>
      </c>
      <c r="BG14" t="s">
        <v>1466</v>
      </c>
      <c r="BH14">
        <v>0</v>
      </c>
      <c r="BI14">
        <v>1192</v>
      </c>
      <c r="BJ14" t="s">
        <v>1333</v>
      </c>
      <c r="BK14" s="1">
        <v>45763</v>
      </c>
      <c r="BL14" s="1">
        <v>45763</v>
      </c>
      <c r="BM14" t="s">
        <v>123</v>
      </c>
      <c r="BN14" t="s">
        <v>123</v>
      </c>
      <c r="BO14" t="s">
        <v>123</v>
      </c>
      <c r="BP14" t="s">
        <v>139</v>
      </c>
      <c r="BQ14">
        <v>0</v>
      </c>
      <c r="BS14">
        <v>0</v>
      </c>
      <c r="BT14" t="s">
        <v>1330</v>
      </c>
      <c r="BU14">
        <v>0</v>
      </c>
      <c r="BV14" t="s">
        <v>123</v>
      </c>
      <c r="BW14">
        <v>0</v>
      </c>
      <c r="BX14">
        <v>0</v>
      </c>
      <c r="BY14">
        <v>0</v>
      </c>
      <c r="BZ14">
        <v>1</v>
      </c>
      <c r="CA14">
        <v>0.99170000000000003</v>
      </c>
      <c r="CB14">
        <v>8.9999999999999993E-3</v>
      </c>
      <c r="CC14">
        <v>5.1000000000000004E-3</v>
      </c>
    </row>
    <row r="15" spans="1:81" x14ac:dyDescent="0.3">
      <c r="A15">
        <v>1</v>
      </c>
      <c r="B15">
        <v>180</v>
      </c>
      <c r="C15" t="s">
        <v>1467</v>
      </c>
      <c r="D15">
        <v>236</v>
      </c>
      <c r="E15" t="s">
        <v>1000</v>
      </c>
      <c r="F15" t="s">
        <v>1353</v>
      </c>
      <c r="G15" t="s">
        <v>133</v>
      </c>
      <c r="H15" t="s">
        <v>1336</v>
      </c>
      <c r="J15" t="s">
        <v>1003</v>
      </c>
      <c r="K15">
        <v>250000</v>
      </c>
      <c r="L15" t="s">
        <v>1456</v>
      </c>
      <c r="M15"/>
      <c r="N15" t="s">
        <v>1326</v>
      </c>
      <c r="O15" s="3">
        <v>45763</v>
      </c>
      <c r="P15">
        <v>8.1708199999999995E-2</v>
      </c>
      <c r="Q15">
        <v>4.3428769999999998E-2</v>
      </c>
      <c r="R15" s="3">
        <v>45104</v>
      </c>
      <c r="S15" s="3">
        <v>46332</v>
      </c>
      <c r="U15" t="s">
        <v>1325</v>
      </c>
      <c r="V15">
        <v>0</v>
      </c>
      <c r="W15">
        <v>150000000</v>
      </c>
      <c r="X15">
        <v>12256230</v>
      </c>
      <c r="Y15">
        <v>250000.5</v>
      </c>
      <c r="Z15">
        <v>250000.5</v>
      </c>
      <c r="AA15">
        <v>0</v>
      </c>
      <c r="AB15">
        <v>102.4</v>
      </c>
      <c r="AC15">
        <v>1.6666700000000001E-3</v>
      </c>
      <c r="AD15">
        <v>20427.090854099999</v>
      </c>
      <c r="AE15">
        <v>256000.51199999999</v>
      </c>
      <c r="AF15">
        <v>1946.8788937500001</v>
      </c>
      <c r="AG15">
        <v>20829.125148719999</v>
      </c>
      <c r="AH15">
        <v>0</v>
      </c>
      <c r="AI15">
        <v>250000.5</v>
      </c>
      <c r="AJ15">
        <v>1.315792E-2</v>
      </c>
      <c r="AK15">
        <v>0</v>
      </c>
      <c r="AL15" t="s">
        <v>1571</v>
      </c>
      <c r="AM15">
        <v>0</v>
      </c>
      <c r="AN15">
        <v>0</v>
      </c>
      <c r="AO15">
        <v>0</v>
      </c>
      <c r="AP15" t="s">
        <v>123</v>
      </c>
      <c r="AQ15" t="s">
        <v>123</v>
      </c>
      <c r="AR15" t="s">
        <v>123</v>
      </c>
      <c r="AS15" t="s">
        <v>123</v>
      </c>
      <c r="AT15">
        <v>0</v>
      </c>
      <c r="AU15" t="s">
        <v>123</v>
      </c>
      <c r="AV15">
        <v>9.5308669999999998E-2</v>
      </c>
      <c r="AW15">
        <v>11250.022499999999</v>
      </c>
      <c r="AX15">
        <v>18480.21196035</v>
      </c>
      <c r="AY15">
        <v>1.64268222</v>
      </c>
      <c r="AZ15">
        <v>0.90469133000000002</v>
      </c>
      <c r="BA15">
        <v>0</v>
      </c>
      <c r="BB15">
        <v>352</v>
      </c>
      <c r="BC15">
        <v>6.8990380000000004E-2</v>
      </c>
      <c r="BE15">
        <v>0</v>
      </c>
      <c r="BF15">
        <v>99</v>
      </c>
      <c r="BG15" t="s">
        <v>1468</v>
      </c>
      <c r="BH15">
        <v>0</v>
      </c>
      <c r="BI15">
        <v>1193</v>
      </c>
      <c r="BJ15" t="s">
        <v>1333</v>
      </c>
      <c r="BK15" s="1">
        <v>45763</v>
      </c>
      <c r="BL15" s="1">
        <v>45763</v>
      </c>
      <c r="BM15" t="s">
        <v>123</v>
      </c>
      <c r="BN15" t="s">
        <v>123</v>
      </c>
      <c r="BO15" t="s">
        <v>123</v>
      </c>
      <c r="BP15" t="s">
        <v>1347</v>
      </c>
      <c r="BQ15">
        <v>0</v>
      </c>
      <c r="BS15">
        <v>0</v>
      </c>
      <c r="BT15" t="s">
        <v>1330</v>
      </c>
      <c r="BU15">
        <v>0</v>
      </c>
      <c r="BV15" t="s">
        <v>123</v>
      </c>
      <c r="BW15">
        <v>0</v>
      </c>
      <c r="BX15">
        <v>0</v>
      </c>
      <c r="BY15">
        <v>0</v>
      </c>
      <c r="BZ15">
        <v>1</v>
      </c>
      <c r="CA15">
        <v>0.99029999999999996</v>
      </c>
      <c r="CB15">
        <v>9.7000000000000003E-3</v>
      </c>
      <c r="CC15">
        <v>6.0000000000000001E-3</v>
      </c>
    </row>
    <row r="16" spans="1:81" x14ac:dyDescent="0.3">
      <c r="A16">
        <v>1</v>
      </c>
      <c r="B16">
        <v>315</v>
      </c>
      <c r="C16" t="s">
        <v>1469</v>
      </c>
      <c r="D16">
        <v>254</v>
      </c>
      <c r="E16" t="s">
        <v>1061</v>
      </c>
      <c r="F16" t="s">
        <v>1354</v>
      </c>
      <c r="G16" t="s">
        <v>133</v>
      </c>
      <c r="H16" t="s">
        <v>1336</v>
      </c>
      <c r="I16">
        <v>2025</v>
      </c>
      <c r="J16" t="s">
        <v>1355</v>
      </c>
      <c r="K16">
        <v>250000</v>
      </c>
      <c r="L16" t="s">
        <v>1456</v>
      </c>
      <c r="M16"/>
      <c r="N16" t="s">
        <v>1326</v>
      </c>
      <c r="O16" s="3">
        <v>45770</v>
      </c>
      <c r="P16">
        <v>0.1009</v>
      </c>
      <c r="Q16">
        <v>6.2344139999999999E-2</v>
      </c>
      <c r="R16" s="3">
        <v>45287</v>
      </c>
      <c r="S16" s="3">
        <v>46395</v>
      </c>
      <c r="U16" t="s">
        <v>1325</v>
      </c>
      <c r="V16">
        <v>0</v>
      </c>
      <c r="W16">
        <v>301000000</v>
      </c>
      <c r="X16">
        <v>20180000</v>
      </c>
      <c r="Y16">
        <v>250000</v>
      </c>
      <c r="Z16">
        <v>250000</v>
      </c>
      <c r="AA16">
        <v>0</v>
      </c>
      <c r="AB16">
        <v>103.1</v>
      </c>
      <c r="AC16">
        <v>1.25E-3</v>
      </c>
      <c r="AD16">
        <v>25225</v>
      </c>
      <c r="AE16">
        <v>257750</v>
      </c>
      <c r="AF16">
        <v>3592.3576575500001</v>
      </c>
      <c r="AG16">
        <v>28646.09637168</v>
      </c>
      <c r="AH16">
        <v>250000.00103750001</v>
      </c>
      <c r="AI16">
        <v>250000.00103750001</v>
      </c>
      <c r="AJ16">
        <v>1.315789E-2</v>
      </c>
      <c r="AK16">
        <v>0</v>
      </c>
      <c r="AL16" t="s">
        <v>1571</v>
      </c>
      <c r="AM16">
        <v>0</v>
      </c>
      <c r="AN16">
        <v>0</v>
      </c>
      <c r="AO16">
        <v>0</v>
      </c>
      <c r="AP16" t="s">
        <v>123</v>
      </c>
      <c r="AQ16" t="s">
        <v>123</v>
      </c>
      <c r="AR16" t="s">
        <v>123</v>
      </c>
      <c r="AS16" t="s">
        <v>123</v>
      </c>
      <c r="AT16">
        <v>0</v>
      </c>
      <c r="AU16" t="s">
        <v>123</v>
      </c>
      <c r="AV16">
        <v>0.14241259000000001</v>
      </c>
      <c r="AW16">
        <v>97713.653739789996</v>
      </c>
      <c r="AX16">
        <v>21632.642342449999</v>
      </c>
      <c r="AY16">
        <v>0.22138811999999999</v>
      </c>
      <c r="AZ16">
        <v>0.85758741000000005</v>
      </c>
      <c r="BA16">
        <v>0</v>
      </c>
      <c r="BB16">
        <v>415</v>
      </c>
      <c r="BC16">
        <v>8.4681469999999995E-2</v>
      </c>
      <c r="BE16">
        <v>197406.69510416</v>
      </c>
      <c r="BF16">
        <v>99</v>
      </c>
      <c r="BG16" t="s">
        <v>1470</v>
      </c>
      <c r="BH16">
        <v>0</v>
      </c>
      <c r="BI16">
        <v>1194</v>
      </c>
      <c r="BJ16" t="s">
        <v>1333</v>
      </c>
      <c r="BK16" s="1">
        <v>45770</v>
      </c>
      <c r="BL16" s="1">
        <v>45770</v>
      </c>
      <c r="BM16" t="s">
        <v>123</v>
      </c>
      <c r="BN16" t="s">
        <v>123</v>
      </c>
      <c r="BO16" t="s">
        <v>123</v>
      </c>
      <c r="BP16" t="s">
        <v>139</v>
      </c>
      <c r="BQ16">
        <v>0</v>
      </c>
      <c r="BS16">
        <v>0</v>
      </c>
      <c r="BT16" t="s">
        <v>1330</v>
      </c>
      <c r="BU16">
        <v>0</v>
      </c>
      <c r="BV16" t="s">
        <v>123</v>
      </c>
      <c r="BW16">
        <v>0</v>
      </c>
      <c r="BX16">
        <v>0</v>
      </c>
      <c r="BY16">
        <v>0</v>
      </c>
      <c r="BZ16">
        <v>1</v>
      </c>
      <c r="CA16">
        <v>0.9829</v>
      </c>
      <c r="CB16">
        <v>1.7600000000000001E-2</v>
      </c>
      <c r="CC16">
        <v>0</v>
      </c>
    </row>
    <row r="17" spans="1:81" x14ac:dyDescent="0.3">
      <c r="A17">
        <v>1</v>
      </c>
      <c r="B17">
        <v>315</v>
      </c>
      <c r="C17" t="s">
        <v>1471</v>
      </c>
      <c r="D17">
        <v>254</v>
      </c>
      <c r="E17" t="s">
        <v>1061</v>
      </c>
      <c r="F17" t="s">
        <v>1354</v>
      </c>
      <c r="G17" t="s">
        <v>133</v>
      </c>
      <c r="H17" t="s">
        <v>1336</v>
      </c>
      <c r="I17">
        <v>2025</v>
      </c>
      <c r="J17" t="s">
        <v>1356</v>
      </c>
      <c r="K17">
        <v>250000</v>
      </c>
      <c r="L17" t="s">
        <v>1456</v>
      </c>
      <c r="M17"/>
      <c r="N17" t="s">
        <v>1326</v>
      </c>
      <c r="O17" s="3">
        <v>45889</v>
      </c>
      <c r="P17">
        <v>0.1009</v>
      </c>
      <c r="Q17">
        <v>6.2344139999999999E-2</v>
      </c>
      <c r="R17" s="3">
        <v>45287</v>
      </c>
      <c r="S17" s="3">
        <v>46395</v>
      </c>
      <c r="U17" t="s">
        <v>1325</v>
      </c>
      <c r="V17">
        <v>0</v>
      </c>
      <c r="W17">
        <v>301000000</v>
      </c>
      <c r="X17">
        <v>20180000</v>
      </c>
      <c r="Y17">
        <v>250000</v>
      </c>
      <c r="Z17">
        <v>250000</v>
      </c>
      <c r="AA17">
        <v>0</v>
      </c>
      <c r="AB17">
        <v>103.6</v>
      </c>
      <c r="AC17">
        <v>1.25E-3</v>
      </c>
      <c r="AD17">
        <v>25225</v>
      </c>
      <c r="AE17">
        <v>259000</v>
      </c>
      <c r="AF17">
        <v>3592.3576575500001</v>
      </c>
      <c r="AG17">
        <v>28646.09637168</v>
      </c>
      <c r="AH17">
        <v>250000.00103750001</v>
      </c>
      <c r="AI17">
        <v>250000.00103750001</v>
      </c>
      <c r="AJ17">
        <v>1.315789E-2</v>
      </c>
      <c r="AK17">
        <v>0</v>
      </c>
      <c r="AL17" t="s">
        <v>1571</v>
      </c>
      <c r="AM17">
        <v>0</v>
      </c>
      <c r="AN17">
        <v>0</v>
      </c>
      <c r="AO17">
        <v>0</v>
      </c>
      <c r="AP17" t="s">
        <v>123</v>
      </c>
      <c r="AQ17" t="s">
        <v>123</v>
      </c>
      <c r="AR17" t="s">
        <v>123</v>
      </c>
      <c r="AS17" t="s">
        <v>123</v>
      </c>
      <c r="AT17">
        <v>0</v>
      </c>
      <c r="AU17" t="s">
        <v>123</v>
      </c>
      <c r="AV17">
        <v>0.14241259000000001</v>
      </c>
      <c r="AW17">
        <v>97713.653739789996</v>
      </c>
      <c r="AX17">
        <v>21632.642342449999</v>
      </c>
      <c r="AY17">
        <v>0.22138811999999999</v>
      </c>
      <c r="AZ17">
        <v>0.85758741000000005</v>
      </c>
      <c r="BA17">
        <v>0</v>
      </c>
      <c r="BB17">
        <v>415</v>
      </c>
      <c r="BC17">
        <v>7.6477260000000005E-2</v>
      </c>
      <c r="BE17">
        <v>197406.69510416</v>
      </c>
      <c r="BF17">
        <v>99</v>
      </c>
      <c r="BG17" t="s">
        <v>1472</v>
      </c>
      <c r="BH17">
        <v>0</v>
      </c>
      <c r="BI17">
        <v>1195</v>
      </c>
      <c r="BJ17" t="s">
        <v>1333</v>
      </c>
      <c r="BK17" s="1">
        <v>45889</v>
      </c>
      <c r="BL17" s="1">
        <v>45889</v>
      </c>
      <c r="BM17" t="s">
        <v>123</v>
      </c>
      <c r="BN17" t="s">
        <v>123</v>
      </c>
      <c r="BO17" t="s">
        <v>123</v>
      </c>
      <c r="BP17" t="s">
        <v>139</v>
      </c>
      <c r="BQ17">
        <v>0</v>
      </c>
      <c r="BS17">
        <v>0</v>
      </c>
      <c r="BT17" t="s">
        <v>1330</v>
      </c>
      <c r="BU17">
        <v>0</v>
      </c>
      <c r="BV17" t="s">
        <v>123</v>
      </c>
      <c r="BW17">
        <v>0</v>
      </c>
      <c r="BX17">
        <v>0</v>
      </c>
      <c r="BY17">
        <v>0</v>
      </c>
      <c r="BZ17">
        <v>1</v>
      </c>
      <c r="CA17">
        <v>0.9829</v>
      </c>
      <c r="CB17">
        <v>1.7600000000000001E-2</v>
      </c>
      <c r="CC17">
        <v>0</v>
      </c>
    </row>
    <row r="18" spans="1:81" x14ac:dyDescent="0.3">
      <c r="A18">
        <v>1</v>
      </c>
      <c r="B18">
        <v>598</v>
      </c>
      <c r="C18" t="s">
        <v>1473</v>
      </c>
      <c r="D18">
        <v>218</v>
      </c>
      <c r="E18" t="s">
        <v>943</v>
      </c>
      <c r="F18" t="s">
        <v>1357</v>
      </c>
      <c r="G18" t="s">
        <v>133</v>
      </c>
      <c r="H18" t="s">
        <v>1336</v>
      </c>
      <c r="I18">
        <v>2025</v>
      </c>
      <c r="J18" t="s">
        <v>946</v>
      </c>
      <c r="K18">
        <v>250000</v>
      </c>
      <c r="L18" t="s">
        <v>1456</v>
      </c>
      <c r="M18"/>
      <c r="N18" t="s">
        <v>1326</v>
      </c>
      <c r="O18" s="3">
        <v>45775</v>
      </c>
      <c r="P18">
        <v>7.7850000000000003E-2</v>
      </c>
      <c r="Q18">
        <v>3.8097329999999999E-2</v>
      </c>
      <c r="R18" s="3">
        <v>45098</v>
      </c>
      <c r="S18" s="3">
        <v>46211</v>
      </c>
      <c r="U18" t="s">
        <v>1325</v>
      </c>
      <c r="V18">
        <v>0</v>
      </c>
      <c r="W18">
        <v>150000000</v>
      </c>
      <c r="X18">
        <v>11677500</v>
      </c>
      <c r="Y18">
        <v>250000.5</v>
      </c>
      <c r="Z18">
        <v>250000.5</v>
      </c>
      <c r="AA18">
        <v>0</v>
      </c>
      <c r="AB18">
        <v>101.15</v>
      </c>
      <c r="AC18">
        <v>1.6666700000000001E-3</v>
      </c>
      <c r="AD18">
        <v>19462.538925000001</v>
      </c>
      <c r="AE18">
        <v>252875.50575000001</v>
      </c>
      <c r="AF18">
        <v>1609.9947633100001</v>
      </c>
      <c r="AG18">
        <v>19799.75502379</v>
      </c>
      <c r="AH18">
        <v>0</v>
      </c>
      <c r="AI18">
        <v>250000.5</v>
      </c>
      <c r="AJ18">
        <v>1.315792E-2</v>
      </c>
      <c r="AK18">
        <v>0</v>
      </c>
      <c r="AL18" t="s">
        <v>1571</v>
      </c>
      <c r="AM18">
        <v>0</v>
      </c>
      <c r="AN18">
        <v>0</v>
      </c>
      <c r="AO18">
        <v>0</v>
      </c>
      <c r="AP18" t="s">
        <v>123</v>
      </c>
      <c r="AQ18" t="s">
        <v>123</v>
      </c>
      <c r="AR18" t="s">
        <v>123</v>
      </c>
      <c r="AS18" t="s">
        <v>123</v>
      </c>
      <c r="AT18">
        <v>0</v>
      </c>
      <c r="AU18" t="s">
        <v>123</v>
      </c>
      <c r="AV18">
        <v>8.2722749999999998E-2</v>
      </c>
      <c r="AW18">
        <v>32500.064999999999</v>
      </c>
      <c r="AX18">
        <v>17852.544161689999</v>
      </c>
      <c r="AY18">
        <v>0.54930794999999999</v>
      </c>
      <c r="AZ18">
        <v>0.91727725000000004</v>
      </c>
      <c r="BA18">
        <v>0</v>
      </c>
      <c r="BB18">
        <v>231</v>
      </c>
      <c r="BC18">
        <v>6.9939169999999995E-2</v>
      </c>
      <c r="BE18">
        <v>75000.149999999994</v>
      </c>
      <c r="BF18">
        <v>99</v>
      </c>
      <c r="BG18" t="s">
        <v>1474</v>
      </c>
      <c r="BH18">
        <v>0</v>
      </c>
      <c r="BI18">
        <v>1196</v>
      </c>
      <c r="BJ18" t="s">
        <v>1333</v>
      </c>
      <c r="BK18" s="1">
        <v>45775</v>
      </c>
      <c r="BL18" s="1">
        <v>45775</v>
      </c>
      <c r="BM18" t="s">
        <v>123</v>
      </c>
      <c r="BN18" t="s">
        <v>123</v>
      </c>
      <c r="BO18" t="s">
        <v>123</v>
      </c>
      <c r="BP18" t="s">
        <v>139</v>
      </c>
      <c r="BQ18">
        <v>0</v>
      </c>
      <c r="BS18">
        <v>0</v>
      </c>
      <c r="BT18" t="s">
        <v>1330</v>
      </c>
      <c r="BU18">
        <v>0</v>
      </c>
      <c r="BV18" t="s">
        <v>123</v>
      </c>
      <c r="BW18">
        <v>0</v>
      </c>
      <c r="BX18">
        <v>0</v>
      </c>
      <c r="BY18">
        <v>0</v>
      </c>
      <c r="BZ18">
        <v>1</v>
      </c>
      <c r="CA18">
        <v>0.99329999999999996</v>
      </c>
      <c r="CB18">
        <v>6.7999999999999996E-3</v>
      </c>
      <c r="CC18">
        <v>0</v>
      </c>
    </row>
    <row r="19" spans="1:81" x14ac:dyDescent="0.3">
      <c r="A19">
        <v>1</v>
      </c>
      <c r="B19">
        <v>624</v>
      </c>
      <c r="C19" t="s">
        <v>1475</v>
      </c>
      <c r="D19">
        <v>262</v>
      </c>
      <c r="E19" t="s">
        <v>1099</v>
      </c>
      <c r="F19" t="s">
        <v>1358</v>
      </c>
      <c r="G19" t="s">
        <v>133</v>
      </c>
      <c r="H19" t="s">
        <v>1336</v>
      </c>
      <c r="I19">
        <v>2025</v>
      </c>
      <c r="J19" t="s">
        <v>1100</v>
      </c>
      <c r="K19">
        <v>250000</v>
      </c>
      <c r="L19" t="s">
        <v>1456</v>
      </c>
      <c r="M19"/>
      <c r="N19" t="s">
        <v>1326</v>
      </c>
      <c r="O19" s="3">
        <v>45777</v>
      </c>
      <c r="P19">
        <v>0.1004</v>
      </c>
      <c r="Q19">
        <v>6.1561049999999999E-2</v>
      </c>
      <c r="R19" s="3">
        <v>45126</v>
      </c>
      <c r="S19" s="3">
        <v>46241</v>
      </c>
      <c r="U19" t="s">
        <v>1325</v>
      </c>
      <c r="V19">
        <v>0</v>
      </c>
      <c r="W19">
        <v>300000000</v>
      </c>
      <c r="X19">
        <v>10040000</v>
      </c>
      <c r="Y19">
        <v>250000</v>
      </c>
      <c r="Z19">
        <v>250000</v>
      </c>
      <c r="AA19">
        <v>0</v>
      </c>
      <c r="AB19">
        <v>101.95</v>
      </c>
      <c r="AC19">
        <v>2.5000000000000001E-3</v>
      </c>
      <c r="AD19">
        <v>25100</v>
      </c>
      <c r="AE19">
        <v>254875</v>
      </c>
      <c r="AF19">
        <v>962.19950361999997</v>
      </c>
      <c r="AG19">
        <v>13617.280628730001</v>
      </c>
      <c r="AH19">
        <v>0</v>
      </c>
      <c r="AI19">
        <v>233793.04499264</v>
      </c>
      <c r="AJ19">
        <v>1.315789E-2</v>
      </c>
      <c r="AK19">
        <v>0</v>
      </c>
      <c r="AL19" t="s">
        <v>1571</v>
      </c>
      <c r="AM19">
        <v>0</v>
      </c>
      <c r="AN19">
        <v>0</v>
      </c>
      <c r="AO19">
        <v>0</v>
      </c>
      <c r="AP19" t="s">
        <v>123</v>
      </c>
      <c r="AQ19" t="s">
        <v>123</v>
      </c>
      <c r="AR19" t="s">
        <v>123</v>
      </c>
      <c r="AS19" t="s">
        <v>123</v>
      </c>
      <c r="AT19">
        <v>0</v>
      </c>
      <c r="AU19" t="s">
        <v>123</v>
      </c>
      <c r="AV19">
        <v>3.8334640000000003E-2</v>
      </c>
      <c r="AW19">
        <v>18980.321468490001</v>
      </c>
      <c r="AX19">
        <v>24137.800496380001</v>
      </c>
      <c r="AY19">
        <v>1.2717277</v>
      </c>
      <c r="AZ19">
        <v>0.96166536000000002</v>
      </c>
      <c r="BA19">
        <v>0</v>
      </c>
      <c r="BB19">
        <v>261</v>
      </c>
      <c r="BC19">
        <v>8.6950429999999995E-2</v>
      </c>
      <c r="BE19">
        <v>51063.958431630002</v>
      </c>
      <c r="BF19">
        <v>99</v>
      </c>
      <c r="BG19" t="s">
        <v>1476</v>
      </c>
      <c r="BH19">
        <v>0</v>
      </c>
      <c r="BI19">
        <v>1197</v>
      </c>
      <c r="BJ19" t="s">
        <v>1333</v>
      </c>
      <c r="BK19" s="1">
        <v>45777</v>
      </c>
      <c r="BL19" s="1">
        <v>45777</v>
      </c>
      <c r="BM19" t="s">
        <v>123</v>
      </c>
      <c r="BN19" t="s">
        <v>123</v>
      </c>
      <c r="BO19" t="s">
        <v>123</v>
      </c>
      <c r="BP19" t="s">
        <v>139</v>
      </c>
      <c r="BQ19">
        <v>0</v>
      </c>
      <c r="BS19">
        <v>0</v>
      </c>
      <c r="BT19" t="s">
        <v>1330</v>
      </c>
      <c r="BU19">
        <v>0</v>
      </c>
      <c r="BV19" t="s">
        <v>123</v>
      </c>
      <c r="BW19">
        <v>0</v>
      </c>
      <c r="BX19">
        <v>0</v>
      </c>
      <c r="BY19">
        <v>0</v>
      </c>
      <c r="BZ19">
        <v>1</v>
      </c>
      <c r="CA19">
        <v>0.99380000000000002</v>
      </c>
      <c r="CB19">
        <v>7.0000000000000001E-3</v>
      </c>
      <c r="CC19">
        <v>0</v>
      </c>
    </row>
    <row r="20" spans="1:81" x14ac:dyDescent="0.3">
      <c r="A20">
        <v>1</v>
      </c>
      <c r="B20">
        <v>524</v>
      </c>
      <c r="C20" t="s">
        <v>1477</v>
      </c>
      <c r="D20">
        <v>203</v>
      </c>
      <c r="E20" t="s">
        <v>876</v>
      </c>
      <c r="F20" t="s">
        <v>1359</v>
      </c>
      <c r="G20" t="s">
        <v>150</v>
      </c>
      <c r="H20" t="s">
        <v>1336</v>
      </c>
      <c r="I20">
        <v>2025</v>
      </c>
      <c r="J20" t="s">
        <v>879</v>
      </c>
      <c r="K20">
        <v>250000</v>
      </c>
      <c r="L20" t="s">
        <v>1456</v>
      </c>
      <c r="M20"/>
      <c r="N20" t="s">
        <v>1326</v>
      </c>
      <c r="O20" s="3">
        <v>45777</v>
      </c>
      <c r="P20">
        <v>0.11452</v>
      </c>
      <c r="Q20">
        <v>7.6309879999999997E-2</v>
      </c>
      <c r="R20" s="3">
        <v>45393</v>
      </c>
      <c r="S20" s="3">
        <v>46517</v>
      </c>
      <c r="U20" t="s">
        <v>1325</v>
      </c>
      <c r="V20">
        <v>0</v>
      </c>
      <c r="W20">
        <v>125000000</v>
      </c>
      <c r="X20">
        <v>14315000</v>
      </c>
      <c r="Y20">
        <v>250000</v>
      </c>
      <c r="Z20">
        <v>250000</v>
      </c>
      <c r="AA20">
        <v>0</v>
      </c>
      <c r="AB20">
        <v>102</v>
      </c>
      <c r="AC20">
        <v>2E-3</v>
      </c>
      <c r="AD20">
        <v>28630</v>
      </c>
      <c r="AE20">
        <v>255000</v>
      </c>
      <c r="AF20">
        <v>6876.8499797300001</v>
      </c>
      <c r="AG20">
        <v>38094.656895660002</v>
      </c>
      <c r="AH20">
        <v>250000</v>
      </c>
      <c r="AI20">
        <v>250000</v>
      </c>
      <c r="AJ20">
        <v>1.315789E-2</v>
      </c>
      <c r="AK20">
        <v>0</v>
      </c>
      <c r="AL20" t="s">
        <v>1571</v>
      </c>
      <c r="AM20">
        <v>0</v>
      </c>
      <c r="AN20">
        <v>0</v>
      </c>
      <c r="AO20">
        <v>0</v>
      </c>
      <c r="AP20" t="s">
        <v>123</v>
      </c>
      <c r="AQ20" t="s">
        <v>123</v>
      </c>
      <c r="AR20" t="s">
        <v>123</v>
      </c>
      <c r="AS20" t="s">
        <v>123</v>
      </c>
      <c r="AT20">
        <v>0</v>
      </c>
      <c r="AU20" t="s">
        <v>123</v>
      </c>
      <c r="AV20">
        <v>0.24019734000000001</v>
      </c>
      <c r="AW20">
        <v>50848.79320036</v>
      </c>
      <c r="AX20">
        <v>21753.150020270001</v>
      </c>
      <c r="AY20">
        <v>0.42780070999999997</v>
      </c>
      <c r="AZ20">
        <v>0.75980265999999996</v>
      </c>
      <c r="BA20">
        <v>0</v>
      </c>
      <c r="BB20">
        <v>537</v>
      </c>
      <c r="BC20">
        <v>0.106922</v>
      </c>
      <c r="BE20">
        <v>101619.04951041</v>
      </c>
      <c r="BF20">
        <v>99</v>
      </c>
      <c r="BG20" t="s">
        <v>1478</v>
      </c>
      <c r="BH20">
        <v>0</v>
      </c>
      <c r="BI20">
        <v>1198</v>
      </c>
      <c r="BJ20" t="s">
        <v>1333</v>
      </c>
      <c r="BK20" s="1">
        <v>45777</v>
      </c>
      <c r="BL20" s="1">
        <v>45777</v>
      </c>
      <c r="BM20" t="s">
        <v>123</v>
      </c>
      <c r="BN20" t="s">
        <v>123</v>
      </c>
      <c r="BO20" t="s">
        <v>123</v>
      </c>
      <c r="BP20" t="s">
        <v>139</v>
      </c>
      <c r="BQ20">
        <v>0</v>
      </c>
      <c r="BS20">
        <v>0</v>
      </c>
      <c r="BT20" t="s">
        <v>1330</v>
      </c>
      <c r="BU20">
        <v>0</v>
      </c>
      <c r="BV20" t="s">
        <v>123</v>
      </c>
      <c r="BW20">
        <v>0</v>
      </c>
      <c r="BX20">
        <v>0</v>
      </c>
      <c r="BY20">
        <v>0</v>
      </c>
      <c r="BZ20">
        <v>1</v>
      </c>
      <c r="CA20">
        <v>0.96430000000000005</v>
      </c>
      <c r="CB20">
        <v>3.9699999999999999E-2</v>
      </c>
      <c r="CC20">
        <v>0</v>
      </c>
    </row>
    <row r="21" spans="1:81" x14ac:dyDescent="0.3">
      <c r="A21">
        <v>1</v>
      </c>
      <c r="B21">
        <v>410</v>
      </c>
      <c r="C21" t="s">
        <v>1479</v>
      </c>
      <c r="D21">
        <v>234</v>
      </c>
      <c r="E21" t="s">
        <v>995</v>
      </c>
      <c r="F21" t="s">
        <v>1360</v>
      </c>
      <c r="G21" t="s">
        <v>159</v>
      </c>
      <c r="H21" t="s">
        <v>1336</v>
      </c>
      <c r="J21" t="s">
        <v>1361</v>
      </c>
      <c r="K21">
        <v>250000</v>
      </c>
      <c r="L21" t="s">
        <v>1456</v>
      </c>
      <c r="M21"/>
      <c r="N21" t="s">
        <v>1326</v>
      </c>
      <c r="O21" s="3">
        <v>45784</v>
      </c>
      <c r="P21">
        <v>0.1032</v>
      </c>
      <c r="Q21">
        <v>6.497E-2</v>
      </c>
      <c r="R21" s="3">
        <v>45701</v>
      </c>
      <c r="S21" s="3">
        <v>46804</v>
      </c>
      <c r="U21" t="s">
        <v>1325</v>
      </c>
      <c r="V21">
        <v>0</v>
      </c>
      <c r="W21">
        <v>200000000</v>
      </c>
      <c r="X21">
        <v>18060000</v>
      </c>
      <c r="Y21">
        <v>249999.75</v>
      </c>
      <c r="Z21">
        <v>249999.75</v>
      </c>
      <c r="AA21">
        <v>0</v>
      </c>
      <c r="AB21">
        <v>99.85</v>
      </c>
      <c r="AC21">
        <v>1.4285700000000001E-3</v>
      </c>
      <c r="AD21">
        <v>25799.974200000001</v>
      </c>
      <c r="AE21">
        <v>249624.750375</v>
      </c>
      <c r="AF21">
        <v>3909.5974537299999</v>
      </c>
      <c r="AG21">
        <v>30579.134360209999</v>
      </c>
      <c r="AH21">
        <v>249999.75</v>
      </c>
      <c r="AI21">
        <v>249999.75</v>
      </c>
      <c r="AJ21">
        <v>1.315788E-2</v>
      </c>
      <c r="AK21">
        <v>0</v>
      </c>
      <c r="AL21" t="s">
        <v>1571</v>
      </c>
      <c r="AM21">
        <v>0</v>
      </c>
      <c r="AN21">
        <v>0</v>
      </c>
      <c r="AO21">
        <v>0</v>
      </c>
      <c r="AP21" t="s">
        <v>123</v>
      </c>
      <c r="AQ21" t="s">
        <v>123</v>
      </c>
      <c r="AR21" t="s">
        <v>123</v>
      </c>
      <c r="AS21" t="s">
        <v>123</v>
      </c>
      <c r="AT21">
        <v>0</v>
      </c>
      <c r="AU21" t="s">
        <v>123</v>
      </c>
      <c r="AV21">
        <v>0.15153494000000001</v>
      </c>
      <c r="AW21">
        <v>158012.22824557</v>
      </c>
      <c r="AX21">
        <v>21890.376746270002</v>
      </c>
      <c r="AY21">
        <v>0.13853597000000001</v>
      </c>
      <c r="AZ21">
        <v>0.84846505999999999</v>
      </c>
      <c r="BA21">
        <v>0</v>
      </c>
      <c r="BB21">
        <v>824</v>
      </c>
      <c r="BC21">
        <v>0.10708301000000001</v>
      </c>
      <c r="BE21">
        <v>182488.71787078</v>
      </c>
      <c r="BF21">
        <v>99</v>
      </c>
      <c r="BG21" t="s">
        <v>1480</v>
      </c>
      <c r="BH21">
        <v>0</v>
      </c>
      <c r="BI21">
        <v>1199</v>
      </c>
      <c r="BJ21" t="s">
        <v>1333</v>
      </c>
      <c r="BK21" s="1">
        <v>45784</v>
      </c>
      <c r="BL21" s="1">
        <v>45784</v>
      </c>
      <c r="BM21" t="s">
        <v>123</v>
      </c>
      <c r="BN21" t="s">
        <v>123</v>
      </c>
      <c r="BO21" t="s">
        <v>123</v>
      </c>
      <c r="BP21" t="s">
        <v>139</v>
      </c>
      <c r="BQ21">
        <v>0</v>
      </c>
      <c r="BS21">
        <v>0</v>
      </c>
      <c r="BT21" t="s">
        <v>1330</v>
      </c>
      <c r="BU21">
        <v>0</v>
      </c>
      <c r="BV21" t="s">
        <v>123</v>
      </c>
      <c r="BW21">
        <v>0</v>
      </c>
      <c r="BX21">
        <v>0</v>
      </c>
      <c r="BY21">
        <v>0</v>
      </c>
      <c r="BZ21">
        <v>1</v>
      </c>
      <c r="CA21">
        <v>0.98329999999999995</v>
      </c>
      <c r="CB21">
        <v>1.7000000000000001E-2</v>
      </c>
      <c r="CC21">
        <v>1.44E-2</v>
      </c>
    </row>
    <row r="22" spans="1:81" x14ac:dyDescent="0.3">
      <c r="A22">
        <v>1</v>
      </c>
      <c r="B22">
        <v>519</v>
      </c>
      <c r="C22" t="s">
        <v>1481</v>
      </c>
      <c r="D22">
        <v>106</v>
      </c>
      <c r="E22" t="s">
        <v>546</v>
      </c>
      <c r="F22" t="s">
        <v>1362</v>
      </c>
      <c r="G22" t="s">
        <v>133</v>
      </c>
      <c r="H22" t="s">
        <v>1336</v>
      </c>
      <c r="I22">
        <v>2025</v>
      </c>
      <c r="J22" t="s">
        <v>549</v>
      </c>
      <c r="K22">
        <v>250000</v>
      </c>
      <c r="L22" t="s">
        <v>1456</v>
      </c>
      <c r="M22"/>
      <c r="N22" t="s">
        <v>1326</v>
      </c>
      <c r="O22" s="3">
        <v>45785</v>
      </c>
      <c r="P22">
        <v>9.146E-2</v>
      </c>
      <c r="Q22">
        <v>5.2853369999999997E-2</v>
      </c>
      <c r="R22" s="3">
        <v>45071</v>
      </c>
      <c r="S22" s="3">
        <v>46178</v>
      </c>
      <c r="U22" t="s">
        <v>1325</v>
      </c>
      <c r="V22">
        <v>0</v>
      </c>
      <c r="W22">
        <v>150000000</v>
      </c>
      <c r="X22">
        <v>13719000</v>
      </c>
      <c r="Y22">
        <v>250000.5</v>
      </c>
      <c r="Z22">
        <v>250000.5</v>
      </c>
      <c r="AA22">
        <v>0</v>
      </c>
      <c r="AB22">
        <v>101.95</v>
      </c>
      <c r="AC22">
        <v>1.6666700000000001E-3</v>
      </c>
      <c r="AD22">
        <v>22865.045730000002</v>
      </c>
      <c r="AE22">
        <v>254875.50975</v>
      </c>
      <c r="AF22">
        <v>2734.4804724999999</v>
      </c>
      <c r="AG22">
        <v>25796.027019640002</v>
      </c>
      <c r="AH22">
        <v>250000.5</v>
      </c>
      <c r="AI22">
        <v>250000.5</v>
      </c>
      <c r="AJ22">
        <v>1.315792E-2</v>
      </c>
      <c r="AK22">
        <v>0</v>
      </c>
      <c r="AL22" t="s">
        <v>1571</v>
      </c>
      <c r="AM22">
        <v>0</v>
      </c>
      <c r="AN22">
        <v>0</v>
      </c>
      <c r="AO22">
        <v>0</v>
      </c>
      <c r="AP22" t="s">
        <v>123</v>
      </c>
      <c r="AQ22" t="s">
        <v>123</v>
      </c>
      <c r="AR22" t="s">
        <v>123</v>
      </c>
      <c r="AS22" t="s">
        <v>123</v>
      </c>
      <c r="AT22">
        <v>0</v>
      </c>
      <c r="AU22" t="s">
        <v>123</v>
      </c>
      <c r="AV22">
        <v>0.11959217</v>
      </c>
      <c r="AW22">
        <v>15000.03</v>
      </c>
      <c r="AX22">
        <v>20130.565257499999</v>
      </c>
      <c r="AY22">
        <v>1.3420350000000001</v>
      </c>
      <c r="AZ22">
        <v>0.88040783</v>
      </c>
      <c r="BA22">
        <v>0</v>
      </c>
      <c r="BB22">
        <v>198</v>
      </c>
      <c r="BC22">
        <v>7.5891169999999994E-2</v>
      </c>
      <c r="BE22">
        <v>0</v>
      </c>
      <c r="BF22">
        <v>99</v>
      </c>
      <c r="BG22" t="s">
        <v>1482</v>
      </c>
      <c r="BH22">
        <v>0</v>
      </c>
      <c r="BI22">
        <v>1200</v>
      </c>
      <c r="BJ22" t="s">
        <v>1333</v>
      </c>
      <c r="BK22" s="1">
        <v>45785</v>
      </c>
      <c r="BL22" s="1">
        <v>45785</v>
      </c>
      <c r="BM22" t="s">
        <v>123</v>
      </c>
      <c r="BN22" t="s">
        <v>123</v>
      </c>
      <c r="BO22" t="s">
        <v>123</v>
      </c>
      <c r="BP22" t="s">
        <v>139</v>
      </c>
      <c r="BQ22">
        <v>0</v>
      </c>
      <c r="BS22">
        <v>0</v>
      </c>
      <c r="BT22" t="s">
        <v>1330</v>
      </c>
      <c r="BU22">
        <v>0</v>
      </c>
      <c r="BV22" t="s">
        <v>123</v>
      </c>
      <c r="BW22">
        <v>0</v>
      </c>
      <c r="BX22">
        <v>0</v>
      </c>
      <c r="BY22">
        <v>0</v>
      </c>
      <c r="BZ22">
        <v>1</v>
      </c>
      <c r="CA22">
        <v>0.98839999999999995</v>
      </c>
      <c r="CB22">
        <v>1.17E-2</v>
      </c>
      <c r="CC22">
        <v>1.04E-2</v>
      </c>
    </row>
    <row r="23" spans="1:81" x14ac:dyDescent="0.3">
      <c r="A23">
        <v>1</v>
      </c>
      <c r="B23">
        <v>344</v>
      </c>
      <c r="C23" t="s">
        <v>1483</v>
      </c>
      <c r="D23">
        <v>10</v>
      </c>
      <c r="E23" t="s">
        <v>182</v>
      </c>
      <c r="F23" t="s">
        <v>1363</v>
      </c>
      <c r="G23" t="s">
        <v>133</v>
      </c>
      <c r="H23" t="s">
        <v>1336</v>
      </c>
      <c r="I23">
        <v>2025</v>
      </c>
      <c r="J23" t="s">
        <v>185</v>
      </c>
      <c r="K23">
        <v>250000</v>
      </c>
      <c r="L23" t="s">
        <v>1456</v>
      </c>
      <c r="M23"/>
      <c r="N23" t="s">
        <v>1326</v>
      </c>
      <c r="O23" s="3">
        <v>45789</v>
      </c>
      <c r="P23">
        <v>0.14850714000000001</v>
      </c>
      <c r="Q23">
        <v>0.1071459</v>
      </c>
      <c r="R23" s="3">
        <v>45009</v>
      </c>
      <c r="S23" s="3">
        <v>46112</v>
      </c>
      <c r="U23" t="s">
        <v>1325</v>
      </c>
      <c r="V23">
        <v>0</v>
      </c>
      <c r="W23">
        <v>16626000000</v>
      </c>
      <c r="X23">
        <v>74253570</v>
      </c>
      <c r="Y23">
        <v>250000</v>
      </c>
      <c r="Z23">
        <v>250000</v>
      </c>
      <c r="AA23">
        <v>0</v>
      </c>
      <c r="AB23">
        <v>102.8</v>
      </c>
      <c r="AC23">
        <v>5.0000000000000001E-4</v>
      </c>
      <c r="AD23">
        <v>37126.785000000003</v>
      </c>
      <c r="AE23">
        <v>257000</v>
      </c>
      <c r="AF23">
        <v>6724.1610664199998</v>
      </c>
      <c r="AG23">
        <v>39147.112492109998</v>
      </c>
      <c r="AH23">
        <v>250000.00794000001</v>
      </c>
      <c r="AI23">
        <v>250000.00794000001</v>
      </c>
      <c r="AJ23">
        <v>1.315789E-2</v>
      </c>
      <c r="AK23">
        <v>0</v>
      </c>
      <c r="AL23" t="s">
        <v>1571</v>
      </c>
      <c r="AM23">
        <v>0</v>
      </c>
      <c r="AN23">
        <v>0</v>
      </c>
      <c r="AO23">
        <v>0</v>
      </c>
      <c r="AP23" t="s">
        <v>123</v>
      </c>
      <c r="AQ23" t="s">
        <v>123</v>
      </c>
      <c r="AR23" t="s">
        <v>123</v>
      </c>
      <c r="AS23" t="s">
        <v>123</v>
      </c>
      <c r="AT23">
        <v>0</v>
      </c>
      <c r="AU23" t="s">
        <v>123</v>
      </c>
      <c r="AV23">
        <v>0.18111347999999999</v>
      </c>
      <c r="AW23">
        <v>195000.00619320001</v>
      </c>
      <c r="AX23">
        <v>30402.623933579998</v>
      </c>
      <c r="AY23">
        <v>0.15591089</v>
      </c>
      <c r="AZ23">
        <v>0.81888651999999995</v>
      </c>
      <c r="BA23">
        <v>0</v>
      </c>
      <c r="BB23">
        <v>132</v>
      </c>
      <c r="BC23">
        <v>0.11713456</v>
      </c>
      <c r="BE23">
        <v>225000.00714599999</v>
      </c>
      <c r="BF23">
        <v>99</v>
      </c>
      <c r="BG23" t="s">
        <v>1484</v>
      </c>
      <c r="BH23">
        <v>0</v>
      </c>
      <c r="BI23">
        <v>1201</v>
      </c>
      <c r="BJ23" t="s">
        <v>1329</v>
      </c>
      <c r="BK23" s="1">
        <v>45789</v>
      </c>
      <c r="BL23" s="1">
        <v>45789</v>
      </c>
      <c r="BM23" t="s">
        <v>123</v>
      </c>
      <c r="BN23" t="s">
        <v>123</v>
      </c>
      <c r="BO23" t="s">
        <v>123</v>
      </c>
      <c r="BP23" t="s">
        <v>1334</v>
      </c>
      <c r="BQ23">
        <v>0</v>
      </c>
      <c r="BS23">
        <v>0</v>
      </c>
      <c r="BT23" t="s">
        <v>1330</v>
      </c>
      <c r="BU23">
        <v>0</v>
      </c>
      <c r="BV23" t="s">
        <v>123</v>
      </c>
      <c r="BW23">
        <v>0</v>
      </c>
      <c r="BX23">
        <v>0</v>
      </c>
      <c r="BY23">
        <v>0</v>
      </c>
      <c r="BZ23">
        <v>1</v>
      </c>
      <c r="CA23">
        <v>0.96950000000000003</v>
      </c>
      <c r="CB23">
        <v>3.1600000000000003E-2</v>
      </c>
      <c r="CC23">
        <v>0</v>
      </c>
    </row>
    <row r="24" spans="1:81" x14ac:dyDescent="0.3">
      <c r="A24">
        <v>1</v>
      </c>
      <c r="B24">
        <v>699</v>
      </c>
      <c r="C24" t="s">
        <v>1485</v>
      </c>
      <c r="D24">
        <v>272</v>
      </c>
      <c r="E24" t="s">
        <v>1129</v>
      </c>
      <c r="F24" t="s">
        <v>1364</v>
      </c>
      <c r="G24" t="s">
        <v>133</v>
      </c>
      <c r="H24" t="s">
        <v>1336</v>
      </c>
      <c r="I24">
        <v>2025</v>
      </c>
      <c r="J24" t="s">
        <v>1132</v>
      </c>
      <c r="K24">
        <v>250000</v>
      </c>
      <c r="L24" t="s">
        <v>1456</v>
      </c>
      <c r="M24"/>
      <c r="N24" t="s">
        <v>1326</v>
      </c>
      <c r="O24" s="3">
        <v>45789</v>
      </c>
      <c r="P24">
        <v>0.12889999999999999</v>
      </c>
      <c r="Q24">
        <v>9.0592530000000004E-2</v>
      </c>
      <c r="R24" s="3">
        <v>45035</v>
      </c>
      <c r="S24" s="3">
        <v>46180</v>
      </c>
      <c r="U24" t="s">
        <v>1325</v>
      </c>
      <c r="V24">
        <v>0</v>
      </c>
      <c r="W24">
        <v>1000000000</v>
      </c>
      <c r="X24">
        <v>64449999.999999903</v>
      </c>
      <c r="Y24">
        <v>250000</v>
      </c>
      <c r="Z24">
        <v>250000</v>
      </c>
      <c r="AA24">
        <v>0</v>
      </c>
      <c r="AB24">
        <v>102.5</v>
      </c>
      <c r="AC24">
        <v>5.0000000000000001E-4</v>
      </c>
      <c r="AD24">
        <v>32225</v>
      </c>
      <c r="AE24">
        <v>256250</v>
      </c>
      <c r="AF24">
        <v>6860.1809853300001</v>
      </c>
      <c r="AG24">
        <v>40030.556094790001</v>
      </c>
      <c r="AH24">
        <v>250000</v>
      </c>
      <c r="AI24">
        <v>250000</v>
      </c>
      <c r="AJ24">
        <v>1.315789E-2</v>
      </c>
      <c r="AK24">
        <v>0</v>
      </c>
      <c r="AL24" t="s">
        <v>1571</v>
      </c>
      <c r="AM24">
        <v>0</v>
      </c>
      <c r="AN24">
        <v>0</v>
      </c>
      <c r="AO24">
        <v>0</v>
      </c>
      <c r="AP24" t="s">
        <v>123</v>
      </c>
      <c r="AQ24" t="s">
        <v>123</v>
      </c>
      <c r="AR24" t="s">
        <v>123</v>
      </c>
      <c r="AS24" t="s">
        <v>123</v>
      </c>
      <c r="AT24">
        <v>0</v>
      </c>
      <c r="AU24" t="s">
        <v>123</v>
      </c>
      <c r="AV24">
        <v>0.21288382</v>
      </c>
      <c r="AW24">
        <v>28995.533988160001</v>
      </c>
      <c r="AX24">
        <v>25364.81901467</v>
      </c>
      <c r="AY24">
        <v>0.87478365000000002</v>
      </c>
      <c r="AZ24">
        <v>0.78711618000000005</v>
      </c>
      <c r="BA24">
        <v>0</v>
      </c>
      <c r="BB24">
        <v>200</v>
      </c>
      <c r="BC24">
        <v>0.10738033</v>
      </c>
      <c r="BE24">
        <v>50000</v>
      </c>
      <c r="BF24">
        <v>99</v>
      </c>
      <c r="BG24" t="s">
        <v>1486</v>
      </c>
      <c r="BH24">
        <v>0</v>
      </c>
      <c r="BI24">
        <v>1202</v>
      </c>
      <c r="BJ24" t="s">
        <v>1329</v>
      </c>
      <c r="BK24" s="1">
        <v>45789</v>
      </c>
      <c r="BL24" s="1">
        <v>45789</v>
      </c>
      <c r="BM24" t="s">
        <v>123</v>
      </c>
      <c r="BN24" t="s">
        <v>123</v>
      </c>
      <c r="BO24" t="s">
        <v>123</v>
      </c>
      <c r="BP24" t="s">
        <v>139</v>
      </c>
      <c r="BQ24">
        <v>0</v>
      </c>
      <c r="BS24">
        <v>0</v>
      </c>
      <c r="BT24" t="s">
        <v>1330</v>
      </c>
      <c r="BU24">
        <v>0</v>
      </c>
      <c r="BV24" t="s">
        <v>123</v>
      </c>
      <c r="BW24">
        <v>0</v>
      </c>
      <c r="BX24">
        <v>0</v>
      </c>
      <c r="BY24">
        <v>0</v>
      </c>
      <c r="BZ24">
        <v>1</v>
      </c>
      <c r="CA24">
        <v>0.97030000000000005</v>
      </c>
      <c r="CB24">
        <v>3.1199999999999999E-2</v>
      </c>
      <c r="CC24">
        <v>0</v>
      </c>
    </row>
    <row r="25" spans="1:81" x14ac:dyDescent="0.3">
      <c r="A25">
        <v>1</v>
      </c>
      <c r="B25">
        <v>531</v>
      </c>
      <c r="C25" t="s">
        <v>1487</v>
      </c>
      <c r="D25">
        <v>142</v>
      </c>
      <c r="E25" t="s">
        <v>679</v>
      </c>
      <c r="F25" t="s">
        <v>1365</v>
      </c>
      <c r="G25" t="s">
        <v>133</v>
      </c>
      <c r="H25" t="s">
        <v>1336</v>
      </c>
      <c r="I25">
        <v>2025</v>
      </c>
      <c r="J25" t="s">
        <v>682</v>
      </c>
      <c r="K25">
        <v>250000</v>
      </c>
      <c r="L25" t="s">
        <v>1456</v>
      </c>
      <c r="M25"/>
      <c r="N25" t="s">
        <v>1326</v>
      </c>
      <c r="O25" s="3">
        <v>45790</v>
      </c>
      <c r="P25">
        <v>0.1623</v>
      </c>
      <c r="Q25">
        <v>0.12371485</v>
      </c>
      <c r="R25" s="3">
        <v>45064</v>
      </c>
      <c r="S25" s="3">
        <v>46168</v>
      </c>
      <c r="U25" t="s">
        <v>1325</v>
      </c>
      <c r="V25">
        <v>0</v>
      </c>
      <c r="W25">
        <v>250000000</v>
      </c>
      <c r="X25">
        <v>19476000</v>
      </c>
      <c r="Y25">
        <v>249999.6</v>
      </c>
      <c r="Z25">
        <v>249999.6</v>
      </c>
      <c r="AA25">
        <v>0</v>
      </c>
      <c r="AB25">
        <v>104.6</v>
      </c>
      <c r="AC25">
        <v>2.08333E-3</v>
      </c>
      <c r="AD25">
        <v>40574.935080000003</v>
      </c>
      <c r="AE25">
        <v>261499.5816</v>
      </c>
      <c r="AF25">
        <v>6157.4670294099997</v>
      </c>
      <c r="AG25">
        <v>37635.065276519999</v>
      </c>
      <c r="AH25">
        <v>249999.6</v>
      </c>
      <c r="AI25">
        <v>249999.6</v>
      </c>
      <c r="AJ25">
        <v>1.315787E-2</v>
      </c>
      <c r="AK25">
        <v>0</v>
      </c>
      <c r="AL25" t="s">
        <v>1571</v>
      </c>
      <c r="AM25">
        <v>0</v>
      </c>
      <c r="AN25">
        <v>0</v>
      </c>
      <c r="AO25">
        <v>0</v>
      </c>
      <c r="AP25" t="s">
        <v>123</v>
      </c>
      <c r="AQ25" t="s">
        <v>123</v>
      </c>
      <c r="AR25" t="s">
        <v>123</v>
      </c>
      <c r="AS25" t="s">
        <v>123</v>
      </c>
      <c r="AT25">
        <v>0</v>
      </c>
      <c r="AU25" t="s">
        <v>123</v>
      </c>
      <c r="AV25">
        <v>0.15175543999999999</v>
      </c>
      <c r="AW25">
        <v>24388.658430480002</v>
      </c>
      <c r="AX25">
        <v>34417.468050590003</v>
      </c>
      <c r="AY25">
        <v>1.4112079200000001</v>
      </c>
      <c r="AZ25">
        <v>0.84824456000000004</v>
      </c>
      <c r="BA25">
        <v>0</v>
      </c>
      <c r="BB25">
        <v>188</v>
      </c>
      <c r="BC25">
        <v>0.11846673000000001</v>
      </c>
      <c r="BE25">
        <v>31011.030524500002</v>
      </c>
      <c r="BF25">
        <v>99</v>
      </c>
      <c r="BG25" t="s">
        <v>1488</v>
      </c>
      <c r="BH25">
        <v>0</v>
      </c>
      <c r="BI25">
        <v>1203</v>
      </c>
      <c r="BJ25" t="s">
        <v>1333</v>
      </c>
      <c r="BK25" s="1">
        <v>45790</v>
      </c>
      <c r="BL25" s="1">
        <v>45790</v>
      </c>
      <c r="BM25" t="s">
        <v>123</v>
      </c>
      <c r="BN25" t="s">
        <v>123</v>
      </c>
      <c r="BO25" t="s">
        <v>123</v>
      </c>
      <c r="BP25" t="s">
        <v>139</v>
      </c>
      <c r="BQ25">
        <v>0</v>
      </c>
      <c r="BS25">
        <v>0</v>
      </c>
      <c r="BT25" t="s">
        <v>1330</v>
      </c>
      <c r="BU25">
        <v>0</v>
      </c>
      <c r="BV25" t="s">
        <v>123</v>
      </c>
      <c r="BW25">
        <v>0</v>
      </c>
      <c r="BX25">
        <v>0</v>
      </c>
      <c r="BY25">
        <v>0</v>
      </c>
      <c r="BZ25">
        <v>1</v>
      </c>
      <c r="CA25">
        <v>0.97250000000000003</v>
      </c>
      <c r="CB25">
        <v>2.8400000000000002E-2</v>
      </c>
      <c r="CC25">
        <v>2.12E-2</v>
      </c>
    </row>
    <row r="26" spans="1:81" x14ac:dyDescent="0.3">
      <c r="A26">
        <v>1</v>
      </c>
      <c r="B26">
        <v>555</v>
      </c>
      <c r="C26" t="s">
        <v>1489</v>
      </c>
      <c r="D26">
        <v>231</v>
      </c>
      <c r="E26" t="s">
        <v>985</v>
      </c>
      <c r="F26" t="s">
        <v>1366</v>
      </c>
      <c r="G26" t="s">
        <v>150</v>
      </c>
      <c r="H26" t="s">
        <v>1336</v>
      </c>
      <c r="I26">
        <v>2025</v>
      </c>
      <c r="J26" t="s">
        <v>988</v>
      </c>
      <c r="K26">
        <v>250000</v>
      </c>
      <c r="L26" t="s">
        <v>1456</v>
      </c>
      <c r="M26"/>
      <c r="N26" t="s">
        <v>1326</v>
      </c>
      <c r="O26" s="3">
        <v>45791</v>
      </c>
      <c r="P26">
        <v>0.13565251</v>
      </c>
      <c r="Q26">
        <v>9.6978149999999999E-2</v>
      </c>
      <c r="R26" s="3">
        <v>45393</v>
      </c>
      <c r="S26" s="3">
        <v>46545</v>
      </c>
      <c r="U26" t="s">
        <v>1325</v>
      </c>
      <c r="V26">
        <v>0</v>
      </c>
      <c r="W26">
        <v>300000000</v>
      </c>
      <c r="X26">
        <v>20347876.5</v>
      </c>
      <c r="Y26">
        <v>250000.5</v>
      </c>
      <c r="Z26">
        <v>250000.5</v>
      </c>
      <c r="AA26">
        <v>0</v>
      </c>
      <c r="AB26">
        <v>102.85</v>
      </c>
      <c r="AC26">
        <v>1.6666700000000001E-3</v>
      </c>
      <c r="AD26">
        <v>33913.19532626</v>
      </c>
      <c r="AE26">
        <v>257125.51425000001</v>
      </c>
      <c r="AF26">
        <v>7180.8745190700001</v>
      </c>
      <c r="AG26">
        <v>40146.51526208</v>
      </c>
      <c r="AH26">
        <v>250000.5</v>
      </c>
      <c r="AI26">
        <v>250000.5</v>
      </c>
      <c r="AJ26">
        <v>1.315792E-2</v>
      </c>
      <c r="AK26">
        <v>0</v>
      </c>
      <c r="AL26" t="s">
        <v>1571</v>
      </c>
      <c r="AM26">
        <v>0</v>
      </c>
      <c r="AN26">
        <v>0</v>
      </c>
      <c r="AO26">
        <v>0</v>
      </c>
      <c r="AP26" t="s">
        <v>123</v>
      </c>
      <c r="AQ26" t="s">
        <v>123</v>
      </c>
      <c r="AR26" t="s">
        <v>123</v>
      </c>
      <c r="AS26" t="s">
        <v>123</v>
      </c>
      <c r="AT26">
        <v>0</v>
      </c>
      <c r="AU26" t="s">
        <v>123</v>
      </c>
      <c r="AV26">
        <v>0.21174278999999999</v>
      </c>
      <c r="AW26">
        <v>188526.47423190999</v>
      </c>
      <c r="AX26">
        <v>26732.320807190001</v>
      </c>
      <c r="AY26">
        <v>0.14179611</v>
      </c>
      <c r="AZ26">
        <v>0.78825721000000004</v>
      </c>
      <c r="BA26">
        <v>0</v>
      </c>
      <c r="BB26">
        <v>565</v>
      </c>
      <c r="BC26">
        <v>0.11963621000000001</v>
      </c>
      <c r="BE26">
        <v>225000.45</v>
      </c>
      <c r="BF26">
        <v>99</v>
      </c>
      <c r="BG26" t="s">
        <v>1490</v>
      </c>
      <c r="BH26">
        <v>0</v>
      </c>
      <c r="BI26">
        <v>1204</v>
      </c>
      <c r="BJ26" t="s">
        <v>1333</v>
      </c>
      <c r="BK26" s="1">
        <v>45791</v>
      </c>
      <c r="BL26" s="1">
        <v>45791</v>
      </c>
      <c r="BM26" t="s">
        <v>123</v>
      </c>
      <c r="BN26" t="s">
        <v>123</v>
      </c>
      <c r="BO26" t="s">
        <v>123</v>
      </c>
      <c r="BP26" t="s">
        <v>139</v>
      </c>
      <c r="BQ26">
        <v>0</v>
      </c>
      <c r="BS26">
        <v>0</v>
      </c>
      <c r="BT26" t="s">
        <v>1330</v>
      </c>
      <c r="BU26">
        <v>0</v>
      </c>
      <c r="BV26" t="s">
        <v>123</v>
      </c>
      <c r="BW26">
        <v>0</v>
      </c>
      <c r="BX26">
        <v>0</v>
      </c>
      <c r="BY26">
        <v>0</v>
      </c>
      <c r="BZ26">
        <v>1</v>
      </c>
      <c r="CA26">
        <v>0.96740000000000004</v>
      </c>
      <c r="CB26">
        <v>4.02E-2</v>
      </c>
      <c r="CC26">
        <v>0</v>
      </c>
    </row>
    <row r="27" spans="1:81" x14ac:dyDescent="0.3">
      <c r="A27">
        <v>1</v>
      </c>
      <c r="B27">
        <v>394</v>
      </c>
      <c r="C27" t="s">
        <v>1497</v>
      </c>
      <c r="D27">
        <v>297</v>
      </c>
      <c r="E27" t="s">
        <v>1209</v>
      </c>
      <c r="F27" t="s">
        <v>1367</v>
      </c>
      <c r="G27" t="s">
        <v>133</v>
      </c>
      <c r="H27" t="s">
        <v>1336</v>
      </c>
      <c r="I27">
        <v>2025</v>
      </c>
      <c r="J27" t="s">
        <v>1212</v>
      </c>
      <c r="K27">
        <v>250000</v>
      </c>
      <c r="L27" t="s">
        <v>1456</v>
      </c>
      <c r="M27"/>
      <c r="N27" t="s">
        <v>1326</v>
      </c>
      <c r="O27" s="3">
        <v>45793</v>
      </c>
      <c r="P27">
        <v>0.1696</v>
      </c>
      <c r="Q27">
        <v>0.13251341999999999</v>
      </c>
      <c r="R27" s="3">
        <v>44980</v>
      </c>
      <c r="S27" s="3">
        <v>46080</v>
      </c>
      <c r="U27" t="s">
        <v>1325</v>
      </c>
      <c r="V27">
        <v>0</v>
      </c>
      <c r="W27">
        <v>250000000</v>
      </c>
      <c r="X27">
        <v>12720000</v>
      </c>
      <c r="Y27">
        <v>249999.75</v>
      </c>
      <c r="Z27">
        <v>249999.75</v>
      </c>
      <c r="AA27">
        <v>0</v>
      </c>
      <c r="AB27">
        <v>103.75</v>
      </c>
      <c r="AC27">
        <v>3.3333299999999998E-3</v>
      </c>
      <c r="AD27">
        <v>42399.957600000002</v>
      </c>
      <c r="AE27">
        <v>259374.74062500001</v>
      </c>
      <c r="AF27">
        <v>11088.686028890001</v>
      </c>
      <c r="AG27">
        <v>50713.269872659999</v>
      </c>
      <c r="AH27">
        <v>249999.75</v>
      </c>
      <c r="AI27">
        <v>249999.75</v>
      </c>
      <c r="AJ27">
        <v>1.315788E-2</v>
      </c>
      <c r="AK27">
        <v>0</v>
      </c>
      <c r="AL27" t="s">
        <v>1571</v>
      </c>
      <c r="AM27">
        <v>0</v>
      </c>
      <c r="AN27">
        <v>0</v>
      </c>
      <c r="AO27">
        <v>0</v>
      </c>
      <c r="AP27" t="s">
        <v>123</v>
      </c>
      <c r="AQ27" t="s">
        <v>123</v>
      </c>
      <c r="AR27" t="s">
        <v>123</v>
      </c>
      <c r="AS27" t="s">
        <v>123</v>
      </c>
      <c r="AT27">
        <v>0</v>
      </c>
      <c r="AU27" t="s">
        <v>123</v>
      </c>
      <c r="AV27">
        <v>0.26152587999999999</v>
      </c>
      <c r="AW27">
        <v>240779.29248656999</v>
      </c>
      <c r="AX27">
        <v>31311.271571109999</v>
      </c>
      <c r="AY27">
        <v>0.13004138000000001</v>
      </c>
      <c r="AZ27">
        <v>0.73847412000000001</v>
      </c>
      <c r="BA27">
        <v>0</v>
      </c>
      <c r="BB27">
        <v>100</v>
      </c>
      <c r="BC27">
        <v>0.12295012</v>
      </c>
      <c r="BE27">
        <v>249999.75</v>
      </c>
      <c r="BF27">
        <v>99</v>
      </c>
      <c r="BG27" t="s">
        <v>1498</v>
      </c>
      <c r="BH27">
        <v>0</v>
      </c>
      <c r="BI27">
        <v>1231</v>
      </c>
      <c r="BJ27" t="s">
        <v>1329</v>
      </c>
      <c r="BK27" s="1">
        <v>45793</v>
      </c>
      <c r="BL27" s="1">
        <v>45793</v>
      </c>
      <c r="BM27" t="s">
        <v>123</v>
      </c>
      <c r="BN27" t="s">
        <v>123</v>
      </c>
      <c r="BO27" t="s">
        <v>123</v>
      </c>
      <c r="BP27" t="s">
        <v>1334</v>
      </c>
      <c r="BQ27">
        <v>0</v>
      </c>
      <c r="BS27">
        <v>0</v>
      </c>
      <c r="BT27" t="s">
        <v>1330</v>
      </c>
      <c r="BU27">
        <v>0</v>
      </c>
      <c r="BV27" t="s">
        <v>123</v>
      </c>
      <c r="BW27">
        <v>0</v>
      </c>
      <c r="BX27">
        <v>0</v>
      </c>
      <c r="BY27">
        <v>0</v>
      </c>
      <c r="BZ27">
        <v>1</v>
      </c>
      <c r="CA27">
        <v>0.95330000000000004</v>
      </c>
      <c r="CB27">
        <v>4.82E-2</v>
      </c>
      <c r="CC27">
        <v>0</v>
      </c>
    </row>
    <row r="28" spans="1:81" x14ac:dyDescent="0.3">
      <c r="A28">
        <v>1</v>
      </c>
      <c r="B28">
        <v>277</v>
      </c>
      <c r="C28" t="s">
        <v>1499</v>
      </c>
      <c r="D28">
        <v>185</v>
      </c>
      <c r="E28" t="s">
        <v>815</v>
      </c>
      <c r="F28" t="s">
        <v>1368</v>
      </c>
      <c r="G28" t="s">
        <v>150</v>
      </c>
      <c r="H28" t="s">
        <v>1336</v>
      </c>
      <c r="J28" t="s">
        <v>818</v>
      </c>
      <c r="K28">
        <v>250000</v>
      </c>
      <c r="L28" t="s">
        <v>1456</v>
      </c>
      <c r="M28"/>
      <c r="N28" t="s">
        <v>1326</v>
      </c>
      <c r="O28" s="3">
        <v>45797</v>
      </c>
      <c r="P28">
        <v>9.8100000000000007E-2</v>
      </c>
      <c r="Q28">
        <v>5.9943969999999999E-2</v>
      </c>
      <c r="R28" s="3">
        <v>45593</v>
      </c>
      <c r="S28" s="3">
        <v>46742</v>
      </c>
      <c r="U28" t="s">
        <v>1325</v>
      </c>
      <c r="V28">
        <v>0</v>
      </c>
      <c r="W28">
        <v>95000000</v>
      </c>
      <c r="X28">
        <v>9319500</v>
      </c>
      <c r="Y28">
        <v>250000.1</v>
      </c>
      <c r="Z28">
        <v>250000.1</v>
      </c>
      <c r="AA28">
        <v>0</v>
      </c>
      <c r="AB28">
        <v>101.85</v>
      </c>
      <c r="AC28">
        <v>2.6315800000000001E-3</v>
      </c>
      <c r="AD28">
        <v>24525.00981</v>
      </c>
      <c r="AE28">
        <v>254625.10185000001</v>
      </c>
      <c r="AF28">
        <v>6291.3599206500003</v>
      </c>
      <c r="AG28">
        <v>38089.307306750001</v>
      </c>
      <c r="AH28">
        <v>250000.1</v>
      </c>
      <c r="AI28">
        <v>250000.1</v>
      </c>
      <c r="AJ28">
        <v>1.31579E-2</v>
      </c>
      <c r="AK28">
        <v>0</v>
      </c>
      <c r="AL28" t="s">
        <v>1571</v>
      </c>
      <c r="AM28">
        <v>0</v>
      </c>
      <c r="AN28">
        <v>0</v>
      </c>
      <c r="AO28">
        <v>0</v>
      </c>
      <c r="AP28" t="s">
        <v>123</v>
      </c>
      <c r="AQ28" t="s">
        <v>123</v>
      </c>
      <c r="AR28" t="s">
        <v>123</v>
      </c>
      <c r="AS28" t="s">
        <v>123</v>
      </c>
      <c r="AT28">
        <v>0</v>
      </c>
      <c r="AU28" t="s">
        <v>123</v>
      </c>
      <c r="AV28">
        <v>0.25652833000000003</v>
      </c>
      <c r="AW28">
        <v>22500.008999999998</v>
      </c>
      <c r="AX28">
        <v>18233.649889349999</v>
      </c>
      <c r="AY28">
        <v>0.81038412000000004</v>
      </c>
      <c r="AZ28">
        <v>0.74347167000000003</v>
      </c>
      <c r="BA28">
        <v>0</v>
      </c>
      <c r="BB28">
        <v>762</v>
      </c>
      <c r="BC28">
        <v>9.311324E-2</v>
      </c>
      <c r="BE28">
        <v>0</v>
      </c>
      <c r="BF28">
        <v>99</v>
      </c>
      <c r="BG28" t="s">
        <v>1500</v>
      </c>
      <c r="BH28">
        <v>0</v>
      </c>
      <c r="BI28">
        <v>1232</v>
      </c>
      <c r="BJ28" t="s">
        <v>1333</v>
      </c>
      <c r="BK28" s="1">
        <v>45797</v>
      </c>
      <c r="BL28" s="1">
        <v>45797</v>
      </c>
      <c r="BM28" t="s">
        <v>123</v>
      </c>
      <c r="BN28" t="s">
        <v>123</v>
      </c>
      <c r="BO28" t="s">
        <v>123</v>
      </c>
      <c r="BP28" t="s">
        <v>139</v>
      </c>
      <c r="BQ28">
        <v>0</v>
      </c>
      <c r="BS28">
        <v>0</v>
      </c>
      <c r="BT28" t="s">
        <v>1330</v>
      </c>
      <c r="BU28">
        <v>0</v>
      </c>
      <c r="BV28" t="s">
        <v>123</v>
      </c>
      <c r="BW28">
        <v>0</v>
      </c>
      <c r="BX28">
        <v>0</v>
      </c>
      <c r="BY28">
        <v>0</v>
      </c>
      <c r="BZ28">
        <v>1</v>
      </c>
      <c r="CA28">
        <v>0.97130000000000005</v>
      </c>
      <c r="CB28">
        <v>2.9600000000000001E-2</v>
      </c>
      <c r="CC28">
        <v>2.1499999999999998E-2</v>
      </c>
    </row>
    <row r="29" spans="1:81" x14ac:dyDescent="0.3">
      <c r="A29">
        <v>1</v>
      </c>
      <c r="B29">
        <v>425</v>
      </c>
      <c r="C29" t="s">
        <v>1501</v>
      </c>
      <c r="D29">
        <v>327</v>
      </c>
      <c r="E29" t="s">
        <v>1293</v>
      </c>
      <c r="F29" t="s">
        <v>1369</v>
      </c>
      <c r="G29" t="s">
        <v>133</v>
      </c>
      <c r="H29" t="s">
        <v>1332</v>
      </c>
      <c r="I29">
        <v>2025</v>
      </c>
      <c r="J29" t="s">
        <v>467</v>
      </c>
      <c r="K29">
        <v>250000</v>
      </c>
      <c r="L29" t="s">
        <v>1456</v>
      </c>
      <c r="M29"/>
      <c r="N29" t="s">
        <v>1326</v>
      </c>
      <c r="O29" s="3">
        <v>45805</v>
      </c>
      <c r="P29">
        <v>0.1275</v>
      </c>
      <c r="Q29">
        <v>8.895815E-2</v>
      </c>
      <c r="R29" s="3">
        <v>45274</v>
      </c>
      <c r="S29" s="3">
        <v>46394</v>
      </c>
      <c r="U29" t="s">
        <v>1325</v>
      </c>
      <c r="V29">
        <v>0</v>
      </c>
      <c r="W29">
        <v>600000000</v>
      </c>
      <c r="X29">
        <v>6375000</v>
      </c>
      <c r="Y29">
        <v>250000</v>
      </c>
      <c r="Z29">
        <v>250000</v>
      </c>
      <c r="AA29">
        <v>0</v>
      </c>
      <c r="AB29">
        <v>101.6</v>
      </c>
      <c r="AC29">
        <v>5.0000000000000001E-3</v>
      </c>
      <c r="AD29">
        <v>31875</v>
      </c>
      <c r="AE29">
        <v>254000</v>
      </c>
      <c r="AF29">
        <v>5328.4469913299999</v>
      </c>
      <c r="AG29">
        <v>33347.372391210003</v>
      </c>
      <c r="AH29">
        <v>249999.99</v>
      </c>
      <c r="AI29">
        <v>249999.99</v>
      </c>
      <c r="AJ29">
        <v>1.315789E-2</v>
      </c>
      <c r="AK29">
        <v>0</v>
      </c>
      <c r="AL29" t="s">
        <v>1571</v>
      </c>
      <c r="AM29">
        <v>0</v>
      </c>
      <c r="AN29">
        <v>0</v>
      </c>
      <c r="AO29">
        <v>0</v>
      </c>
      <c r="AP29" t="s">
        <v>123</v>
      </c>
      <c r="AQ29" t="s">
        <v>123</v>
      </c>
      <c r="AR29" t="s">
        <v>123</v>
      </c>
      <c r="AS29" t="s">
        <v>123</v>
      </c>
      <c r="AT29">
        <v>0</v>
      </c>
      <c r="AU29" t="s">
        <v>123</v>
      </c>
      <c r="AV29">
        <v>0.16716696</v>
      </c>
      <c r="AW29">
        <v>86708.929433419995</v>
      </c>
      <c r="AX29">
        <v>26546.553008669998</v>
      </c>
      <c r="AY29">
        <v>0.30615708000000003</v>
      </c>
      <c r="AZ29">
        <v>0.83283304000000002</v>
      </c>
      <c r="BA29">
        <v>0</v>
      </c>
      <c r="BB29">
        <v>414</v>
      </c>
      <c r="BC29">
        <v>0.11989807</v>
      </c>
      <c r="BE29">
        <v>171647.07392147</v>
      </c>
      <c r="BF29">
        <v>99</v>
      </c>
      <c r="BG29" t="s">
        <v>1502</v>
      </c>
      <c r="BH29">
        <v>0</v>
      </c>
      <c r="BI29">
        <v>1233</v>
      </c>
      <c r="BJ29" t="s">
        <v>1333</v>
      </c>
      <c r="BK29" s="1">
        <v>45805</v>
      </c>
      <c r="BL29" s="1">
        <v>45805</v>
      </c>
      <c r="BM29" t="s">
        <v>123</v>
      </c>
      <c r="BN29" t="s">
        <v>123</v>
      </c>
      <c r="BO29" t="s">
        <v>123</v>
      </c>
      <c r="BP29" t="s">
        <v>139</v>
      </c>
      <c r="BQ29">
        <v>0</v>
      </c>
      <c r="BS29">
        <v>0</v>
      </c>
      <c r="BT29" t="s">
        <v>1330</v>
      </c>
      <c r="BU29">
        <v>0</v>
      </c>
      <c r="BV29" t="s">
        <v>123</v>
      </c>
      <c r="BW29">
        <v>0</v>
      </c>
      <c r="BX29">
        <v>0</v>
      </c>
      <c r="BY29">
        <v>0</v>
      </c>
      <c r="BZ29">
        <v>1</v>
      </c>
      <c r="CA29">
        <v>0.97050000000000003</v>
      </c>
      <c r="CB29">
        <v>3.27E-2</v>
      </c>
      <c r="CC29">
        <v>0</v>
      </c>
    </row>
    <row r="30" spans="1:81" x14ac:dyDescent="0.3">
      <c r="A30">
        <v>1</v>
      </c>
      <c r="B30">
        <v>517</v>
      </c>
      <c r="C30" t="s">
        <v>1503</v>
      </c>
      <c r="D30">
        <v>333</v>
      </c>
      <c r="E30" t="s">
        <v>1298</v>
      </c>
      <c r="F30" t="s">
        <v>1370</v>
      </c>
      <c r="G30" t="s">
        <v>150</v>
      </c>
      <c r="H30" t="s">
        <v>1336</v>
      </c>
      <c r="I30">
        <v>2025</v>
      </c>
      <c r="J30" t="s">
        <v>1058</v>
      </c>
      <c r="K30">
        <v>250000</v>
      </c>
      <c r="L30" t="s">
        <v>1456</v>
      </c>
      <c r="M30"/>
      <c r="N30" t="s">
        <v>1326</v>
      </c>
      <c r="O30" s="3">
        <v>45834</v>
      </c>
      <c r="P30">
        <v>0.1817</v>
      </c>
      <c r="Q30">
        <v>0.14337499000000001</v>
      </c>
      <c r="R30" s="3">
        <v>45358</v>
      </c>
      <c r="S30" s="3">
        <v>46458</v>
      </c>
      <c r="U30" t="s">
        <v>1325</v>
      </c>
      <c r="V30">
        <v>0</v>
      </c>
      <c r="W30">
        <v>2000000000</v>
      </c>
      <c r="X30">
        <v>86307500</v>
      </c>
      <c r="Y30">
        <v>250002</v>
      </c>
      <c r="Z30">
        <v>250002</v>
      </c>
      <c r="AA30">
        <v>0</v>
      </c>
      <c r="AB30">
        <v>102.8</v>
      </c>
      <c r="AC30">
        <v>5.2632000000000004E-4</v>
      </c>
      <c r="AD30">
        <v>45425.363400000002</v>
      </c>
      <c r="AE30">
        <v>257002.05600000001</v>
      </c>
      <c r="AF30">
        <v>14239.5851948</v>
      </c>
      <c r="AG30">
        <v>56310.094530030001</v>
      </c>
      <c r="AH30">
        <v>250002</v>
      </c>
      <c r="AI30">
        <v>250002</v>
      </c>
      <c r="AJ30">
        <v>1.3158E-2</v>
      </c>
      <c r="AK30">
        <v>0</v>
      </c>
      <c r="AL30" t="s">
        <v>1571</v>
      </c>
      <c r="AM30">
        <v>0</v>
      </c>
      <c r="AN30">
        <v>0</v>
      </c>
      <c r="AO30">
        <v>0</v>
      </c>
      <c r="AP30" t="s">
        <v>123</v>
      </c>
      <c r="AQ30" t="s">
        <v>123</v>
      </c>
      <c r="AR30" t="s">
        <v>123</v>
      </c>
      <c r="AS30" t="s">
        <v>123</v>
      </c>
      <c r="AT30">
        <v>0</v>
      </c>
      <c r="AU30" t="s">
        <v>123</v>
      </c>
      <c r="AV30">
        <v>0.31347213000000002</v>
      </c>
      <c r="AW30">
        <v>145514.94681271</v>
      </c>
      <c r="AX30">
        <v>31185.7782052</v>
      </c>
      <c r="AY30">
        <v>0.21431322999999999</v>
      </c>
      <c r="AZ30">
        <v>0.68652787000000004</v>
      </c>
      <c r="BA30">
        <v>0</v>
      </c>
      <c r="BB30">
        <v>478</v>
      </c>
      <c r="BC30">
        <v>0.16562574999999999</v>
      </c>
      <c r="BE30">
        <v>175001.4</v>
      </c>
      <c r="BF30">
        <v>99</v>
      </c>
      <c r="BG30" t="s">
        <v>1504</v>
      </c>
      <c r="BH30">
        <v>0</v>
      </c>
      <c r="BI30">
        <v>1234</v>
      </c>
      <c r="BJ30" t="s">
        <v>1333</v>
      </c>
      <c r="BK30" s="1">
        <v>45834</v>
      </c>
      <c r="BL30" s="1">
        <v>45834</v>
      </c>
      <c r="BM30" t="s">
        <v>123</v>
      </c>
      <c r="BN30" t="s">
        <v>123</v>
      </c>
      <c r="BO30" t="s">
        <v>123</v>
      </c>
      <c r="BP30" t="s">
        <v>139</v>
      </c>
      <c r="BQ30">
        <v>0</v>
      </c>
      <c r="BS30">
        <v>0</v>
      </c>
      <c r="BT30" t="s">
        <v>1330</v>
      </c>
      <c r="BU30">
        <v>0</v>
      </c>
      <c r="BV30" t="s">
        <v>123</v>
      </c>
      <c r="BW30">
        <v>0</v>
      </c>
      <c r="BX30">
        <v>0</v>
      </c>
      <c r="BY30">
        <v>0</v>
      </c>
      <c r="BZ30">
        <v>1</v>
      </c>
      <c r="CA30">
        <v>0.93679999999999997</v>
      </c>
      <c r="CB30">
        <v>6.6000000000000003E-2</v>
      </c>
      <c r="CC30">
        <v>4.8599999999999997E-2</v>
      </c>
    </row>
    <row r="31" spans="1:81" x14ac:dyDescent="0.3">
      <c r="A31">
        <v>1</v>
      </c>
      <c r="B31">
        <v>419</v>
      </c>
      <c r="C31" t="s">
        <v>1505</v>
      </c>
      <c r="D31">
        <v>331</v>
      </c>
      <c r="E31" t="s">
        <v>1294</v>
      </c>
      <c r="F31" t="s">
        <v>1369</v>
      </c>
      <c r="G31" t="s">
        <v>150</v>
      </c>
      <c r="H31" t="s">
        <v>1332</v>
      </c>
      <c r="J31" t="s">
        <v>471</v>
      </c>
      <c r="K31">
        <v>250000</v>
      </c>
      <c r="L31" t="s">
        <v>1456</v>
      </c>
      <c r="M31"/>
      <c r="N31" t="s">
        <v>1326</v>
      </c>
      <c r="O31" s="3">
        <v>45859</v>
      </c>
      <c r="P31">
        <v>0.1208</v>
      </c>
      <c r="Q31">
        <v>8.2377060000000002E-2</v>
      </c>
      <c r="R31" s="3">
        <v>45644</v>
      </c>
      <c r="S31" s="3">
        <v>46759</v>
      </c>
      <c r="U31" t="s">
        <v>1325</v>
      </c>
      <c r="V31">
        <v>0</v>
      </c>
      <c r="W31">
        <v>600000000</v>
      </c>
      <c r="X31">
        <v>9060000</v>
      </c>
      <c r="Y31">
        <v>249999.75</v>
      </c>
      <c r="Z31">
        <v>249999.75</v>
      </c>
      <c r="AA31">
        <v>0</v>
      </c>
      <c r="AB31">
        <v>99.3</v>
      </c>
      <c r="AC31">
        <v>3.3333299999999998E-3</v>
      </c>
      <c r="AD31">
        <v>30199.969799999999</v>
      </c>
      <c r="AE31">
        <v>248249.75175</v>
      </c>
      <c r="AF31">
        <v>7513.9078268000003</v>
      </c>
      <c r="AG31">
        <v>39861.466827529999</v>
      </c>
      <c r="AH31">
        <v>249999.75</v>
      </c>
      <c r="AI31">
        <v>249999.75</v>
      </c>
      <c r="AJ31">
        <v>1.315788E-2</v>
      </c>
      <c r="AK31">
        <v>0</v>
      </c>
      <c r="AL31" t="s">
        <v>1571</v>
      </c>
      <c r="AM31">
        <v>0</v>
      </c>
      <c r="AN31">
        <v>0</v>
      </c>
      <c r="AO31">
        <v>0</v>
      </c>
      <c r="AP31" t="s">
        <v>123</v>
      </c>
      <c r="AQ31" t="s">
        <v>123</v>
      </c>
      <c r="AR31" t="s">
        <v>123</v>
      </c>
      <c r="AS31" t="s">
        <v>123</v>
      </c>
      <c r="AT31">
        <v>0</v>
      </c>
      <c r="AU31" t="s">
        <v>123</v>
      </c>
      <c r="AV31">
        <v>0.24880514000000001</v>
      </c>
      <c r="AW31">
        <v>95388.384475319996</v>
      </c>
      <c r="AX31">
        <v>22686.061973200001</v>
      </c>
      <c r="AY31">
        <v>0.23782834999999999</v>
      </c>
      <c r="AZ31">
        <v>0.75119486000000002</v>
      </c>
      <c r="BA31">
        <v>0</v>
      </c>
      <c r="BB31">
        <v>779</v>
      </c>
      <c r="BC31">
        <v>0.12753048</v>
      </c>
      <c r="BE31">
        <v>188448.40230217</v>
      </c>
      <c r="BF31">
        <v>99</v>
      </c>
      <c r="BG31" t="s">
        <v>1506</v>
      </c>
      <c r="BH31">
        <v>0</v>
      </c>
      <c r="BI31">
        <v>1235</v>
      </c>
      <c r="BJ31" t="s">
        <v>1333</v>
      </c>
      <c r="BK31" s="1">
        <v>45859</v>
      </c>
      <c r="BL31" s="1">
        <v>45859</v>
      </c>
      <c r="BM31" t="s">
        <v>123</v>
      </c>
      <c r="BN31" t="s">
        <v>123</v>
      </c>
      <c r="BO31" t="s">
        <v>123</v>
      </c>
      <c r="BP31" t="s">
        <v>139</v>
      </c>
      <c r="BQ31">
        <v>0</v>
      </c>
      <c r="BS31">
        <v>0</v>
      </c>
      <c r="BT31" t="s">
        <v>1330</v>
      </c>
      <c r="BU31">
        <v>0</v>
      </c>
      <c r="BV31" t="s">
        <v>123</v>
      </c>
      <c r="BW31">
        <v>0</v>
      </c>
      <c r="BX31">
        <v>0</v>
      </c>
      <c r="BY31">
        <v>0</v>
      </c>
      <c r="BZ31">
        <v>1</v>
      </c>
      <c r="CA31">
        <v>0.96020000000000005</v>
      </c>
      <c r="CB31">
        <v>4.2999999999999997E-2</v>
      </c>
      <c r="CC31">
        <v>0</v>
      </c>
    </row>
    <row r="32" spans="1:81" x14ac:dyDescent="0.3">
      <c r="A32">
        <v>1</v>
      </c>
      <c r="B32">
        <v>507</v>
      </c>
      <c r="C32" t="s">
        <v>1491</v>
      </c>
      <c r="D32">
        <v>227</v>
      </c>
      <c r="E32" t="s">
        <v>968</v>
      </c>
      <c r="F32" t="s">
        <v>1371</v>
      </c>
      <c r="G32" t="s">
        <v>133</v>
      </c>
      <c r="H32" t="s">
        <v>1336</v>
      </c>
      <c r="I32">
        <v>2025</v>
      </c>
      <c r="J32" t="s">
        <v>971</v>
      </c>
      <c r="K32">
        <v>250000</v>
      </c>
      <c r="L32" t="s">
        <v>1456</v>
      </c>
      <c r="M32"/>
      <c r="N32" t="s">
        <v>1326</v>
      </c>
      <c r="O32" s="3">
        <v>45866</v>
      </c>
      <c r="P32">
        <v>0.1056</v>
      </c>
      <c r="Q32">
        <v>6.736876E-2</v>
      </c>
      <c r="R32" s="3">
        <v>45077</v>
      </c>
      <c r="S32" s="3">
        <v>46178</v>
      </c>
      <c r="U32" t="s">
        <v>1325</v>
      </c>
      <c r="V32">
        <v>0</v>
      </c>
      <c r="W32">
        <v>110000000</v>
      </c>
      <c r="X32">
        <v>11616000</v>
      </c>
      <c r="Y32">
        <v>250000.3</v>
      </c>
      <c r="Z32">
        <v>250000.3</v>
      </c>
      <c r="AA32">
        <v>0</v>
      </c>
      <c r="AB32">
        <v>103.1</v>
      </c>
      <c r="AC32">
        <v>2.2727300000000001E-3</v>
      </c>
      <c r="AD32">
        <v>26400.03168</v>
      </c>
      <c r="AE32">
        <v>257750.30929999999</v>
      </c>
      <c r="AF32">
        <v>2418.0765770100002</v>
      </c>
      <c r="AG32">
        <v>20263.85241947</v>
      </c>
      <c r="AH32">
        <v>91898.996920670004</v>
      </c>
      <c r="AI32">
        <v>250000.3</v>
      </c>
      <c r="AJ32">
        <v>1.315791E-2</v>
      </c>
      <c r="AK32">
        <v>0</v>
      </c>
      <c r="AL32" t="s">
        <v>1571</v>
      </c>
      <c r="AM32">
        <v>0</v>
      </c>
      <c r="AN32">
        <v>0</v>
      </c>
      <c r="AO32">
        <v>0</v>
      </c>
      <c r="AP32" t="s">
        <v>123</v>
      </c>
      <c r="AQ32" t="s">
        <v>123</v>
      </c>
      <c r="AR32" t="s">
        <v>123</v>
      </c>
      <c r="AS32" t="s">
        <v>123</v>
      </c>
      <c r="AT32">
        <v>0</v>
      </c>
      <c r="AU32" t="s">
        <v>123</v>
      </c>
      <c r="AV32">
        <v>9.15937E-2</v>
      </c>
      <c r="AW32">
        <v>71217.357502500003</v>
      </c>
      <c r="AX32">
        <v>23981.955102989999</v>
      </c>
      <c r="AY32">
        <v>0.33674312000000001</v>
      </c>
      <c r="AZ32">
        <v>0.9084063</v>
      </c>
      <c r="BA32">
        <v>0</v>
      </c>
      <c r="BB32">
        <v>198</v>
      </c>
      <c r="BC32">
        <v>7.1632760000000004E-2</v>
      </c>
      <c r="BE32">
        <v>141757.19426441999</v>
      </c>
      <c r="BF32">
        <v>99</v>
      </c>
      <c r="BG32" t="s">
        <v>1492</v>
      </c>
      <c r="BH32">
        <v>0</v>
      </c>
      <c r="BI32">
        <v>1205</v>
      </c>
      <c r="BJ32" t="s">
        <v>1333</v>
      </c>
      <c r="BK32" s="1">
        <v>45866</v>
      </c>
      <c r="BL32" s="1">
        <v>45866</v>
      </c>
      <c r="BM32" t="s">
        <v>123</v>
      </c>
      <c r="BN32" t="s">
        <v>123</v>
      </c>
      <c r="BO32" t="s">
        <v>123</v>
      </c>
      <c r="BP32" t="s">
        <v>139</v>
      </c>
      <c r="BQ32">
        <v>0</v>
      </c>
      <c r="BS32">
        <v>0</v>
      </c>
      <c r="BT32" t="s">
        <v>1330</v>
      </c>
      <c r="BU32">
        <v>0</v>
      </c>
      <c r="BV32" t="s">
        <v>123</v>
      </c>
      <c r="BW32">
        <v>0</v>
      </c>
      <c r="BX32">
        <v>0</v>
      </c>
      <c r="BY32">
        <v>0</v>
      </c>
      <c r="BZ32">
        <v>1</v>
      </c>
      <c r="CA32">
        <v>0.98119999999999996</v>
      </c>
      <c r="CB32">
        <v>2.6100000000000002E-2</v>
      </c>
      <c r="CC32">
        <v>0</v>
      </c>
    </row>
    <row r="33" spans="1:81" x14ac:dyDescent="0.3">
      <c r="A33">
        <v>1</v>
      </c>
      <c r="B33">
        <v>408</v>
      </c>
      <c r="C33" t="s">
        <v>1493</v>
      </c>
      <c r="D33">
        <v>124</v>
      </c>
      <c r="E33" t="s">
        <v>617</v>
      </c>
      <c r="F33" t="s">
        <v>1341</v>
      </c>
      <c r="G33" t="s">
        <v>133</v>
      </c>
      <c r="H33" t="s">
        <v>1336</v>
      </c>
      <c r="I33">
        <v>2025</v>
      </c>
      <c r="J33" t="s">
        <v>619</v>
      </c>
      <c r="K33">
        <v>250000</v>
      </c>
      <c r="L33" t="s">
        <v>1456</v>
      </c>
      <c r="M33"/>
      <c r="N33" t="s">
        <v>1326</v>
      </c>
      <c r="O33" s="3">
        <v>45889</v>
      </c>
      <c r="P33">
        <v>0.10618</v>
      </c>
      <c r="Q33">
        <v>6.7481550000000001E-2</v>
      </c>
      <c r="R33" s="3">
        <v>44915</v>
      </c>
      <c r="S33" s="3">
        <v>46090</v>
      </c>
      <c r="U33" t="s">
        <v>1325</v>
      </c>
      <c r="V33">
        <v>0</v>
      </c>
      <c r="W33">
        <v>100000000</v>
      </c>
      <c r="X33">
        <v>7963500</v>
      </c>
      <c r="Y33">
        <v>249999.75</v>
      </c>
      <c r="Z33">
        <v>249999.75</v>
      </c>
      <c r="AA33">
        <v>0</v>
      </c>
      <c r="AB33">
        <v>102.925</v>
      </c>
      <c r="AC33">
        <v>3.3333299999999998E-3</v>
      </c>
      <c r="AD33">
        <v>26544.973454999999</v>
      </c>
      <c r="AE33">
        <v>257312.24268749999</v>
      </c>
      <c r="AF33">
        <v>1200.8660455900001</v>
      </c>
      <c r="AG33">
        <v>17214.66172688</v>
      </c>
      <c r="AH33">
        <v>0</v>
      </c>
      <c r="AI33">
        <v>249999.75</v>
      </c>
      <c r="AJ33">
        <v>1.315788E-2</v>
      </c>
      <c r="AK33">
        <v>0</v>
      </c>
      <c r="AL33" t="s">
        <v>1571</v>
      </c>
      <c r="AM33">
        <v>0</v>
      </c>
      <c r="AN33">
        <v>0</v>
      </c>
      <c r="AO33">
        <v>0</v>
      </c>
      <c r="AP33" t="s">
        <v>123</v>
      </c>
      <c r="AQ33" t="s">
        <v>123</v>
      </c>
      <c r="AR33" t="s">
        <v>123</v>
      </c>
      <c r="AS33" t="s">
        <v>123</v>
      </c>
      <c r="AT33">
        <v>0</v>
      </c>
      <c r="AU33" t="s">
        <v>123</v>
      </c>
      <c r="AV33">
        <v>4.5238920000000002E-2</v>
      </c>
      <c r="AW33">
        <v>19473.089293910001</v>
      </c>
      <c r="AX33">
        <v>25344.10740941</v>
      </c>
      <c r="AY33">
        <v>1.30149392</v>
      </c>
      <c r="AZ33">
        <v>0.95476108000000004</v>
      </c>
      <c r="BA33">
        <v>0</v>
      </c>
      <c r="BB33">
        <v>110</v>
      </c>
      <c r="BC33">
        <v>5.5554729999999997E-2</v>
      </c>
      <c r="BE33">
        <v>0</v>
      </c>
      <c r="BF33">
        <v>99</v>
      </c>
      <c r="BG33" t="s">
        <v>1494</v>
      </c>
      <c r="BH33">
        <v>0</v>
      </c>
      <c r="BI33">
        <v>1206</v>
      </c>
      <c r="BJ33" t="s">
        <v>1333</v>
      </c>
      <c r="BK33" s="1">
        <v>45889</v>
      </c>
      <c r="BL33" s="1">
        <v>45889</v>
      </c>
      <c r="BM33" t="s">
        <v>123</v>
      </c>
      <c r="BN33" t="s">
        <v>123</v>
      </c>
      <c r="BO33" t="s">
        <v>123</v>
      </c>
      <c r="BP33" t="s">
        <v>139</v>
      </c>
      <c r="BQ33">
        <v>0</v>
      </c>
      <c r="BS33">
        <v>0</v>
      </c>
      <c r="BT33" t="s">
        <v>1330</v>
      </c>
      <c r="BU33">
        <v>0</v>
      </c>
      <c r="BV33" t="s">
        <v>123</v>
      </c>
      <c r="BW33">
        <v>0</v>
      </c>
      <c r="BX33">
        <v>0</v>
      </c>
      <c r="BY33">
        <v>0</v>
      </c>
      <c r="BZ33">
        <v>1</v>
      </c>
      <c r="CA33">
        <v>0.99509999999999998</v>
      </c>
      <c r="CB33">
        <v>5.0000000000000001E-3</v>
      </c>
      <c r="CC33">
        <v>0</v>
      </c>
    </row>
    <row r="34" spans="1:81" x14ac:dyDescent="0.3">
      <c r="A34">
        <v>1</v>
      </c>
      <c r="B34">
        <v>530</v>
      </c>
      <c r="C34" t="s">
        <v>1495</v>
      </c>
      <c r="D34">
        <v>107</v>
      </c>
      <c r="E34" t="s">
        <v>552</v>
      </c>
      <c r="F34" t="s">
        <v>1362</v>
      </c>
      <c r="G34" t="s">
        <v>133</v>
      </c>
      <c r="H34" t="s">
        <v>1332</v>
      </c>
      <c r="I34">
        <v>2025</v>
      </c>
      <c r="J34" t="s">
        <v>553</v>
      </c>
      <c r="K34">
        <v>250000</v>
      </c>
      <c r="L34" t="s">
        <v>1456</v>
      </c>
      <c r="M34"/>
      <c r="N34" t="s">
        <v>1326</v>
      </c>
      <c r="O34" s="3">
        <v>45908</v>
      </c>
      <c r="P34">
        <v>0.1206</v>
      </c>
      <c r="Q34">
        <v>8.2161079999999997E-2</v>
      </c>
      <c r="R34" s="3">
        <v>45071</v>
      </c>
      <c r="S34" s="3">
        <v>46178</v>
      </c>
      <c r="U34" t="s">
        <v>1325</v>
      </c>
      <c r="V34">
        <v>0</v>
      </c>
      <c r="W34">
        <v>125000000</v>
      </c>
      <c r="X34">
        <v>6030000</v>
      </c>
      <c r="Y34">
        <v>250000</v>
      </c>
      <c r="Z34">
        <v>250000</v>
      </c>
      <c r="AA34">
        <v>0</v>
      </c>
      <c r="AB34">
        <v>102.75</v>
      </c>
      <c r="AC34">
        <v>5.0000000000000001E-3</v>
      </c>
      <c r="AD34">
        <v>30150</v>
      </c>
      <c r="AE34">
        <v>256875</v>
      </c>
      <c r="AF34">
        <v>7470.59777872</v>
      </c>
      <c r="AG34">
        <v>42110.851425200002</v>
      </c>
      <c r="AH34">
        <v>250000</v>
      </c>
      <c r="AI34">
        <v>250000</v>
      </c>
      <c r="AJ34">
        <v>1.315789E-2</v>
      </c>
      <c r="AK34">
        <v>0</v>
      </c>
      <c r="AL34" t="s">
        <v>1571</v>
      </c>
      <c r="AM34">
        <v>0</v>
      </c>
      <c r="AN34">
        <v>0</v>
      </c>
      <c r="AO34">
        <v>0</v>
      </c>
      <c r="AP34" t="s">
        <v>123</v>
      </c>
      <c r="AQ34" t="s">
        <v>123</v>
      </c>
      <c r="AR34" t="s">
        <v>123</v>
      </c>
      <c r="AS34" t="s">
        <v>123</v>
      </c>
      <c r="AT34">
        <v>0</v>
      </c>
      <c r="AU34" t="s">
        <v>123</v>
      </c>
      <c r="AV34">
        <v>0.24778101999999999</v>
      </c>
      <c r="AW34">
        <v>20299.925247989999</v>
      </c>
      <c r="AX34">
        <v>22679.402221280001</v>
      </c>
      <c r="AY34">
        <v>1.1172160499999999</v>
      </c>
      <c r="AZ34">
        <v>0.75221897999999998</v>
      </c>
      <c r="BA34">
        <v>0</v>
      </c>
      <c r="BB34">
        <v>198</v>
      </c>
      <c r="BC34">
        <v>8.5412299999999997E-2</v>
      </c>
      <c r="BE34">
        <v>25000</v>
      </c>
      <c r="BF34">
        <v>99</v>
      </c>
      <c r="BG34" t="s">
        <v>1496</v>
      </c>
      <c r="BH34">
        <v>0</v>
      </c>
      <c r="BI34">
        <v>1207</v>
      </c>
      <c r="BJ34" t="s">
        <v>1333</v>
      </c>
      <c r="BK34" s="1">
        <v>45908</v>
      </c>
      <c r="BL34" s="1">
        <v>45908</v>
      </c>
      <c r="BM34" t="s">
        <v>123</v>
      </c>
      <c r="BN34" t="s">
        <v>123</v>
      </c>
      <c r="BO34" t="s">
        <v>123</v>
      </c>
      <c r="BP34" t="s">
        <v>139</v>
      </c>
      <c r="BQ34">
        <v>0</v>
      </c>
      <c r="BS34">
        <v>0</v>
      </c>
      <c r="BT34" t="s">
        <v>1330</v>
      </c>
      <c r="BU34">
        <v>0</v>
      </c>
      <c r="BV34" t="s">
        <v>123</v>
      </c>
      <c r="BW34">
        <v>0</v>
      </c>
      <c r="BX34">
        <v>0</v>
      </c>
      <c r="BY34">
        <v>0</v>
      </c>
      <c r="BZ34">
        <v>1</v>
      </c>
      <c r="CA34">
        <v>0.96830000000000005</v>
      </c>
      <c r="CB34">
        <v>3.2099999999999997E-2</v>
      </c>
      <c r="CC34">
        <v>2.7699999999999999E-2</v>
      </c>
    </row>
    <row r="35" spans="1:81" x14ac:dyDescent="0.3">
      <c r="A35">
        <v>1</v>
      </c>
      <c r="B35">
        <v>599</v>
      </c>
      <c r="C35" t="s">
        <v>1513</v>
      </c>
      <c r="D35">
        <v>135</v>
      </c>
      <c r="E35" t="s">
        <v>662</v>
      </c>
      <c r="F35" t="s">
        <v>1372</v>
      </c>
      <c r="G35" t="s">
        <v>133</v>
      </c>
      <c r="H35" t="s">
        <v>1332</v>
      </c>
      <c r="I35">
        <v>2025</v>
      </c>
      <c r="J35" t="s">
        <v>663</v>
      </c>
      <c r="K35">
        <v>250000</v>
      </c>
      <c r="L35" t="s">
        <v>1456</v>
      </c>
      <c r="M35"/>
      <c r="N35" t="s">
        <v>1326</v>
      </c>
      <c r="O35" s="3">
        <v>45908</v>
      </c>
      <c r="P35">
        <v>0.12576478999999999</v>
      </c>
      <c r="Q35">
        <v>8.6567909999999998E-2</v>
      </c>
      <c r="R35" s="3">
        <v>45057</v>
      </c>
      <c r="S35" s="3">
        <v>46180</v>
      </c>
      <c r="U35" t="s">
        <v>1325</v>
      </c>
      <c r="V35">
        <v>0</v>
      </c>
      <c r="W35">
        <v>115000000</v>
      </c>
      <c r="X35">
        <v>14462950.85</v>
      </c>
      <c r="Y35">
        <v>249999.65</v>
      </c>
      <c r="Z35">
        <v>249999.65</v>
      </c>
      <c r="AA35">
        <v>0</v>
      </c>
      <c r="AB35">
        <v>103.85</v>
      </c>
      <c r="AC35">
        <v>2.1739099999999998E-3</v>
      </c>
      <c r="AD35">
        <v>31441.153482320002</v>
      </c>
      <c r="AE35">
        <v>259624.63652500001</v>
      </c>
      <c r="AF35">
        <v>6325.1773442200001</v>
      </c>
      <c r="AG35">
        <v>38963.371422639997</v>
      </c>
      <c r="AH35">
        <v>249999.65</v>
      </c>
      <c r="AI35">
        <v>249999.65</v>
      </c>
      <c r="AJ35">
        <v>1.315788E-2</v>
      </c>
      <c r="AK35">
        <v>0</v>
      </c>
      <c r="AL35" t="s">
        <v>1571</v>
      </c>
      <c r="AM35">
        <v>0</v>
      </c>
      <c r="AN35">
        <v>0</v>
      </c>
      <c r="AO35">
        <v>0</v>
      </c>
      <c r="AP35" t="s">
        <v>123</v>
      </c>
      <c r="AQ35" t="s">
        <v>123</v>
      </c>
      <c r="AR35" t="s">
        <v>123</v>
      </c>
      <c r="AS35" t="s">
        <v>123</v>
      </c>
      <c r="AT35">
        <v>0</v>
      </c>
      <c r="AU35" t="s">
        <v>123</v>
      </c>
      <c r="AV35">
        <v>0.2011751</v>
      </c>
      <c r="AW35">
        <v>47930.856070970003</v>
      </c>
      <c r="AX35">
        <v>25115.97613811</v>
      </c>
      <c r="AY35">
        <v>0.52400433000000002</v>
      </c>
      <c r="AZ35">
        <v>0.79882489999999995</v>
      </c>
      <c r="BA35">
        <v>0</v>
      </c>
      <c r="BB35">
        <v>200</v>
      </c>
      <c r="BC35">
        <v>6.7369299999999993E-2</v>
      </c>
      <c r="BE35">
        <v>99999.86</v>
      </c>
      <c r="BF35">
        <v>99</v>
      </c>
      <c r="BG35" t="s">
        <v>1514</v>
      </c>
      <c r="BH35">
        <v>0</v>
      </c>
      <c r="BI35">
        <v>1208</v>
      </c>
      <c r="BJ35" t="s">
        <v>1333</v>
      </c>
      <c r="BK35" s="1">
        <v>45908</v>
      </c>
      <c r="BL35" s="1">
        <v>45908</v>
      </c>
      <c r="BM35" t="s">
        <v>123</v>
      </c>
      <c r="BN35" t="s">
        <v>123</v>
      </c>
      <c r="BO35" t="s">
        <v>123</v>
      </c>
      <c r="BP35" t="s">
        <v>139</v>
      </c>
      <c r="BQ35">
        <v>0</v>
      </c>
      <c r="BS35">
        <v>0</v>
      </c>
      <c r="BT35" t="s">
        <v>1330</v>
      </c>
      <c r="BU35">
        <v>0</v>
      </c>
      <c r="BV35" t="s">
        <v>123</v>
      </c>
      <c r="BW35">
        <v>0</v>
      </c>
      <c r="BX35">
        <v>0</v>
      </c>
      <c r="BY35">
        <v>0</v>
      </c>
      <c r="BZ35">
        <v>1</v>
      </c>
      <c r="CA35">
        <v>0.97389999999999999</v>
      </c>
      <c r="CB35">
        <v>2.63E-2</v>
      </c>
      <c r="CC35">
        <v>2.3900000000000001E-2</v>
      </c>
    </row>
    <row r="36" spans="1:81" x14ac:dyDescent="0.3">
      <c r="A36">
        <v>1</v>
      </c>
      <c r="B36">
        <v>566</v>
      </c>
      <c r="C36" t="s">
        <v>1515</v>
      </c>
      <c r="D36">
        <v>147</v>
      </c>
      <c r="E36" t="s">
        <v>698</v>
      </c>
      <c r="F36" t="s">
        <v>1351</v>
      </c>
      <c r="G36" t="s">
        <v>699</v>
      </c>
      <c r="H36" t="s">
        <v>1336</v>
      </c>
      <c r="I36">
        <v>2025</v>
      </c>
      <c r="J36" t="s">
        <v>700</v>
      </c>
      <c r="K36">
        <v>250000</v>
      </c>
      <c r="L36" t="s">
        <v>1456</v>
      </c>
      <c r="M36"/>
      <c r="N36" t="s">
        <v>1326</v>
      </c>
      <c r="O36" s="3">
        <v>45908</v>
      </c>
      <c r="P36">
        <v>0.1444648</v>
      </c>
      <c r="Q36">
        <v>0.10575252</v>
      </c>
      <c r="R36" s="3">
        <v>45112</v>
      </c>
      <c r="S36" s="3">
        <v>46178</v>
      </c>
      <c r="U36" t="s">
        <v>1325</v>
      </c>
      <c r="V36">
        <v>0</v>
      </c>
      <c r="W36">
        <v>100000000</v>
      </c>
      <c r="X36">
        <v>14446480</v>
      </c>
      <c r="Y36">
        <v>250000</v>
      </c>
      <c r="Z36">
        <v>250000</v>
      </c>
      <c r="AA36">
        <v>0</v>
      </c>
      <c r="AB36">
        <v>102.9</v>
      </c>
      <c r="AC36">
        <v>2.5000000000000001E-3</v>
      </c>
      <c r="AD36">
        <v>36116.199999999997</v>
      </c>
      <c r="AE36">
        <v>257250</v>
      </c>
      <c r="AF36">
        <v>5230.9689778800002</v>
      </c>
      <c r="AG36">
        <v>35499.77479874</v>
      </c>
      <c r="AH36">
        <v>250000</v>
      </c>
      <c r="AI36">
        <v>250000</v>
      </c>
      <c r="AJ36">
        <v>1.315789E-2</v>
      </c>
      <c r="AK36">
        <v>0</v>
      </c>
      <c r="AL36" t="s">
        <v>1571</v>
      </c>
      <c r="AM36">
        <v>0</v>
      </c>
      <c r="AN36">
        <v>0</v>
      </c>
      <c r="AO36">
        <v>0</v>
      </c>
      <c r="AP36" t="s">
        <v>123</v>
      </c>
      <c r="AQ36" t="s">
        <v>123</v>
      </c>
      <c r="AR36" t="s">
        <v>123</v>
      </c>
      <c r="AS36" t="s">
        <v>123</v>
      </c>
      <c r="AT36">
        <v>0</v>
      </c>
      <c r="AU36" t="s">
        <v>123</v>
      </c>
      <c r="AV36">
        <v>0.14483719</v>
      </c>
      <c r="AW36">
        <v>184922.27201389999</v>
      </c>
      <c r="AX36">
        <v>30885.231022119999</v>
      </c>
      <c r="AY36">
        <v>0.16701737</v>
      </c>
      <c r="AZ36">
        <v>0.85516281000000005</v>
      </c>
      <c r="BA36">
        <v>0</v>
      </c>
      <c r="BB36">
        <v>198</v>
      </c>
      <c r="BC36">
        <v>0.10023182999999999</v>
      </c>
      <c r="BE36">
        <v>225000</v>
      </c>
      <c r="BF36">
        <v>99</v>
      </c>
      <c r="BG36" t="s">
        <v>1516</v>
      </c>
      <c r="BH36">
        <v>0</v>
      </c>
      <c r="BI36">
        <v>1209</v>
      </c>
      <c r="BJ36" t="s">
        <v>1333</v>
      </c>
      <c r="BK36" s="1">
        <v>45908</v>
      </c>
      <c r="BL36" s="1">
        <v>45908</v>
      </c>
      <c r="BM36" t="s">
        <v>123</v>
      </c>
      <c r="BN36" t="s">
        <v>123</v>
      </c>
      <c r="BO36" t="s">
        <v>123</v>
      </c>
      <c r="BP36" t="s">
        <v>139</v>
      </c>
      <c r="BQ36">
        <v>0</v>
      </c>
      <c r="BS36">
        <v>0</v>
      </c>
      <c r="BT36" t="s">
        <v>1330</v>
      </c>
      <c r="BU36">
        <v>0</v>
      </c>
      <c r="BV36" t="s">
        <v>123</v>
      </c>
      <c r="BW36">
        <v>0</v>
      </c>
      <c r="BX36">
        <v>0</v>
      </c>
      <c r="BY36">
        <v>0</v>
      </c>
      <c r="BZ36">
        <v>1</v>
      </c>
      <c r="CA36">
        <v>0.97850000000000004</v>
      </c>
      <c r="CB36">
        <v>2.1999999999999999E-2</v>
      </c>
      <c r="CC36">
        <v>0</v>
      </c>
    </row>
    <row r="37" spans="1:81" x14ac:dyDescent="0.3">
      <c r="A37">
        <v>1</v>
      </c>
      <c r="B37">
        <v>770</v>
      </c>
      <c r="C37" t="s">
        <v>1517</v>
      </c>
      <c r="D37">
        <v>75</v>
      </c>
      <c r="E37" t="s">
        <v>440</v>
      </c>
      <c r="F37" t="s">
        <v>1373</v>
      </c>
      <c r="G37" t="s">
        <v>443</v>
      </c>
      <c r="H37" t="s">
        <v>1336</v>
      </c>
      <c r="J37" t="s">
        <v>444</v>
      </c>
      <c r="K37">
        <v>250000</v>
      </c>
      <c r="L37" t="s">
        <v>1456</v>
      </c>
      <c r="M37"/>
      <c r="N37" t="s">
        <v>1326</v>
      </c>
      <c r="O37" s="3">
        <v>45912</v>
      </c>
      <c r="P37">
        <v>6.3716460000000003E-2</v>
      </c>
      <c r="Q37">
        <v>2.49891E-2</v>
      </c>
      <c r="R37" s="3">
        <v>45917</v>
      </c>
      <c r="S37" s="3">
        <v>47013</v>
      </c>
      <c r="U37" t="s">
        <v>1325</v>
      </c>
      <c r="V37">
        <v>0</v>
      </c>
      <c r="W37">
        <v>65000000000</v>
      </c>
      <c r="X37">
        <v>3822987.6</v>
      </c>
      <c r="Y37">
        <v>250000.2</v>
      </c>
      <c r="Z37">
        <v>250000.2</v>
      </c>
      <c r="AA37">
        <v>0</v>
      </c>
      <c r="AB37">
        <v>100</v>
      </c>
      <c r="AC37">
        <v>4.1666699999999999E-3</v>
      </c>
      <c r="AD37">
        <v>15929.127743290001</v>
      </c>
      <c r="AE37">
        <v>250000.2</v>
      </c>
      <c r="AF37">
        <v>2414.28520131</v>
      </c>
      <c r="AG37">
        <v>21853.97199871</v>
      </c>
      <c r="AH37">
        <v>103872.77688308001</v>
      </c>
      <c r="AI37">
        <v>250001.03333400001</v>
      </c>
      <c r="AJ37">
        <v>1.315791E-2</v>
      </c>
      <c r="AK37">
        <v>0</v>
      </c>
      <c r="AL37" t="s">
        <v>1571</v>
      </c>
      <c r="AM37">
        <v>0</v>
      </c>
      <c r="AN37">
        <v>0</v>
      </c>
      <c r="AO37">
        <v>0</v>
      </c>
      <c r="AP37" t="s">
        <v>123</v>
      </c>
      <c r="AQ37" t="s">
        <v>123</v>
      </c>
      <c r="AR37" t="s">
        <v>123</v>
      </c>
      <c r="AS37" t="s">
        <v>123</v>
      </c>
      <c r="AT37">
        <v>0</v>
      </c>
      <c r="AU37" t="s">
        <v>123</v>
      </c>
      <c r="AV37">
        <v>0.15156417999999999</v>
      </c>
      <c r="AW37">
        <v>20000.082666720002</v>
      </c>
      <c r="AX37">
        <v>13514.842541980001</v>
      </c>
      <c r="AY37">
        <v>0.67573932999999997</v>
      </c>
      <c r="AZ37">
        <v>0.84843581999999995</v>
      </c>
      <c r="BA37">
        <v>0</v>
      </c>
      <c r="BB37">
        <v>1033</v>
      </c>
      <c r="BC37">
        <v>6.3665340000000001E-2</v>
      </c>
      <c r="BE37">
        <v>0</v>
      </c>
      <c r="BF37">
        <v>99</v>
      </c>
      <c r="BG37" t="s">
        <v>1518</v>
      </c>
      <c r="BH37">
        <v>0</v>
      </c>
      <c r="BI37">
        <v>1210</v>
      </c>
      <c r="BJ37" t="s">
        <v>1329</v>
      </c>
      <c r="BK37" s="1">
        <v>45912</v>
      </c>
      <c r="BL37" s="1">
        <v>45912</v>
      </c>
      <c r="BM37" t="s">
        <v>123</v>
      </c>
      <c r="BN37" t="s">
        <v>123</v>
      </c>
      <c r="BO37" t="s">
        <v>123</v>
      </c>
      <c r="BP37" t="s">
        <v>1334</v>
      </c>
      <c r="BQ37">
        <v>0</v>
      </c>
      <c r="BS37">
        <v>0</v>
      </c>
      <c r="BT37" t="s">
        <v>1330</v>
      </c>
      <c r="BU37">
        <v>0</v>
      </c>
      <c r="BV37" t="s">
        <v>123</v>
      </c>
      <c r="BW37">
        <v>0</v>
      </c>
      <c r="BX37">
        <v>0</v>
      </c>
      <c r="BY37">
        <v>0</v>
      </c>
      <c r="BZ37">
        <v>1</v>
      </c>
      <c r="CA37">
        <v>0.98419999999999996</v>
      </c>
      <c r="CB37">
        <v>1.7100000000000001E-2</v>
      </c>
      <c r="CC37">
        <v>4.8999999999999998E-3</v>
      </c>
    </row>
    <row r="38" spans="1:81" x14ac:dyDescent="0.3">
      <c r="A38">
        <v>1</v>
      </c>
      <c r="B38">
        <v>367</v>
      </c>
      <c r="C38" t="s">
        <v>1519</v>
      </c>
      <c r="D38">
        <v>150</v>
      </c>
      <c r="E38" t="s">
        <v>709</v>
      </c>
      <c r="F38" t="s">
        <v>1327</v>
      </c>
      <c r="G38" t="s">
        <v>133</v>
      </c>
      <c r="H38" t="s">
        <v>1374</v>
      </c>
      <c r="I38">
        <v>2025</v>
      </c>
      <c r="J38" t="s">
        <v>710</v>
      </c>
      <c r="K38">
        <v>250000</v>
      </c>
      <c r="L38" t="s">
        <v>1456</v>
      </c>
      <c r="M38"/>
      <c r="N38" t="s">
        <v>1326</v>
      </c>
      <c r="O38" s="3">
        <v>45917</v>
      </c>
      <c r="P38">
        <v>7.7952499999999994E-2</v>
      </c>
      <c r="Q38">
        <v>3.9735449999999999E-2</v>
      </c>
      <c r="R38" s="3">
        <v>45040</v>
      </c>
      <c r="S38" s="3">
        <v>46882</v>
      </c>
      <c r="U38" t="s">
        <v>1325</v>
      </c>
      <c r="V38">
        <v>0</v>
      </c>
      <c r="W38">
        <v>150000000</v>
      </c>
      <c r="X38">
        <v>11692875</v>
      </c>
      <c r="Y38">
        <v>250000.5</v>
      </c>
      <c r="Z38">
        <v>250000.5</v>
      </c>
      <c r="AA38">
        <v>0</v>
      </c>
      <c r="AB38">
        <v>104.5</v>
      </c>
      <c r="AC38">
        <v>1.6666700000000001E-3</v>
      </c>
      <c r="AD38">
        <v>19488.163976250002</v>
      </c>
      <c r="AE38">
        <v>261250.52249999999</v>
      </c>
      <c r="AF38">
        <v>3849.7341215500001</v>
      </c>
      <c r="AG38">
        <v>30359.381513619999</v>
      </c>
      <c r="AH38">
        <v>250000.5</v>
      </c>
      <c r="AI38">
        <v>250000.5</v>
      </c>
      <c r="AJ38">
        <v>1.315792E-2</v>
      </c>
      <c r="AK38">
        <v>0</v>
      </c>
      <c r="AL38" t="s">
        <v>1571</v>
      </c>
      <c r="AM38">
        <v>0</v>
      </c>
      <c r="AN38">
        <v>0</v>
      </c>
      <c r="AO38">
        <v>0</v>
      </c>
      <c r="AP38" t="s">
        <v>123</v>
      </c>
      <c r="AQ38" t="s">
        <v>123</v>
      </c>
      <c r="AR38" t="s">
        <v>123</v>
      </c>
      <c r="AS38" t="s">
        <v>123</v>
      </c>
      <c r="AT38">
        <v>0</v>
      </c>
      <c r="AU38" t="s">
        <v>123</v>
      </c>
      <c r="AV38">
        <v>0.19754216999999999</v>
      </c>
      <c r="AW38">
        <v>10000.02</v>
      </c>
      <c r="AX38">
        <v>15638.4298547</v>
      </c>
      <c r="AY38">
        <v>1.5638398600000001</v>
      </c>
      <c r="AZ38">
        <v>0.80245783000000004</v>
      </c>
      <c r="BA38">
        <v>0</v>
      </c>
      <c r="BB38">
        <v>902</v>
      </c>
      <c r="BC38">
        <v>6.1684509999999998E-2</v>
      </c>
      <c r="BE38">
        <v>0</v>
      </c>
      <c r="BF38">
        <v>99</v>
      </c>
      <c r="BG38" t="s">
        <v>1520</v>
      </c>
      <c r="BH38">
        <v>0</v>
      </c>
      <c r="BI38">
        <v>1211</v>
      </c>
      <c r="BJ38" t="s">
        <v>1329</v>
      </c>
      <c r="BK38" s="1">
        <v>45917</v>
      </c>
      <c r="BL38" s="1">
        <v>45917</v>
      </c>
      <c r="BM38" t="s">
        <v>123</v>
      </c>
      <c r="BN38" t="s">
        <v>123</v>
      </c>
      <c r="BO38" t="s">
        <v>123</v>
      </c>
      <c r="BP38" t="s">
        <v>139</v>
      </c>
      <c r="BQ38">
        <v>0</v>
      </c>
      <c r="BS38">
        <v>0</v>
      </c>
      <c r="BT38" t="s">
        <v>1330</v>
      </c>
      <c r="BU38">
        <v>0</v>
      </c>
      <c r="BV38" t="s">
        <v>123</v>
      </c>
      <c r="BW38">
        <v>0</v>
      </c>
      <c r="BX38">
        <v>0</v>
      </c>
      <c r="BY38">
        <v>0</v>
      </c>
      <c r="BZ38">
        <v>1</v>
      </c>
      <c r="CA38">
        <v>0.98350000000000004</v>
      </c>
      <c r="CB38">
        <v>1.7000000000000001E-2</v>
      </c>
      <c r="CC38">
        <v>1.43E-2</v>
      </c>
    </row>
    <row r="39" spans="1:81" x14ac:dyDescent="0.3">
      <c r="A39">
        <v>1</v>
      </c>
      <c r="B39">
        <v>736</v>
      </c>
      <c r="C39" t="s">
        <v>1521</v>
      </c>
      <c r="D39">
        <v>131</v>
      </c>
      <c r="E39" t="s">
        <v>643</v>
      </c>
      <c r="F39" t="s">
        <v>1375</v>
      </c>
      <c r="G39" t="s">
        <v>159</v>
      </c>
      <c r="H39" t="s">
        <v>1336</v>
      </c>
      <c r="J39" t="s">
        <v>646</v>
      </c>
      <c r="K39">
        <v>250000</v>
      </c>
      <c r="L39" t="s">
        <v>1456</v>
      </c>
      <c r="M39"/>
      <c r="N39" t="s">
        <v>1326</v>
      </c>
      <c r="O39" s="3">
        <v>45918</v>
      </c>
      <c r="P39">
        <v>0.1183</v>
      </c>
      <c r="Q39">
        <v>7.9825590000000002E-2</v>
      </c>
      <c r="R39" s="3">
        <v>45776</v>
      </c>
      <c r="S39" s="3">
        <v>46881</v>
      </c>
      <c r="U39" t="s">
        <v>1325</v>
      </c>
      <c r="V39">
        <v>0</v>
      </c>
      <c r="W39">
        <v>50000000</v>
      </c>
      <c r="X39">
        <v>5915000</v>
      </c>
      <c r="Y39">
        <v>250000</v>
      </c>
      <c r="Z39">
        <v>250000</v>
      </c>
      <c r="AA39">
        <v>0</v>
      </c>
      <c r="AB39">
        <v>104.65</v>
      </c>
      <c r="AC39">
        <v>5.0000000000000001E-3</v>
      </c>
      <c r="AD39">
        <v>29575</v>
      </c>
      <c r="AE39">
        <v>261625</v>
      </c>
      <c r="AF39">
        <v>9751.0043176500003</v>
      </c>
      <c r="AG39">
        <v>44610.55037692</v>
      </c>
      <c r="AH39">
        <v>250000</v>
      </c>
      <c r="AI39">
        <v>250000</v>
      </c>
      <c r="AJ39">
        <v>1.315789E-2</v>
      </c>
      <c r="AK39">
        <v>0</v>
      </c>
      <c r="AL39" t="s">
        <v>1571</v>
      </c>
      <c r="AM39">
        <v>0</v>
      </c>
      <c r="AN39">
        <v>0</v>
      </c>
      <c r="AO39">
        <v>0</v>
      </c>
      <c r="AP39" t="s">
        <v>123</v>
      </c>
      <c r="AQ39" t="s">
        <v>123</v>
      </c>
      <c r="AR39" t="s">
        <v>123</v>
      </c>
      <c r="AS39" t="s">
        <v>123</v>
      </c>
      <c r="AT39">
        <v>0</v>
      </c>
      <c r="AU39" t="s">
        <v>123</v>
      </c>
      <c r="AV39">
        <v>0.32970429000000001</v>
      </c>
      <c r="AW39">
        <v>14961.54806055</v>
      </c>
      <c r="AX39">
        <v>19823.99568235</v>
      </c>
      <c r="AY39">
        <v>1.3249962900000001</v>
      </c>
      <c r="AZ39">
        <v>0.67029570999999999</v>
      </c>
      <c r="BA39">
        <v>0</v>
      </c>
      <c r="BB39">
        <v>901</v>
      </c>
      <c r="BC39">
        <v>9.9497470000000005E-2</v>
      </c>
      <c r="BE39">
        <v>0</v>
      </c>
      <c r="BF39">
        <v>99</v>
      </c>
      <c r="BG39" t="s">
        <v>1522</v>
      </c>
      <c r="BH39">
        <v>0</v>
      </c>
      <c r="BI39">
        <v>1212</v>
      </c>
      <c r="BJ39" t="s">
        <v>1333</v>
      </c>
      <c r="BK39" s="1">
        <v>45918</v>
      </c>
      <c r="BL39" s="1">
        <v>45918</v>
      </c>
      <c r="BM39" t="s">
        <v>123</v>
      </c>
      <c r="BN39" t="s">
        <v>123</v>
      </c>
      <c r="BO39" t="s">
        <v>123</v>
      </c>
      <c r="BP39" t="s">
        <v>1334</v>
      </c>
      <c r="BQ39">
        <v>0</v>
      </c>
      <c r="BS39">
        <v>0</v>
      </c>
      <c r="BT39" t="s">
        <v>1330</v>
      </c>
      <c r="BU39">
        <v>0</v>
      </c>
      <c r="BV39" t="s">
        <v>123</v>
      </c>
      <c r="BW39">
        <v>0</v>
      </c>
      <c r="BX39">
        <v>0</v>
      </c>
      <c r="BY39">
        <v>0</v>
      </c>
      <c r="BZ39">
        <v>1</v>
      </c>
      <c r="CA39">
        <v>0.94530000000000003</v>
      </c>
      <c r="CB39">
        <v>5.6599999999999998E-2</v>
      </c>
      <c r="CC39">
        <v>0</v>
      </c>
    </row>
    <row r="40" spans="1:81" x14ac:dyDescent="0.3">
      <c r="A40">
        <v>1</v>
      </c>
      <c r="B40">
        <v>696</v>
      </c>
      <c r="C40" t="s">
        <v>1523</v>
      </c>
      <c r="D40">
        <v>275</v>
      </c>
      <c r="E40" t="s">
        <v>1137</v>
      </c>
      <c r="F40" t="s">
        <v>1364</v>
      </c>
      <c r="G40" t="s">
        <v>150</v>
      </c>
      <c r="H40" t="s">
        <v>1376</v>
      </c>
      <c r="I40">
        <v>2025</v>
      </c>
      <c r="J40" t="s">
        <v>1138</v>
      </c>
      <c r="K40">
        <v>250000</v>
      </c>
      <c r="L40" t="s">
        <v>1456</v>
      </c>
      <c r="M40"/>
      <c r="N40" t="s">
        <v>1326</v>
      </c>
      <c r="O40" s="3">
        <v>45929</v>
      </c>
      <c r="P40">
        <v>0.15690000000000001</v>
      </c>
      <c r="Q40">
        <v>0.11854834</v>
      </c>
      <c r="R40" s="3">
        <v>45393</v>
      </c>
      <c r="S40" s="3">
        <v>46180</v>
      </c>
      <c r="U40" t="s">
        <v>1325</v>
      </c>
      <c r="V40">
        <v>0</v>
      </c>
      <c r="W40">
        <v>1800000000</v>
      </c>
      <c r="X40">
        <v>62760000</v>
      </c>
      <c r="Y40">
        <v>250000</v>
      </c>
      <c r="Z40">
        <v>250000</v>
      </c>
      <c r="AA40">
        <v>0</v>
      </c>
      <c r="AB40">
        <v>105.2</v>
      </c>
      <c r="AC40">
        <v>6.2500000000000001E-4</v>
      </c>
      <c r="AD40">
        <v>39225</v>
      </c>
      <c r="AE40">
        <v>263000</v>
      </c>
      <c r="AF40">
        <v>10708.70834883</v>
      </c>
      <c r="AG40">
        <v>47574.124469889997</v>
      </c>
      <c r="AH40">
        <v>249999.9975</v>
      </c>
      <c r="AI40">
        <v>249999.9975</v>
      </c>
      <c r="AJ40">
        <v>1.315789E-2</v>
      </c>
      <c r="AK40">
        <v>0</v>
      </c>
      <c r="AL40" t="s">
        <v>1571</v>
      </c>
      <c r="AM40">
        <v>0</v>
      </c>
      <c r="AN40">
        <v>0</v>
      </c>
      <c r="AO40">
        <v>0</v>
      </c>
      <c r="AP40" t="s">
        <v>123</v>
      </c>
      <c r="AQ40" t="s">
        <v>123</v>
      </c>
      <c r="AR40" t="s">
        <v>123</v>
      </c>
      <c r="AS40" t="s">
        <v>123</v>
      </c>
      <c r="AT40">
        <v>0</v>
      </c>
      <c r="AU40" t="s">
        <v>123</v>
      </c>
      <c r="AV40">
        <v>0.27300721999999999</v>
      </c>
      <c r="AW40">
        <v>33818.213953480001</v>
      </c>
      <c r="AX40">
        <v>28516.291651169999</v>
      </c>
      <c r="AY40">
        <v>0.84322288000000001</v>
      </c>
      <c r="AZ40">
        <v>0.72699278000000001</v>
      </c>
      <c r="BA40">
        <v>0</v>
      </c>
      <c r="BB40">
        <v>200</v>
      </c>
      <c r="BC40">
        <v>8.1617250000000002E-2</v>
      </c>
      <c r="BE40">
        <v>49999.999499999998</v>
      </c>
      <c r="BF40">
        <v>99</v>
      </c>
      <c r="BG40" t="s">
        <v>1524</v>
      </c>
      <c r="BH40">
        <v>0</v>
      </c>
      <c r="BI40">
        <v>1213</v>
      </c>
      <c r="BJ40" t="s">
        <v>1329</v>
      </c>
      <c r="BK40" s="1">
        <v>45929</v>
      </c>
      <c r="BL40" s="1">
        <v>45929</v>
      </c>
      <c r="BM40" t="s">
        <v>123</v>
      </c>
      <c r="BN40" t="s">
        <v>123</v>
      </c>
      <c r="BO40" t="s">
        <v>123</v>
      </c>
      <c r="BP40" t="s">
        <v>139</v>
      </c>
      <c r="BQ40">
        <v>0</v>
      </c>
      <c r="BS40">
        <v>0</v>
      </c>
      <c r="BT40" t="s">
        <v>1330</v>
      </c>
      <c r="BU40">
        <v>0</v>
      </c>
      <c r="BV40" t="s">
        <v>123</v>
      </c>
      <c r="BW40">
        <v>0</v>
      </c>
      <c r="BX40">
        <v>0</v>
      </c>
      <c r="BY40">
        <v>0</v>
      </c>
      <c r="BZ40">
        <v>1</v>
      </c>
      <c r="CA40">
        <v>0.94699999999999995</v>
      </c>
      <c r="CB40">
        <v>5.96E-2</v>
      </c>
      <c r="CC40">
        <v>0</v>
      </c>
    </row>
    <row r="41" spans="1:81" x14ac:dyDescent="0.3">
      <c r="A41">
        <v>1</v>
      </c>
      <c r="B41">
        <v>508</v>
      </c>
      <c r="C41" t="s">
        <v>1525</v>
      </c>
      <c r="D41">
        <v>64</v>
      </c>
      <c r="E41" t="s">
        <v>414</v>
      </c>
      <c r="F41" t="s">
        <v>1344</v>
      </c>
      <c r="G41" t="s">
        <v>150</v>
      </c>
      <c r="H41" t="s">
        <v>1336</v>
      </c>
      <c r="I41">
        <v>2025</v>
      </c>
      <c r="J41" t="s">
        <v>417</v>
      </c>
      <c r="K41">
        <v>675000</v>
      </c>
      <c r="L41" t="s">
        <v>1456</v>
      </c>
      <c r="M41"/>
      <c r="N41" t="s">
        <v>1326</v>
      </c>
      <c r="O41" s="3">
        <v>45931</v>
      </c>
      <c r="P41">
        <v>9.3899999999999997E-2</v>
      </c>
      <c r="Q41">
        <v>5.5532829999999998E-2</v>
      </c>
      <c r="R41" s="3">
        <v>45314</v>
      </c>
      <c r="S41" s="3">
        <v>46850</v>
      </c>
      <c r="U41" t="s">
        <v>1325</v>
      </c>
      <c r="V41">
        <v>0</v>
      </c>
      <c r="W41">
        <v>1000000000</v>
      </c>
      <c r="X41">
        <v>37560000</v>
      </c>
      <c r="Y41">
        <v>675000</v>
      </c>
      <c r="Z41">
        <v>675000</v>
      </c>
      <c r="AA41">
        <v>0</v>
      </c>
      <c r="AB41">
        <v>105.4</v>
      </c>
      <c r="AC41">
        <v>1.6875E-3</v>
      </c>
      <c r="AD41">
        <v>63382.5</v>
      </c>
      <c r="AE41">
        <v>711450</v>
      </c>
      <c r="AF41">
        <v>7180.6593966999999</v>
      </c>
      <c r="AG41">
        <v>68017.170587550005</v>
      </c>
      <c r="AH41">
        <v>604513.95786927</v>
      </c>
      <c r="AI41">
        <v>675000</v>
      </c>
      <c r="AJ41">
        <v>3.552632E-2</v>
      </c>
      <c r="AK41">
        <v>0</v>
      </c>
      <c r="AL41" t="s">
        <v>1571</v>
      </c>
      <c r="AM41">
        <v>0</v>
      </c>
      <c r="AN41">
        <v>0</v>
      </c>
      <c r="AO41">
        <v>0</v>
      </c>
      <c r="AP41" t="s">
        <v>123</v>
      </c>
      <c r="AQ41" t="s">
        <v>123</v>
      </c>
      <c r="AR41" t="s">
        <v>123</v>
      </c>
      <c r="AS41" t="s">
        <v>123</v>
      </c>
      <c r="AT41">
        <v>0</v>
      </c>
      <c r="AU41" t="s">
        <v>123</v>
      </c>
      <c r="AV41">
        <v>0.11329088</v>
      </c>
      <c r="AW41">
        <v>141045.13957869</v>
      </c>
      <c r="AX41">
        <v>56201.840603299999</v>
      </c>
      <c r="AY41">
        <v>0.39846704999999999</v>
      </c>
      <c r="AZ41">
        <v>0.88670912000000002</v>
      </c>
      <c r="BA41">
        <v>0</v>
      </c>
      <c r="BB41">
        <v>870</v>
      </c>
      <c r="BC41">
        <v>7.1962929999999994E-2</v>
      </c>
      <c r="BE41">
        <v>202500</v>
      </c>
      <c r="BF41">
        <v>99</v>
      </c>
      <c r="BG41" t="s">
        <v>1526</v>
      </c>
      <c r="BH41">
        <v>0</v>
      </c>
      <c r="BI41">
        <v>1214</v>
      </c>
      <c r="BJ41" t="s">
        <v>1333</v>
      </c>
      <c r="BK41" s="1">
        <v>45931</v>
      </c>
      <c r="BL41" s="1">
        <v>45931</v>
      </c>
      <c r="BM41" t="s">
        <v>123</v>
      </c>
      <c r="BN41" t="s">
        <v>123</v>
      </c>
      <c r="BO41" t="s">
        <v>123</v>
      </c>
      <c r="BP41" t="s">
        <v>139</v>
      </c>
      <c r="BQ41">
        <v>0</v>
      </c>
      <c r="BS41">
        <v>0</v>
      </c>
      <c r="BT41" t="s">
        <v>1330</v>
      </c>
      <c r="BU41">
        <v>0</v>
      </c>
      <c r="BV41" t="s">
        <v>123</v>
      </c>
      <c r="BW41">
        <v>0</v>
      </c>
      <c r="BX41">
        <v>0</v>
      </c>
      <c r="BY41">
        <v>0</v>
      </c>
      <c r="BZ41">
        <v>1</v>
      </c>
      <c r="CA41">
        <v>0.98819999999999997</v>
      </c>
      <c r="CB41">
        <v>1.23E-2</v>
      </c>
      <c r="CC41">
        <v>9.4999999999999998E-3</v>
      </c>
    </row>
    <row r="42" spans="1:81" x14ac:dyDescent="0.3">
      <c r="A42">
        <v>1</v>
      </c>
      <c r="B42">
        <v>584</v>
      </c>
      <c r="C42" t="s">
        <v>1527</v>
      </c>
      <c r="D42">
        <v>232</v>
      </c>
      <c r="E42" t="s">
        <v>989</v>
      </c>
      <c r="F42" t="s">
        <v>1360</v>
      </c>
      <c r="G42" t="s">
        <v>150</v>
      </c>
      <c r="H42" t="s">
        <v>1336</v>
      </c>
      <c r="I42">
        <v>2025</v>
      </c>
      <c r="J42" t="s">
        <v>992</v>
      </c>
      <c r="K42">
        <v>250000</v>
      </c>
      <c r="L42" t="s">
        <v>1456</v>
      </c>
      <c r="M42"/>
      <c r="N42" t="s">
        <v>1326</v>
      </c>
      <c r="O42" s="3">
        <v>45939</v>
      </c>
      <c r="P42">
        <v>0.14030000000000001</v>
      </c>
      <c r="Q42">
        <v>0.10162388999999999</v>
      </c>
      <c r="R42" s="3">
        <v>45343</v>
      </c>
      <c r="S42" s="3">
        <v>46444</v>
      </c>
      <c r="U42" t="s">
        <v>1325</v>
      </c>
      <c r="V42">
        <v>0</v>
      </c>
      <c r="W42">
        <v>250000000</v>
      </c>
      <c r="X42">
        <v>35075000</v>
      </c>
      <c r="Y42">
        <v>250000</v>
      </c>
      <c r="Z42">
        <v>250000</v>
      </c>
      <c r="AA42">
        <v>0</v>
      </c>
      <c r="AB42">
        <v>107.85</v>
      </c>
      <c r="AC42">
        <v>1E-3</v>
      </c>
      <c r="AD42">
        <v>35075</v>
      </c>
      <c r="AE42">
        <v>269625</v>
      </c>
      <c r="AF42">
        <v>5917.4409070600004</v>
      </c>
      <c r="AG42">
        <v>37139.145924440003</v>
      </c>
      <c r="AH42">
        <v>250000</v>
      </c>
      <c r="AI42">
        <v>250000</v>
      </c>
      <c r="AJ42">
        <v>1.315789E-2</v>
      </c>
      <c r="AK42">
        <v>0</v>
      </c>
      <c r="AL42" t="s">
        <v>1571</v>
      </c>
      <c r="AM42">
        <v>0</v>
      </c>
      <c r="AN42">
        <v>0</v>
      </c>
      <c r="AO42">
        <v>0</v>
      </c>
      <c r="AP42" t="s">
        <v>123</v>
      </c>
      <c r="AQ42" t="s">
        <v>123</v>
      </c>
      <c r="AR42" t="s">
        <v>123</v>
      </c>
      <c r="AS42" t="s">
        <v>123</v>
      </c>
      <c r="AT42">
        <v>0</v>
      </c>
      <c r="AU42" t="s">
        <v>123</v>
      </c>
      <c r="AV42">
        <v>0.16870821999999999</v>
      </c>
      <c r="AW42">
        <v>177271.29863569999</v>
      </c>
      <c r="AX42">
        <v>29157.559092939999</v>
      </c>
      <c r="AY42">
        <v>0.16447986000000001</v>
      </c>
      <c r="AZ42">
        <v>0.83129178000000004</v>
      </c>
      <c r="BA42">
        <v>0</v>
      </c>
      <c r="BB42">
        <v>464</v>
      </c>
      <c r="BC42">
        <v>8.1237019999999993E-2</v>
      </c>
      <c r="BE42">
        <v>207327.99387701001</v>
      </c>
      <c r="BF42">
        <v>99</v>
      </c>
      <c r="BG42" t="s">
        <v>1528</v>
      </c>
      <c r="BH42">
        <v>0</v>
      </c>
      <c r="BI42">
        <v>1215</v>
      </c>
      <c r="BJ42" t="s">
        <v>1333</v>
      </c>
      <c r="BK42" s="1">
        <v>45939</v>
      </c>
      <c r="BL42" s="1">
        <v>45939</v>
      </c>
      <c r="BM42" t="s">
        <v>123</v>
      </c>
      <c r="BN42" t="s">
        <v>123</v>
      </c>
      <c r="BO42" t="s">
        <v>123</v>
      </c>
      <c r="BP42" t="s">
        <v>139</v>
      </c>
      <c r="BQ42">
        <v>0</v>
      </c>
      <c r="BS42">
        <v>0</v>
      </c>
      <c r="BT42" t="s">
        <v>1330</v>
      </c>
      <c r="BU42">
        <v>0</v>
      </c>
      <c r="BV42" t="s">
        <v>123</v>
      </c>
      <c r="BW42">
        <v>0</v>
      </c>
      <c r="BX42">
        <v>0</v>
      </c>
      <c r="BY42">
        <v>0</v>
      </c>
      <c r="BZ42">
        <v>1</v>
      </c>
      <c r="CA42">
        <v>0.97430000000000005</v>
      </c>
      <c r="CB42">
        <v>2.69E-2</v>
      </c>
      <c r="CC42">
        <v>2.0500000000000001E-2</v>
      </c>
    </row>
    <row r="43" spans="1:81" x14ac:dyDescent="0.3">
      <c r="A43">
        <v>1</v>
      </c>
      <c r="B43">
        <v>548</v>
      </c>
      <c r="C43" t="s">
        <v>1529</v>
      </c>
      <c r="D43">
        <v>233</v>
      </c>
      <c r="E43" t="s">
        <v>993</v>
      </c>
      <c r="F43" t="s">
        <v>1360</v>
      </c>
      <c r="G43" t="s">
        <v>150</v>
      </c>
      <c r="H43" t="s">
        <v>1332</v>
      </c>
      <c r="I43">
        <v>2025</v>
      </c>
      <c r="J43" t="s">
        <v>994</v>
      </c>
      <c r="K43">
        <v>250000</v>
      </c>
      <c r="L43" t="s">
        <v>1456</v>
      </c>
      <c r="M43"/>
      <c r="N43" t="s">
        <v>1326</v>
      </c>
      <c r="O43" s="3">
        <v>45939</v>
      </c>
      <c r="P43">
        <v>0.15509999999999999</v>
      </c>
      <c r="Q43">
        <v>0.11673172</v>
      </c>
      <c r="R43" s="3">
        <v>45343</v>
      </c>
      <c r="S43" s="3">
        <v>46444</v>
      </c>
      <c r="U43" t="s">
        <v>1325</v>
      </c>
      <c r="V43">
        <v>0</v>
      </c>
      <c r="W43">
        <v>200000000</v>
      </c>
      <c r="X43">
        <v>23265000</v>
      </c>
      <c r="Y43">
        <v>250000.5</v>
      </c>
      <c r="Z43">
        <v>250000.5</v>
      </c>
      <c r="AA43">
        <v>0</v>
      </c>
      <c r="AB43">
        <v>108.35</v>
      </c>
      <c r="AC43">
        <v>1.6666700000000001E-3</v>
      </c>
      <c r="AD43">
        <v>38775.077550000002</v>
      </c>
      <c r="AE43">
        <v>270875.54174999997</v>
      </c>
      <c r="AF43">
        <v>7315.5323138800004</v>
      </c>
      <c r="AG43">
        <v>41391.508501949997</v>
      </c>
      <c r="AH43">
        <v>250000.5</v>
      </c>
      <c r="AI43">
        <v>250000.5</v>
      </c>
      <c r="AJ43">
        <v>1.315792E-2</v>
      </c>
      <c r="AK43">
        <v>0</v>
      </c>
      <c r="AL43" t="s">
        <v>1571</v>
      </c>
      <c r="AM43">
        <v>0</v>
      </c>
      <c r="AN43">
        <v>0</v>
      </c>
      <c r="AO43">
        <v>0</v>
      </c>
      <c r="AP43" t="s">
        <v>123</v>
      </c>
      <c r="AQ43" t="s">
        <v>123</v>
      </c>
      <c r="AR43" t="s">
        <v>123</v>
      </c>
      <c r="AS43" t="s">
        <v>123</v>
      </c>
      <c r="AT43">
        <v>0</v>
      </c>
      <c r="AU43" t="s">
        <v>123</v>
      </c>
      <c r="AV43">
        <v>0.18866583000000001</v>
      </c>
      <c r="AW43">
        <v>188325.02535668001</v>
      </c>
      <c r="AX43">
        <v>31459.54523612</v>
      </c>
      <c r="AY43">
        <v>0.16704920000000001</v>
      </c>
      <c r="AZ43">
        <v>0.81133416999999997</v>
      </c>
      <c r="BA43">
        <v>0</v>
      </c>
      <c r="BB43">
        <v>464</v>
      </c>
      <c r="BC43">
        <v>9.1780929999999997E-2</v>
      </c>
      <c r="BE43">
        <v>225000.45</v>
      </c>
      <c r="BF43">
        <v>99</v>
      </c>
      <c r="BG43" t="s">
        <v>1530</v>
      </c>
      <c r="BH43">
        <v>0</v>
      </c>
      <c r="BI43">
        <v>1216</v>
      </c>
      <c r="BJ43" t="s">
        <v>1333</v>
      </c>
      <c r="BK43" s="1">
        <v>45939</v>
      </c>
      <c r="BL43" s="1">
        <v>45939</v>
      </c>
      <c r="BM43" t="s">
        <v>123</v>
      </c>
      <c r="BN43" t="s">
        <v>123</v>
      </c>
      <c r="BO43" t="s">
        <v>123</v>
      </c>
      <c r="BP43" t="s">
        <v>139</v>
      </c>
      <c r="BQ43">
        <v>0</v>
      </c>
      <c r="BS43">
        <v>0</v>
      </c>
      <c r="BT43" t="s">
        <v>1330</v>
      </c>
      <c r="BU43">
        <v>0</v>
      </c>
      <c r="BV43" t="s">
        <v>123</v>
      </c>
      <c r="BW43">
        <v>0</v>
      </c>
      <c r="BX43">
        <v>0</v>
      </c>
      <c r="BY43">
        <v>0</v>
      </c>
      <c r="BZ43">
        <v>1</v>
      </c>
      <c r="CA43">
        <v>0.96840000000000004</v>
      </c>
      <c r="CB43">
        <v>3.2599999999999997E-2</v>
      </c>
      <c r="CC43">
        <v>2.69E-2</v>
      </c>
    </row>
    <row r="44" spans="1:81" x14ac:dyDescent="0.3">
      <c r="A44">
        <v>1</v>
      </c>
      <c r="B44">
        <v>596</v>
      </c>
      <c r="C44" t="s">
        <v>1531</v>
      </c>
      <c r="D44">
        <v>219</v>
      </c>
      <c r="E44" t="s">
        <v>947</v>
      </c>
      <c r="F44" t="s">
        <v>1363</v>
      </c>
      <c r="G44" t="s">
        <v>150</v>
      </c>
      <c r="H44" t="s">
        <v>1336</v>
      </c>
      <c r="I44">
        <v>2025</v>
      </c>
      <c r="J44" t="s">
        <v>1377</v>
      </c>
      <c r="K44">
        <v>500000</v>
      </c>
      <c r="L44" t="s">
        <v>1456</v>
      </c>
      <c r="M44"/>
      <c r="N44" t="s">
        <v>1326</v>
      </c>
      <c r="O44" s="3">
        <v>45944</v>
      </c>
      <c r="P44">
        <v>0.14350714000000001</v>
      </c>
      <c r="Q44">
        <v>0.10489572</v>
      </c>
      <c r="R44" s="3">
        <v>45434</v>
      </c>
      <c r="S44" s="3">
        <v>46520</v>
      </c>
      <c r="U44" t="s">
        <v>1325</v>
      </c>
      <c r="V44">
        <v>0</v>
      </c>
      <c r="W44">
        <v>1454000000</v>
      </c>
      <c r="X44">
        <v>64578213</v>
      </c>
      <c r="Y44">
        <v>499999.5</v>
      </c>
      <c r="Z44">
        <v>499999.5</v>
      </c>
      <c r="AA44">
        <v>0</v>
      </c>
      <c r="AB44">
        <v>107.75</v>
      </c>
      <c r="AC44">
        <v>1.11111E-3</v>
      </c>
      <c r="AD44">
        <v>71753.498246429997</v>
      </c>
      <c r="AE44">
        <v>538749.46125000005</v>
      </c>
      <c r="AF44">
        <v>8423.2709527700008</v>
      </c>
      <c r="AG44">
        <v>63203.522841389997</v>
      </c>
      <c r="AH44">
        <v>499999.50137777999</v>
      </c>
      <c r="AI44">
        <v>499999.50137777999</v>
      </c>
      <c r="AJ44">
        <v>2.6315760000000001E-2</v>
      </c>
      <c r="AK44">
        <v>0</v>
      </c>
      <c r="AL44" t="s">
        <v>1571</v>
      </c>
      <c r="AM44">
        <v>0</v>
      </c>
      <c r="AN44">
        <v>0</v>
      </c>
      <c r="AO44">
        <v>0</v>
      </c>
      <c r="AP44" t="s">
        <v>123</v>
      </c>
      <c r="AQ44" t="s">
        <v>123</v>
      </c>
      <c r="AR44" t="s">
        <v>123</v>
      </c>
      <c r="AS44" t="s">
        <v>123</v>
      </c>
      <c r="AT44">
        <v>0</v>
      </c>
      <c r="AU44" t="s">
        <v>123</v>
      </c>
      <c r="AV44">
        <v>0.11739178</v>
      </c>
      <c r="AW44">
        <v>342036.24083546997</v>
      </c>
      <c r="AX44">
        <v>63330.227293659998</v>
      </c>
      <c r="AY44">
        <v>0.18515648000000001</v>
      </c>
      <c r="AZ44">
        <v>0.88260822000000005</v>
      </c>
      <c r="BA44">
        <v>0</v>
      </c>
      <c r="BB44">
        <v>540</v>
      </c>
      <c r="BC44">
        <v>9.2212089999999997E-2</v>
      </c>
      <c r="BE44">
        <v>449999.55124</v>
      </c>
      <c r="BF44">
        <v>99</v>
      </c>
      <c r="BG44" t="s">
        <v>1532</v>
      </c>
      <c r="BH44">
        <v>0</v>
      </c>
      <c r="BI44">
        <v>1217</v>
      </c>
      <c r="BJ44" t="s">
        <v>1329</v>
      </c>
      <c r="BK44" s="1">
        <v>45944</v>
      </c>
      <c r="BL44" s="1">
        <v>45944</v>
      </c>
      <c r="BM44" t="s">
        <v>123</v>
      </c>
      <c r="BN44" t="s">
        <v>123</v>
      </c>
      <c r="BO44" t="s">
        <v>123</v>
      </c>
      <c r="BP44" t="s">
        <v>139</v>
      </c>
      <c r="BQ44">
        <v>0</v>
      </c>
      <c r="BS44">
        <v>0</v>
      </c>
      <c r="BT44" t="s">
        <v>1330</v>
      </c>
      <c r="BU44">
        <v>0</v>
      </c>
      <c r="BV44" t="s">
        <v>123</v>
      </c>
      <c r="BW44">
        <v>0</v>
      </c>
      <c r="BX44">
        <v>0</v>
      </c>
      <c r="BY44">
        <v>0</v>
      </c>
      <c r="BZ44">
        <v>1</v>
      </c>
      <c r="CA44">
        <v>0.9819</v>
      </c>
      <c r="CB44">
        <v>1.8599999999999998E-2</v>
      </c>
      <c r="CC44">
        <v>0</v>
      </c>
    </row>
    <row r="45" spans="1:81" x14ac:dyDescent="0.3">
      <c r="A45">
        <v>1</v>
      </c>
      <c r="B45">
        <v>593</v>
      </c>
      <c r="C45" t="s">
        <v>1533</v>
      </c>
      <c r="D45">
        <v>332</v>
      </c>
      <c r="E45" t="s">
        <v>1296</v>
      </c>
      <c r="F45" t="s">
        <v>1378</v>
      </c>
      <c r="G45" t="s">
        <v>159</v>
      </c>
      <c r="H45" t="s">
        <v>1336</v>
      </c>
      <c r="J45" t="s">
        <v>1287</v>
      </c>
      <c r="K45">
        <v>500000</v>
      </c>
      <c r="L45" t="s">
        <v>1456</v>
      </c>
      <c r="M45"/>
      <c r="N45" t="s">
        <v>1326</v>
      </c>
      <c r="O45" s="3">
        <v>45951</v>
      </c>
      <c r="P45">
        <v>0.34866479</v>
      </c>
      <c r="Q45">
        <v>0.3093301</v>
      </c>
      <c r="R45" s="3">
        <v>45807</v>
      </c>
      <c r="S45" s="3">
        <v>46545</v>
      </c>
      <c r="U45" t="s">
        <v>1325</v>
      </c>
      <c r="V45">
        <v>0</v>
      </c>
      <c r="W45">
        <v>30000000000</v>
      </c>
      <c r="X45">
        <v>31379831.100000001</v>
      </c>
      <c r="Y45">
        <v>500000.4</v>
      </c>
      <c r="Z45">
        <v>500000.4</v>
      </c>
      <c r="AA45">
        <v>0</v>
      </c>
      <c r="AB45">
        <v>116</v>
      </c>
      <c r="AC45">
        <v>5.5555600000000002E-3</v>
      </c>
      <c r="AD45">
        <v>174332.53446592001</v>
      </c>
      <c r="AE45">
        <v>580000.46400000004</v>
      </c>
      <c r="AF45">
        <v>50177.627282709997</v>
      </c>
      <c r="AG45">
        <v>134318.78203932999</v>
      </c>
      <c r="AH45">
        <v>500000.4</v>
      </c>
      <c r="AI45">
        <v>500000.4</v>
      </c>
      <c r="AJ45">
        <v>2.6315809999999999E-2</v>
      </c>
      <c r="AK45">
        <v>0</v>
      </c>
      <c r="AL45" t="s">
        <v>1571</v>
      </c>
      <c r="AM45">
        <v>0</v>
      </c>
      <c r="AN45">
        <v>0</v>
      </c>
      <c r="AO45">
        <v>0</v>
      </c>
      <c r="AP45" t="s">
        <v>123</v>
      </c>
      <c r="AQ45" t="s">
        <v>123</v>
      </c>
      <c r="AR45" t="s">
        <v>123</v>
      </c>
      <c r="AS45" t="s">
        <v>123</v>
      </c>
      <c r="AT45">
        <v>0</v>
      </c>
      <c r="AU45" t="s">
        <v>123</v>
      </c>
      <c r="AV45">
        <v>0.2878271</v>
      </c>
      <c r="AW45">
        <v>346208.45780842</v>
      </c>
      <c r="AX45">
        <v>124154.9071832</v>
      </c>
      <c r="AY45">
        <v>0.35861314999999999</v>
      </c>
      <c r="AZ45">
        <v>0.7121729</v>
      </c>
      <c r="BA45">
        <v>0</v>
      </c>
      <c r="BB45">
        <v>565</v>
      </c>
      <c r="BC45">
        <v>0.22882463</v>
      </c>
      <c r="BE45">
        <v>337966.37833506003</v>
      </c>
      <c r="BF45">
        <v>99</v>
      </c>
      <c r="BG45" t="s">
        <v>1534</v>
      </c>
      <c r="BH45">
        <v>0</v>
      </c>
      <c r="BI45">
        <v>1219</v>
      </c>
      <c r="BJ45" t="s">
        <v>1329</v>
      </c>
      <c r="BK45" s="1">
        <v>45951</v>
      </c>
      <c r="BL45" s="1">
        <v>45951</v>
      </c>
      <c r="BM45" t="s">
        <v>123</v>
      </c>
      <c r="BN45" t="s">
        <v>123</v>
      </c>
      <c r="BO45" t="s">
        <v>123</v>
      </c>
      <c r="BP45" t="s">
        <v>1334</v>
      </c>
      <c r="BQ45">
        <v>0</v>
      </c>
      <c r="BS45">
        <v>0</v>
      </c>
      <c r="BT45" t="s">
        <v>1330</v>
      </c>
      <c r="BU45">
        <v>0</v>
      </c>
      <c r="BV45" t="s">
        <v>123</v>
      </c>
      <c r="BW45">
        <v>0</v>
      </c>
      <c r="BX45">
        <v>0</v>
      </c>
      <c r="BY45">
        <v>0</v>
      </c>
      <c r="BZ45">
        <v>1</v>
      </c>
      <c r="CA45">
        <v>0.88800000000000001</v>
      </c>
      <c r="CB45">
        <v>0.1678</v>
      </c>
      <c r="CC45">
        <v>0</v>
      </c>
    </row>
    <row r="46" spans="1:81" x14ac:dyDescent="0.3">
      <c r="A46">
        <v>1</v>
      </c>
      <c r="B46">
        <v>355</v>
      </c>
      <c r="C46" t="s">
        <v>1535</v>
      </c>
      <c r="D46">
        <v>208</v>
      </c>
      <c r="E46" t="s">
        <v>895</v>
      </c>
      <c r="F46" t="s">
        <v>1345</v>
      </c>
      <c r="G46" t="s">
        <v>150</v>
      </c>
      <c r="H46" t="s">
        <v>1336</v>
      </c>
      <c r="J46" t="s">
        <v>1379</v>
      </c>
      <c r="K46">
        <v>250000</v>
      </c>
      <c r="L46" t="s">
        <v>1456</v>
      </c>
      <c r="M46"/>
      <c r="N46" t="s">
        <v>1326</v>
      </c>
      <c r="O46" s="3">
        <v>45957</v>
      </c>
      <c r="P46">
        <v>7.3099999999999998E-2</v>
      </c>
      <c r="Q46">
        <v>3.4997439999999998E-2</v>
      </c>
      <c r="R46" s="3">
        <v>45630</v>
      </c>
      <c r="S46" s="3">
        <v>46762</v>
      </c>
      <c r="U46" t="s">
        <v>1325</v>
      </c>
      <c r="V46">
        <v>0</v>
      </c>
      <c r="W46">
        <v>100000000</v>
      </c>
      <c r="X46">
        <v>7310000</v>
      </c>
      <c r="Y46">
        <v>250000</v>
      </c>
      <c r="Z46">
        <v>250000</v>
      </c>
      <c r="AA46">
        <v>0</v>
      </c>
      <c r="AB46">
        <v>103.1</v>
      </c>
      <c r="AC46">
        <v>2.5000000000000001E-3</v>
      </c>
      <c r="AD46">
        <v>18275</v>
      </c>
      <c r="AE46">
        <v>257750</v>
      </c>
      <c r="AF46">
        <v>2306.25</v>
      </c>
      <c r="AG46">
        <v>22853.28205505</v>
      </c>
      <c r="AH46">
        <v>62500</v>
      </c>
      <c r="AI46">
        <v>250000</v>
      </c>
      <c r="AJ46">
        <v>1.315789E-2</v>
      </c>
      <c r="AK46">
        <v>0</v>
      </c>
      <c r="AL46" t="s">
        <v>1571</v>
      </c>
      <c r="AM46">
        <v>0</v>
      </c>
      <c r="AN46">
        <v>0</v>
      </c>
      <c r="AO46">
        <v>0</v>
      </c>
      <c r="AP46" t="s">
        <v>123</v>
      </c>
      <c r="AQ46" t="s">
        <v>123</v>
      </c>
      <c r="AR46" t="s">
        <v>123</v>
      </c>
      <c r="AS46" t="s">
        <v>123</v>
      </c>
      <c r="AT46">
        <v>0</v>
      </c>
      <c r="AU46" t="s">
        <v>123</v>
      </c>
      <c r="AV46">
        <v>0.12619699000000001</v>
      </c>
      <c r="AW46">
        <v>6562.5</v>
      </c>
      <c r="AX46">
        <v>15968.75</v>
      </c>
      <c r="AY46">
        <v>2.43333333</v>
      </c>
      <c r="AZ46">
        <v>0.87380301000000005</v>
      </c>
      <c r="BA46">
        <v>0</v>
      </c>
      <c r="BB46">
        <v>782</v>
      </c>
      <c r="BC46">
        <v>5.9052420000000001E-2</v>
      </c>
      <c r="BE46">
        <v>0</v>
      </c>
      <c r="BF46">
        <v>99</v>
      </c>
      <c r="BG46" t="s">
        <v>1536</v>
      </c>
      <c r="BH46">
        <v>0</v>
      </c>
      <c r="BI46">
        <v>1220</v>
      </c>
      <c r="BJ46" t="s">
        <v>1333</v>
      </c>
      <c r="BK46" s="1">
        <v>45957</v>
      </c>
      <c r="BL46" s="1">
        <v>45957</v>
      </c>
      <c r="BM46" t="s">
        <v>123</v>
      </c>
      <c r="BN46" t="s">
        <v>123</v>
      </c>
      <c r="BO46" t="s">
        <v>123</v>
      </c>
      <c r="BP46" t="s">
        <v>1347</v>
      </c>
      <c r="BQ46">
        <v>0</v>
      </c>
      <c r="BS46">
        <v>0</v>
      </c>
      <c r="BT46" t="s">
        <v>1330</v>
      </c>
      <c r="BU46">
        <v>0</v>
      </c>
      <c r="BV46" t="s">
        <v>123</v>
      </c>
      <c r="BW46">
        <v>0</v>
      </c>
      <c r="BX46">
        <v>0</v>
      </c>
      <c r="BY46">
        <v>0</v>
      </c>
      <c r="BZ46">
        <v>1</v>
      </c>
      <c r="CA46">
        <v>0.98870000000000002</v>
      </c>
      <c r="CB46">
        <v>1.1299999999999999E-2</v>
      </c>
      <c r="CC46">
        <v>0</v>
      </c>
    </row>
    <row r="47" spans="1:81" x14ac:dyDescent="0.3">
      <c r="A47">
        <v>1</v>
      </c>
      <c r="B47">
        <v>765</v>
      </c>
      <c r="C47" t="s">
        <v>1537</v>
      </c>
      <c r="D47">
        <v>128</v>
      </c>
      <c r="E47" t="s">
        <v>627</v>
      </c>
      <c r="F47" t="s">
        <v>1341</v>
      </c>
      <c r="G47" t="s">
        <v>159</v>
      </c>
      <c r="H47" t="s">
        <v>1332</v>
      </c>
      <c r="J47" t="s">
        <v>628</v>
      </c>
      <c r="K47">
        <v>250000</v>
      </c>
      <c r="L47" t="s">
        <v>1456</v>
      </c>
      <c r="M47"/>
      <c r="N47" t="s">
        <v>1326</v>
      </c>
      <c r="O47" s="3">
        <v>45957</v>
      </c>
      <c r="P47">
        <v>8.8507139999999998E-2</v>
      </c>
      <c r="Q47">
        <v>4.995981E-2</v>
      </c>
      <c r="R47" s="3">
        <v>45693</v>
      </c>
      <c r="S47" s="3">
        <v>46820</v>
      </c>
      <c r="U47" t="s">
        <v>1325</v>
      </c>
      <c r="V47">
        <v>0</v>
      </c>
      <c r="W47">
        <v>150000000</v>
      </c>
      <c r="X47">
        <v>13276071</v>
      </c>
      <c r="Y47">
        <v>250000.5</v>
      </c>
      <c r="Z47">
        <v>250000.5</v>
      </c>
      <c r="AA47">
        <v>0</v>
      </c>
      <c r="AB47">
        <v>101.25</v>
      </c>
      <c r="AC47">
        <v>1.6666700000000001E-3</v>
      </c>
      <c r="AD47">
        <v>22126.829253569998</v>
      </c>
      <c r="AE47">
        <v>253125.50625000001</v>
      </c>
      <c r="AF47">
        <v>4274.68962801</v>
      </c>
      <c r="AG47">
        <v>31246.477846779999</v>
      </c>
      <c r="AH47">
        <v>250000.5</v>
      </c>
      <c r="AI47">
        <v>250000.5</v>
      </c>
      <c r="AJ47">
        <v>1.315792E-2</v>
      </c>
      <c r="AK47">
        <v>0</v>
      </c>
      <c r="AL47" t="s">
        <v>1571</v>
      </c>
      <c r="AM47">
        <v>0</v>
      </c>
      <c r="AN47">
        <v>0</v>
      </c>
      <c r="AO47">
        <v>0</v>
      </c>
      <c r="AP47" t="s">
        <v>123</v>
      </c>
      <c r="AQ47" t="s">
        <v>123</v>
      </c>
      <c r="AR47" t="s">
        <v>123</v>
      </c>
      <c r="AS47" t="s">
        <v>123</v>
      </c>
      <c r="AT47">
        <v>0</v>
      </c>
      <c r="AU47" t="s">
        <v>123</v>
      </c>
      <c r="AV47">
        <v>0.19319033999999999</v>
      </c>
      <c r="AW47">
        <v>22500.044999999998</v>
      </c>
      <c r="AX47">
        <v>17852.139625560001</v>
      </c>
      <c r="AY47">
        <v>0.79342683999999997</v>
      </c>
      <c r="AZ47">
        <v>0.80680965999999998</v>
      </c>
      <c r="BA47">
        <v>0</v>
      </c>
      <c r="BB47">
        <v>840</v>
      </c>
      <c r="BC47">
        <v>8.3334779999999997E-2</v>
      </c>
      <c r="BE47">
        <v>0</v>
      </c>
      <c r="BF47">
        <v>99</v>
      </c>
      <c r="BG47" t="s">
        <v>1538</v>
      </c>
      <c r="BH47">
        <v>0</v>
      </c>
      <c r="BI47">
        <v>1221</v>
      </c>
      <c r="BJ47" t="s">
        <v>1333</v>
      </c>
      <c r="BK47" s="1">
        <v>45957</v>
      </c>
      <c r="BL47" s="1">
        <v>45957</v>
      </c>
      <c r="BM47" t="s">
        <v>123</v>
      </c>
      <c r="BN47" t="s">
        <v>123</v>
      </c>
      <c r="BO47" t="s">
        <v>123</v>
      </c>
      <c r="BP47" t="s">
        <v>139</v>
      </c>
      <c r="BQ47">
        <v>0</v>
      </c>
      <c r="BS47">
        <v>0</v>
      </c>
      <c r="BT47" t="s">
        <v>1330</v>
      </c>
      <c r="BU47">
        <v>0</v>
      </c>
      <c r="BV47" t="s">
        <v>123</v>
      </c>
      <c r="BW47">
        <v>0</v>
      </c>
      <c r="BX47">
        <v>0</v>
      </c>
      <c r="BY47">
        <v>0</v>
      </c>
      <c r="BZ47">
        <v>1</v>
      </c>
      <c r="CA47">
        <v>0.97950000000000004</v>
      </c>
      <c r="CB47">
        <v>2.1700000000000001E-2</v>
      </c>
      <c r="CC47">
        <v>0</v>
      </c>
    </row>
    <row r="48" spans="1:81" x14ac:dyDescent="0.3">
      <c r="A48">
        <v>1</v>
      </c>
      <c r="B48">
        <v>410</v>
      </c>
      <c r="C48" t="s">
        <v>1539</v>
      </c>
      <c r="D48">
        <v>234</v>
      </c>
      <c r="E48" t="s">
        <v>995</v>
      </c>
      <c r="F48" t="s">
        <v>1360</v>
      </c>
      <c r="G48" t="s">
        <v>159</v>
      </c>
      <c r="H48" t="s">
        <v>1336</v>
      </c>
      <c r="J48" t="s">
        <v>1380</v>
      </c>
      <c r="K48">
        <v>250000</v>
      </c>
      <c r="L48" t="s">
        <v>1456</v>
      </c>
      <c r="M48"/>
      <c r="N48" t="s">
        <v>1326</v>
      </c>
      <c r="O48" s="3">
        <v>45957</v>
      </c>
      <c r="P48">
        <v>0.1032</v>
      </c>
      <c r="Q48">
        <v>6.497E-2</v>
      </c>
      <c r="R48" s="3">
        <v>45701</v>
      </c>
      <c r="S48" s="3">
        <v>46804</v>
      </c>
      <c r="U48" t="s">
        <v>1325</v>
      </c>
      <c r="V48">
        <v>0</v>
      </c>
      <c r="W48">
        <v>200000000</v>
      </c>
      <c r="X48">
        <v>18060000</v>
      </c>
      <c r="Y48">
        <v>249999.75</v>
      </c>
      <c r="Z48">
        <v>249999.75</v>
      </c>
      <c r="AA48">
        <v>0</v>
      </c>
      <c r="AB48">
        <v>104.2</v>
      </c>
      <c r="AC48">
        <v>1.4285700000000001E-3</v>
      </c>
      <c r="AD48">
        <v>25799.974200000001</v>
      </c>
      <c r="AE48">
        <v>260499.7395</v>
      </c>
      <c r="AF48">
        <v>3909.5974537299999</v>
      </c>
      <c r="AG48">
        <v>30579.134360209999</v>
      </c>
      <c r="AH48">
        <v>249999.75</v>
      </c>
      <c r="AI48">
        <v>249999.75</v>
      </c>
      <c r="AJ48">
        <v>1.315788E-2</v>
      </c>
      <c r="AK48">
        <v>0</v>
      </c>
      <c r="AL48" t="s">
        <v>1571</v>
      </c>
      <c r="AM48">
        <v>0</v>
      </c>
      <c r="AN48">
        <v>0</v>
      </c>
      <c r="AO48">
        <v>0</v>
      </c>
      <c r="AP48" t="s">
        <v>123</v>
      </c>
      <c r="AQ48" t="s">
        <v>123</v>
      </c>
      <c r="AR48" t="s">
        <v>123</v>
      </c>
      <c r="AS48" t="s">
        <v>123</v>
      </c>
      <c r="AT48">
        <v>0</v>
      </c>
      <c r="AU48" t="s">
        <v>123</v>
      </c>
      <c r="AV48">
        <v>0.15153494000000001</v>
      </c>
      <c r="AW48">
        <v>158012.22824557</v>
      </c>
      <c r="AX48">
        <v>21890.376746270002</v>
      </c>
      <c r="AY48">
        <v>0.13853597000000001</v>
      </c>
      <c r="AZ48">
        <v>0.84846505999999999</v>
      </c>
      <c r="BA48">
        <v>0</v>
      </c>
      <c r="BB48">
        <v>824</v>
      </c>
      <c r="BC48">
        <v>8.3603849999999993E-2</v>
      </c>
      <c r="BE48">
        <v>182488.71787078</v>
      </c>
      <c r="BF48">
        <v>99</v>
      </c>
      <c r="BG48" t="s">
        <v>1540</v>
      </c>
      <c r="BH48">
        <v>0</v>
      </c>
      <c r="BI48">
        <v>1222</v>
      </c>
      <c r="BJ48" t="s">
        <v>1333</v>
      </c>
      <c r="BK48" s="1">
        <v>45957</v>
      </c>
      <c r="BL48" s="1">
        <v>45957</v>
      </c>
      <c r="BM48" t="s">
        <v>123</v>
      </c>
      <c r="BN48" t="s">
        <v>123</v>
      </c>
      <c r="BO48" t="s">
        <v>123</v>
      </c>
      <c r="BP48" t="s">
        <v>139</v>
      </c>
      <c r="BQ48">
        <v>0</v>
      </c>
      <c r="BS48">
        <v>0</v>
      </c>
      <c r="BT48" t="s">
        <v>1330</v>
      </c>
      <c r="BU48">
        <v>0</v>
      </c>
      <c r="BV48" t="s">
        <v>123</v>
      </c>
      <c r="BW48">
        <v>0</v>
      </c>
      <c r="BX48">
        <v>0</v>
      </c>
      <c r="BY48">
        <v>0</v>
      </c>
      <c r="BZ48">
        <v>1</v>
      </c>
      <c r="CA48">
        <v>0.98329999999999995</v>
      </c>
      <c r="CB48">
        <v>1.7000000000000001E-2</v>
      </c>
      <c r="CC48">
        <v>1.44E-2</v>
      </c>
    </row>
    <row r="49" spans="1:81" x14ac:dyDescent="0.3">
      <c r="A49">
        <v>1</v>
      </c>
      <c r="B49">
        <v>626</v>
      </c>
      <c r="C49" t="s">
        <v>1541</v>
      </c>
      <c r="D49">
        <v>261</v>
      </c>
      <c r="E49" t="s">
        <v>1095</v>
      </c>
      <c r="F49" t="s">
        <v>1358</v>
      </c>
      <c r="G49" t="s">
        <v>133</v>
      </c>
      <c r="H49" t="s">
        <v>1332</v>
      </c>
      <c r="I49">
        <v>2025</v>
      </c>
      <c r="J49" t="s">
        <v>1098</v>
      </c>
      <c r="K49">
        <v>250000</v>
      </c>
      <c r="L49" t="s">
        <v>1456</v>
      </c>
      <c r="M49"/>
      <c r="N49" t="s">
        <v>1326</v>
      </c>
      <c r="O49" s="3">
        <v>45960</v>
      </c>
      <c r="P49">
        <v>0.1051</v>
      </c>
      <c r="Q49">
        <v>6.6826479999999994E-2</v>
      </c>
      <c r="R49" s="3">
        <v>45126</v>
      </c>
      <c r="S49" s="3">
        <v>46241</v>
      </c>
      <c r="U49" t="s">
        <v>1325</v>
      </c>
      <c r="V49">
        <v>0</v>
      </c>
      <c r="W49">
        <v>150000000</v>
      </c>
      <c r="X49">
        <v>15765000</v>
      </c>
      <c r="Y49">
        <v>250000.5</v>
      </c>
      <c r="Z49">
        <v>250000.5</v>
      </c>
      <c r="AA49">
        <v>0</v>
      </c>
      <c r="AB49">
        <v>103.15</v>
      </c>
      <c r="AC49">
        <v>1.6666700000000001E-3</v>
      </c>
      <c r="AD49">
        <v>26275.05255</v>
      </c>
      <c r="AE49">
        <v>257875.51574999999</v>
      </c>
      <c r="AF49">
        <v>2083.8866123100001</v>
      </c>
      <c r="AG49">
        <v>22268.934105389999</v>
      </c>
      <c r="AH49">
        <v>0</v>
      </c>
      <c r="AI49">
        <v>250000.5</v>
      </c>
      <c r="AJ49">
        <v>1.315792E-2</v>
      </c>
      <c r="AK49">
        <v>0</v>
      </c>
      <c r="AL49" t="s">
        <v>1571</v>
      </c>
      <c r="AM49">
        <v>0</v>
      </c>
      <c r="AN49">
        <v>0</v>
      </c>
      <c r="AO49">
        <v>0</v>
      </c>
      <c r="AP49" t="s">
        <v>123</v>
      </c>
      <c r="AQ49" t="s">
        <v>123</v>
      </c>
      <c r="AR49" t="s">
        <v>123</v>
      </c>
      <c r="AS49" t="s">
        <v>123</v>
      </c>
      <c r="AT49">
        <v>0</v>
      </c>
      <c r="AU49" t="s">
        <v>123</v>
      </c>
      <c r="AV49">
        <v>7.9310459999999999E-2</v>
      </c>
      <c r="AW49">
        <v>15000.03</v>
      </c>
      <c r="AX49">
        <v>24191.165937689999</v>
      </c>
      <c r="AY49">
        <v>1.6127411700000001</v>
      </c>
      <c r="AZ49">
        <v>0.92068954000000003</v>
      </c>
      <c r="BA49">
        <v>0</v>
      </c>
      <c r="BB49">
        <v>261</v>
      </c>
      <c r="BC49">
        <v>6.3872529999999997E-2</v>
      </c>
      <c r="BE49">
        <v>0</v>
      </c>
      <c r="BF49">
        <v>99</v>
      </c>
      <c r="BG49" t="s">
        <v>1542</v>
      </c>
      <c r="BH49">
        <v>0</v>
      </c>
      <c r="BI49">
        <v>1223</v>
      </c>
      <c r="BJ49" t="s">
        <v>1329</v>
      </c>
      <c r="BK49" s="1">
        <v>45960</v>
      </c>
      <c r="BL49" s="1">
        <v>45960</v>
      </c>
      <c r="BM49" t="s">
        <v>123</v>
      </c>
      <c r="BN49" t="s">
        <v>123</v>
      </c>
      <c r="BO49" t="s">
        <v>123</v>
      </c>
      <c r="BP49" t="s">
        <v>139</v>
      </c>
      <c r="BQ49">
        <v>0</v>
      </c>
      <c r="BS49">
        <v>0</v>
      </c>
      <c r="BT49" t="s">
        <v>1330</v>
      </c>
      <c r="BU49">
        <v>0</v>
      </c>
      <c r="BV49" t="s">
        <v>123</v>
      </c>
      <c r="BW49">
        <v>0</v>
      </c>
      <c r="BX49">
        <v>0</v>
      </c>
      <c r="BY49">
        <v>0</v>
      </c>
      <c r="BZ49">
        <v>1</v>
      </c>
      <c r="CA49">
        <v>0.99080000000000001</v>
      </c>
      <c r="CB49">
        <v>9.7000000000000003E-3</v>
      </c>
      <c r="CC49">
        <v>0</v>
      </c>
    </row>
    <row r="50" spans="1:81" x14ac:dyDescent="0.3">
      <c r="A50">
        <v>1</v>
      </c>
      <c r="B50">
        <v>701</v>
      </c>
      <c r="C50" t="s">
        <v>1543</v>
      </c>
      <c r="D50">
        <v>294</v>
      </c>
      <c r="E50" t="s">
        <v>1197</v>
      </c>
      <c r="F50" t="s">
        <v>1339</v>
      </c>
      <c r="G50" t="s">
        <v>133</v>
      </c>
      <c r="H50" t="s">
        <v>1332</v>
      </c>
      <c r="I50">
        <v>2025</v>
      </c>
      <c r="J50" t="s">
        <v>1200</v>
      </c>
      <c r="K50">
        <v>250000</v>
      </c>
      <c r="L50" t="s">
        <v>1456</v>
      </c>
      <c r="M50"/>
      <c r="N50" t="s">
        <v>1326</v>
      </c>
      <c r="O50" s="3">
        <v>45960</v>
      </c>
      <c r="P50">
        <v>0.1056</v>
      </c>
      <c r="Q50">
        <v>6.7427589999999996E-2</v>
      </c>
      <c r="R50" s="3">
        <v>45090</v>
      </c>
      <c r="S50" s="3">
        <v>46192</v>
      </c>
      <c r="U50" t="s">
        <v>1325</v>
      </c>
      <c r="V50">
        <v>0</v>
      </c>
      <c r="W50">
        <v>500000000</v>
      </c>
      <c r="X50">
        <v>23760000</v>
      </c>
      <c r="Y50">
        <v>249999.75</v>
      </c>
      <c r="Z50">
        <v>249999.75</v>
      </c>
      <c r="AA50">
        <v>0</v>
      </c>
      <c r="AB50">
        <v>102.35</v>
      </c>
      <c r="AC50">
        <v>1.11111E-3</v>
      </c>
      <c r="AD50">
        <v>26399.973600000001</v>
      </c>
      <c r="AE50">
        <v>255874.744125</v>
      </c>
      <c r="AF50">
        <v>2754.6681951999999</v>
      </c>
      <c r="AG50">
        <v>25871.412725310001</v>
      </c>
      <c r="AH50">
        <v>249999.75</v>
      </c>
      <c r="AI50">
        <v>249999.75</v>
      </c>
      <c r="AJ50">
        <v>1.315788E-2</v>
      </c>
      <c r="AK50">
        <v>0</v>
      </c>
      <c r="AL50" t="s">
        <v>1571</v>
      </c>
      <c r="AM50">
        <v>0</v>
      </c>
      <c r="AN50">
        <v>0</v>
      </c>
      <c r="AO50">
        <v>0</v>
      </c>
      <c r="AP50" t="s">
        <v>123</v>
      </c>
      <c r="AQ50" t="s">
        <v>123</v>
      </c>
      <c r="AR50" t="s">
        <v>123</v>
      </c>
      <c r="AS50" t="s">
        <v>123</v>
      </c>
      <c r="AT50">
        <v>0</v>
      </c>
      <c r="AU50" t="s">
        <v>123</v>
      </c>
      <c r="AV50">
        <v>0.10434359999999999</v>
      </c>
      <c r="AW50">
        <v>14999.985000000001</v>
      </c>
      <c r="AX50">
        <v>23645.305404800001</v>
      </c>
      <c r="AY50">
        <v>1.5763552700000001</v>
      </c>
      <c r="AZ50">
        <v>0.89565640000000002</v>
      </c>
      <c r="BA50">
        <v>0</v>
      </c>
      <c r="BB50">
        <v>212</v>
      </c>
      <c r="BC50">
        <v>6.7771029999999996E-2</v>
      </c>
      <c r="BE50">
        <v>0</v>
      </c>
      <c r="BF50">
        <v>99</v>
      </c>
      <c r="BG50" t="s">
        <v>1544</v>
      </c>
      <c r="BH50">
        <v>0</v>
      </c>
      <c r="BI50">
        <v>1224</v>
      </c>
      <c r="BJ50" t="s">
        <v>1329</v>
      </c>
      <c r="BK50" s="1">
        <v>45960</v>
      </c>
      <c r="BL50" s="1">
        <v>45960</v>
      </c>
      <c r="BM50" t="s">
        <v>123</v>
      </c>
      <c r="BN50" t="s">
        <v>123</v>
      </c>
      <c r="BO50" t="s">
        <v>123</v>
      </c>
      <c r="BP50" t="s">
        <v>139</v>
      </c>
      <c r="BQ50">
        <v>0</v>
      </c>
      <c r="BS50">
        <v>0</v>
      </c>
      <c r="BT50" t="s">
        <v>1330</v>
      </c>
      <c r="BU50">
        <v>0</v>
      </c>
      <c r="BV50" t="s">
        <v>123</v>
      </c>
      <c r="BW50">
        <v>0</v>
      </c>
      <c r="BX50">
        <v>0</v>
      </c>
      <c r="BY50">
        <v>0</v>
      </c>
      <c r="BZ50">
        <v>1</v>
      </c>
      <c r="CA50">
        <v>0.98850000000000005</v>
      </c>
      <c r="CB50">
        <v>1.17E-2</v>
      </c>
      <c r="CC50">
        <v>1.0500000000000001E-2</v>
      </c>
    </row>
    <row r="51" spans="1:81" x14ac:dyDescent="0.3">
      <c r="A51">
        <v>1</v>
      </c>
      <c r="B51">
        <v>742</v>
      </c>
      <c r="C51" t="s">
        <v>1545</v>
      </c>
      <c r="D51">
        <v>160</v>
      </c>
      <c r="E51" t="s">
        <v>744</v>
      </c>
      <c r="F51" t="s">
        <v>1364</v>
      </c>
      <c r="G51" t="s">
        <v>159</v>
      </c>
      <c r="H51" t="s">
        <v>1336</v>
      </c>
      <c r="J51" t="s">
        <v>747</v>
      </c>
      <c r="K51">
        <v>250000</v>
      </c>
      <c r="L51" t="s">
        <v>1456</v>
      </c>
      <c r="M51"/>
      <c r="N51" t="s">
        <v>1326</v>
      </c>
      <c r="O51" s="3">
        <v>45964</v>
      </c>
      <c r="P51">
        <v>9.5600000000000004E-2</v>
      </c>
      <c r="Q51">
        <v>5.7469029999999997E-2</v>
      </c>
      <c r="R51" s="3">
        <v>45791</v>
      </c>
      <c r="S51" s="3">
        <v>46911</v>
      </c>
      <c r="U51" t="s">
        <v>1325</v>
      </c>
      <c r="V51">
        <v>0</v>
      </c>
      <c r="W51">
        <v>1427000000</v>
      </c>
      <c r="X51">
        <v>23900000</v>
      </c>
      <c r="Y51">
        <v>250000</v>
      </c>
      <c r="Z51">
        <v>250000</v>
      </c>
      <c r="AA51">
        <v>0</v>
      </c>
      <c r="AB51">
        <v>105.6</v>
      </c>
      <c r="AC51">
        <v>1E-3</v>
      </c>
      <c r="AD51">
        <v>23900</v>
      </c>
      <c r="AE51">
        <v>264000</v>
      </c>
      <c r="AF51">
        <v>5081.9171091300004</v>
      </c>
      <c r="AG51">
        <v>34300.393476819998</v>
      </c>
      <c r="AH51">
        <v>249999.99716999999</v>
      </c>
      <c r="AI51">
        <v>249999.99716999999</v>
      </c>
      <c r="AJ51">
        <v>1.315789E-2</v>
      </c>
      <c r="AK51">
        <v>0</v>
      </c>
      <c r="AL51" t="s">
        <v>1571</v>
      </c>
      <c r="AM51">
        <v>0</v>
      </c>
      <c r="AN51">
        <v>0</v>
      </c>
      <c r="AO51">
        <v>0</v>
      </c>
      <c r="AP51" t="s">
        <v>123</v>
      </c>
      <c r="AQ51" t="s">
        <v>123</v>
      </c>
      <c r="AR51" t="s">
        <v>123</v>
      </c>
      <c r="AS51" t="s">
        <v>123</v>
      </c>
      <c r="AT51">
        <v>0</v>
      </c>
      <c r="AU51" t="s">
        <v>123</v>
      </c>
      <c r="AV51">
        <v>0.21263251999999999</v>
      </c>
      <c r="AW51">
        <v>21563.12198924</v>
      </c>
      <c r="AX51">
        <v>18818.082890869999</v>
      </c>
      <c r="AY51">
        <v>0.87269750999999995</v>
      </c>
      <c r="AZ51">
        <v>0.78736748000000001</v>
      </c>
      <c r="BA51">
        <v>0</v>
      </c>
      <c r="BB51">
        <v>931</v>
      </c>
      <c r="BC51">
        <v>7.2376590000000005E-2</v>
      </c>
      <c r="BE51">
        <v>18989.28684243</v>
      </c>
      <c r="BF51">
        <v>99</v>
      </c>
      <c r="BG51" t="s">
        <v>1546</v>
      </c>
      <c r="BH51">
        <v>0</v>
      </c>
      <c r="BI51">
        <v>1225</v>
      </c>
      <c r="BJ51" t="s">
        <v>1329</v>
      </c>
      <c r="BK51" s="1">
        <v>45964</v>
      </c>
      <c r="BL51" s="1">
        <v>45964</v>
      </c>
      <c r="BM51" t="s">
        <v>123</v>
      </c>
      <c r="BN51" t="s">
        <v>123</v>
      </c>
      <c r="BO51" t="s">
        <v>123</v>
      </c>
      <c r="BP51" t="s">
        <v>139</v>
      </c>
      <c r="BQ51">
        <v>0</v>
      </c>
      <c r="BS51">
        <v>0</v>
      </c>
      <c r="BT51" t="s">
        <v>1330</v>
      </c>
      <c r="BU51">
        <v>0</v>
      </c>
      <c r="BV51" t="s">
        <v>123</v>
      </c>
      <c r="BW51">
        <v>0</v>
      </c>
      <c r="BX51">
        <v>0</v>
      </c>
      <c r="BY51">
        <v>0</v>
      </c>
      <c r="BZ51">
        <v>1</v>
      </c>
      <c r="CA51">
        <v>0.9768</v>
      </c>
      <c r="CB51">
        <v>2.4199999999999999E-2</v>
      </c>
      <c r="CC51">
        <v>0</v>
      </c>
    </row>
    <row r="52" spans="1:81" x14ac:dyDescent="0.3">
      <c r="A52">
        <v>1</v>
      </c>
      <c r="B52">
        <v>748</v>
      </c>
      <c r="C52" t="s">
        <v>1547</v>
      </c>
      <c r="D52">
        <v>112</v>
      </c>
      <c r="E52" t="s">
        <v>563</v>
      </c>
      <c r="F52" t="s">
        <v>1362</v>
      </c>
      <c r="G52" t="s">
        <v>159</v>
      </c>
      <c r="H52" t="s">
        <v>1332</v>
      </c>
      <c r="J52" t="s">
        <v>564</v>
      </c>
      <c r="K52">
        <v>250000</v>
      </c>
      <c r="L52" t="s">
        <v>1456</v>
      </c>
      <c r="M52"/>
      <c r="N52" t="s">
        <v>1326</v>
      </c>
      <c r="O52" s="3">
        <v>45965</v>
      </c>
      <c r="P52">
        <v>8.3299999999999999E-2</v>
      </c>
      <c r="Q52">
        <v>4.4995849999999997E-2</v>
      </c>
      <c r="R52" s="3">
        <v>45777</v>
      </c>
      <c r="S52" s="3">
        <v>46911</v>
      </c>
      <c r="U52" t="s">
        <v>1325</v>
      </c>
      <c r="V52">
        <v>0</v>
      </c>
      <c r="W52">
        <v>650000000</v>
      </c>
      <c r="X52">
        <v>16660000</v>
      </c>
      <c r="Y52">
        <v>250000</v>
      </c>
      <c r="Z52">
        <v>250000</v>
      </c>
      <c r="AA52">
        <v>0</v>
      </c>
      <c r="AB52">
        <v>103</v>
      </c>
      <c r="AC52">
        <v>1.25E-3</v>
      </c>
      <c r="AD52">
        <v>20825</v>
      </c>
      <c r="AE52">
        <v>257500</v>
      </c>
      <c r="AF52">
        <v>5018.5941125299996</v>
      </c>
      <c r="AG52">
        <v>33037.710460349997</v>
      </c>
      <c r="AH52">
        <v>250000.00187499999</v>
      </c>
      <c r="AI52">
        <v>250000.00187499999</v>
      </c>
      <c r="AJ52">
        <v>1.315789E-2</v>
      </c>
      <c r="AK52">
        <v>0</v>
      </c>
      <c r="AL52" t="s">
        <v>1571</v>
      </c>
      <c r="AM52">
        <v>0</v>
      </c>
      <c r="AN52">
        <v>0</v>
      </c>
      <c r="AO52">
        <v>0</v>
      </c>
      <c r="AP52" t="s">
        <v>123</v>
      </c>
      <c r="AQ52" t="s">
        <v>123</v>
      </c>
      <c r="AR52" t="s">
        <v>123</v>
      </c>
      <c r="AS52" t="s">
        <v>123</v>
      </c>
      <c r="AT52">
        <v>0</v>
      </c>
      <c r="AU52" t="s">
        <v>123</v>
      </c>
      <c r="AV52">
        <v>0.24098891</v>
      </c>
      <c r="AW52">
        <v>15590.219312200001</v>
      </c>
      <c r="AX52">
        <v>15806.40588747</v>
      </c>
      <c r="AY52">
        <v>1.0138668099999999</v>
      </c>
      <c r="AZ52">
        <v>0.75901109</v>
      </c>
      <c r="BA52">
        <v>0</v>
      </c>
      <c r="BB52">
        <v>931</v>
      </c>
      <c r="BC52">
        <v>7.1044220000000005E-2</v>
      </c>
      <c r="BE52">
        <v>5902.1919970500003</v>
      </c>
      <c r="BF52">
        <v>99</v>
      </c>
      <c r="BG52" t="s">
        <v>1548</v>
      </c>
      <c r="BH52">
        <v>0</v>
      </c>
      <c r="BI52">
        <v>1226</v>
      </c>
      <c r="BJ52" t="s">
        <v>1333</v>
      </c>
      <c r="BK52" s="1">
        <v>45965</v>
      </c>
      <c r="BL52" s="1">
        <v>45965</v>
      </c>
      <c r="BM52" t="s">
        <v>123</v>
      </c>
      <c r="BN52" t="s">
        <v>123</v>
      </c>
      <c r="BO52" t="s">
        <v>123</v>
      </c>
      <c r="BP52" t="s">
        <v>139</v>
      </c>
      <c r="BQ52">
        <v>0</v>
      </c>
      <c r="BS52">
        <v>0</v>
      </c>
      <c r="BT52" t="s">
        <v>1330</v>
      </c>
      <c r="BU52">
        <v>0</v>
      </c>
      <c r="BV52" t="s">
        <v>123</v>
      </c>
      <c r="BW52">
        <v>0</v>
      </c>
      <c r="BX52">
        <v>0</v>
      </c>
      <c r="BY52">
        <v>0</v>
      </c>
      <c r="BZ52">
        <v>1</v>
      </c>
      <c r="CA52">
        <v>0.97389999999999999</v>
      </c>
      <c r="CB52">
        <v>2.7699999999999999E-2</v>
      </c>
      <c r="CC52">
        <v>1.44E-2</v>
      </c>
    </row>
    <row r="53" spans="1:81" x14ac:dyDescent="0.3">
      <c r="A53">
        <v>1</v>
      </c>
      <c r="B53">
        <v>757</v>
      </c>
      <c r="C53" t="s">
        <v>1507</v>
      </c>
      <c r="D53">
        <v>22</v>
      </c>
      <c r="E53" t="s">
        <v>247</v>
      </c>
      <c r="F53" t="s">
        <v>1381</v>
      </c>
      <c r="G53" t="s">
        <v>150</v>
      </c>
      <c r="H53" t="s">
        <v>1376</v>
      </c>
      <c r="J53" t="s">
        <v>249</v>
      </c>
      <c r="K53">
        <v>500000</v>
      </c>
      <c r="L53" t="s">
        <v>1456</v>
      </c>
      <c r="M53"/>
      <c r="N53" t="s">
        <v>1326</v>
      </c>
      <c r="O53" s="3">
        <v>45966</v>
      </c>
      <c r="P53">
        <v>9.2999999999999999E-2</v>
      </c>
      <c r="Q53">
        <v>5.6146500000000002E-2</v>
      </c>
      <c r="R53" s="3">
        <v>45645</v>
      </c>
      <c r="S53" s="3">
        <v>46740</v>
      </c>
      <c r="U53" t="s">
        <v>1325</v>
      </c>
      <c r="V53">
        <v>0</v>
      </c>
      <c r="W53">
        <v>200000000</v>
      </c>
      <c r="X53">
        <v>18600000</v>
      </c>
      <c r="Y53">
        <v>500000</v>
      </c>
      <c r="Z53">
        <v>500000</v>
      </c>
      <c r="AA53">
        <v>0</v>
      </c>
      <c r="AB53">
        <v>102.9</v>
      </c>
      <c r="AC53">
        <v>2.5000000000000001E-3</v>
      </c>
      <c r="AD53">
        <v>46500</v>
      </c>
      <c r="AE53">
        <v>514500</v>
      </c>
      <c r="AF53">
        <v>10232.882132410001</v>
      </c>
      <c r="AG53">
        <v>69187.702598980002</v>
      </c>
      <c r="AH53">
        <v>500000</v>
      </c>
      <c r="AI53">
        <v>500000</v>
      </c>
      <c r="AJ53">
        <v>2.6315789999999999E-2</v>
      </c>
      <c r="AK53">
        <v>0</v>
      </c>
      <c r="AL53" t="s">
        <v>1571</v>
      </c>
      <c r="AM53">
        <v>0</v>
      </c>
      <c r="AN53">
        <v>0</v>
      </c>
      <c r="AO53">
        <v>0</v>
      </c>
      <c r="AP53" t="s">
        <v>123</v>
      </c>
      <c r="AQ53" t="s">
        <v>123</v>
      </c>
      <c r="AR53" t="s">
        <v>123</v>
      </c>
      <c r="AS53" t="s">
        <v>123</v>
      </c>
      <c r="AT53">
        <v>0</v>
      </c>
      <c r="AU53" t="s">
        <v>123</v>
      </c>
      <c r="AV53">
        <v>0.22006197999999999</v>
      </c>
      <c r="AW53">
        <v>320772.35510798998</v>
      </c>
      <c r="AX53">
        <v>36267.117867590001</v>
      </c>
      <c r="AY53">
        <v>0.11306186</v>
      </c>
      <c r="AZ53">
        <v>0.77993802000000001</v>
      </c>
      <c r="BA53">
        <v>0</v>
      </c>
      <c r="BB53">
        <v>760</v>
      </c>
      <c r="BC53">
        <v>7.9424850000000005E-2</v>
      </c>
      <c r="BE53">
        <v>475542.67060200998</v>
      </c>
      <c r="BF53">
        <v>99</v>
      </c>
      <c r="BG53" t="s">
        <v>1508</v>
      </c>
      <c r="BH53">
        <v>0</v>
      </c>
      <c r="BI53">
        <v>1236</v>
      </c>
      <c r="BJ53" t="s">
        <v>1333</v>
      </c>
      <c r="BK53" s="1">
        <v>45966</v>
      </c>
      <c r="BL53" s="1">
        <v>45966</v>
      </c>
      <c r="BM53" t="s">
        <v>123</v>
      </c>
      <c r="BN53" t="s">
        <v>123</v>
      </c>
      <c r="BO53" t="s">
        <v>123</v>
      </c>
      <c r="BP53" t="s">
        <v>139</v>
      </c>
      <c r="BQ53">
        <v>0</v>
      </c>
      <c r="BS53">
        <v>0</v>
      </c>
      <c r="BT53" t="s">
        <v>1330</v>
      </c>
      <c r="BU53">
        <v>0</v>
      </c>
      <c r="BV53" t="s">
        <v>123</v>
      </c>
      <c r="BW53">
        <v>0</v>
      </c>
      <c r="BX53">
        <v>0</v>
      </c>
      <c r="BY53">
        <v>0</v>
      </c>
      <c r="BZ53">
        <v>1</v>
      </c>
      <c r="CA53">
        <v>0.97740000000000005</v>
      </c>
      <c r="CB53">
        <v>2.3599999999999999E-2</v>
      </c>
      <c r="CC53">
        <v>1.77E-2</v>
      </c>
    </row>
    <row r="54" spans="1:81" x14ac:dyDescent="0.3">
      <c r="A54">
        <v>1</v>
      </c>
      <c r="B54">
        <v>293</v>
      </c>
      <c r="C54" t="s">
        <v>1511</v>
      </c>
      <c r="D54">
        <v>140</v>
      </c>
      <c r="E54" t="s">
        <v>674</v>
      </c>
      <c r="F54" t="s">
        <v>1382</v>
      </c>
      <c r="G54" t="s">
        <v>675</v>
      </c>
      <c r="H54" t="s">
        <v>1336</v>
      </c>
      <c r="J54" t="s">
        <v>1383</v>
      </c>
      <c r="K54">
        <v>250000</v>
      </c>
      <c r="L54" t="s">
        <v>1456</v>
      </c>
      <c r="M54"/>
      <c r="N54" t="s">
        <v>1326</v>
      </c>
      <c r="O54" s="3">
        <v>45967</v>
      </c>
      <c r="P54">
        <v>0.12330000000000001</v>
      </c>
      <c r="Q54">
        <v>8.4869249999999993E-2</v>
      </c>
      <c r="R54" s="3">
        <v>45646</v>
      </c>
      <c r="S54" s="3">
        <v>46759</v>
      </c>
      <c r="U54" t="s">
        <v>1325</v>
      </c>
      <c r="V54">
        <v>0</v>
      </c>
      <c r="W54">
        <v>200000000</v>
      </c>
      <c r="X54">
        <v>24660000</v>
      </c>
      <c r="Y54">
        <v>250000</v>
      </c>
      <c r="Z54">
        <v>250000</v>
      </c>
      <c r="AA54">
        <v>0</v>
      </c>
      <c r="AB54">
        <v>107.2</v>
      </c>
      <c r="AC54">
        <v>1.25E-3</v>
      </c>
      <c r="AD54">
        <v>30825</v>
      </c>
      <c r="AE54">
        <v>268000</v>
      </c>
      <c r="AF54">
        <v>1620.23174703</v>
      </c>
      <c r="AG54">
        <v>19394.051857850001</v>
      </c>
      <c r="AH54">
        <v>0</v>
      </c>
      <c r="AI54">
        <v>250000</v>
      </c>
      <c r="AJ54">
        <v>1.315789E-2</v>
      </c>
      <c r="AK54">
        <v>0</v>
      </c>
      <c r="AL54" t="s">
        <v>1571</v>
      </c>
      <c r="AM54">
        <v>0</v>
      </c>
      <c r="AN54">
        <v>0</v>
      </c>
      <c r="AO54">
        <v>0</v>
      </c>
      <c r="AP54" t="s">
        <v>123</v>
      </c>
      <c r="AQ54" t="s">
        <v>123</v>
      </c>
      <c r="AR54" t="s">
        <v>123</v>
      </c>
      <c r="AS54" t="s">
        <v>123</v>
      </c>
      <c r="AT54">
        <v>0</v>
      </c>
      <c r="AU54" t="s">
        <v>123</v>
      </c>
      <c r="AV54">
        <v>5.256226E-2</v>
      </c>
      <c r="AW54">
        <v>114388.46931712001</v>
      </c>
      <c r="AX54">
        <v>29204.76825297</v>
      </c>
      <c r="AY54">
        <v>0.25531217</v>
      </c>
      <c r="AZ54">
        <v>0.94743774000000003</v>
      </c>
      <c r="BA54">
        <v>0</v>
      </c>
      <c r="BB54">
        <v>779</v>
      </c>
      <c r="BC54">
        <v>8.7041720000000003E-2</v>
      </c>
      <c r="BE54">
        <v>225000</v>
      </c>
      <c r="BF54">
        <v>99</v>
      </c>
      <c r="BG54" t="s">
        <v>1512</v>
      </c>
      <c r="BH54">
        <v>0</v>
      </c>
      <c r="BI54">
        <v>1238</v>
      </c>
      <c r="BJ54" t="s">
        <v>1333</v>
      </c>
      <c r="BK54" s="1">
        <v>45967</v>
      </c>
      <c r="BL54" s="1">
        <v>45967</v>
      </c>
      <c r="BM54" t="s">
        <v>123</v>
      </c>
      <c r="BN54" t="s">
        <v>123</v>
      </c>
      <c r="BO54" t="s">
        <v>123</v>
      </c>
      <c r="BP54" t="s">
        <v>139</v>
      </c>
      <c r="BQ54">
        <v>0</v>
      </c>
      <c r="BS54">
        <v>0</v>
      </c>
      <c r="BT54" t="s">
        <v>1330</v>
      </c>
      <c r="BU54">
        <v>0</v>
      </c>
      <c r="BV54" t="s">
        <v>123</v>
      </c>
      <c r="BW54">
        <v>0</v>
      </c>
      <c r="BX54">
        <v>0</v>
      </c>
      <c r="BY54">
        <v>0</v>
      </c>
      <c r="BZ54">
        <v>1</v>
      </c>
      <c r="CA54">
        <v>0.99219999999999997</v>
      </c>
      <c r="CB54">
        <v>8.5000000000000006E-3</v>
      </c>
      <c r="CC54">
        <v>0</v>
      </c>
    </row>
    <row r="55" spans="1:81" x14ac:dyDescent="0.3">
      <c r="A55">
        <v>1</v>
      </c>
      <c r="B55">
        <v>583</v>
      </c>
      <c r="C55" t="s">
        <v>1509</v>
      </c>
      <c r="D55">
        <v>301</v>
      </c>
      <c r="E55" t="s">
        <v>1220</v>
      </c>
      <c r="F55" t="s">
        <v>1384</v>
      </c>
      <c r="G55" t="s">
        <v>159</v>
      </c>
      <c r="H55" t="s">
        <v>1336</v>
      </c>
      <c r="J55" t="s">
        <v>1221</v>
      </c>
      <c r="K55">
        <v>500000</v>
      </c>
      <c r="L55" t="s">
        <v>1456</v>
      </c>
      <c r="M55"/>
      <c r="N55" t="s">
        <v>1326</v>
      </c>
      <c r="O55" s="3">
        <v>45974</v>
      </c>
      <c r="P55">
        <v>0.10100714</v>
      </c>
      <c r="Q55">
        <v>6.2334960000000002E-2</v>
      </c>
      <c r="R55" s="3">
        <v>45839</v>
      </c>
      <c r="S55" s="3">
        <v>47308</v>
      </c>
      <c r="U55" t="s">
        <v>1325</v>
      </c>
      <c r="V55">
        <v>0</v>
      </c>
      <c r="W55">
        <v>300000000</v>
      </c>
      <c r="X55">
        <v>7575535.5</v>
      </c>
      <c r="Y55">
        <v>500000.25</v>
      </c>
      <c r="Z55">
        <v>500000.25</v>
      </c>
      <c r="AA55">
        <v>0</v>
      </c>
      <c r="AB55">
        <v>104.75</v>
      </c>
      <c r="AC55">
        <v>6.6666700000000004E-3</v>
      </c>
      <c r="AD55">
        <v>50503.59525179</v>
      </c>
      <c r="AE55">
        <v>523750.26187500003</v>
      </c>
      <c r="AF55">
        <v>14612.071643269999</v>
      </c>
      <c r="AG55">
        <v>82684.879848299999</v>
      </c>
      <c r="AH55">
        <v>500000.25</v>
      </c>
      <c r="AI55">
        <v>500000.25</v>
      </c>
      <c r="AJ55">
        <v>2.63158E-2</v>
      </c>
      <c r="AK55">
        <v>0</v>
      </c>
      <c r="AL55" t="s">
        <v>1571</v>
      </c>
      <c r="AM55">
        <v>0</v>
      </c>
      <c r="AN55">
        <v>0</v>
      </c>
      <c r="AO55">
        <v>0</v>
      </c>
      <c r="AP55" t="s">
        <v>123</v>
      </c>
      <c r="AQ55" t="s">
        <v>123</v>
      </c>
      <c r="AR55" t="s">
        <v>123</v>
      </c>
      <c r="AS55" t="s">
        <v>123</v>
      </c>
      <c r="AT55">
        <v>0</v>
      </c>
      <c r="AU55" t="s">
        <v>123</v>
      </c>
      <c r="AV55">
        <v>0.28932735999999998</v>
      </c>
      <c r="AW55">
        <v>446581.94867060002</v>
      </c>
      <c r="AX55">
        <v>35891.523608509997</v>
      </c>
      <c r="AY55">
        <v>8.0369399999999994E-2</v>
      </c>
      <c r="AZ55">
        <v>0.71067263999999997</v>
      </c>
      <c r="BA55">
        <v>0</v>
      </c>
      <c r="BB55">
        <v>1328</v>
      </c>
      <c r="BC55">
        <v>8.5719829999999997E-2</v>
      </c>
      <c r="BE55">
        <v>500000.25</v>
      </c>
      <c r="BF55">
        <v>99</v>
      </c>
      <c r="BG55" t="s">
        <v>1510</v>
      </c>
      <c r="BH55">
        <v>0</v>
      </c>
      <c r="BI55">
        <v>1237</v>
      </c>
      <c r="BJ55" t="s">
        <v>1329</v>
      </c>
      <c r="BK55" s="1">
        <v>45974</v>
      </c>
      <c r="BL55" s="1">
        <v>45974</v>
      </c>
      <c r="BM55" t="s">
        <v>123</v>
      </c>
      <c r="BN55" t="s">
        <v>123</v>
      </c>
      <c r="BO55" t="s">
        <v>123</v>
      </c>
      <c r="BP55" t="s">
        <v>1334</v>
      </c>
      <c r="BQ55">
        <v>0</v>
      </c>
      <c r="BS55">
        <v>0</v>
      </c>
      <c r="BT55" t="s">
        <v>1330</v>
      </c>
      <c r="BU55">
        <v>0</v>
      </c>
      <c r="BV55" t="s">
        <v>123</v>
      </c>
      <c r="BW55">
        <v>0</v>
      </c>
      <c r="BX55">
        <v>0</v>
      </c>
      <c r="BY55">
        <v>0</v>
      </c>
      <c r="BZ55">
        <v>1</v>
      </c>
      <c r="CA55">
        <v>0.96809999999999996</v>
      </c>
      <c r="CB55">
        <v>3.2500000000000001E-2</v>
      </c>
      <c r="CC55">
        <v>0</v>
      </c>
    </row>
    <row r="56" spans="1:81" x14ac:dyDescent="0.3">
      <c r="A56">
        <v>1</v>
      </c>
      <c r="B56">
        <v>293</v>
      </c>
      <c r="C56" t="s">
        <v>1555</v>
      </c>
      <c r="D56">
        <v>140</v>
      </c>
      <c r="E56" t="s">
        <v>674</v>
      </c>
      <c r="F56" t="s">
        <v>1382</v>
      </c>
      <c r="G56" t="s">
        <v>675</v>
      </c>
      <c r="H56" t="s">
        <v>1336</v>
      </c>
      <c r="J56" t="s">
        <v>1385</v>
      </c>
      <c r="K56">
        <v>250000</v>
      </c>
      <c r="L56" t="s">
        <v>1456</v>
      </c>
      <c r="M56"/>
      <c r="N56" t="s">
        <v>1326</v>
      </c>
      <c r="O56" s="3">
        <v>45974</v>
      </c>
      <c r="P56">
        <v>0.12330000000000001</v>
      </c>
      <c r="Q56">
        <v>8.4869249999999993E-2</v>
      </c>
      <c r="R56" s="3">
        <v>45646</v>
      </c>
      <c r="S56" s="3">
        <v>46759</v>
      </c>
      <c r="U56" t="s">
        <v>1325</v>
      </c>
      <c r="V56">
        <v>0</v>
      </c>
      <c r="W56">
        <v>200000000</v>
      </c>
      <c r="X56">
        <v>24660000</v>
      </c>
      <c r="Y56">
        <v>250000</v>
      </c>
      <c r="Z56">
        <v>250000</v>
      </c>
      <c r="AA56">
        <v>0</v>
      </c>
      <c r="AB56">
        <v>107.15</v>
      </c>
      <c r="AC56">
        <v>1.25E-3</v>
      </c>
      <c r="AD56">
        <v>30825</v>
      </c>
      <c r="AE56">
        <v>267875</v>
      </c>
      <c r="AF56">
        <v>1620.23174703</v>
      </c>
      <c r="AG56">
        <v>19394.051857850001</v>
      </c>
      <c r="AH56">
        <v>0</v>
      </c>
      <c r="AI56">
        <v>250000</v>
      </c>
      <c r="AJ56">
        <v>1.315789E-2</v>
      </c>
      <c r="AK56">
        <v>0</v>
      </c>
      <c r="AL56" t="s">
        <v>1571</v>
      </c>
      <c r="AM56">
        <v>0</v>
      </c>
      <c r="AN56">
        <v>0</v>
      </c>
      <c r="AO56">
        <v>0</v>
      </c>
      <c r="AP56" t="s">
        <v>123</v>
      </c>
      <c r="AQ56" t="s">
        <v>123</v>
      </c>
      <c r="AR56" t="s">
        <v>123</v>
      </c>
      <c r="AS56" t="s">
        <v>123</v>
      </c>
      <c r="AT56">
        <v>0</v>
      </c>
      <c r="AU56" t="s">
        <v>123</v>
      </c>
      <c r="AV56">
        <v>5.256226E-2</v>
      </c>
      <c r="AW56">
        <v>114388.46931712001</v>
      </c>
      <c r="AX56">
        <v>29204.76825297</v>
      </c>
      <c r="AY56">
        <v>0.25531217</v>
      </c>
      <c r="AZ56">
        <v>0.94743774000000003</v>
      </c>
      <c r="BA56">
        <v>0</v>
      </c>
      <c r="BB56">
        <v>779</v>
      </c>
      <c r="BC56">
        <v>8.6807519999999999E-2</v>
      </c>
      <c r="BE56">
        <v>225000</v>
      </c>
      <c r="BF56">
        <v>99</v>
      </c>
      <c r="BG56" t="s">
        <v>1556</v>
      </c>
      <c r="BH56">
        <v>0</v>
      </c>
      <c r="BI56">
        <v>1179</v>
      </c>
      <c r="BJ56" t="s">
        <v>1333</v>
      </c>
      <c r="BK56" s="1">
        <v>45974</v>
      </c>
      <c r="BL56" s="1">
        <v>45974</v>
      </c>
      <c r="BM56" t="s">
        <v>123</v>
      </c>
      <c r="BN56" t="s">
        <v>123</v>
      </c>
      <c r="BO56" t="s">
        <v>123</v>
      </c>
      <c r="BP56" t="s">
        <v>139</v>
      </c>
      <c r="BQ56">
        <v>0</v>
      </c>
      <c r="BS56">
        <v>0</v>
      </c>
      <c r="BT56" t="s">
        <v>1330</v>
      </c>
      <c r="BU56">
        <v>0</v>
      </c>
      <c r="BV56" t="s">
        <v>123</v>
      </c>
      <c r="BW56">
        <v>0</v>
      </c>
      <c r="BX56">
        <v>0</v>
      </c>
      <c r="BY56">
        <v>0</v>
      </c>
      <c r="BZ56">
        <v>1</v>
      </c>
      <c r="CA56">
        <v>0.99219999999999997</v>
      </c>
      <c r="CB56">
        <v>8.5000000000000006E-3</v>
      </c>
      <c r="CC56">
        <v>0</v>
      </c>
    </row>
    <row r="57" spans="1:81" x14ac:dyDescent="0.3">
      <c r="A57">
        <v>1</v>
      </c>
      <c r="B57">
        <v>302</v>
      </c>
      <c r="C57" t="s">
        <v>1557</v>
      </c>
      <c r="D57">
        <v>141</v>
      </c>
      <c r="E57" t="s">
        <v>677</v>
      </c>
      <c r="F57" t="s">
        <v>1386</v>
      </c>
      <c r="G57" t="s">
        <v>159</v>
      </c>
      <c r="H57" t="s">
        <v>1336</v>
      </c>
      <c r="J57" t="s">
        <v>678</v>
      </c>
      <c r="K57">
        <v>250000</v>
      </c>
      <c r="L57" t="s">
        <v>1456</v>
      </c>
      <c r="M57"/>
      <c r="N57" t="s">
        <v>1326</v>
      </c>
      <c r="O57" s="3">
        <v>45974</v>
      </c>
      <c r="P57">
        <v>0.1071</v>
      </c>
      <c r="Q57">
        <v>6.8969240000000001E-2</v>
      </c>
      <c r="R57" s="3">
        <v>45722</v>
      </c>
      <c r="S57" s="3">
        <v>47190</v>
      </c>
      <c r="U57" t="s">
        <v>1325</v>
      </c>
      <c r="V57">
        <v>0</v>
      </c>
      <c r="W57">
        <v>600000000</v>
      </c>
      <c r="X57">
        <v>64260000</v>
      </c>
      <c r="Y57">
        <v>250002</v>
      </c>
      <c r="Z57">
        <v>250002</v>
      </c>
      <c r="AA57">
        <v>0</v>
      </c>
      <c r="AB57">
        <v>105.25</v>
      </c>
      <c r="AC57">
        <v>4.1667000000000001E-4</v>
      </c>
      <c r="AD57">
        <v>26775.214199999999</v>
      </c>
      <c r="AE57">
        <v>263127.10499999998</v>
      </c>
      <c r="AF57">
        <v>12673.70996754</v>
      </c>
      <c r="AG57">
        <v>54025.286597929997</v>
      </c>
      <c r="AH57">
        <v>250002</v>
      </c>
      <c r="AI57">
        <v>250002</v>
      </c>
      <c r="AJ57">
        <v>1.3158E-2</v>
      </c>
      <c r="AK57">
        <v>0</v>
      </c>
      <c r="AL57" t="s">
        <v>1571</v>
      </c>
      <c r="AM57">
        <v>0</v>
      </c>
      <c r="AN57">
        <v>0</v>
      </c>
      <c r="AO57">
        <v>0</v>
      </c>
      <c r="AP57" t="s">
        <v>123</v>
      </c>
      <c r="AQ57" t="s">
        <v>123</v>
      </c>
      <c r="AR57" t="s">
        <v>123</v>
      </c>
      <c r="AS57" t="s">
        <v>123</v>
      </c>
      <c r="AT57">
        <v>0</v>
      </c>
      <c r="AU57" t="s">
        <v>123</v>
      </c>
      <c r="AV57">
        <v>0.47333739000000002</v>
      </c>
      <c r="AW57">
        <v>48729.913025460002</v>
      </c>
      <c r="AX57">
        <v>14101.50423246</v>
      </c>
      <c r="AY57">
        <v>0.28938086000000002</v>
      </c>
      <c r="AZ57">
        <v>0.52666261000000003</v>
      </c>
      <c r="BA57">
        <v>0</v>
      </c>
      <c r="BB57">
        <v>1210</v>
      </c>
      <c r="BC57">
        <v>8.2521460000000005E-2</v>
      </c>
      <c r="BE57">
        <v>115801.86992676</v>
      </c>
      <c r="BF57">
        <v>99</v>
      </c>
      <c r="BG57" t="s">
        <v>1558</v>
      </c>
      <c r="BH57">
        <v>0</v>
      </c>
      <c r="BI57">
        <v>1180</v>
      </c>
      <c r="BJ57" t="s">
        <v>1329</v>
      </c>
      <c r="BK57" s="1">
        <v>45974</v>
      </c>
      <c r="BL57" s="1">
        <v>45974</v>
      </c>
      <c r="BM57" t="s">
        <v>123</v>
      </c>
      <c r="BN57" t="s">
        <v>123</v>
      </c>
      <c r="BO57" t="s">
        <v>123</v>
      </c>
      <c r="BP57" t="s">
        <v>139</v>
      </c>
      <c r="BQ57">
        <v>0</v>
      </c>
      <c r="BS57">
        <v>0</v>
      </c>
      <c r="BT57" t="s">
        <v>1330</v>
      </c>
      <c r="BU57">
        <v>0</v>
      </c>
      <c r="BV57" t="s">
        <v>123</v>
      </c>
      <c r="BW57">
        <v>0</v>
      </c>
      <c r="BX57">
        <v>0</v>
      </c>
      <c r="BY57">
        <v>0</v>
      </c>
      <c r="BZ57">
        <v>1</v>
      </c>
      <c r="CA57">
        <v>0.94589999999999996</v>
      </c>
      <c r="CB57">
        <v>5.57E-2</v>
      </c>
      <c r="CC57">
        <v>4.6699999999999998E-2</v>
      </c>
    </row>
    <row r="58" spans="1:81" x14ac:dyDescent="0.3">
      <c r="A58">
        <v>1</v>
      </c>
      <c r="B58">
        <v>596</v>
      </c>
      <c r="C58" t="s">
        <v>1559</v>
      </c>
      <c r="D58">
        <v>219</v>
      </c>
      <c r="E58" t="s">
        <v>947</v>
      </c>
      <c r="F58" t="s">
        <v>1363</v>
      </c>
      <c r="G58" t="s">
        <v>150</v>
      </c>
      <c r="H58" t="s">
        <v>1336</v>
      </c>
      <c r="J58" t="s">
        <v>1387</v>
      </c>
      <c r="K58">
        <v>250000</v>
      </c>
      <c r="L58" t="s">
        <v>1456</v>
      </c>
      <c r="M58"/>
      <c r="N58" t="s">
        <v>1326</v>
      </c>
      <c r="O58" s="3">
        <v>45974</v>
      </c>
      <c r="P58">
        <v>0.14350714000000001</v>
      </c>
      <c r="Q58">
        <v>0.10489572</v>
      </c>
      <c r="R58" s="3">
        <v>45434</v>
      </c>
      <c r="S58" s="3">
        <v>46520</v>
      </c>
      <c r="U58" t="s">
        <v>1325</v>
      </c>
      <c r="V58">
        <v>0</v>
      </c>
      <c r="W58">
        <v>1454000000</v>
      </c>
      <c r="X58">
        <v>64578213</v>
      </c>
      <c r="Y58">
        <v>250002</v>
      </c>
      <c r="Z58">
        <v>250002</v>
      </c>
      <c r="AA58">
        <v>0</v>
      </c>
      <c r="AB58">
        <v>107.75</v>
      </c>
      <c r="AC58">
        <v>5.5555999999999997E-4</v>
      </c>
      <c r="AD58">
        <v>35877.072014279998</v>
      </c>
      <c r="AE58">
        <v>269377.15500000003</v>
      </c>
      <c r="AF58">
        <v>4211.6733811399999</v>
      </c>
      <c r="AG58">
        <v>31602.045836829999</v>
      </c>
      <c r="AH58">
        <v>250002.00068889</v>
      </c>
      <c r="AI58">
        <v>250002.00068889</v>
      </c>
      <c r="AJ58">
        <v>1.3158E-2</v>
      </c>
      <c r="AK58">
        <v>0</v>
      </c>
      <c r="AL58" t="s">
        <v>1571</v>
      </c>
      <c r="AM58">
        <v>0</v>
      </c>
      <c r="AN58">
        <v>0</v>
      </c>
      <c r="AO58">
        <v>0</v>
      </c>
      <c r="AP58" t="s">
        <v>123</v>
      </c>
      <c r="AQ58" t="s">
        <v>123</v>
      </c>
      <c r="AR58" t="s">
        <v>123</v>
      </c>
      <c r="AS58" t="s">
        <v>123</v>
      </c>
      <c r="AT58">
        <v>0</v>
      </c>
      <c r="AU58" t="s">
        <v>123</v>
      </c>
      <c r="AV58">
        <v>0.11739178</v>
      </c>
      <c r="AW58">
        <v>171019.65958236001</v>
      </c>
      <c r="AX58">
        <v>31665.398633140001</v>
      </c>
      <c r="AY58">
        <v>0.18515648000000001</v>
      </c>
      <c r="AZ58">
        <v>0.88260822000000005</v>
      </c>
      <c r="BA58">
        <v>0</v>
      </c>
      <c r="BB58">
        <v>540</v>
      </c>
      <c r="BC58">
        <v>8.8858129999999994E-2</v>
      </c>
      <c r="BE58">
        <v>225001.80061999999</v>
      </c>
      <c r="BF58">
        <v>99</v>
      </c>
      <c r="BG58" t="s">
        <v>1560</v>
      </c>
      <c r="BH58">
        <v>0</v>
      </c>
      <c r="BI58">
        <v>1181</v>
      </c>
      <c r="BJ58" t="s">
        <v>1329</v>
      </c>
      <c r="BK58" s="1">
        <v>45974</v>
      </c>
      <c r="BL58" s="1">
        <v>45974</v>
      </c>
      <c r="BM58" t="s">
        <v>123</v>
      </c>
      <c r="BN58" t="s">
        <v>123</v>
      </c>
      <c r="BO58" t="s">
        <v>123</v>
      </c>
      <c r="BP58" t="s">
        <v>139</v>
      </c>
      <c r="BQ58">
        <v>0</v>
      </c>
      <c r="BS58">
        <v>0</v>
      </c>
      <c r="BT58" t="s">
        <v>1330</v>
      </c>
      <c r="BU58">
        <v>0</v>
      </c>
      <c r="BV58" t="s">
        <v>123</v>
      </c>
      <c r="BW58">
        <v>0</v>
      </c>
      <c r="BX58">
        <v>0</v>
      </c>
      <c r="BY58">
        <v>0</v>
      </c>
      <c r="BZ58">
        <v>1</v>
      </c>
      <c r="CA58">
        <v>0.9819</v>
      </c>
      <c r="CB58">
        <v>1.8599999999999998E-2</v>
      </c>
      <c r="CC58">
        <v>0</v>
      </c>
    </row>
    <row r="59" spans="1:81" x14ac:dyDescent="0.3">
      <c r="A59">
        <v>1</v>
      </c>
      <c r="B59">
        <v>181</v>
      </c>
      <c r="C59" t="s">
        <v>1561</v>
      </c>
      <c r="D59">
        <v>130</v>
      </c>
      <c r="E59" t="s">
        <v>637</v>
      </c>
      <c r="F59" t="s">
        <v>1388</v>
      </c>
      <c r="G59" t="s">
        <v>150</v>
      </c>
      <c r="H59" t="s">
        <v>1336</v>
      </c>
      <c r="J59" t="s">
        <v>640</v>
      </c>
      <c r="K59">
        <v>250000</v>
      </c>
      <c r="L59" t="s">
        <v>1456</v>
      </c>
      <c r="M59"/>
      <c r="N59" t="s">
        <v>1326</v>
      </c>
      <c r="O59" s="3">
        <v>45974</v>
      </c>
      <c r="P59">
        <v>0.12866479</v>
      </c>
      <c r="Q59">
        <v>8.9871699999999999E-2</v>
      </c>
      <c r="R59" s="3">
        <v>45463</v>
      </c>
      <c r="S59" s="3">
        <v>46545</v>
      </c>
      <c r="U59" t="s">
        <v>1325</v>
      </c>
      <c r="V59">
        <v>0</v>
      </c>
      <c r="W59">
        <v>85000000</v>
      </c>
      <c r="X59">
        <v>10936507.15</v>
      </c>
      <c r="Y59">
        <v>250000.3</v>
      </c>
      <c r="Z59">
        <v>250000.3</v>
      </c>
      <c r="AA59">
        <v>0</v>
      </c>
      <c r="AB59">
        <v>107.35</v>
      </c>
      <c r="AC59">
        <v>2.9411799999999998E-3</v>
      </c>
      <c r="AD59">
        <v>32166.236099440001</v>
      </c>
      <c r="AE59">
        <v>268375.32205000002</v>
      </c>
      <c r="AF59">
        <v>2157.3775888499999</v>
      </c>
      <c r="AG59">
        <v>18588.15168218</v>
      </c>
      <c r="AH59">
        <v>82500.099000000002</v>
      </c>
      <c r="AI59">
        <v>250000.3</v>
      </c>
      <c r="AJ59">
        <v>1.315791E-2</v>
      </c>
      <c r="AK59">
        <v>0</v>
      </c>
      <c r="AL59" t="s">
        <v>1571</v>
      </c>
      <c r="AM59">
        <v>0</v>
      </c>
      <c r="AN59">
        <v>0</v>
      </c>
      <c r="AO59">
        <v>0</v>
      </c>
      <c r="AP59" t="s">
        <v>123</v>
      </c>
      <c r="AQ59" t="s">
        <v>123</v>
      </c>
      <c r="AR59" t="s">
        <v>123</v>
      </c>
      <c r="AS59" t="s">
        <v>123</v>
      </c>
      <c r="AT59">
        <v>0</v>
      </c>
      <c r="AU59" t="s">
        <v>123</v>
      </c>
      <c r="AV59">
        <v>6.7069630000000005E-2</v>
      </c>
      <c r="AW59">
        <v>2475.00297</v>
      </c>
      <c r="AX59">
        <v>30008.858510589998</v>
      </c>
      <c r="AY59">
        <v>12.12477677</v>
      </c>
      <c r="AZ59">
        <v>0.93293037000000001</v>
      </c>
      <c r="BA59">
        <v>0</v>
      </c>
      <c r="BB59">
        <v>565</v>
      </c>
      <c r="BC59">
        <v>7.9067299999999993E-2</v>
      </c>
      <c r="BE59">
        <v>16500.019799999998</v>
      </c>
      <c r="BF59">
        <v>99</v>
      </c>
      <c r="BG59" t="s">
        <v>1562</v>
      </c>
      <c r="BH59">
        <v>0</v>
      </c>
      <c r="BI59">
        <v>1182</v>
      </c>
      <c r="BJ59" t="s">
        <v>1333</v>
      </c>
      <c r="BK59" s="1">
        <v>45974</v>
      </c>
      <c r="BL59" s="1">
        <v>45974</v>
      </c>
      <c r="BM59" t="s">
        <v>123</v>
      </c>
      <c r="BN59" t="s">
        <v>123</v>
      </c>
      <c r="BO59" t="s">
        <v>123</v>
      </c>
      <c r="BP59" t="s">
        <v>1347</v>
      </c>
      <c r="BQ59">
        <v>0</v>
      </c>
      <c r="BS59">
        <v>0</v>
      </c>
      <c r="BT59" t="s">
        <v>1330</v>
      </c>
      <c r="BU59">
        <v>0</v>
      </c>
      <c r="BV59" t="s">
        <v>123</v>
      </c>
      <c r="BW59">
        <v>0</v>
      </c>
      <c r="BX59">
        <v>0</v>
      </c>
      <c r="BY59">
        <v>0</v>
      </c>
      <c r="BZ59">
        <v>1</v>
      </c>
      <c r="CA59">
        <v>0.9829</v>
      </c>
      <c r="CB59">
        <v>1.7100000000000001E-2</v>
      </c>
      <c r="CC59">
        <v>2.8999999999999998E-3</v>
      </c>
    </row>
  </sheetData>
  <sortState xmlns:xlrd2="http://schemas.microsoft.com/office/spreadsheetml/2017/richdata2" ref="C2:CC59">
    <sortCondition ref="C2:C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C448-3989-4B76-A912-042C55C307C3}">
  <sheetPr codeName="Sheet10"/>
  <dimension ref="A1:AV59"/>
  <sheetViews>
    <sheetView topLeftCell="P1" zoomScale="110" zoomScaleNormal="110" workbookViewId="0">
      <selection activeCell="Z2" sqref="Z2"/>
    </sheetView>
  </sheetViews>
  <sheetFormatPr defaultColWidth="9.109375" defaultRowHeight="14.4" x14ac:dyDescent="0.3"/>
  <cols>
    <col min="1" max="1" width="18.44140625" bestFit="1" customWidth="1"/>
    <col min="2" max="2" width="8.33203125" bestFit="1" customWidth="1"/>
    <col min="3" max="3" width="56.44140625" bestFit="1" customWidth="1"/>
    <col min="4" max="4" width="8.109375" customWidth="1"/>
    <col min="5" max="5" width="8.44140625" customWidth="1"/>
    <col min="6" max="6" width="6" style="19" customWidth="1"/>
    <col min="7" max="7" width="8.6640625" customWidth="1"/>
    <col min="8" max="8" width="9.5546875" style="19" customWidth="1"/>
    <col min="9" max="9" width="19.88671875" customWidth="1"/>
    <col min="10" max="10" width="7.5546875" customWidth="1"/>
    <col min="11" max="11" width="11.33203125" customWidth="1"/>
    <col min="12" max="13" width="20.6640625" style="33" customWidth="1"/>
    <col min="14" max="14" width="8.44140625" customWidth="1"/>
    <col min="15" max="15" width="18.6640625" customWidth="1"/>
    <col min="16" max="16" width="15.5546875" style="22" customWidth="1"/>
    <col min="17" max="17" width="21.6640625" style="22" customWidth="1"/>
    <col min="18" max="18" width="10.109375" customWidth="1"/>
    <col min="19" max="19" width="8" customWidth="1"/>
    <col min="20" max="20" width="19.6640625" customWidth="1"/>
    <col min="21" max="21" width="14.44140625" style="30" customWidth="1"/>
    <col min="22" max="22" width="16.88671875" customWidth="1"/>
    <col min="23" max="23" width="20.6640625" style="3" customWidth="1"/>
    <col min="24" max="24" width="15.6640625" customWidth="1"/>
    <col min="25" max="25" width="15.44140625" style="3" customWidth="1"/>
    <col min="26" max="26" width="19.5546875" style="31" customWidth="1"/>
    <col min="27" max="27" width="18" customWidth="1"/>
    <col min="28" max="28" width="17.33203125" customWidth="1"/>
    <col min="29" max="29" width="8.88671875" style="32" customWidth="1"/>
    <col min="30" max="30" width="10.6640625" style="19" customWidth="1"/>
    <col min="31" max="31" width="18.44140625" style="19" customWidth="1"/>
    <col min="32" max="32" width="25.88671875" style="19" customWidth="1"/>
    <col min="33" max="33" width="10.5546875" style="19" customWidth="1"/>
    <col min="34" max="34" width="19.6640625" style="19" customWidth="1"/>
    <col min="35" max="35" width="29" customWidth="1"/>
    <col min="36" max="36" width="36.5546875" style="19" customWidth="1"/>
    <col min="37" max="37" width="17.5546875" style="19" customWidth="1"/>
    <col min="38" max="38" width="23.5546875" style="19" customWidth="1"/>
    <col min="39" max="39" width="21" style="19" customWidth="1"/>
    <col min="40" max="40" width="10.88671875" customWidth="1"/>
    <col min="41" max="41" width="13.6640625" customWidth="1"/>
    <col min="42" max="42" width="16.5546875" style="19" customWidth="1"/>
    <col min="43" max="43" width="13.33203125" style="19" customWidth="1"/>
    <col min="44" max="44" width="9.109375" style="19" customWidth="1"/>
    <col min="45" max="45" width="19.33203125" style="19" customWidth="1"/>
    <col min="46" max="46" width="25.77734375" bestFit="1" customWidth="1"/>
  </cols>
  <sheetData>
    <row r="1" spans="1:48" s="18" customFormat="1" ht="15" thickBot="1" x14ac:dyDescent="0.35">
      <c r="A1" s="5" t="s">
        <v>1430</v>
      </c>
      <c r="B1" s="6" t="s">
        <v>2</v>
      </c>
      <c r="C1" s="7" t="s">
        <v>3</v>
      </c>
      <c r="D1" s="7" t="s">
        <v>14</v>
      </c>
      <c r="E1" s="7" t="s">
        <v>13</v>
      </c>
      <c r="F1" s="7" t="s">
        <v>1316</v>
      </c>
      <c r="G1" s="6" t="s">
        <v>1442</v>
      </c>
      <c r="H1" s="6" t="s">
        <v>1572</v>
      </c>
      <c r="I1" s="7" t="s">
        <v>1315</v>
      </c>
      <c r="J1" s="6" t="s">
        <v>1389</v>
      </c>
      <c r="K1" s="7" t="s">
        <v>1416</v>
      </c>
      <c r="L1" s="8" t="s">
        <v>1390</v>
      </c>
      <c r="M1" s="8" t="s">
        <v>1391</v>
      </c>
      <c r="N1" s="6" t="s">
        <v>1392</v>
      </c>
      <c r="O1" s="6" t="s">
        <v>1393</v>
      </c>
      <c r="P1" s="9" t="s">
        <v>1394</v>
      </c>
      <c r="Q1" s="9" t="s">
        <v>1395</v>
      </c>
      <c r="R1" s="10" t="s">
        <v>1321</v>
      </c>
      <c r="S1" s="6" t="s">
        <v>1427</v>
      </c>
      <c r="T1" s="7" t="s">
        <v>1400</v>
      </c>
      <c r="U1" s="11" t="s">
        <v>1319</v>
      </c>
      <c r="V1" s="12" t="s">
        <v>1573</v>
      </c>
      <c r="W1" s="13" t="s">
        <v>1574</v>
      </c>
      <c r="X1" s="12" t="s">
        <v>1575</v>
      </c>
      <c r="Y1" s="12" t="s">
        <v>1576</v>
      </c>
      <c r="Z1" s="14" t="s">
        <v>1577</v>
      </c>
      <c r="AA1" s="7" t="s">
        <v>1441</v>
      </c>
      <c r="AB1" s="12" t="s">
        <v>1578</v>
      </c>
      <c r="AC1" s="15" t="s">
        <v>1426</v>
      </c>
      <c r="AD1" s="12" t="s">
        <v>1410</v>
      </c>
      <c r="AE1" s="12" t="s">
        <v>1412</v>
      </c>
      <c r="AF1" s="12" t="s">
        <v>1425</v>
      </c>
      <c r="AG1" s="12" t="s">
        <v>1431</v>
      </c>
      <c r="AH1" s="12" t="s">
        <v>1579</v>
      </c>
      <c r="AI1" s="16" t="s">
        <v>1434</v>
      </c>
      <c r="AJ1" s="16" t="s">
        <v>1580</v>
      </c>
      <c r="AK1" s="16" t="s">
        <v>1436</v>
      </c>
      <c r="AL1" s="16" t="s">
        <v>1581</v>
      </c>
      <c r="AM1" s="16" t="s">
        <v>1438</v>
      </c>
      <c r="AN1" s="16" t="s">
        <v>1439</v>
      </c>
      <c r="AO1" s="17" t="s">
        <v>1433</v>
      </c>
      <c r="AP1" s="12" t="s">
        <v>1582</v>
      </c>
      <c r="AQ1" s="12" t="s">
        <v>1583</v>
      </c>
      <c r="AR1" s="12" t="s">
        <v>1317</v>
      </c>
      <c r="AS1" s="12" t="s">
        <v>1320</v>
      </c>
    </row>
    <row r="2" spans="1:48" s="20" customFormat="1" x14ac:dyDescent="0.3">
      <c r="A2" t="s">
        <v>1564</v>
      </c>
      <c r="B2" t="s">
        <v>1563</v>
      </c>
      <c r="C2" t="str">
        <f>VLOOKUP(K2,'[2]ILS Data pull'!$B:$H,2,0)</f>
        <v>CB-Nakama Re Pte. Ltd. Series 2024-1 Class 1 Reset 2025</v>
      </c>
      <c r="D2" s="19" t="str">
        <f t="shared" ref="D2:D59" si="0">MID(C2,FIND("Series",C2)+7,FIND("Class",C2)-FIND("Series",C2)-8)</f>
        <v>2024-1</v>
      </c>
      <c r="E2" s="19" t="str">
        <f t="shared" ref="E2:E59" si="1">IF(ISNUMBER(FIND("Reset",C2)),MID(C2,FIND("Class",C2),FIND("Reset",C2)-FIND("Class",C2)-1),TRIM(MID(C2,FIND("Class",C2),LEN(C2)-FIND("Class",C2)+1)))</f>
        <v>Class 1</v>
      </c>
      <c r="F2" s="19" t="str">
        <f t="shared" ref="F2:F54" si="2">IF(ISNUMBER(FIND("Reset",C2)), MID(C2,FIND("Reset",C2)+6,4), "")</f>
        <v>2025</v>
      </c>
      <c r="H2" s="19" t="s">
        <v>1456</v>
      </c>
      <c r="I2" s="21" t="str">
        <f>VLOOKUP(K2,'[2]ETF Portfolio'!$A$18:$I$114,9,0)</f>
        <v>Zenkyoren</v>
      </c>
      <c r="K2" s="21" t="s">
        <v>714</v>
      </c>
      <c r="L2" s="21" t="str" cm="1">
        <f t="array" ref="L2:M2">VLOOKUP(K2,'[2]ETF Portfolio'!A18:$M$114,{12,13},0)</f>
        <v>4/23/2024</v>
      </c>
      <c r="M2" s="21" t="str">
        <v>4/4/2029</v>
      </c>
      <c r="O2" s="19" t="str">
        <f>VLOOKUP(K2,'[2]ETF Portfolio'!$A$18:$B$114,2,0)</f>
        <v>Cat Bond</v>
      </c>
      <c r="P2" s="22">
        <f>VLOOKUP(C2,'[2]ILS Data pull'!$C:$H,2,0)</f>
        <v>0</v>
      </c>
      <c r="Q2" s="22">
        <f>VLOOKUP(C2,'[2]ILS Data pull'!$C:$H,4,0)</f>
        <v>150000000</v>
      </c>
      <c r="R2" s="23">
        <f>VLOOKUP(K2,'[2]ETF Portfolio'!$A$18:$U$114,21,0)</f>
        <v>250000</v>
      </c>
      <c r="T2" s="24">
        <f>VLOOKUP(K2,'[2]ETF Portfolio'!$A$18:$T$114,20,0)</f>
        <v>101</v>
      </c>
      <c r="U2" s="25">
        <f>VLOOKUP(K2,'[2]ETF Portfolio'!$A$18:$R$114,18,0)</f>
        <v>6.2164801120758055E-2</v>
      </c>
      <c r="V2" s="19" t="str">
        <f>VLOOKUP(K2,'[2]ETF Portfolio'!$A$18:$C$114,3,0)</f>
        <v>Buy</v>
      </c>
      <c r="W2" s="21">
        <f>VLOOKUP(K2,'[2]ETF Portfolio'!$A$18:$D$114,4,0)</f>
        <v>45749</v>
      </c>
      <c r="X2" s="26"/>
      <c r="Y2" s="26"/>
      <c r="Z2" s="27">
        <f>R2/VLOOKUP(K2,'[2]ILS Data pull'!$B:$H,7,0)</f>
        <v>1.6666666666666668E-3</v>
      </c>
      <c r="AA2" s="28">
        <f>VLOOKUP(K2,'[2]ETF Portfolio'!$A$18:$Q$114,17,0)</f>
        <v>2.3430279977205756E-2</v>
      </c>
      <c r="AB2" s="19">
        <v>0</v>
      </c>
      <c r="AC2" s="28">
        <f>VLOOKUP(K2, '[2]ETF Portfolio'!$A$18:$AD$114,30,0)</f>
        <v>5.6722120000000001E-2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21">
        <f>W2</f>
        <v>45749</v>
      </c>
      <c r="AJ2" s="21">
        <f>AI2</f>
        <v>45749</v>
      </c>
      <c r="AK2" s="21">
        <f>AJ2</f>
        <v>45749</v>
      </c>
      <c r="AL2" s="21">
        <f>AK2</f>
        <v>45749</v>
      </c>
      <c r="AM2" s="21">
        <f>AL2</f>
        <v>45749</v>
      </c>
      <c r="AN2" s="21" t="str">
        <f>VLOOKUP(K2,'[2]ETF Portfolio'!$A$18:$K$114,11,0)</f>
        <v>Indemnity</v>
      </c>
      <c r="AO2" s="21" t="str">
        <f>VLOOKUP(K2,'[2]ETF Portfolio'!$A$18:$J$114,10,0)</f>
        <v>Aggregate</v>
      </c>
      <c r="AP2" s="19">
        <v>0</v>
      </c>
      <c r="AQ2" s="19">
        <v>0</v>
      </c>
      <c r="AR2" s="19">
        <v>0</v>
      </c>
      <c r="AS2" s="19">
        <v>1</v>
      </c>
      <c r="AV2" s="29"/>
    </row>
    <row r="3" spans="1:48" s="20" customFormat="1" x14ac:dyDescent="0.3">
      <c r="A3" t="s">
        <v>1566</v>
      </c>
      <c r="B3" t="s">
        <v>1565</v>
      </c>
      <c r="C3" t="str">
        <f>VLOOKUP(K3,'[2]ILS Data pull'!$B:$H,2,0)</f>
        <v>CB-Montoya Re Ltd. Series 2025-1 Class B Reset 2025</v>
      </c>
      <c r="D3" s="19" t="str">
        <f t="shared" si="0"/>
        <v>2025-1</v>
      </c>
      <c r="E3" s="19" t="str">
        <f t="shared" si="1"/>
        <v>Class B</v>
      </c>
      <c r="F3" s="19" t="str">
        <f t="shared" si="2"/>
        <v>2025</v>
      </c>
      <c r="H3" s="19" t="s">
        <v>1456</v>
      </c>
      <c r="I3" s="21" t="str">
        <f>VLOOKUP(K3,'[2]ETF Portfolio'!$A$18:$I$114,9,0)</f>
        <v>Inigo Insurance</v>
      </c>
      <c r="K3" s="21" t="s">
        <v>1121</v>
      </c>
      <c r="L3" s="21" t="str" cm="1">
        <f t="array" ref="L3:M3">VLOOKUP(K3,'[2]ETF Portfolio'!A19:$M$114,{12,13},0)</f>
        <v>1/29/2025</v>
      </c>
      <c r="M3" s="21" t="str">
        <v>4/7/2028</v>
      </c>
      <c r="O3" s="19" t="str">
        <f>VLOOKUP(K3,'[2]ETF Portfolio'!$A$18:$B$114,2,0)</f>
        <v>Cat Bond</v>
      </c>
      <c r="P3" s="22">
        <f>VLOOKUP(C3,'[2]ILS Data pull'!$C:$H,2,0)</f>
        <v>5000000</v>
      </c>
      <c r="Q3" s="22">
        <f>VLOOKUP(C3,'[2]ILS Data pull'!$C:$H,4,0)</f>
        <v>5000000</v>
      </c>
      <c r="R3" s="23">
        <f>VLOOKUP(K3,'[2]ETF Portfolio'!$A$18:$U$114,21,0)</f>
        <v>250000</v>
      </c>
      <c r="T3" s="24">
        <f>VLOOKUP(K3,'[2]ETF Portfolio'!$A$18:$T$114,20,0)</f>
        <v>100.2</v>
      </c>
      <c r="U3" s="25">
        <f>VLOOKUP(K3,'[2]ETF Portfolio'!$A$18:$R$114,18,0)</f>
        <v>0.10476479396820068</v>
      </c>
      <c r="V3" s="19" t="str">
        <f>VLOOKUP(K3,'[2]ETF Portfolio'!$A$18:$C$114,3,0)</f>
        <v>Buy</v>
      </c>
      <c r="W3" s="21">
        <f>VLOOKUP(K3,'[2]ETF Portfolio'!$A$18:$D$114,4,0)</f>
        <v>45751</v>
      </c>
      <c r="X3" s="26"/>
      <c r="Y3" s="26"/>
      <c r="Z3" s="27">
        <f>R3/VLOOKUP(K3,'[2]ILS Data pull'!$B:$H,7,0)</f>
        <v>8.3333333333333332E-3</v>
      </c>
      <c r="AA3" s="28">
        <f>VLOOKUP(K3,'[2]ETF Portfolio'!$A$18:$Q$114,17,0)</f>
        <v>6.6102750044470304E-2</v>
      </c>
      <c r="AB3" s="19">
        <v>0</v>
      </c>
      <c r="AC3" s="28">
        <f>VLOOKUP(K3, '[2]ETF Portfolio'!$A$18:$AD$114,30,0)</f>
        <v>0.10367698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21">
        <f t="shared" ref="AI3:AI59" si="3">W3</f>
        <v>45751</v>
      </c>
      <c r="AJ3" s="21">
        <f t="shared" ref="AJ3:AM17" si="4">AI3</f>
        <v>45751</v>
      </c>
      <c r="AK3" s="21">
        <f t="shared" si="4"/>
        <v>45751</v>
      </c>
      <c r="AL3" s="21">
        <f t="shared" si="4"/>
        <v>45751</v>
      </c>
      <c r="AM3" s="21">
        <f t="shared" si="4"/>
        <v>45751</v>
      </c>
      <c r="AN3" s="21" t="str">
        <f>VLOOKUP(K3,'[2]ETF Portfolio'!$A$18:$K$114,11,0)</f>
        <v>Industry Loss Index</v>
      </c>
      <c r="AO3" s="21" t="str">
        <f>VLOOKUP(K3,'[2]ETF Portfolio'!$A$18:$J$114,10,0)</f>
        <v>Occurrence</v>
      </c>
      <c r="AP3" s="19">
        <v>0</v>
      </c>
      <c r="AQ3" s="19">
        <v>0</v>
      </c>
      <c r="AR3" s="19">
        <v>0</v>
      </c>
      <c r="AS3" s="19">
        <v>1</v>
      </c>
      <c r="AV3" s="29"/>
    </row>
    <row r="4" spans="1:48" s="20" customFormat="1" x14ac:dyDescent="0.3">
      <c r="A4" t="s">
        <v>1568</v>
      </c>
      <c r="B4" t="s">
        <v>1567</v>
      </c>
      <c r="C4" t="str">
        <f>VLOOKUP(K4,'[2]ILS Data pull'!$B:$H,2,0)</f>
        <v>CB-Blue Ridge Re Ltd. Series 2023-1 Class A Reset 2025</v>
      </c>
      <c r="D4" s="19" t="str">
        <f t="shared" si="0"/>
        <v>2023-1</v>
      </c>
      <c r="E4" s="19" t="str">
        <f t="shared" si="1"/>
        <v>Class A</v>
      </c>
      <c r="F4" s="19" t="str">
        <f t="shared" si="2"/>
        <v>2025</v>
      </c>
      <c r="H4" s="19" t="s">
        <v>1456</v>
      </c>
      <c r="I4" s="21" t="str">
        <f>VLOOKUP(K4,'[2]ETF Portfolio'!$A$18:$I$114,9,0)</f>
        <v>NC Farm Bureau</v>
      </c>
      <c r="K4" s="21" t="s">
        <v>671</v>
      </c>
      <c r="L4" s="21" t="str" cm="1">
        <f t="array" ref="L4:M4">VLOOKUP(K4,'[2]ETF Portfolio'!A20:$M$114,{12,13},0)</f>
        <v>11/22/2023</v>
      </c>
      <c r="M4" s="21" t="str">
        <v>1/8/2027</v>
      </c>
      <c r="O4" s="19" t="str">
        <f>VLOOKUP(K4,'[2]ETF Portfolio'!$A$18:$B$114,2,0)</f>
        <v>Cat Bond</v>
      </c>
      <c r="P4" s="22">
        <f>VLOOKUP(C4,'[2]ILS Data pull'!$C:$H,2,0)</f>
        <v>0</v>
      </c>
      <c r="Q4" s="22">
        <f>VLOOKUP(C4,'[2]ILS Data pull'!$C:$H,4,0)</f>
        <v>600000000</v>
      </c>
      <c r="R4" s="23">
        <f>VLOOKUP(K4,'[2]ETF Portfolio'!$A$18:$U$114,21,0)</f>
        <v>250000</v>
      </c>
      <c r="T4" s="24">
        <f>VLOOKUP(K4,'[2]ETF Portfolio'!$A$18:$T$114,20,0)</f>
        <v>102.85</v>
      </c>
      <c r="U4" s="25">
        <f>VLOOKUP(K4,'[2]ETF Portfolio'!$A$18:$R$114,18,0)</f>
        <v>9.06E-2</v>
      </c>
      <c r="V4" s="19" t="str">
        <f>VLOOKUP(K4,'[2]ETF Portfolio'!$A$18:$C$114,3,0)</f>
        <v>Buy</v>
      </c>
      <c r="W4" s="21">
        <f>VLOOKUP(K4,'[2]ETF Portfolio'!$A$18:$D$114,4,0)</f>
        <v>45751</v>
      </c>
      <c r="X4" s="26"/>
      <c r="Y4" s="26"/>
      <c r="Z4" s="27">
        <f>R4/VLOOKUP(K4,'[2]ILS Data pull'!$B:$H,7,0)</f>
        <v>1.25E-3</v>
      </c>
      <c r="AA4" s="28">
        <f>VLOOKUP(K4,'[2]ETF Portfolio'!$A$18:$Q$114,17,0)</f>
        <v>5.2493054522594618E-2</v>
      </c>
      <c r="AB4" s="19">
        <v>0</v>
      </c>
      <c r="AC4" s="28">
        <f>VLOOKUP(K4, '[2]ETF Portfolio'!$A$18:$AD$114,30,0)</f>
        <v>7.6703099999999996E-2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21">
        <f t="shared" si="3"/>
        <v>45751</v>
      </c>
      <c r="AJ4" s="21">
        <f t="shared" si="4"/>
        <v>45751</v>
      </c>
      <c r="AK4" s="21">
        <f t="shared" si="4"/>
        <v>45751</v>
      </c>
      <c r="AL4" s="21">
        <f t="shared" si="4"/>
        <v>45751</v>
      </c>
      <c r="AM4" s="21">
        <f t="shared" si="4"/>
        <v>45751</v>
      </c>
      <c r="AN4" s="21" t="str">
        <f>VLOOKUP(K4,'[2]ETF Portfolio'!$A$18:$K$114,11,0)</f>
        <v>Indemnity</v>
      </c>
      <c r="AO4" s="21" t="str">
        <f>VLOOKUP(K4,'[2]ETF Portfolio'!$A$18:$J$114,10,0)</f>
        <v>Occurrence</v>
      </c>
      <c r="AP4" s="19">
        <v>0</v>
      </c>
      <c r="AQ4" s="19">
        <v>0</v>
      </c>
      <c r="AR4" s="19">
        <v>0</v>
      </c>
      <c r="AS4" s="19">
        <v>1</v>
      </c>
      <c r="AV4" s="29"/>
    </row>
    <row r="5" spans="1:48" s="20" customFormat="1" x14ac:dyDescent="0.3">
      <c r="A5" t="s">
        <v>1570</v>
      </c>
      <c r="B5" t="s">
        <v>1569</v>
      </c>
      <c r="C5" t="str">
        <f>VLOOKUP(K5,'[2]ILS Data pull'!$B:$H,2,0)</f>
        <v>CB-Tomoni Re Pte. Ltd. Series 2022-1 Class B-1 Reset 2025</v>
      </c>
      <c r="D5" s="19" t="str">
        <f t="shared" si="0"/>
        <v>2022-1</v>
      </c>
      <c r="E5" s="19" t="str">
        <f t="shared" si="1"/>
        <v>Class B-1</v>
      </c>
      <c r="F5" s="19" t="str">
        <f t="shared" si="2"/>
        <v>2025</v>
      </c>
      <c r="H5" s="19" t="s">
        <v>1456</v>
      </c>
      <c r="I5" s="21" t="str">
        <f>VLOOKUP(K5,'[2]ETF Portfolio'!$A$18:$I$114,9,0)</f>
        <v>Mitsui Sumitomo</v>
      </c>
      <c r="K5" s="21" t="s">
        <v>858</v>
      </c>
      <c r="L5" s="21" t="str" cm="1">
        <f t="array" ref="L5:M5">VLOOKUP(K5,'[2]ETF Portfolio'!A21:$M$114,{12,13},0)</f>
        <v>3/30/2022</v>
      </c>
      <c r="M5" s="21" t="str">
        <v>4/7/2026</v>
      </c>
      <c r="O5" s="19" t="str">
        <f>VLOOKUP(K5,'[2]ETF Portfolio'!$A$18:$B$114,2,0)</f>
        <v>Cat Bond</v>
      </c>
      <c r="P5" s="22">
        <f>VLOOKUP(C5,'[2]ILS Data pull'!$C:$H,2,0)</f>
        <v>0</v>
      </c>
      <c r="Q5" s="22">
        <f>VLOOKUP(C5,'[2]ILS Data pull'!$C:$H,4,0)</f>
        <v>100000000</v>
      </c>
      <c r="R5" s="23">
        <f>VLOOKUP(K5,'[2]ETF Portfolio'!$A$18:$U$114,21,0)</f>
        <v>250000</v>
      </c>
      <c r="T5" s="24">
        <f>VLOOKUP(K5,'[2]ETF Portfolio'!$A$18:$T$114,20,0)</f>
        <v>101</v>
      </c>
      <c r="U5" s="25">
        <f>VLOOKUP(K5,'[2]ETF Portfolio'!$A$18:$R$114,18,0)</f>
        <v>6.6600000000000006E-2</v>
      </c>
      <c r="V5" s="19" t="str">
        <f>VLOOKUP(K5,'[2]ETF Portfolio'!$A$18:$C$114,3,0)</f>
        <v>Buy</v>
      </c>
      <c r="W5" s="21">
        <f>VLOOKUP(K5,'[2]ETF Portfolio'!$A$18:$D$114,4,0)</f>
        <v>45751</v>
      </c>
      <c r="X5" s="26"/>
      <c r="Y5" s="26"/>
      <c r="Z5" s="27">
        <f>R5/VLOOKUP(K5,'[2]ILS Data pull'!$B:$H,7,0)</f>
        <v>2.0833333333333333E-3</v>
      </c>
      <c r="AA5" s="28">
        <f>VLOOKUP(K5,'[2]ETF Portfolio'!$A$18:$Q$114,17,0)</f>
        <v>2.8000797571017751E-2</v>
      </c>
      <c r="AB5" s="19">
        <v>0</v>
      </c>
      <c r="AC5" s="28">
        <f>VLOOKUP(K5, '[2]ETF Portfolio'!$A$18:$AD$114,30,0)</f>
        <v>5.962858E-2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21">
        <f t="shared" si="3"/>
        <v>45751</v>
      </c>
      <c r="AJ5" s="21">
        <f t="shared" si="4"/>
        <v>45751</v>
      </c>
      <c r="AK5" s="21">
        <f t="shared" si="4"/>
        <v>45751</v>
      </c>
      <c r="AL5" s="21">
        <f t="shared" si="4"/>
        <v>45751</v>
      </c>
      <c r="AM5" s="21">
        <f t="shared" si="4"/>
        <v>45751</v>
      </c>
      <c r="AN5" s="21" t="str">
        <f>VLOOKUP(K5,'[2]ETF Portfolio'!$A$18:$K$114,11,0)</f>
        <v>Indemnity</v>
      </c>
      <c r="AO5" s="21" t="str">
        <f>VLOOKUP(K5,'[2]ETF Portfolio'!$A$18:$J$114,10,0)</f>
        <v>Occurrence</v>
      </c>
      <c r="AP5" s="19">
        <v>0</v>
      </c>
      <c r="AQ5" s="19">
        <v>0</v>
      </c>
      <c r="AR5" s="19">
        <v>0</v>
      </c>
      <c r="AS5" s="19">
        <v>1</v>
      </c>
      <c r="AV5" s="29"/>
    </row>
    <row r="6" spans="1:48" s="20" customFormat="1" x14ac:dyDescent="0.3">
      <c r="A6" t="s">
        <v>1455</v>
      </c>
      <c r="B6" t="s">
        <v>1454</v>
      </c>
      <c r="C6" t="str">
        <f>VLOOKUP(K6,'[2]ILS Data pull'!$B:$H,2,0)</f>
        <v>CB-Ursa Re Ltd. Series 2023-3 Class AA Reset 2024</v>
      </c>
      <c r="D6" s="19" t="str">
        <f t="shared" si="0"/>
        <v>2023-3</v>
      </c>
      <c r="E6" s="19" t="str">
        <f t="shared" si="1"/>
        <v>Class AA</v>
      </c>
      <c r="F6" s="19" t="str">
        <f t="shared" si="2"/>
        <v>2024</v>
      </c>
      <c r="H6" s="19" t="s">
        <v>1456</v>
      </c>
      <c r="I6" s="21" t="str">
        <f>VLOOKUP(K6,'[2]ETF Portfolio'!$A$18:$I$114,9,0)</f>
        <v>CEA</v>
      </c>
      <c r="K6" s="21" t="s">
        <v>1029</v>
      </c>
      <c r="L6" s="21" t="str" cm="1">
        <f t="array" ref="L6:M6">VLOOKUP(K6,'[2]ETF Portfolio'!A22:$M$114,{12,13},0)</f>
        <v>12/7/2023</v>
      </c>
      <c r="M6" s="21" t="str">
        <v>12/7/2026</v>
      </c>
      <c r="O6" s="19" t="str">
        <f>VLOOKUP(K6,'[2]ETF Portfolio'!$A$18:$B$114,2,0)</f>
        <v>Cat Bond</v>
      </c>
      <c r="P6" s="22">
        <f>VLOOKUP(C6,'[2]ILS Data pull'!$C:$H,2,0)</f>
        <v>0</v>
      </c>
      <c r="Q6" s="22">
        <f>VLOOKUP(C6,'[2]ILS Data pull'!$C:$H,4,0)</f>
        <v>1000000000</v>
      </c>
      <c r="R6" s="23">
        <f>VLOOKUP(K6,'[2]ETF Portfolio'!$A$18:$U$114,21,0)</f>
        <v>250000</v>
      </c>
      <c r="T6" s="24">
        <f>VLOOKUP(K6,'[2]ETF Portfolio'!$A$18:$T$114,20,0)</f>
        <v>103.95</v>
      </c>
      <c r="U6" s="25">
        <f>VLOOKUP(K6,'[2]ETF Portfolio'!$A$18:$R$114,18,0)</f>
        <v>9.3200000000000005E-2</v>
      </c>
      <c r="V6" s="19" t="str">
        <f>VLOOKUP(K6,'[2]ETF Portfolio'!$A$18:$C$114,3,0)</f>
        <v>Buy</v>
      </c>
      <c r="W6" s="21">
        <f>VLOOKUP(K6,'[2]ETF Portfolio'!$A$18:$D$114,4,0)</f>
        <v>45751</v>
      </c>
      <c r="X6" s="26"/>
      <c r="Y6" s="26"/>
      <c r="Z6" s="27">
        <f>R6/VLOOKUP(K6,'[2]ILS Data pull'!$B:$H,7,0)</f>
        <v>8.3333333333333339E-4</v>
      </c>
      <c r="AA6" s="28">
        <f>VLOOKUP(K6,'[2]ETF Portfolio'!$A$18:$Q$114,17,0)</f>
        <v>5.5000616024999997E-2</v>
      </c>
      <c r="AB6" s="19">
        <v>0</v>
      </c>
      <c r="AC6" s="28">
        <f>VLOOKUP(K6, '[2]ETF Portfolio'!$A$18:$AD$114,30,0)</f>
        <v>7.1253140000000006E-2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21">
        <f t="shared" si="3"/>
        <v>45751</v>
      </c>
      <c r="AJ6" s="21">
        <f t="shared" si="4"/>
        <v>45751</v>
      </c>
      <c r="AK6" s="21">
        <f t="shared" si="4"/>
        <v>45751</v>
      </c>
      <c r="AL6" s="21">
        <f t="shared" si="4"/>
        <v>45751</v>
      </c>
      <c r="AM6" s="21">
        <f t="shared" si="4"/>
        <v>45751</v>
      </c>
      <c r="AN6" s="21" t="str">
        <f>VLOOKUP(K6,'[2]ETF Portfolio'!$A$18:$K$114,11,0)</f>
        <v>Indemnity</v>
      </c>
      <c r="AO6" s="21" t="str">
        <f>VLOOKUP(K6,'[2]ETF Portfolio'!$A$18:$J$114,10,0)</f>
        <v>Aggregate</v>
      </c>
      <c r="AP6" s="19">
        <v>0</v>
      </c>
      <c r="AQ6" s="19">
        <v>0</v>
      </c>
      <c r="AR6" s="19">
        <v>0</v>
      </c>
      <c r="AS6" s="19">
        <v>1</v>
      </c>
      <c r="AV6" s="29"/>
    </row>
    <row r="7" spans="1:48" s="20" customFormat="1" x14ac:dyDescent="0.3">
      <c r="A7" t="s">
        <v>1458</v>
      </c>
      <c r="B7" t="s">
        <v>1457</v>
      </c>
      <c r="C7" t="str">
        <f>VLOOKUP(K7,'[2]ILS Data pull'!$B:$H,2,0)</f>
        <v>CB-Veraison Re Ltd. Series 2025-1 Class A</v>
      </c>
      <c r="D7" s="19" t="str">
        <f t="shared" si="0"/>
        <v>2025-1</v>
      </c>
      <c r="E7" s="19" t="str">
        <f t="shared" si="1"/>
        <v>Class A</v>
      </c>
      <c r="F7" s="19" t="str">
        <f t="shared" si="2"/>
        <v/>
      </c>
      <c r="H7" s="19" t="s">
        <v>1456</v>
      </c>
      <c r="I7" s="21" t="str">
        <f>VLOOKUP(K7,'[2]ETF Portfolio'!$A$18:$I$114,9,0)</f>
        <v>GeoVera</v>
      </c>
      <c r="K7" s="21" t="s">
        <v>626</v>
      </c>
      <c r="L7" s="21" t="str" cm="1">
        <f t="array" ref="L7:M7">VLOOKUP(K7,'[2]ETF Portfolio'!A23:$M$114,{12,13},0)</f>
        <v>2/5/2025</v>
      </c>
      <c r="M7" s="21" t="str">
        <v>3/8/2028</v>
      </c>
      <c r="O7" s="19" t="str">
        <f>VLOOKUP(K7,'[2]ETF Portfolio'!$A$18:$B$114,2,0)</f>
        <v>Cat Bond</v>
      </c>
      <c r="P7" s="22">
        <f>VLOOKUP(C7,'[2]ILS Data pull'!$C:$H,2,0)</f>
        <v>0</v>
      </c>
      <c r="Q7" s="22">
        <f>VLOOKUP(C7,'[2]ILS Data pull'!$C:$H,4,0)</f>
        <v>300000000</v>
      </c>
      <c r="R7" s="23">
        <f>VLOOKUP(K7,'[2]ETF Portfolio'!$A$18:$U$114,21,0)</f>
        <v>250000</v>
      </c>
      <c r="T7" s="24">
        <f>VLOOKUP(K7,'[2]ETF Portfolio'!$A$18:$T$114,20,0)</f>
        <v>100.25</v>
      </c>
      <c r="U7" s="25">
        <f>VLOOKUP(K7,'[2]ETF Portfolio'!$A$18:$R$114,18,0)</f>
        <v>7.3507139999999999E-2</v>
      </c>
      <c r="V7" s="19" t="str">
        <f>VLOOKUP(K7,'[2]ETF Portfolio'!$A$18:$C$114,3,0)</f>
        <v>Buy</v>
      </c>
      <c r="W7" s="21">
        <f>VLOOKUP(K7,'[2]ETF Portfolio'!$A$18:$D$114,4,0)</f>
        <v>45755</v>
      </c>
      <c r="X7" s="26"/>
      <c r="Y7" s="26"/>
      <c r="Z7" s="27">
        <f>R7/VLOOKUP(K7,'[2]ILS Data pull'!$B:$H,7,0)</f>
        <v>8.3333333333333339E-4</v>
      </c>
      <c r="AA7" s="28">
        <f>VLOOKUP(K7,'[2]ETF Portfolio'!$A$18:$Q$114,17,0)</f>
        <v>3.496664027454658E-2</v>
      </c>
      <c r="AB7" s="19">
        <v>0</v>
      </c>
      <c r="AC7" s="28">
        <f>VLOOKUP(K7, '[2]ETF Portfolio'!$A$18:$AD$114,30,0)</f>
        <v>7.558753E-2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21">
        <f t="shared" si="3"/>
        <v>45755</v>
      </c>
      <c r="AJ7" s="21">
        <f t="shared" si="4"/>
        <v>45755</v>
      </c>
      <c r="AK7" s="21">
        <f t="shared" si="4"/>
        <v>45755</v>
      </c>
      <c r="AL7" s="21">
        <f t="shared" si="4"/>
        <v>45755</v>
      </c>
      <c r="AM7" s="21">
        <f t="shared" si="4"/>
        <v>45755</v>
      </c>
      <c r="AN7" s="21" t="str">
        <f>VLOOKUP(K7,'[2]ETF Portfolio'!$A$18:$K$114,11,0)</f>
        <v>Indemnity</v>
      </c>
      <c r="AO7" s="21" t="str">
        <f>VLOOKUP(K7,'[2]ETF Portfolio'!$A$18:$J$114,10,0)</f>
        <v>Occurrence</v>
      </c>
      <c r="AP7" s="19">
        <v>0</v>
      </c>
      <c r="AQ7" s="19">
        <v>0</v>
      </c>
      <c r="AR7" s="19">
        <v>0</v>
      </c>
      <c r="AS7" s="19">
        <v>1</v>
      </c>
      <c r="AV7" s="29"/>
    </row>
    <row r="8" spans="1:48" s="20" customFormat="1" x14ac:dyDescent="0.3">
      <c r="A8" t="s">
        <v>1550</v>
      </c>
      <c r="B8" t="s">
        <v>1549</v>
      </c>
      <c r="C8" t="str">
        <f>VLOOKUP(K8,'[2]ILS Data pull'!$B:$H,2,0)</f>
        <v>CB-Fuchsia 2 Series 2024-1 Class A Reset 2025</v>
      </c>
      <c r="D8" s="19" t="str">
        <f t="shared" si="0"/>
        <v>2024-1</v>
      </c>
      <c r="E8" s="19" t="str">
        <f t="shared" si="1"/>
        <v>Class A</v>
      </c>
      <c r="F8" s="19" t="str">
        <f t="shared" si="2"/>
        <v>2025</v>
      </c>
      <c r="H8" s="19" t="s">
        <v>1456</v>
      </c>
      <c r="I8" s="21" t="str">
        <f>VLOOKUP(K8,'[2]ETF Portfolio'!$A$18:$I$114,9,0)</f>
        <v>Beazley</v>
      </c>
      <c r="K8" s="21" t="s">
        <v>1117</v>
      </c>
      <c r="L8" s="21" t="str" cm="1">
        <f t="array" ref="L8:M8">VLOOKUP(K8,'[2]ETF Portfolio'!A24:$M$114,{12,13},0)</f>
        <v>12/23/2024</v>
      </c>
      <c r="M8" s="21" t="str">
        <v>4/6/2028</v>
      </c>
      <c r="O8" s="19" t="str">
        <f>VLOOKUP(K8,'[2]ETF Portfolio'!$A$18:$B$114,2,0)</f>
        <v>Cat Bond</v>
      </c>
      <c r="P8" s="22">
        <f>VLOOKUP(C8,'[2]ILS Data pull'!$C:$H,2,0)</f>
        <v>0</v>
      </c>
      <c r="Q8" s="22">
        <f>VLOOKUP(C8,'[2]ILS Data pull'!$C:$H,4,0)</f>
        <v>300000000</v>
      </c>
      <c r="R8" s="23">
        <f>VLOOKUP(K8,'[2]ETF Portfolio'!$A$18:$U$114,21,0)</f>
        <v>250000</v>
      </c>
      <c r="T8" s="24">
        <f>VLOOKUP(K8,'[2]ETF Portfolio'!$A$18:$T$114,20,0)</f>
        <v>100.65</v>
      </c>
      <c r="U8" s="25">
        <f>VLOOKUP(K8,'[2]ETF Portfolio'!$A$18:$R$114,18,0)</f>
        <v>8.9599999999999985E-2</v>
      </c>
      <c r="V8" s="19" t="str">
        <f>VLOOKUP(K8,'[2]ETF Portfolio'!$A$18:$C$114,3,0)</f>
        <v>Buy</v>
      </c>
      <c r="W8" s="21">
        <f>VLOOKUP(K8,'[2]ETF Portfolio'!$A$18:$D$114,4,0)</f>
        <v>45755</v>
      </c>
      <c r="X8" s="26"/>
      <c r="Y8" s="26"/>
      <c r="Z8" s="27">
        <f>R8/VLOOKUP(K8,'[2]ILS Data pull'!$B:$H,7,0)</f>
        <v>1.25E-3</v>
      </c>
      <c r="AA8" s="28">
        <f>VLOOKUP(K8,'[2]ETF Portfolio'!$A$18:$Q$114,17,0)</f>
        <v>5.1341884104035361E-2</v>
      </c>
      <c r="AB8" s="19">
        <v>0</v>
      </c>
      <c r="AC8" s="28">
        <f>VLOOKUP(K8, '[2]ETF Portfolio'!$A$18:$AD$114,30,0)</f>
        <v>9.0424110000000002E-2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21">
        <f t="shared" si="3"/>
        <v>45755</v>
      </c>
      <c r="AJ8" s="21">
        <f t="shared" si="4"/>
        <v>45755</v>
      </c>
      <c r="AK8" s="21">
        <f t="shared" si="4"/>
        <v>45755</v>
      </c>
      <c r="AL8" s="21">
        <f t="shared" si="4"/>
        <v>45755</v>
      </c>
      <c r="AM8" s="21">
        <f t="shared" si="4"/>
        <v>45755</v>
      </c>
      <c r="AN8" s="21" t="str">
        <f>VLOOKUP(K8,'[2]ETF Portfolio'!$A$18:$K$114,11,0)</f>
        <v>Indemnity</v>
      </c>
      <c r="AO8" s="21" t="str">
        <f>VLOOKUP(K8,'[2]ETF Portfolio'!$A$18:$J$114,10,0)</f>
        <v>Occurrence</v>
      </c>
      <c r="AP8" s="19">
        <v>0</v>
      </c>
      <c r="AQ8" s="19">
        <v>0</v>
      </c>
      <c r="AR8" s="19">
        <v>0</v>
      </c>
      <c r="AS8" s="19">
        <v>1</v>
      </c>
      <c r="AV8" s="29"/>
    </row>
    <row r="9" spans="1:48" s="20" customFormat="1" x14ac:dyDescent="0.3">
      <c r="A9" t="s">
        <v>1552</v>
      </c>
      <c r="B9" t="s">
        <v>1551</v>
      </c>
      <c r="C9" t="str">
        <f>VLOOKUP(K9,'[2]ILS Data pull'!$B:$H,2,0)</f>
        <v>CB-Fish Pond Re Ltd. Series 2024-1 Class A Reset 2025</v>
      </c>
      <c r="D9" s="19" t="str">
        <f t="shared" si="0"/>
        <v>2024-1</v>
      </c>
      <c r="E9" s="19" t="str">
        <f t="shared" si="1"/>
        <v>Class A</v>
      </c>
      <c r="F9" s="19" t="str">
        <f t="shared" si="2"/>
        <v>2025</v>
      </c>
      <c r="H9" s="19" t="s">
        <v>1456</v>
      </c>
      <c r="I9" s="21" t="str">
        <f>VLOOKUP(K9,'[2]ETF Portfolio'!$A$18:$I$114,9,0)</f>
        <v>Texaf Farm Bureau</v>
      </c>
      <c r="K9" s="21" t="s">
        <v>966</v>
      </c>
      <c r="L9" s="21" t="str" cm="1">
        <f t="array" ref="L9:M9">VLOOKUP(K9,'[2]ETF Portfolio'!A25:$M$114,{12,13},0)</f>
        <v>1/9/2024</v>
      </c>
      <c r="M9" s="21" t="str">
        <v>1/8/2027</v>
      </c>
      <c r="O9" s="19" t="str">
        <f>VLOOKUP(K9,'[2]ETF Portfolio'!$A$18:$B$114,2,0)</f>
        <v>Cat Bond</v>
      </c>
      <c r="P9" s="22">
        <f>VLOOKUP(C9,'[2]ILS Data pull'!$C:$H,2,0)</f>
        <v>0</v>
      </c>
      <c r="Q9" s="22">
        <f>VLOOKUP(C9,'[2]ILS Data pull'!$C:$H,4,0)</f>
        <v>400000000</v>
      </c>
      <c r="R9" s="23">
        <f>VLOOKUP(K9,'[2]ETF Portfolio'!$A$18:$U$114,21,0)</f>
        <v>250000</v>
      </c>
      <c r="T9" s="24">
        <f>VLOOKUP(K9,'[2]ETF Portfolio'!$A$18:$T$114,20,0)</f>
        <v>102.3</v>
      </c>
      <c r="U9" s="25">
        <f>VLOOKUP(K9,'[2]ETF Portfolio'!$A$18:$R$114,18,0)</f>
        <v>7.85E-2</v>
      </c>
      <c r="V9" s="19" t="str">
        <f>VLOOKUP(K9,'[2]ETF Portfolio'!$A$18:$C$114,3,0)</f>
        <v>Buy</v>
      </c>
      <c r="W9" s="21">
        <f>VLOOKUP(K9,'[2]ETF Portfolio'!$A$18:$D$114,4,0)</f>
        <v>45756</v>
      </c>
      <c r="X9" s="26"/>
      <c r="Y9" s="26"/>
      <c r="Z9" s="27">
        <f>R9/VLOOKUP(K9,'[2]ILS Data pull'!$B:$H,7,0)</f>
        <v>9.8039215686274508E-4</v>
      </c>
      <c r="AA9" s="28">
        <f>VLOOKUP(K9,'[2]ETF Portfolio'!$A$18:$Q$114,17,0)</f>
        <v>4.0195003191350213E-2</v>
      </c>
      <c r="AB9" s="19">
        <v>0</v>
      </c>
      <c r="AC9" s="28">
        <f>VLOOKUP(K9, '[2]ETF Portfolio'!$A$18:$AD$114,30,0)</f>
        <v>6.7969870000000002E-2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21">
        <f t="shared" si="3"/>
        <v>45756</v>
      </c>
      <c r="AJ9" s="21">
        <f t="shared" si="4"/>
        <v>45756</v>
      </c>
      <c r="AK9" s="21">
        <f t="shared" si="4"/>
        <v>45756</v>
      </c>
      <c r="AL9" s="21">
        <f t="shared" si="4"/>
        <v>45756</v>
      </c>
      <c r="AM9" s="21">
        <f t="shared" si="4"/>
        <v>45756</v>
      </c>
      <c r="AN9" s="21" t="str">
        <f>VLOOKUP(K9,'[2]ETF Portfolio'!$A$18:$K$114,11,0)</f>
        <v>Indemnity</v>
      </c>
      <c r="AO9" s="21" t="str">
        <f>VLOOKUP(K9,'[2]ETF Portfolio'!$A$18:$J$114,10,0)</f>
        <v>Occurrence</v>
      </c>
      <c r="AP9" s="19">
        <v>0</v>
      </c>
      <c r="AQ9" s="19">
        <v>0</v>
      </c>
      <c r="AR9" s="19">
        <v>0</v>
      </c>
      <c r="AS9" s="19">
        <v>1</v>
      </c>
      <c r="AV9" s="29"/>
    </row>
    <row r="10" spans="1:48" s="20" customFormat="1" x14ac:dyDescent="0.3">
      <c r="A10" t="s">
        <v>1460</v>
      </c>
      <c r="B10" t="s">
        <v>1459</v>
      </c>
      <c r="C10" t="str">
        <f>VLOOKUP(K10,'[2]ILS Data pull'!$B:$H,2,0)</f>
        <v>CB-Sanders Re III Ltd. Series 2023-1 Class A Reset 2025</v>
      </c>
      <c r="D10" s="19" t="str">
        <f t="shared" si="0"/>
        <v>2023-1</v>
      </c>
      <c r="E10" s="19" t="str">
        <f t="shared" si="1"/>
        <v>Class A</v>
      </c>
      <c r="F10" s="19" t="str">
        <f t="shared" si="2"/>
        <v>2025</v>
      </c>
      <c r="H10" s="19" t="s">
        <v>1456</v>
      </c>
      <c r="I10" s="21" t="str">
        <f>VLOOKUP(K10,'[2]ETF Portfolio'!$A$18:$I$114,9,0)</f>
        <v>AllState</v>
      </c>
      <c r="K10" s="21" t="s">
        <v>419</v>
      </c>
      <c r="L10" s="21" t="str" cm="1">
        <f t="array" ref="L10:M10">VLOOKUP(K10,'[2]ETF Portfolio'!A27:$M$114,{12,13},0)</f>
        <v>3/31/2023</v>
      </c>
      <c r="M10" s="21" t="str">
        <v>4/7/2027</v>
      </c>
      <c r="O10" s="19" t="str">
        <f>VLOOKUP(K10,'[2]ETF Portfolio'!$A$18:$B$114,2,0)</f>
        <v>Cat Bond</v>
      </c>
      <c r="P10" s="22">
        <f>VLOOKUP(C10,'[2]ILS Data pull'!$C:$H,2,0)</f>
        <v>0</v>
      </c>
      <c r="Q10" s="22">
        <f>VLOOKUP(C10,'[2]ILS Data pull'!$C:$H,4,0)</f>
        <v>750000000</v>
      </c>
      <c r="R10" s="23">
        <f>VLOOKUP(K10,'[2]ETF Portfolio'!$A$18:$U$114,21,0)</f>
        <v>250000</v>
      </c>
      <c r="T10" s="24">
        <f>VLOOKUP(K10,'[2]ETF Portfolio'!$A$18:$T$114,20,0)</f>
        <v>102.6</v>
      </c>
      <c r="U10" s="25">
        <f>VLOOKUP(K10,'[2]ETF Portfolio'!$A$18:$R$114,18,0)</f>
        <v>9.3000000000000013E-2</v>
      </c>
      <c r="V10" s="19" t="str">
        <f>VLOOKUP(K10,'[2]ETF Portfolio'!$A$18:$C$114,3,0)</f>
        <v>Buy</v>
      </c>
      <c r="W10" s="21">
        <f>VLOOKUP(K10,'[2]ETF Portfolio'!$A$18:$D$114,4,0)</f>
        <v>45756</v>
      </c>
      <c r="X10" s="26"/>
      <c r="Y10" s="26"/>
      <c r="Z10" s="27">
        <f>R10/VLOOKUP(K10,'[2]ILS Data pull'!$B:$H,7,0)</f>
        <v>2.5000000000000001E-3</v>
      </c>
      <c r="AA10" s="28">
        <f>VLOOKUP(K10,'[2]ETF Portfolio'!$A$18:$Q$114,17,0)</f>
        <v>5.4591848848021235E-2</v>
      </c>
      <c r="AB10" s="19">
        <v>0</v>
      </c>
      <c r="AC10" s="28">
        <f>VLOOKUP(K10, '[2]ETF Portfolio'!$A$18:$AD$114,30,0)</f>
        <v>8.2214540000000003E-2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21">
        <f t="shared" si="3"/>
        <v>45756</v>
      </c>
      <c r="AJ10" s="21">
        <f t="shared" si="4"/>
        <v>45756</v>
      </c>
      <c r="AK10" s="21">
        <f t="shared" si="4"/>
        <v>45756</v>
      </c>
      <c r="AL10" s="21">
        <f t="shared" si="4"/>
        <v>45756</v>
      </c>
      <c r="AM10" s="21">
        <f t="shared" si="4"/>
        <v>45756</v>
      </c>
      <c r="AN10" s="21" t="str">
        <f>VLOOKUP(K10,'[2]ETF Portfolio'!$A$18:$K$114,11,0)</f>
        <v>Indemnity</v>
      </c>
      <c r="AO10" s="21" t="str">
        <f>VLOOKUP(K10,'[2]ETF Portfolio'!$A$18:$J$114,10,0)</f>
        <v>Occurrence</v>
      </c>
      <c r="AP10" s="19">
        <v>0</v>
      </c>
      <c r="AQ10" s="19">
        <v>0</v>
      </c>
      <c r="AR10" s="19">
        <v>0</v>
      </c>
      <c r="AS10" s="19">
        <v>1</v>
      </c>
      <c r="AV10" s="29"/>
    </row>
    <row r="11" spans="1:48" s="20" customFormat="1" x14ac:dyDescent="0.3">
      <c r="A11" t="s">
        <v>1462</v>
      </c>
      <c r="B11" t="s">
        <v>1461</v>
      </c>
      <c r="C11" t="str">
        <f>VLOOKUP(K11,'[2]ILS Data pull'!$B:$H,2,0)</f>
        <v>CB-Maschpark Re Ltd. Series 2024-1 Class A</v>
      </c>
      <c r="D11" s="19" t="str">
        <f t="shared" si="0"/>
        <v>2024-1</v>
      </c>
      <c r="E11" s="19" t="str">
        <f t="shared" si="1"/>
        <v>Class A</v>
      </c>
      <c r="F11" s="19" t="str">
        <f t="shared" si="2"/>
        <v/>
      </c>
      <c r="H11" s="19" t="s">
        <v>1456</v>
      </c>
      <c r="I11" s="21" t="str">
        <f>VLOOKUP(K11,'[2]ETF Portfolio'!$A$18:$I$114,9,0)</f>
        <v>Talanx AG (Via Hannover Re)</v>
      </c>
      <c r="K11" s="21" t="s">
        <v>1346</v>
      </c>
      <c r="L11" s="21" t="str" cm="1">
        <f t="array" ref="L11:M11">VLOOKUP(K11,'[2]ETF Portfolio'!A28:$M$114,{12,13},0)</f>
        <v>12/4/2024</v>
      </c>
      <c r="M11" s="21" t="str">
        <v>1/10/2028</v>
      </c>
      <c r="O11" s="19" t="str">
        <f>VLOOKUP(K11,'[2]ETF Portfolio'!$A$18:$B$114,2,0)</f>
        <v>Cat Bond</v>
      </c>
      <c r="P11" s="22">
        <f>VLOOKUP(C11,'[2]ILS Data pull'!$C:$H,2,0)</f>
        <v>0</v>
      </c>
      <c r="Q11" s="22">
        <f>VLOOKUP(C11,'[2]ILS Data pull'!$C:$H,4,0)</f>
        <v>100000000</v>
      </c>
      <c r="R11" s="23">
        <f>VLOOKUP(K11,'[2]ETF Portfolio'!$A$18:$U$114,21,0)</f>
        <v>250000</v>
      </c>
      <c r="T11" s="24">
        <f>VLOOKUP(K11,'[2]ETF Portfolio'!$A$18:$T$114,20,0)</f>
        <v>101.6</v>
      </c>
      <c r="U11" s="25">
        <f>VLOOKUP(K11,'[2]ETF Portfolio'!$A$18:$R$114,18,0)</f>
        <v>7.3099999999999998E-2</v>
      </c>
      <c r="V11" s="19" t="str">
        <f>VLOOKUP(K11,'[2]ETF Portfolio'!$A$18:$C$114,3,0)</f>
        <v>Buy</v>
      </c>
      <c r="W11" s="21">
        <f>VLOOKUP(K11,'[2]ETF Portfolio'!$A$18:$D$114,4,0)</f>
        <v>45756</v>
      </c>
      <c r="X11" s="26"/>
      <c r="Y11" s="26"/>
      <c r="Z11" s="27">
        <f>R11/VLOOKUP(K11,'[2]ILS Data pull'!$B:$H,7,0)</f>
        <v>2.5000000000000001E-3</v>
      </c>
      <c r="AA11" s="28">
        <f>VLOOKUP(K11,'[2]ETF Portfolio'!$A$18:$Q$114,17,0)</f>
        <v>3.4997438079953813E-2</v>
      </c>
      <c r="AB11" s="19">
        <v>0</v>
      </c>
      <c r="AC11" s="28">
        <f>VLOOKUP(K11, '[2]ETF Portfolio'!$A$18:$AD$114,30,0)</f>
        <v>6.9968120000000009E-2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21">
        <f t="shared" si="3"/>
        <v>45756</v>
      </c>
      <c r="AJ11" s="21">
        <f t="shared" si="4"/>
        <v>45756</v>
      </c>
      <c r="AK11" s="21">
        <f t="shared" si="4"/>
        <v>45756</v>
      </c>
      <c r="AL11" s="21">
        <f t="shared" si="4"/>
        <v>45756</v>
      </c>
      <c r="AM11" s="21">
        <f t="shared" si="4"/>
        <v>45756</v>
      </c>
      <c r="AN11" s="21" t="str">
        <f>VLOOKUP(K11,'[2]ETF Portfolio'!$A$18:$K$114,11,0)</f>
        <v>Parametric</v>
      </c>
      <c r="AO11" s="21" t="str">
        <f>VLOOKUP(K11,'[2]ETF Portfolio'!$A$18:$J$114,10,0)</f>
        <v>Occurrence</v>
      </c>
      <c r="AP11" s="19">
        <v>0</v>
      </c>
      <c r="AQ11" s="19">
        <v>0</v>
      </c>
      <c r="AR11" s="19">
        <v>0</v>
      </c>
      <c r="AS11" s="19">
        <v>1</v>
      </c>
      <c r="AV11" s="29"/>
    </row>
    <row r="12" spans="1:48" s="20" customFormat="1" x14ac:dyDescent="0.3">
      <c r="A12" t="s">
        <v>1464</v>
      </c>
      <c r="B12" t="s">
        <v>1463</v>
      </c>
      <c r="C12" t="str">
        <f>VLOOKUP(K12,'[2]ILS Data pull'!$B:$H,2,0)</f>
        <v>CB-Gateway Re Ltd. Series 2025-1 Class C2</v>
      </c>
      <c r="D12" s="19" t="str">
        <f t="shared" si="0"/>
        <v>2025-1</v>
      </c>
      <c r="E12" s="19" t="str">
        <f t="shared" si="1"/>
        <v>Class C2</v>
      </c>
      <c r="F12" s="19" t="str">
        <f t="shared" si="2"/>
        <v/>
      </c>
      <c r="H12" s="19" t="s">
        <v>1456</v>
      </c>
      <c r="I12" s="21" t="str">
        <f>VLOOKUP(K12,'[2]ETF Portfolio'!$A$18:$I$114,9,0)</f>
        <v>SageSure</v>
      </c>
      <c r="K12" s="21" t="s">
        <v>375</v>
      </c>
      <c r="L12" s="21" t="str" cm="1">
        <f t="array" ref="L12:M12">VLOOKUP(K12,'[2]ETF Portfolio'!A29:$M$114,{12,13},0)</f>
        <v>2/27/2025</v>
      </c>
      <c r="M12" s="21" t="str">
        <v>7/7/2027</v>
      </c>
      <c r="O12" s="19" t="str">
        <f>VLOOKUP(K12,'[2]ETF Portfolio'!$A$18:$B$114,2,0)</f>
        <v>Cat Bond</v>
      </c>
      <c r="P12" s="22">
        <f>VLOOKUP(C12,'[2]ILS Data pull'!$C:$H,2,0)</f>
        <v>200000000</v>
      </c>
      <c r="Q12" s="22">
        <f>VLOOKUP(C12,'[2]ILS Data pull'!$C:$H,4,0)</f>
        <v>200000000</v>
      </c>
      <c r="R12" s="23">
        <f>VLOOKUP(K12,'[2]ETF Portfolio'!$A$18:$U$114,21,0)</f>
        <v>250000</v>
      </c>
      <c r="T12" s="24">
        <f>VLOOKUP(K12,'[2]ETF Portfolio'!$A$18:$T$114,20,0)</f>
        <v>100.1</v>
      </c>
      <c r="U12" s="25">
        <f>VLOOKUP(K12,'[2]ETF Portfolio'!$A$18:$R$114,18,0)</f>
        <v>0.13366479396820069</v>
      </c>
      <c r="V12" s="19" t="str">
        <f>VLOOKUP(K12,'[2]ETF Portfolio'!$A$18:$C$114,3,0)</f>
        <v>Buy</v>
      </c>
      <c r="W12" s="21">
        <f>VLOOKUP(K12,'[2]ETF Portfolio'!$A$18:$D$114,4,0)</f>
        <v>45758</v>
      </c>
      <c r="X12" s="26"/>
      <c r="Y12" s="26"/>
      <c r="Z12" s="27">
        <f>R12/VLOOKUP(K12,'[2]ILS Data pull'!$B:$H,7,0)</f>
        <v>1.6666666666666668E-3</v>
      </c>
      <c r="AA12" s="28">
        <f>VLOOKUP(K12,'[2]ETF Portfolio'!$A$18:$Q$114,17,0)</f>
        <v>9.4942248479457494E-2</v>
      </c>
      <c r="AB12" s="19">
        <v>0</v>
      </c>
      <c r="AC12" s="28">
        <f>VLOOKUP(K12, '[2]ETF Portfolio'!$A$18:$AD$114,30,0)</f>
        <v>0.13305328999999999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21">
        <f t="shared" si="3"/>
        <v>45758</v>
      </c>
      <c r="AJ12" s="21">
        <f t="shared" si="4"/>
        <v>45758</v>
      </c>
      <c r="AK12" s="21">
        <f t="shared" si="4"/>
        <v>45758</v>
      </c>
      <c r="AL12" s="21">
        <f t="shared" si="4"/>
        <v>45758</v>
      </c>
      <c r="AM12" s="21">
        <f t="shared" si="4"/>
        <v>45758</v>
      </c>
      <c r="AN12" s="21" t="str">
        <f>VLOOKUP(K12,'[2]ETF Portfolio'!$A$18:$K$114,11,0)</f>
        <v>Indemnity</v>
      </c>
      <c r="AO12" s="21" t="str">
        <f>VLOOKUP(K12,'[2]ETF Portfolio'!$A$18:$J$114,10,0)</f>
        <v>Occ (2nd event)</v>
      </c>
      <c r="AP12" s="19">
        <v>0</v>
      </c>
      <c r="AQ12" s="19">
        <v>0</v>
      </c>
      <c r="AR12" s="19">
        <v>0</v>
      </c>
      <c r="AS12" s="19">
        <v>1</v>
      </c>
      <c r="AV12" s="29"/>
    </row>
    <row r="13" spans="1:48" s="20" customFormat="1" x14ac:dyDescent="0.3">
      <c r="A13" t="s">
        <v>1554</v>
      </c>
      <c r="B13" t="s">
        <v>1553</v>
      </c>
      <c r="C13" t="str">
        <f>VLOOKUP(K13,'[2]ILS Data pull'!$B:$H,2,0)</f>
        <v>CB-Purple Re Ltd. Series 2024-1 Class A Reset 2025</v>
      </c>
      <c r="D13" s="19" t="str">
        <f t="shared" si="0"/>
        <v>2024-1</v>
      </c>
      <c r="E13" s="19" t="str">
        <f t="shared" si="1"/>
        <v>Class A</v>
      </c>
      <c r="F13" s="19" t="str">
        <f t="shared" si="2"/>
        <v>2025</v>
      </c>
      <c r="H13" s="19" t="s">
        <v>1456</v>
      </c>
      <c r="I13" s="21" t="str">
        <f>VLOOKUP(K13,'[2]ETF Portfolio'!$A$18:$I$114,9,0)</f>
        <v>Slide</v>
      </c>
      <c r="K13" s="21" t="s">
        <v>697</v>
      </c>
      <c r="L13" s="21" t="str" cm="1">
        <f t="array" ref="L13:M13">VLOOKUP(K13,'[2]ETF Portfolio'!A30:$M$114,{12,13},0)</f>
        <v>4/9/2024</v>
      </c>
      <c r="M13" s="21" t="str">
        <v>6/7/2027</v>
      </c>
      <c r="O13" s="19" t="str">
        <f>VLOOKUP(K13,'[2]ETF Portfolio'!$A$18:$B$114,2,0)</f>
        <v>Cat Bond</v>
      </c>
      <c r="P13" s="22">
        <f>VLOOKUP(C13,'[2]ILS Data pull'!$C:$H,2,0)</f>
        <v>0</v>
      </c>
      <c r="Q13" s="22">
        <f>VLOOKUP(C13,'[2]ILS Data pull'!$C:$H,4,0)</f>
        <v>300000000</v>
      </c>
      <c r="R13" s="23">
        <f>VLOOKUP(K13,'[2]ETF Portfolio'!$A$18:$U$114,21,0)</f>
        <v>250000</v>
      </c>
      <c r="T13" s="24">
        <f>VLOOKUP(K13,'[2]ETF Portfolio'!$A$18:$T$114,20,0)</f>
        <v>102.6</v>
      </c>
      <c r="U13" s="25">
        <f>VLOOKUP(K13,'[2]ETF Portfolio'!$A$18:$R$114,18,0)</f>
        <v>0.12965999755859375</v>
      </c>
      <c r="V13" s="19" t="str">
        <f>VLOOKUP(K13,'[2]ETF Portfolio'!$A$18:$C$114,3,0)</f>
        <v>Buy</v>
      </c>
      <c r="W13" s="21">
        <f>VLOOKUP(K13,'[2]ETF Portfolio'!$A$18:$D$114,4,0)</f>
        <v>45761</v>
      </c>
      <c r="X13" s="26"/>
      <c r="Y13" s="26"/>
      <c r="Z13" s="27">
        <f>R13/VLOOKUP(K13,'[2]ILS Data pull'!$B:$H,7,0)</f>
        <v>1.1904761904761906E-3</v>
      </c>
      <c r="AA13" s="28">
        <f>VLOOKUP(K13,'[2]ETF Portfolio'!$A$18:$Q$114,17,0)</f>
        <v>9.1247227937579611E-2</v>
      </c>
      <c r="AB13" s="19">
        <v>0</v>
      </c>
      <c r="AC13" s="28">
        <f>VLOOKUP(K13, '[2]ETF Portfolio'!$A$18:$AD$114,30,0)</f>
        <v>0.11921872999999999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21">
        <f t="shared" si="3"/>
        <v>45761</v>
      </c>
      <c r="AJ13" s="21">
        <f t="shared" si="4"/>
        <v>45761</v>
      </c>
      <c r="AK13" s="21">
        <f t="shared" si="4"/>
        <v>45761</v>
      </c>
      <c r="AL13" s="21">
        <f t="shared" si="4"/>
        <v>45761</v>
      </c>
      <c r="AM13" s="21">
        <f t="shared" si="4"/>
        <v>45761</v>
      </c>
      <c r="AN13" s="21" t="str">
        <f>VLOOKUP(K13,'[2]ETF Portfolio'!$A$18:$K$114,11,0)</f>
        <v>Indemnity</v>
      </c>
      <c r="AO13" s="21" t="str">
        <f>VLOOKUP(K13,'[2]ETF Portfolio'!$A$18:$J$114,10,0)</f>
        <v>Occurrence</v>
      </c>
      <c r="AP13" s="19">
        <v>0</v>
      </c>
      <c r="AQ13" s="19">
        <v>0</v>
      </c>
      <c r="AR13" s="19">
        <v>0</v>
      </c>
      <c r="AS13" s="19">
        <v>1</v>
      </c>
      <c r="AV13" s="29"/>
    </row>
    <row r="14" spans="1:48" s="20" customFormat="1" x14ac:dyDescent="0.3">
      <c r="A14" t="s">
        <v>1466</v>
      </c>
      <c r="B14" t="s">
        <v>1465</v>
      </c>
      <c r="C14" t="str">
        <f>VLOOKUP(K14,'[2]ILS Data pull'!$B:$H,2,0)</f>
        <v>CB-Aragonite Re Ltd. Series 2024-1 Class A Reset 2025</v>
      </c>
      <c r="D14" s="19" t="str">
        <f t="shared" si="0"/>
        <v>2024-1</v>
      </c>
      <c r="E14" s="19" t="str">
        <f t="shared" si="1"/>
        <v>Class A</v>
      </c>
      <c r="F14" s="19" t="str">
        <f t="shared" si="2"/>
        <v>2025</v>
      </c>
      <c r="H14" s="19" t="s">
        <v>1456</v>
      </c>
      <c r="I14" s="21" t="str">
        <f>VLOOKUP(K14,'[2]ETF Portfolio'!$A$18:$I$114,9,0)</f>
        <v>Brookfield Property</v>
      </c>
      <c r="K14" s="21" t="s">
        <v>541</v>
      </c>
      <c r="L14" s="21" t="str" cm="1">
        <f t="array" ref="L14:M14">VLOOKUP(K14,'[2]ETF Portfolio'!A31:$M$114,{12,13},0)</f>
        <v>3/28/2024</v>
      </c>
      <c r="M14" s="21" t="str">
        <v>4/7/2027</v>
      </c>
      <c r="O14" s="19" t="str">
        <f>VLOOKUP(K14,'[2]ETF Portfolio'!$A$18:$B$114,2,0)</f>
        <v>Cat Bond</v>
      </c>
      <c r="P14" s="22">
        <f>VLOOKUP(C14,'[2]ILS Data pull'!$C:$H,2,0)</f>
        <v>0</v>
      </c>
      <c r="Q14" s="22">
        <f>VLOOKUP(C14,'[2]ILS Data pull'!$C:$H,4,0)</f>
        <v>250000000</v>
      </c>
      <c r="R14" s="23">
        <f>VLOOKUP(K14,'[2]ETF Portfolio'!$A$18:$U$114,21,0)</f>
        <v>250000</v>
      </c>
      <c r="T14" s="24">
        <f>VLOOKUP(K14,'[2]ETF Portfolio'!$A$18:$T$114,20,0)</f>
        <v>103.85</v>
      </c>
      <c r="U14" s="25">
        <f>VLOOKUP(K14,'[2]ETF Portfolio'!$A$18:$R$114,18,0)</f>
        <v>9.3007139999999988E-2</v>
      </c>
      <c r="V14" s="19" t="str">
        <f>VLOOKUP(K14,'[2]ETF Portfolio'!$A$18:$C$114,3,0)</f>
        <v>Buy</v>
      </c>
      <c r="W14" s="21">
        <f>VLOOKUP(K14,'[2]ETF Portfolio'!$A$18:$D$114,4,0)</f>
        <v>45763</v>
      </c>
      <c r="X14" s="26"/>
      <c r="Y14" s="26"/>
      <c r="Z14" s="27">
        <f>R14/VLOOKUP(K14,'[2]ILS Data pull'!$B:$H,7,0)</f>
        <v>2.5000000000000001E-3</v>
      </c>
      <c r="AA14" s="28">
        <f>VLOOKUP(K14,'[2]ETF Portfolio'!$A$18:$Q$114,17,0)</f>
        <v>5.4388598366769E-2</v>
      </c>
      <c r="AB14" s="19">
        <v>0</v>
      </c>
      <c r="AC14" s="28">
        <f>VLOOKUP(K14, '[2]ETF Portfolio'!$A$18:$AD$114,30,0)</f>
        <v>7.5250440000000002E-2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21">
        <f t="shared" si="3"/>
        <v>45763</v>
      </c>
      <c r="AJ14" s="21">
        <f t="shared" si="4"/>
        <v>45763</v>
      </c>
      <c r="AK14" s="21">
        <f t="shared" si="4"/>
        <v>45763</v>
      </c>
      <c r="AL14" s="21">
        <f t="shared" si="4"/>
        <v>45763</v>
      </c>
      <c r="AM14" s="21">
        <f t="shared" si="4"/>
        <v>45763</v>
      </c>
      <c r="AN14" s="21" t="str">
        <f>VLOOKUP(K14,'[2]ETF Portfolio'!$A$18:$K$114,11,0)</f>
        <v>Indemnity</v>
      </c>
      <c r="AO14" s="21" t="str">
        <f>VLOOKUP(K14,'[2]ETF Portfolio'!$A$18:$J$114,10,0)</f>
        <v>Occurrence</v>
      </c>
      <c r="AP14" s="19">
        <v>0</v>
      </c>
      <c r="AQ14" s="19">
        <v>0</v>
      </c>
      <c r="AR14" s="19">
        <v>0</v>
      </c>
      <c r="AS14" s="19">
        <v>1</v>
      </c>
      <c r="AV14" s="29"/>
    </row>
    <row r="15" spans="1:48" s="20" customFormat="1" x14ac:dyDescent="0.3">
      <c r="A15" t="s">
        <v>1468</v>
      </c>
      <c r="B15" t="s">
        <v>1467</v>
      </c>
      <c r="C15" t="str">
        <f>VLOOKUP(K15,'[2]ILS Data pull'!$B:$H,2,0)</f>
        <v>CB-Acorn Re Ltd. Series 2023-1 Class A</v>
      </c>
      <c r="D15" s="19" t="str">
        <f t="shared" si="0"/>
        <v>2023-1</v>
      </c>
      <c r="E15" s="19" t="str">
        <f t="shared" si="1"/>
        <v>Class A</v>
      </c>
      <c r="F15" s="19" t="str">
        <f t="shared" si="2"/>
        <v/>
      </c>
      <c r="H15" s="19" t="s">
        <v>1456</v>
      </c>
      <c r="I15" s="21" t="str">
        <f>VLOOKUP(K15,'[2]ETF Portfolio'!$A$18:$I$114,9,0)</f>
        <v>Oak Tree Insurance</v>
      </c>
      <c r="K15" s="21" t="s">
        <v>1003</v>
      </c>
      <c r="L15" s="21" t="str" cm="1">
        <f t="array" ref="L15:M15">VLOOKUP(K15,'[2]ETF Portfolio'!A32:$M$114,{12,13},0)</f>
        <v>6/27/2023</v>
      </c>
      <c r="M15" s="21" t="str">
        <v>11/6/2026</v>
      </c>
      <c r="O15" s="19" t="str">
        <f>VLOOKUP(K15,'[2]ETF Portfolio'!$A$18:$B$114,2,0)</f>
        <v>Cat Bond</v>
      </c>
      <c r="P15" s="22">
        <f>VLOOKUP(C15,'[2]ILS Data pull'!$C:$H,2,0)</f>
        <v>0</v>
      </c>
      <c r="Q15" s="22">
        <f>VLOOKUP(C15,'[2]ILS Data pull'!$C:$H,4,0)</f>
        <v>150000000</v>
      </c>
      <c r="R15" s="23">
        <f>VLOOKUP(K15,'[2]ETF Portfolio'!$A$18:$U$114,21,0)</f>
        <v>250000</v>
      </c>
      <c r="T15" s="24">
        <f>VLOOKUP(K15,'[2]ETF Portfolio'!$A$18:$T$114,20,0)</f>
        <v>102.4</v>
      </c>
      <c r="U15" s="25">
        <f>VLOOKUP(K15,'[2]ETF Portfolio'!$A$18:$R$114,18,0)</f>
        <v>8.1708199999999995E-2</v>
      </c>
      <c r="V15" s="19" t="str">
        <f>VLOOKUP(K15,'[2]ETF Portfolio'!$A$18:$C$114,3,0)</f>
        <v>Buy</v>
      </c>
      <c r="W15" s="21">
        <f>VLOOKUP(K15,'[2]ETF Portfolio'!$A$18:$D$114,4,0)</f>
        <v>45763</v>
      </c>
      <c r="X15" s="26"/>
      <c r="Y15" s="26"/>
      <c r="Z15" s="27">
        <f>R15/VLOOKUP(K15,'[2]ILS Data pull'!$B:$H,7,0)</f>
        <v>1.6666666666666668E-3</v>
      </c>
      <c r="AA15" s="28">
        <f>VLOOKUP(K15,'[2]ETF Portfolio'!$A$18:$Q$114,17,0)</f>
        <v>4.342876561368355E-2</v>
      </c>
      <c r="AB15" s="19">
        <v>0</v>
      </c>
      <c r="AC15" s="28">
        <f>VLOOKUP(K15, '[2]ETF Portfolio'!$A$18:$AD$114,30,0)</f>
        <v>6.8990380000000004E-2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21">
        <f t="shared" si="3"/>
        <v>45763</v>
      </c>
      <c r="AJ15" s="21">
        <f t="shared" si="4"/>
        <v>45763</v>
      </c>
      <c r="AK15" s="21">
        <f t="shared" si="4"/>
        <v>45763</v>
      </c>
      <c r="AL15" s="21">
        <f t="shared" si="4"/>
        <v>45763</v>
      </c>
      <c r="AM15" s="21">
        <f t="shared" si="4"/>
        <v>45763</v>
      </c>
      <c r="AN15" s="21" t="str">
        <f>VLOOKUP(K15,'[2]ETF Portfolio'!$A$18:$K$114,11,0)</f>
        <v>Parametric</v>
      </c>
      <c r="AO15" s="21" t="str">
        <f>VLOOKUP(K15,'[2]ETF Portfolio'!$A$18:$J$114,10,0)</f>
        <v>Occurrence</v>
      </c>
      <c r="AP15" s="19">
        <v>0</v>
      </c>
      <c r="AQ15" s="19">
        <v>0</v>
      </c>
      <c r="AR15" s="19">
        <v>0</v>
      </c>
      <c r="AS15" s="19">
        <v>1</v>
      </c>
      <c r="AV15" s="29"/>
    </row>
    <row r="16" spans="1:48" s="20" customFormat="1" x14ac:dyDescent="0.3">
      <c r="A16" t="s">
        <v>1470</v>
      </c>
      <c r="B16" t="s">
        <v>1469</v>
      </c>
      <c r="C16" t="str">
        <f>VLOOKUP(K16,'[2]ILS Data pull'!$B:$H,2,0)</f>
        <v>CB-Foundation Re IV Ltd. Series 2023-1 Class A Reset 2025</v>
      </c>
      <c r="D16" s="19" t="str">
        <f t="shared" si="0"/>
        <v>2023-1</v>
      </c>
      <c r="E16" s="19" t="str">
        <f t="shared" si="1"/>
        <v>Class A</v>
      </c>
      <c r="F16" s="19" t="str">
        <f t="shared" si="2"/>
        <v>2025</v>
      </c>
      <c r="H16" s="19" t="s">
        <v>1456</v>
      </c>
      <c r="I16" s="21" t="str">
        <f>VLOOKUP(K16,'[2]ETF Portfolio'!$A$18:$I$114,9,0)</f>
        <v>Hartford</v>
      </c>
      <c r="K16" s="21" t="s">
        <v>1355</v>
      </c>
      <c r="L16" s="21" t="str" cm="1">
        <f t="array" ref="L16:M16">VLOOKUP(K16,'[2]ETF Portfolio'!A33:$M$114,{12,13},0)</f>
        <v>12/27/2023</v>
      </c>
      <c r="M16" s="21" t="str">
        <v>1/8/2027</v>
      </c>
      <c r="O16" s="19" t="str">
        <f>VLOOKUP(K16,'[2]ETF Portfolio'!$A$18:$B$114,2,0)</f>
        <v>Cat Bond</v>
      </c>
      <c r="P16" s="22">
        <f>VLOOKUP(C16,'[2]ILS Data pull'!$C:$H,2,0)</f>
        <v>0</v>
      </c>
      <c r="Q16" s="22">
        <f>VLOOKUP(C16,'[2]ILS Data pull'!$C:$H,4,0)</f>
        <v>301000000</v>
      </c>
      <c r="R16" s="23">
        <f>VLOOKUP(K16,'[2]ETF Portfolio'!$A$18:$U$114,21,0)</f>
        <v>250000</v>
      </c>
      <c r="T16" s="24">
        <f>VLOOKUP(K16,'[2]ETF Portfolio'!$A$18:$T$114,20,0)</f>
        <v>103.1</v>
      </c>
      <c r="U16" s="25">
        <f>VLOOKUP(K16,'[2]ETF Portfolio'!$A$18:$R$114,18,0)</f>
        <v>0.1009</v>
      </c>
      <c r="V16" s="19" t="str">
        <f>VLOOKUP(K16,'[2]ETF Portfolio'!$A$18:$C$114,3,0)</f>
        <v>Buy</v>
      </c>
      <c r="W16" s="21">
        <f>VLOOKUP(K16,'[2]ETF Portfolio'!$A$18:$D$114,4,0)</f>
        <v>45770</v>
      </c>
      <c r="X16" s="26"/>
      <c r="Y16" s="26"/>
      <c r="Z16" s="27">
        <f>R16/VLOOKUP(K16,'[2]ILS Data pull'!$B:$H,7,0)</f>
        <v>1.25E-3</v>
      </c>
      <c r="AA16" s="28">
        <f>VLOOKUP(K16,'[2]ETF Portfolio'!$A$18:$Q$114,17,0)</f>
        <v>6.2344141903376588E-2</v>
      </c>
      <c r="AB16" s="19">
        <v>0</v>
      </c>
      <c r="AC16" s="28">
        <f>VLOOKUP(K16, '[2]ETF Portfolio'!$A$18:$AD$114,30,0)</f>
        <v>8.4681469999999995E-2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21">
        <f t="shared" si="3"/>
        <v>45770</v>
      </c>
      <c r="AJ16" s="21">
        <f t="shared" si="4"/>
        <v>45770</v>
      </c>
      <c r="AK16" s="21">
        <f t="shared" si="4"/>
        <v>45770</v>
      </c>
      <c r="AL16" s="21">
        <f t="shared" si="4"/>
        <v>45770</v>
      </c>
      <c r="AM16" s="21">
        <f t="shared" si="4"/>
        <v>45770</v>
      </c>
      <c r="AN16" s="21" t="str">
        <f>VLOOKUP(K16,'[2]ETF Portfolio'!$A$18:$K$114,11,0)</f>
        <v>Indemnity</v>
      </c>
      <c r="AO16" s="21" t="str">
        <f>VLOOKUP(K16,'[2]ETF Portfolio'!$A$18:$J$114,10,0)</f>
        <v>Occurrence</v>
      </c>
      <c r="AP16" s="19">
        <v>0</v>
      </c>
      <c r="AQ16" s="19">
        <v>0</v>
      </c>
      <c r="AR16" s="19">
        <v>0</v>
      </c>
      <c r="AS16" s="19">
        <v>1</v>
      </c>
      <c r="AV16" s="29"/>
    </row>
    <row r="17" spans="1:48" s="20" customFormat="1" x14ac:dyDescent="0.3">
      <c r="A17" t="s">
        <v>1472</v>
      </c>
      <c r="B17" t="s">
        <v>1471</v>
      </c>
      <c r="C17" t="str">
        <f>VLOOKUP(K17,'[2]ILS Data pull'!$B:$H,2,0)</f>
        <v>CB-Foundation Re IV Ltd. Series 2023-1 Class A Reset 2025</v>
      </c>
      <c r="D17" s="19" t="str">
        <f t="shared" si="0"/>
        <v>2023-1</v>
      </c>
      <c r="E17" s="19" t="str">
        <f t="shared" si="1"/>
        <v>Class A</v>
      </c>
      <c r="F17" s="19" t="str">
        <f t="shared" si="2"/>
        <v>2025</v>
      </c>
      <c r="H17" s="19" t="s">
        <v>1456</v>
      </c>
      <c r="I17" s="21" t="str">
        <f>VLOOKUP(K17,'[2]ETF Portfolio'!$A$18:$I$114,9,0)</f>
        <v>Hartford</v>
      </c>
      <c r="K17" s="21" t="s">
        <v>1356</v>
      </c>
      <c r="L17" s="21" t="str" cm="1">
        <f t="array" ref="L17:M17">VLOOKUP(K17,'[2]ETF Portfolio'!A34:$M$114,{12,13},0)</f>
        <v>12/27/2023</v>
      </c>
      <c r="M17" s="21" t="str">
        <v>1/8/2027</v>
      </c>
      <c r="O17" s="19" t="str">
        <f>VLOOKUP(K17,'[2]ETF Portfolio'!$A$18:$B$114,2,0)</f>
        <v>Cat Bond</v>
      </c>
      <c r="P17" s="22">
        <f>VLOOKUP(C17,'[2]ILS Data pull'!$C:$H,2,0)</f>
        <v>0</v>
      </c>
      <c r="Q17" s="22">
        <f>VLOOKUP(C17,'[2]ILS Data pull'!$C:$H,4,0)</f>
        <v>301000000</v>
      </c>
      <c r="R17" s="23">
        <f>VLOOKUP(K17,'[2]ETF Portfolio'!$A$18:$U$114,21,0)</f>
        <v>250000</v>
      </c>
      <c r="T17" s="24">
        <f>VLOOKUP(K17,'[2]ETF Portfolio'!$A$18:$T$114,20,0)</f>
        <v>103.6</v>
      </c>
      <c r="U17" s="25">
        <f>VLOOKUP(K17,'[2]ETF Portfolio'!$A$18:$R$114,18,0)</f>
        <v>0.1009</v>
      </c>
      <c r="V17" s="19" t="str">
        <f>VLOOKUP(K17,'[2]ETF Portfolio'!$A$18:$C$114,3,0)</f>
        <v>Buy</v>
      </c>
      <c r="W17" s="21">
        <f>VLOOKUP(K17,'[2]ETF Portfolio'!$A$18:$D$114,4,0)</f>
        <v>45889</v>
      </c>
      <c r="X17" s="26"/>
      <c r="Y17" s="26"/>
      <c r="Z17" s="27">
        <f>R17/VLOOKUP(K17,'[2]ILS Data pull'!$B:$H,7,0)</f>
        <v>1.25E-3</v>
      </c>
      <c r="AA17" s="28">
        <f>VLOOKUP(K17,'[2]ETF Portfolio'!$A$18:$Q$114,17,0)</f>
        <v>6.2344141903376588E-2</v>
      </c>
      <c r="AB17" s="19">
        <v>0</v>
      </c>
      <c r="AC17" s="28">
        <f>VLOOKUP(K17, '[2]ETF Portfolio'!$A$18:$AD$114,30,0)</f>
        <v>7.6477260000000005E-2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21">
        <f t="shared" si="3"/>
        <v>45889</v>
      </c>
      <c r="AJ17" s="21">
        <f t="shared" si="4"/>
        <v>45889</v>
      </c>
      <c r="AK17" s="21">
        <f t="shared" si="4"/>
        <v>45889</v>
      </c>
      <c r="AL17" s="21">
        <f t="shared" si="4"/>
        <v>45889</v>
      </c>
      <c r="AM17" s="21">
        <f t="shared" si="4"/>
        <v>45889</v>
      </c>
      <c r="AN17" s="21" t="str">
        <f>VLOOKUP(K17,'[2]ETF Portfolio'!$A$18:$K$114,11,0)</f>
        <v>Indemnity</v>
      </c>
      <c r="AO17" s="21" t="str">
        <f>VLOOKUP(K17,'[2]ETF Portfolio'!$A$18:$J$114,10,0)</f>
        <v>Occurrence</v>
      </c>
      <c r="AP17" s="19">
        <v>0</v>
      </c>
      <c r="AQ17" s="19">
        <v>0</v>
      </c>
      <c r="AR17" s="19">
        <v>0</v>
      </c>
      <c r="AS17" s="19">
        <v>1</v>
      </c>
      <c r="AV17" s="29"/>
    </row>
    <row r="18" spans="1:48" s="20" customFormat="1" x14ac:dyDescent="0.3">
      <c r="A18" t="s">
        <v>1474</v>
      </c>
      <c r="B18" t="s">
        <v>1473</v>
      </c>
      <c r="C18" t="str">
        <f>VLOOKUP(K18,'[2]ILS Data pull'!$B:$H,2,0)</f>
        <v>CB-Commonwealth Re Ltd. Series 2023-1 Class A Reset 2025</v>
      </c>
      <c r="D18" s="19" t="str">
        <f t="shared" si="0"/>
        <v>2023-1</v>
      </c>
      <c r="E18" s="19" t="str">
        <f t="shared" si="1"/>
        <v>Class A</v>
      </c>
      <c r="F18" s="19" t="str">
        <f t="shared" si="2"/>
        <v>2025</v>
      </c>
      <c r="H18" s="19" t="s">
        <v>1456</v>
      </c>
      <c r="I18" s="21" t="str">
        <f>VLOOKUP(K18,'[2]ETF Portfolio'!$A$18:$I$114,9,0)</f>
        <v>Hannover Insurance</v>
      </c>
      <c r="K18" s="21" t="s">
        <v>946</v>
      </c>
      <c r="L18" s="21" t="str" cm="1">
        <f t="array" ref="L18:M18">VLOOKUP(K18,'[2]ETF Portfolio'!A35:$M$114,{12,13},0)</f>
        <v>6/21/2023</v>
      </c>
      <c r="M18" s="21" t="str">
        <v>7/8/2026</v>
      </c>
      <c r="O18" s="19" t="str">
        <f>VLOOKUP(K18,'[2]ETF Portfolio'!$A$18:$B$114,2,0)</f>
        <v>Cat Bond</v>
      </c>
      <c r="P18" s="22">
        <f>VLOOKUP(C18,'[2]ILS Data pull'!$C:$H,2,0)</f>
        <v>0</v>
      </c>
      <c r="Q18" s="22">
        <f>VLOOKUP(C18,'[2]ILS Data pull'!$C:$H,4,0)</f>
        <v>150000000</v>
      </c>
      <c r="R18" s="23">
        <f>VLOOKUP(K18,'[2]ETF Portfolio'!$A$18:$U$114,21,0)</f>
        <v>250000</v>
      </c>
      <c r="T18" s="24">
        <f>VLOOKUP(K18,'[2]ETF Portfolio'!$A$18:$T$114,20,0)</f>
        <v>101.15</v>
      </c>
      <c r="U18" s="25">
        <f>VLOOKUP(K18,'[2]ETF Portfolio'!$A$18:$R$114,18,0)</f>
        <v>7.7850000000000003E-2</v>
      </c>
      <c r="V18" s="19" t="str">
        <f>VLOOKUP(K18,'[2]ETF Portfolio'!$A$18:$C$114,3,0)</f>
        <v>Buy</v>
      </c>
      <c r="W18" s="21">
        <f>VLOOKUP(K18,'[2]ETF Portfolio'!$A$18:$D$114,4,0)</f>
        <v>45775</v>
      </c>
      <c r="X18" s="26"/>
      <c r="Y18" s="26"/>
      <c r="Z18" s="27">
        <f>R18/VLOOKUP(K18,'[2]ILS Data pull'!$B:$H,7,0)</f>
        <v>1.6666666666666668E-3</v>
      </c>
      <c r="AA18" s="28">
        <f>VLOOKUP(K18,'[2]ETF Portfolio'!$A$18:$Q$114,17,0)</f>
        <v>3.8097325757443325E-2</v>
      </c>
      <c r="AB18" s="19">
        <v>0</v>
      </c>
      <c r="AC18" s="28">
        <f>VLOOKUP(K18, '[2]ETF Portfolio'!$A$18:$AD$114,30,0)</f>
        <v>6.9939169999999995E-2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21">
        <f t="shared" si="3"/>
        <v>45775</v>
      </c>
      <c r="AJ18" s="21">
        <f t="shared" ref="AJ18:AM50" si="5">AI18</f>
        <v>45775</v>
      </c>
      <c r="AK18" s="21">
        <f t="shared" si="5"/>
        <v>45775</v>
      </c>
      <c r="AL18" s="21">
        <f t="shared" si="5"/>
        <v>45775</v>
      </c>
      <c r="AM18" s="21">
        <f t="shared" si="5"/>
        <v>45775</v>
      </c>
      <c r="AN18" s="21" t="str">
        <f>VLOOKUP(K18,'[2]ETF Portfolio'!$A$18:$K$114,11,0)</f>
        <v>Indemnity</v>
      </c>
      <c r="AO18" s="21" t="str">
        <f>VLOOKUP(K18,'[2]ETF Portfolio'!$A$18:$J$114,10,0)</f>
        <v>Occurrence</v>
      </c>
      <c r="AP18" s="19">
        <v>0</v>
      </c>
      <c r="AQ18" s="19">
        <v>0</v>
      </c>
      <c r="AR18" s="19">
        <v>0</v>
      </c>
      <c r="AS18" s="19">
        <v>1</v>
      </c>
      <c r="AV18" s="29"/>
    </row>
    <row r="19" spans="1:48" s="20" customFormat="1" x14ac:dyDescent="0.3">
      <c r="A19" t="s">
        <v>1476</v>
      </c>
      <c r="B19" t="s">
        <v>1475</v>
      </c>
      <c r="C19" t="str">
        <f>VLOOKUP(K19,'[2]ILS Data pull'!$B:$H,2,0)</f>
        <v>CB-Wrigley Re Ltd. Series 2023-1 Class A Reset 2025</v>
      </c>
      <c r="D19" s="19" t="str">
        <f t="shared" si="0"/>
        <v>2023-1</v>
      </c>
      <c r="E19" s="19" t="str">
        <f t="shared" si="1"/>
        <v>Class A</v>
      </c>
      <c r="F19" s="19" t="str">
        <f t="shared" si="2"/>
        <v>2025</v>
      </c>
      <c r="H19" s="19" t="s">
        <v>1456</v>
      </c>
      <c r="I19" s="21" t="str">
        <f>VLOOKUP(K19,'[2]ETF Portfolio'!$A$18:$I$114,9,0)</f>
        <v>Gryphon Mutual (Blackstone)</v>
      </c>
      <c r="K19" s="21" t="s">
        <v>1100</v>
      </c>
      <c r="L19" s="21" t="str" cm="1">
        <f t="array" ref="L19:M19">VLOOKUP(K19,'[2]ETF Portfolio'!A36:$M$114,{12,13},0)</f>
        <v>7/19/2023</v>
      </c>
      <c r="M19" s="21" t="str">
        <v>8/7/2026</v>
      </c>
      <c r="O19" s="19" t="str">
        <f>VLOOKUP(K19,'[2]ETF Portfolio'!$A$18:$B$114,2,0)</f>
        <v>Cat Bond</v>
      </c>
      <c r="P19" s="22">
        <f>VLOOKUP(C19,'[2]ILS Data pull'!$C:$H,2,0)</f>
        <v>0</v>
      </c>
      <c r="Q19" s="22">
        <f>VLOOKUP(C19,'[2]ILS Data pull'!$C:$H,4,0)</f>
        <v>300000000</v>
      </c>
      <c r="R19" s="23">
        <f>VLOOKUP(K19,'[2]ETF Portfolio'!$A$18:$U$114,21,0)</f>
        <v>250000</v>
      </c>
      <c r="T19" s="24">
        <f>VLOOKUP(K19,'[2]ETF Portfolio'!$A$18:$T$114,20,0)</f>
        <v>101.95</v>
      </c>
      <c r="U19" s="25">
        <f>VLOOKUP(K19,'[2]ETF Portfolio'!$A$18:$R$114,18,0)</f>
        <v>0.1004</v>
      </c>
      <c r="V19" s="19" t="str">
        <f>VLOOKUP(K19,'[2]ETF Portfolio'!$A$18:$C$114,3,0)</f>
        <v>Buy</v>
      </c>
      <c r="W19" s="21">
        <f>VLOOKUP(K19,'[2]ETF Portfolio'!$A$18:$D$114,4,0)</f>
        <v>45777</v>
      </c>
      <c r="X19" s="26"/>
      <c r="Y19" s="26"/>
      <c r="Z19" s="27">
        <f>R19/VLOOKUP(K19,'[2]ILS Data pull'!$B:$H,7,0)</f>
        <v>2.5000000000000001E-3</v>
      </c>
      <c r="AA19" s="28">
        <f>VLOOKUP(K19,'[2]ETF Portfolio'!$A$18:$Q$114,17,0)</f>
        <v>6.1561047014999995E-2</v>
      </c>
      <c r="AB19" s="19">
        <v>0</v>
      </c>
      <c r="AC19" s="28">
        <f>VLOOKUP(K19, '[2]ETF Portfolio'!$A$18:$AD$114,30,0)</f>
        <v>8.6950429999999995E-2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21">
        <f t="shared" si="3"/>
        <v>45777</v>
      </c>
      <c r="AJ19" s="21">
        <f t="shared" si="5"/>
        <v>45777</v>
      </c>
      <c r="AK19" s="21">
        <f t="shared" si="5"/>
        <v>45777</v>
      </c>
      <c r="AL19" s="21">
        <f t="shared" si="5"/>
        <v>45777</v>
      </c>
      <c r="AM19" s="21">
        <f t="shared" si="5"/>
        <v>45777</v>
      </c>
      <c r="AN19" s="21" t="str">
        <f>VLOOKUP(K19,'[2]ETF Portfolio'!$A$18:$K$114,11,0)</f>
        <v>Indemnity</v>
      </c>
      <c r="AO19" s="21" t="str">
        <f>VLOOKUP(K19,'[2]ETF Portfolio'!$A$18:$J$114,10,0)</f>
        <v>Occurrence</v>
      </c>
      <c r="AP19" s="19">
        <v>0</v>
      </c>
      <c r="AQ19" s="19">
        <v>0</v>
      </c>
      <c r="AR19" s="19">
        <v>0</v>
      </c>
      <c r="AS19" s="19">
        <v>1</v>
      </c>
      <c r="AV19" s="29"/>
    </row>
    <row r="20" spans="1:48" s="20" customFormat="1" x14ac:dyDescent="0.3">
      <c r="A20" t="s">
        <v>1478</v>
      </c>
      <c r="B20" t="s">
        <v>1477</v>
      </c>
      <c r="C20" t="str">
        <f>VLOOKUP(K20,'[2]ILS Data pull'!$B:$H,2,0)</f>
        <v>CB-Charles River Re Ltd. Series 2024-1 Class A Reset 2025</v>
      </c>
      <c r="D20" s="19" t="str">
        <f t="shared" si="0"/>
        <v>2024-1</v>
      </c>
      <c r="E20" s="19" t="str">
        <f t="shared" si="1"/>
        <v>Class A</v>
      </c>
      <c r="F20" s="19" t="str">
        <f t="shared" si="2"/>
        <v>2025</v>
      </c>
      <c r="H20" s="19" t="s">
        <v>1456</v>
      </c>
      <c r="I20" s="21" t="str">
        <f>VLOOKUP(K20,'[2]ETF Portfolio'!$A$18:$I$114,9,0)</f>
        <v xml:space="preserve">American European Insurance </v>
      </c>
      <c r="K20" s="21" t="s">
        <v>879</v>
      </c>
      <c r="L20" s="21" t="str" cm="1">
        <f t="array" ref="L20:M20">VLOOKUP(K20,'[2]ETF Portfolio'!A37:$M$114,{12,13},0)</f>
        <v>4/11/2024</v>
      </c>
      <c r="M20" s="21" t="str">
        <v>5/10/2027</v>
      </c>
      <c r="O20" s="19" t="str">
        <f>VLOOKUP(K20,'[2]ETF Portfolio'!$A$18:$B$114,2,0)</f>
        <v>Cat Bond</v>
      </c>
      <c r="P20" s="22">
        <f>VLOOKUP(C20,'[2]ILS Data pull'!$C:$H,2,0)</f>
        <v>0</v>
      </c>
      <c r="Q20" s="22">
        <f>VLOOKUP(C20,'[2]ILS Data pull'!$C:$H,4,0)</f>
        <v>125000000</v>
      </c>
      <c r="R20" s="23">
        <f>VLOOKUP(K20,'[2]ETF Portfolio'!$A$18:$U$114,21,0)</f>
        <v>250000</v>
      </c>
      <c r="T20" s="24">
        <f>VLOOKUP(K20,'[2]ETF Portfolio'!$A$18:$T$114,20,0)</f>
        <v>102</v>
      </c>
      <c r="U20" s="25">
        <f>VLOOKUP(K20,'[2]ETF Portfolio'!$A$18:$R$114,18,0)</f>
        <v>0.11452000122070313</v>
      </c>
      <c r="V20" s="19" t="str">
        <f>VLOOKUP(K20,'[2]ETF Portfolio'!$A$18:$C$114,3,0)</f>
        <v>Buy</v>
      </c>
      <c r="W20" s="21">
        <f>VLOOKUP(K20,'[2]ETF Portfolio'!$A$18:$D$114,4,0)</f>
        <v>45777</v>
      </c>
      <c r="X20" s="26"/>
      <c r="Y20" s="26"/>
      <c r="Z20" s="27">
        <f>R20/VLOOKUP(K20,'[2]ILS Data pull'!$B:$H,7,0)</f>
        <v>2E-3</v>
      </c>
      <c r="AA20" s="28">
        <f>VLOOKUP(K20,'[2]ETF Portfolio'!$A$18:$Q$114,17,0)</f>
        <v>7.6309884370243677E-2</v>
      </c>
      <c r="AB20" s="19">
        <v>0</v>
      </c>
      <c r="AC20" s="28">
        <f>VLOOKUP(K20, '[2]ETF Portfolio'!$A$18:$AD$114,30,0)</f>
        <v>0.106922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21">
        <f t="shared" si="3"/>
        <v>45777</v>
      </c>
      <c r="AJ20" s="21">
        <f t="shared" si="5"/>
        <v>45777</v>
      </c>
      <c r="AK20" s="21">
        <f t="shared" si="5"/>
        <v>45777</v>
      </c>
      <c r="AL20" s="21">
        <f t="shared" si="5"/>
        <v>45777</v>
      </c>
      <c r="AM20" s="21">
        <f t="shared" si="5"/>
        <v>45777</v>
      </c>
      <c r="AN20" s="21" t="str">
        <f>VLOOKUP(K20,'[2]ETF Portfolio'!$A$18:$K$114,11,0)</f>
        <v>Indemnity</v>
      </c>
      <c r="AO20" s="21" t="str">
        <f>VLOOKUP(K20,'[2]ETF Portfolio'!$A$18:$J$114,10,0)</f>
        <v>Occurrence</v>
      </c>
      <c r="AP20" s="19">
        <v>0</v>
      </c>
      <c r="AQ20" s="19">
        <v>0</v>
      </c>
      <c r="AR20" s="19">
        <v>0</v>
      </c>
      <c r="AS20" s="19">
        <v>1</v>
      </c>
      <c r="AV20" s="29"/>
    </row>
    <row r="21" spans="1:48" s="20" customFormat="1" x14ac:dyDescent="0.3">
      <c r="A21" t="s">
        <v>1480</v>
      </c>
      <c r="B21" t="s">
        <v>1479</v>
      </c>
      <c r="C21" t="str">
        <f>VLOOKUP(K21,'[2]ILS Data pull'!$B:$H,2,0)</f>
        <v>CB-Winston Re Ltd. Series 2025-1 Class A</v>
      </c>
      <c r="D21" s="19" t="str">
        <f t="shared" si="0"/>
        <v>2025-1</v>
      </c>
      <c r="E21" s="19" t="str">
        <f t="shared" si="1"/>
        <v>Class A</v>
      </c>
      <c r="F21" s="19" t="str">
        <f t="shared" si="2"/>
        <v/>
      </c>
      <c r="H21" s="19" t="s">
        <v>1456</v>
      </c>
      <c r="I21" s="21" t="str">
        <f>VLOOKUP(K21,'[2]ETF Portfolio'!$A$18:$I$114,9,0)</f>
        <v>Tower Hill Ins Exch</v>
      </c>
      <c r="K21" s="21" t="s">
        <v>1361</v>
      </c>
      <c r="L21" s="21" t="str" cm="1">
        <f t="array" ref="L21:M21">VLOOKUP(K21,'[2]ETF Portfolio'!A38:$M$114,{12,13},0)</f>
        <v>2/13/2025</v>
      </c>
      <c r="M21" s="21" t="str">
        <v>2/21/2028</v>
      </c>
      <c r="O21" s="19" t="str">
        <f>VLOOKUP(K21,'[2]ETF Portfolio'!$A$18:$B$114,2,0)</f>
        <v>Cat Bond</v>
      </c>
      <c r="P21" s="22">
        <f>VLOOKUP(C21,'[2]ILS Data pull'!$C:$H,2,0)</f>
        <v>0</v>
      </c>
      <c r="Q21" s="22">
        <f>VLOOKUP(C21,'[2]ILS Data pull'!$C:$H,4,0)</f>
        <v>200000000</v>
      </c>
      <c r="R21" s="23">
        <f>VLOOKUP(K21,'[2]ETF Portfolio'!$A$18:$U$114,21,0)</f>
        <v>250000</v>
      </c>
      <c r="T21" s="24">
        <f>VLOOKUP(K21,'[2]ETF Portfolio'!$A$18:$T$114,20,0)</f>
        <v>99.85</v>
      </c>
      <c r="U21" s="25">
        <f>VLOOKUP(K21,'[2]ETF Portfolio'!$A$18:$R$114,18,0)</f>
        <v>0.1032</v>
      </c>
      <c r="V21" s="19" t="str">
        <f>VLOOKUP(K21,'[2]ETF Portfolio'!$A$18:$C$114,3,0)</f>
        <v>Buy</v>
      </c>
      <c r="W21" s="21">
        <f>VLOOKUP(K21,'[2]ETF Portfolio'!$A$18:$D$114,4,0)</f>
        <v>45784</v>
      </c>
      <c r="X21" s="26"/>
      <c r="Y21" s="26"/>
      <c r="Z21" s="27">
        <f>R21/VLOOKUP(K21,'[2]ILS Data pull'!$B:$H,7,0)</f>
        <v>1.4285714285714286E-3</v>
      </c>
      <c r="AA21" s="28">
        <f>VLOOKUP(K21,'[2]ETF Portfolio'!$A$18:$Q$114,17,0)</f>
        <v>6.4970000542552628E-2</v>
      </c>
      <c r="AB21" s="19">
        <v>0</v>
      </c>
      <c r="AC21" s="28">
        <f>VLOOKUP(K21, '[2]ETF Portfolio'!$A$18:$AD$114,30,0)</f>
        <v>0.10708301000000001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21">
        <f t="shared" si="3"/>
        <v>45784</v>
      </c>
      <c r="AJ21" s="21">
        <f t="shared" si="5"/>
        <v>45784</v>
      </c>
      <c r="AK21" s="21">
        <f t="shared" si="5"/>
        <v>45784</v>
      </c>
      <c r="AL21" s="21">
        <f t="shared" si="5"/>
        <v>45784</v>
      </c>
      <c r="AM21" s="21">
        <f t="shared" si="5"/>
        <v>45784</v>
      </c>
      <c r="AN21" s="21" t="str">
        <f>VLOOKUP(K21,'[2]ETF Portfolio'!$A$18:$K$114,11,0)</f>
        <v>Indemnity</v>
      </c>
      <c r="AO21" s="21" t="str">
        <f>VLOOKUP(K21,'[2]ETF Portfolio'!$A$18:$J$114,10,0)</f>
        <v>Occurrence</v>
      </c>
      <c r="AP21" s="19">
        <v>0</v>
      </c>
      <c r="AQ21" s="19">
        <v>0</v>
      </c>
      <c r="AR21" s="19">
        <v>0</v>
      </c>
      <c r="AS21" s="19">
        <v>1</v>
      </c>
      <c r="AV21" s="29"/>
    </row>
    <row r="22" spans="1:48" s="20" customFormat="1" x14ac:dyDescent="0.3">
      <c r="A22" t="s">
        <v>1482</v>
      </c>
      <c r="B22" t="s">
        <v>1481</v>
      </c>
      <c r="C22" t="str">
        <f>VLOOKUP(K22,'[2]ILS Data pull'!$B:$H,2,0)</f>
        <v>CB-Torrey Pines Re Ltd. Series 2023-1 Class A Reset 2025</v>
      </c>
      <c r="D22" s="19" t="str">
        <f t="shared" si="0"/>
        <v>2023-1</v>
      </c>
      <c r="E22" s="19" t="str">
        <f t="shared" si="1"/>
        <v>Class A</v>
      </c>
      <c r="F22" s="19" t="str">
        <f t="shared" si="2"/>
        <v>2025</v>
      </c>
      <c r="H22" s="19" t="s">
        <v>1456</v>
      </c>
      <c r="I22" s="21" t="str">
        <f>VLOOKUP(K22,'[2]ETF Portfolio'!$A$18:$I$114,9,0)</f>
        <v>Palomar Specialty</v>
      </c>
      <c r="K22" s="21" t="s">
        <v>549</v>
      </c>
      <c r="L22" s="21" t="str" cm="1">
        <f t="array" ref="L22:M22">VLOOKUP(K22,'[2]ETF Portfolio'!A39:$M$114,{12,13},0)</f>
        <v>5/25/2023</v>
      </c>
      <c r="M22" s="21" t="str">
        <v>6/5/2026</v>
      </c>
      <c r="O22" s="19" t="str">
        <f>VLOOKUP(K22,'[2]ETF Portfolio'!$A$18:$B$114,2,0)</f>
        <v>Cat Bond</v>
      </c>
      <c r="P22" s="22">
        <f>VLOOKUP(C22,'[2]ILS Data pull'!$C:$H,2,0)</f>
        <v>0</v>
      </c>
      <c r="Q22" s="22">
        <f>VLOOKUP(C22,'[2]ILS Data pull'!$C:$H,4,0)</f>
        <v>150000000</v>
      </c>
      <c r="R22" s="23">
        <f>VLOOKUP(K22,'[2]ETF Portfolio'!$A$18:$U$114,21,0)</f>
        <v>250000</v>
      </c>
      <c r="T22" s="24">
        <f>VLOOKUP(K22,'[2]ETF Portfolio'!$A$18:$T$114,20,0)</f>
        <v>101.95</v>
      </c>
      <c r="U22" s="25">
        <f>VLOOKUP(K22,'[2]ETF Portfolio'!$A$18:$R$114,18,0)</f>
        <v>9.1459997558593742E-2</v>
      </c>
      <c r="V22" s="19" t="str">
        <f>VLOOKUP(K22,'[2]ETF Portfolio'!$A$18:$C$114,3,0)</f>
        <v>Buy</v>
      </c>
      <c r="W22" s="21">
        <f>VLOOKUP(K22,'[2]ETF Portfolio'!$A$18:$D$114,4,0)</f>
        <v>45785</v>
      </c>
      <c r="X22" s="26"/>
      <c r="Y22" s="26"/>
      <c r="Z22" s="27">
        <f>R22/VLOOKUP(K22,'[2]ILS Data pull'!$B:$H,7,0)</f>
        <v>1.6666666666666668E-3</v>
      </c>
      <c r="AA22" s="28">
        <f>VLOOKUP(K22,'[2]ETF Portfolio'!$A$18:$Q$114,17,0)</f>
        <v>5.285336942949477E-2</v>
      </c>
      <c r="AB22" s="19">
        <v>0</v>
      </c>
      <c r="AC22" s="28">
        <f>VLOOKUP(K22, '[2]ETF Portfolio'!$A$18:$AD$114,30,0)</f>
        <v>7.5891169999999994E-2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21">
        <f t="shared" si="3"/>
        <v>45785</v>
      </c>
      <c r="AJ22" s="21">
        <f t="shared" si="5"/>
        <v>45785</v>
      </c>
      <c r="AK22" s="21">
        <f t="shared" si="5"/>
        <v>45785</v>
      </c>
      <c r="AL22" s="21">
        <f t="shared" si="5"/>
        <v>45785</v>
      </c>
      <c r="AM22" s="21">
        <f t="shared" si="5"/>
        <v>45785</v>
      </c>
      <c r="AN22" s="21" t="str">
        <f>VLOOKUP(K22,'[2]ETF Portfolio'!$A$18:$K$114,11,0)</f>
        <v>Indemnity</v>
      </c>
      <c r="AO22" s="21" t="str">
        <f>VLOOKUP(K22,'[2]ETF Portfolio'!$A$18:$J$114,10,0)</f>
        <v>Occurrence</v>
      </c>
      <c r="AP22" s="19">
        <v>0</v>
      </c>
      <c r="AQ22" s="19">
        <v>0</v>
      </c>
      <c r="AR22" s="19">
        <v>0</v>
      </c>
      <c r="AS22" s="19">
        <v>1</v>
      </c>
      <c r="AV22" s="29"/>
    </row>
    <row r="23" spans="1:48" s="20" customFormat="1" x14ac:dyDescent="0.3">
      <c r="A23" t="s">
        <v>1484</v>
      </c>
      <c r="B23" t="s">
        <v>1483</v>
      </c>
      <c r="C23" t="str">
        <f>VLOOKUP(K23,'[2]ILS Data pull'!$B:$H,2,0)</f>
        <v>CB-Lightning Re Ltd. Series 2023-1 Class A Reset 2025</v>
      </c>
      <c r="D23" s="19" t="str">
        <f t="shared" si="0"/>
        <v>2023-1</v>
      </c>
      <c r="E23" s="19" t="str">
        <f t="shared" si="1"/>
        <v>Class A</v>
      </c>
      <c r="F23" s="19" t="str">
        <f t="shared" si="2"/>
        <v>2025</v>
      </c>
      <c r="H23" s="19" t="s">
        <v>1456</v>
      </c>
      <c r="I23" s="21" t="str">
        <f>VLOOKUP(K23,'[2]ETF Portfolio'!$A$18:$I$114,9,0)</f>
        <v>FL Citizens</v>
      </c>
      <c r="K23" s="21" t="s">
        <v>185</v>
      </c>
      <c r="L23" s="21" t="str" cm="1">
        <f t="array" ref="L23:M23">VLOOKUP(K23,'[2]ETF Portfolio'!A40:$M$114,{12,13},0)</f>
        <v>3/24/2023</v>
      </c>
      <c r="M23" s="21" t="str">
        <v>3/31/2026</v>
      </c>
      <c r="O23" s="19" t="str">
        <f>VLOOKUP(K23,'[2]ETF Portfolio'!$A$18:$B$114,2,0)</f>
        <v>Cat Bond</v>
      </c>
      <c r="P23" s="22">
        <f>VLOOKUP(C23,'[2]ILS Data pull'!$C:$H,2,0)</f>
        <v>0</v>
      </c>
      <c r="Q23" s="22">
        <f>VLOOKUP(C23,'[2]ILS Data pull'!$C:$H,4,0)</f>
        <v>16626000000</v>
      </c>
      <c r="R23" s="23">
        <f>VLOOKUP(K23,'[2]ETF Portfolio'!$A$18:$U$114,21,0)</f>
        <v>250000</v>
      </c>
      <c r="T23" s="24">
        <f>VLOOKUP(K23,'[2]ETF Portfolio'!$A$18:$T$114,20,0)</f>
        <v>102.8</v>
      </c>
      <c r="U23" s="25">
        <f>VLOOKUP(K23,'[2]ETF Portfolio'!$A$18:$R$114,18,0)</f>
        <v>0.14850714000000001</v>
      </c>
      <c r="V23" s="19" t="str">
        <f>VLOOKUP(K23,'[2]ETF Portfolio'!$A$18:$C$114,3,0)</f>
        <v>Buy</v>
      </c>
      <c r="W23" s="21">
        <f>VLOOKUP(K23,'[2]ETF Portfolio'!$A$18:$D$114,4,0)</f>
        <v>45789</v>
      </c>
      <c r="X23" s="26"/>
      <c r="Y23" s="26"/>
      <c r="Z23" s="27">
        <f>R23/VLOOKUP(K23,'[2]ILS Data pull'!$B:$H,7,0)</f>
        <v>5.0000000000000001E-4</v>
      </c>
      <c r="AA23" s="28">
        <f>VLOOKUP(K23,'[2]ETF Portfolio'!$A$18:$Q$114,17,0)</f>
        <v>0.10714589536399999</v>
      </c>
      <c r="AB23" s="19">
        <v>0</v>
      </c>
      <c r="AC23" s="28">
        <f>VLOOKUP(K23, '[2]ETF Portfolio'!$A$18:$AD$114,30,0)</f>
        <v>0.11713456000000001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21">
        <f t="shared" si="3"/>
        <v>45789</v>
      </c>
      <c r="AJ23" s="21">
        <f t="shared" si="5"/>
        <v>45789</v>
      </c>
      <c r="AK23" s="21">
        <f t="shared" si="5"/>
        <v>45789</v>
      </c>
      <c r="AL23" s="21">
        <f t="shared" si="5"/>
        <v>45789</v>
      </c>
      <c r="AM23" s="21">
        <f t="shared" si="5"/>
        <v>45789</v>
      </c>
      <c r="AN23" s="21" t="str">
        <f>VLOOKUP(K23,'[2]ETF Portfolio'!$A$18:$K$114,11,0)</f>
        <v>Industry Loss Index</v>
      </c>
      <c r="AO23" s="21" t="str">
        <f>VLOOKUP(K23,'[2]ETF Portfolio'!$A$18:$J$114,10,0)</f>
        <v>Aggregate</v>
      </c>
      <c r="AP23" s="19">
        <v>0</v>
      </c>
      <c r="AQ23" s="19">
        <v>0</v>
      </c>
      <c r="AR23" s="19">
        <v>0</v>
      </c>
      <c r="AS23" s="19">
        <v>1</v>
      </c>
      <c r="AV23" s="29"/>
    </row>
    <row r="24" spans="1:48" s="20" customFormat="1" x14ac:dyDescent="0.3">
      <c r="A24" t="s">
        <v>1486</v>
      </c>
      <c r="B24" t="s">
        <v>1485</v>
      </c>
      <c r="C24" t="str">
        <f>VLOOKUP(K24,'[2]ILS Data pull'!$B:$H,2,0)</f>
        <v>CB-Alamo Re Ltd. Series 2023-1 Class A Reset 2025</v>
      </c>
      <c r="D24" s="19" t="str">
        <f t="shared" si="0"/>
        <v>2023-1</v>
      </c>
      <c r="E24" s="19" t="str">
        <f t="shared" si="1"/>
        <v>Class A</v>
      </c>
      <c r="F24" s="19" t="str">
        <f t="shared" si="2"/>
        <v>2025</v>
      </c>
      <c r="H24" s="19" t="s">
        <v>1456</v>
      </c>
      <c r="I24" s="21" t="str">
        <f>VLOOKUP(K24,'[2]ETF Portfolio'!$A$18:$I$114,9,0)</f>
        <v>TWIA</v>
      </c>
      <c r="K24" s="21" t="s">
        <v>1132</v>
      </c>
      <c r="L24" s="21" t="str" cm="1">
        <f t="array" ref="L24:M24">VLOOKUP(K24,'[2]ETF Portfolio'!A41:$M$114,{12,13},0)</f>
        <v>4/19/2023</v>
      </c>
      <c r="M24" s="21" t="str">
        <v>6/7/2026</v>
      </c>
      <c r="O24" s="19" t="str">
        <f>VLOOKUP(K24,'[2]ETF Portfolio'!$A$18:$B$114,2,0)</f>
        <v>Cat Bond</v>
      </c>
      <c r="P24" s="22">
        <f>VLOOKUP(C24,'[2]ILS Data pull'!$C:$H,2,0)</f>
        <v>0</v>
      </c>
      <c r="Q24" s="22">
        <f>VLOOKUP(C24,'[2]ILS Data pull'!$C:$H,4,0)</f>
        <v>1000000000</v>
      </c>
      <c r="R24" s="23">
        <f>VLOOKUP(K24,'[2]ETF Portfolio'!$A$18:$U$114,21,0)</f>
        <v>250000</v>
      </c>
      <c r="T24" s="24">
        <f>VLOOKUP(K24,'[2]ETF Portfolio'!$A$18:$T$114,20,0)</f>
        <v>102.5</v>
      </c>
      <c r="U24" s="25">
        <f>VLOOKUP(K24,'[2]ETF Portfolio'!$A$18:$R$114,18,0)</f>
        <v>0.12890000000000001</v>
      </c>
      <c r="V24" s="19" t="str">
        <f>VLOOKUP(K24,'[2]ETF Portfolio'!$A$18:$C$114,3,0)</f>
        <v>Buy</v>
      </c>
      <c r="W24" s="21">
        <f>VLOOKUP(K24,'[2]ETF Portfolio'!$A$18:$D$114,4,0)</f>
        <v>45789</v>
      </c>
      <c r="X24" s="26"/>
      <c r="Y24" s="26"/>
      <c r="Z24" s="27">
        <f>R24/VLOOKUP(K24,'[2]ILS Data pull'!$B:$H,7,0)</f>
        <v>5.0000000000000001E-4</v>
      </c>
      <c r="AA24" s="28">
        <f>VLOOKUP(K24,'[2]ETF Portfolio'!$A$18:$Q$114,17,0)</f>
        <v>9.0592527148662366E-2</v>
      </c>
      <c r="AB24" s="19">
        <v>0</v>
      </c>
      <c r="AC24" s="28">
        <f>VLOOKUP(K24, '[2]ETF Portfolio'!$A$18:$AD$114,30,0)</f>
        <v>0.10738033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21">
        <f t="shared" si="3"/>
        <v>45789</v>
      </c>
      <c r="AJ24" s="21">
        <f t="shared" si="5"/>
        <v>45789</v>
      </c>
      <c r="AK24" s="21">
        <f t="shared" si="5"/>
        <v>45789</v>
      </c>
      <c r="AL24" s="21">
        <f t="shared" si="5"/>
        <v>45789</v>
      </c>
      <c r="AM24" s="21">
        <f t="shared" si="5"/>
        <v>45789</v>
      </c>
      <c r="AN24" s="21" t="str">
        <f>VLOOKUP(K24,'[2]ETF Portfolio'!$A$18:$K$114,11,0)</f>
        <v>Indemnity</v>
      </c>
      <c r="AO24" s="21" t="str">
        <f>VLOOKUP(K24,'[2]ETF Portfolio'!$A$18:$J$114,10,0)</f>
        <v>Aggregate</v>
      </c>
      <c r="AP24" s="19">
        <v>0</v>
      </c>
      <c r="AQ24" s="19">
        <v>0</v>
      </c>
      <c r="AR24" s="19">
        <v>0</v>
      </c>
      <c r="AS24" s="19">
        <v>1</v>
      </c>
      <c r="AV24" s="29"/>
    </row>
    <row r="25" spans="1:48" s="20" customFormat="1" x14ac:dyDescent="0.3">
      <c r="A25" t="s">
        <v>1488</v>
      </c>
      <c r="B25" t="s">
        <v>1487</v>
      </c>
      <c r="C25" t="str">
        <f>VLOOKUP(K25,'[2]ILS Data pull'!$B:$H,2,0)</f>
        <v>CB-Bayou Re Ltd. Series 2023-1 Class A Reset 2025</v>
      </c>
      <c r="D25" s="19" t="str">
        <f t="shared" si="0"/>
        <v>2023-1</v>
      </c>
      <c r="E25" s="19" t="str">
        <f t="shared" si="1"/>
        <v>Class A</v>
      </c>
      <c r="F25" s="19" t="str">
        <f t="shared" si="2"/>
        <v>2025</v>
      </c>
      <c r="H25" s="19" t="s">
        <v>1456</v>
      </c>
      <c r="I25" s="21" t="str">
        <f>VLOOKUP(K25,'[2]ETF Portfolio'!$A$18:$I$114,9,0)</f>
        <v>LA Citizens</v>
      </c>
      <c r="K25" s="21" t="s">
        <v>682</v>
      </c>
      <c r="L25" s="21" t="str" cm="1">
        <f t="array" ref="L25:M25">VLOOKUP(K25,'[2]ETF Portfolio'!A42:$M$114,{12,13},0)</f>
        <v>5/18/2023</v>
      </c>
      <c r="M25" s="21" t="str">
        <v>5/26/2026</v>
      </c>
      <c r="O25" s="19" t="str">
        <f>VLOOKUP(K25,'[2]ETF Portfolio'!$A$18:$B$114,2,0)</f>
        <v>Cat Bond</v>
      </c>
      <c r="P25" s="22">
        <f>VLOOKUP(C25,'[2]ILS Data pull'!$C:$H,2,0)</f>
        <v>0</v>
      </c>
      <c r="Q25" s="22">
        <f>VLOOKUP(C25,'[2]ILS Data pull'!$C:$H,4,0)</f>
        <v>250000000</v>
      </c>
      <c r="R25" s="23">
        <f>VLOOKUP(K25,'[2]ETF Portfolio'!$A$18:$U$114,21,0)</f>
        <v>250000</v>
      </c>
      <c r="T25" s="24">
        <f>VLOOKUP(K25,'[2]ETF Portfolio'!$A$18:$T$114,20,0)</f>
        <v>104.6</v>
      </c>
      <c r="U25" s="25">
        <f>VLOOKUP(K25,'[2]ETF Portfolio'!$A$18:$R$114,18,0)</f>
        <v>0.1623</v>
      </c>
      <c r="V25" s="19" t="str">
        <f>VLOOKUP(K25,'[2]ETF Portfolio'!$A$18:$C$114,3,0)</f>
        <v>Buy</v>
      </c>
      <c r="W25" s="21">
        <f>VLOOKUP(K25,'[2]ETF Portfolio'!$A$18:$D$114,4,0)</f>
        <v>45790</v>
      </c>
      <c r="X25" s="26"/>
      <c r="Y25" s="26"/>
      <c r="Z25" s="27">
        <f>R25/VLOOKUP(K25,'[2]ILS Data pull'!$B:$H,7,0)</f>
        <v>2.0833333333333333E-3</v>
      </c>
      <c r="AA25" s="28">
        <f>VLOOKUP(K25,'[2]ETF Portfolio'!$A$18:$Q$114,17,0)</f>
        <v>0.12371484670499999</v>
      </c>
      <c r="AB25" s="19">
        <v>0</v>
      </c>
      <c r="AC25" s="28">
        <f>VLOOKUP(K25, '[2]ETF Portfolio'!$A$18:$AD$114,30,0)</f>
        <v>0.11846672999999999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21">
        <f t="shared" si="3"/>
        <v>45790</v>
      </c>
      <c r="AJ25" s="21">
        <f t="shared" si="5"/>
        <v>45790</v>
      </c>
      <c r="AK25" s="21">
        <f t="shared" si="5"/>
        <v>45790</v>
      </c>
      <c r="AL25" s="21">
        <f t="shared" si="5"/>
        <v>45790</v>
      </c>
      <c r="AM25" s="21">
        <f t="shared" si="5"/>
        <v>45790</v>
      </c>
      <c r="AN25" s="21" t="str">
        <f>VLOOKUP(K25,'[2]ETF Portfolio'!$A$18:$K$114,11,0)</f>
        <v>Indemnity</v>
      </c>
      <c r="AO25" s="21" t="str">
        <f>VLOOKUP(K25,'[2]ETF Portfolio'!$A$18:$J$114,10,0)</f>
        <v>Occurrence</v>
      </c>
      <c r="AP25" s="19">
        <v>0</v>
      </c>
      <c r="AQ25" s="19">
        <v>0</v>
      </c>
      <c r="AR25" s="19">
        <v>0</v>
      </c>
      <c r="AS25" s="19">
        <v>1</v>
      </c>
      <c r="AV25" s="29"/>
    </row>
    <row r="26" spans="1:48" s="20" customFormat="1" x14ac:dyDescent="0.3">
      <c r="A26" t="s">
        <v>1490</v>
      </c>
      <c r="B26" t="s">
        <v>1489</v>
      </c>
      <c r="C26" t="str">
        <f>VLOOKUP(K26,'[2]ILS Data pull'!$B:$H,2,0)</f>
        <v>CB-Palm Re Ltd. Series 2024-1 Class A Reset 2025</v>
      </c>
      <c r="D26" s="19" t="str">
        <f t="shared" si="0"/>
        <v>2024-1</v>
      </c>
      <c r="E26" s="19" t="str">
        <f t="shared" si="1"/>
        <v>Class A</v>
      </c>
      <c r="F26" s="19" t="str">
        <f t="shared" si="2"/>
        <v>2025</v>
      </c>
      <c r="H26" s="19" t="s">
        <v>1456</v>
      </c>
      <c r="I26" s="21" t="str">
        <f>VLOOKUP(K26,'[2]ETF Portfolio'!$A$18:$I$114,9,0)</f>
        <v>FL Peninsula</v>
      </c>
      <c r="K26" s="21" t="s">
        <v>988</v>
      </c>
      <c r="L26" s="21" t="str" cm="1">
        <f t="array" ref="L26:M26">VLOOKUP(K26,'[2]ETF Portfolio'!A43:$M$114,{12,13},0)</f>
        <v>4/11/2024</v>
      </c>
      <c r="M26" s="21" t="str">
        <v>6/7/2027</v>
      </c>
      <c r="O26" s="19" t="str">
        <f>VLOOKUP(K26,'[2]ETF Portfolio'!$A$18:$B$114,2,0)</f>
        <v>Cat Bond</v>
      </c>
      <c r="P26" s="22">
        <f>VLOOKUP(C26,'[2]ILS Data pull'!$C:$H,2,0)</f>
        <v>0</v>
      </c>
      <c r="Q26" s="22">
        <f>VLOOKUP(C26,'[2]ILS Data pull'!$C:$H,4,0)</f>
        <v>300000000</v>
      </c>
      <c r="R26" s="23">
        <f>VLOOKUP(K26,'[2]ETF Portfolio'!$A$18:$U$114,21,0)</f>
        <v>250000</v>
      </c>
      <c r="T26" s="24">
        <f>VLOOKUP(K26,'[2]ETF Portfolio'!$A$18:$T$114,20,0)</f>
        <v>102.85</v>
      </c>
      <c r="U26" s="25">
        <f>VLOOKUP(K26,'[2]ETF Portfolio'!$A$18:$R$114,18,0)</f>
        <v>0.13565251064300538</v>
      </c>
      <c r="V26" s="19" t="str">
        <f>VLOOKUP(K26,'[2]ETF Portfolio'!$A$18:$C$114,3,0)</f>
        <v>Buy</v>
      </c>
      <c r="W26" s="21">
        <f>VLOOKUP(K26,'[2]ETF Portfolio'!$A$18:$D$114,4,0)</f>
        <v>45791</v>
      </c>
      <c r="X26" s="26"/>
      <c r="Y26" s="26"/>
      <c r="Z26" s="27">
        <f>R26/VLOOKUP(K26,'[2]ILS Data pull'!$B:$H,7,0)</f>
        <v>1.6666666666666668E-3</v>
      </c>
      <c r="AA26" s="28">
        <f>VLOOKUP(K26,'[2]ETF Portfolio'!$A$18:$Q$114,17,0)</f>
        <v>9.6978148762843802E-2</v>
      </c>
      <c r="AB26" s="19">
        <v>0</v>
      </c>
      <c r="AC26" s="28">
        <f>VLOOKUP(K26, '[2]ETF Portfolio'!$A$18:$AD$114,30,0)</f>
        <v>0.11963620999999999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21">
        <f t="shared" si="3"/>
        <v>45791</v>
      </c>
      <c r="AJ26" s="21">
        <f t="shared" si="5"/>
        <v>45791</v>
      </c>
      <c r="AK26" s="21">
        <f t="shared" si="5"/>
        <v>45791</v>
      </c>
      <c r="AL26" s="21">
        <f t="shared" si="5"/>
        <v>45791</v>
      </c>
      <c r="AM26" s="21">
        <f t="shared" si="5"/>
        <v>45791</v>
      </c>
      <c r="AN26" s="21" t="str">
        <f>VLOOKUP(K26,'[2]ETF Portfolio'!$A$18:$K$114,11,0)</f>
        <v>Indemnity</v>
      </c>
      <c r="AO26" s="21" t="str">
        <f>VLOOKUP(K26,'[2]ETF Portfolio'!$A$18:$J$114,10,0)</f>
        <v>Occurrence</v>
      </c>
      <c r="AP26" s="19">
        <v>0</v>
      </c>
      <c r="AQ26" s="19">
        <v>0</v>
      </c>
      <c r="AR26" s="19">
        <v>0</v>
      </c>
      <c r="AS26" s="19">
        <v>1</v>
      </c>
      <c r="AV26" s="29"/>
    </row>
    <row r="27" spans="1:48" s="20" customFormat="1" x14ac:dyDescent="0.3">
      <c r="A27" t="s">
        <v>1498</v>
      </c>
      <c r="B27" t="s">
        <v>1497</v>
      </c>
      <c r="C27" t="str">
        <f>VLOOKUP(K27,'[2]ILS Data pull'!$B:$H,2,0)</f>
        <v>CB-Titania Re Ltd. Series 2023-1 Class A Reset 2025</v>
      </c>
      <c r="D27" s="19" t="str">
        <f t="shared" si="0"/>
        <v>2023-1</v>
      </c>
      <c r="E27" s="19" t="str">
        <f t="shared" si="1"/>
        <v>Class A</v>
      </c>
      <c r="F27" s="19" t="str">
        <f t="shared" si="2"/>
        <v>2025</v>
      </c>
      <c r="H27" s="19" t="s">
        <v>1456</v>
      </c>
      <c r="I27" s="21" t="str">
        <f>VLOOKUP(K27,'[2]ETF Portfolio'!$A$18:$I$114,9,0)</f>
        <v>Ariel Re</v>
      </c>
      <c r="K27" s="21" t="s">
        <v>1212</v>
      </c>
      <c r="L27" s="21" t="str" cm="1">
        <f t="array" ref="L27:M27">VLOOKUP(K27,'[2]ETF Portfolio'!A44:$M$114,{12,13},0)</f>
        <v>2/23/2023</v>
      </c>
      <c r="M27" s="21" t="str">
        <v>2/27/2026</v>
      </c>
      <c r="O27" s="19" t="str">
        <f>VLOOKUP(K27,'[2]ETF Portfolio'!$A$18:$B$114,2,0)</f>
        <v>Cat Bond</v>
      </c>
      <c r="P27" s="22">
        <f>VLOOKUP(C27,'[2]ILS Data pull'!$C:$H,2,0)</f>
        <v>0</v>
      </c>
      <c r="Q27" s="22">
        <f>VLOOKUP(C27,'[2]ILS Data pull'!$C:$H,4,0)</f>
        <v>250000000</v>
      </c>
      <c r="R27" s="23">
        <f>VLOOKUP(K27,'[2]ETF Portfolio'!$A$18:$U$114,21,0)</f>
        <v>250000</v>
      </c>
      <c r="T27" s="24">
        <f>VLOOKUP(K27,'[2]ETF Portfolio'!$A$18:$T$114,20,0)</f>
        <v>103.75</v>
      </c>
      <c r="U27" s="25">
        <f>VLOOKUP(K27,'[2]ETF Portfolio'!$A$18:$R$114,18,0)</f>
        <v>0.1696</v>
      </c>
      <c r="V27" s="19" t="str">
        <f>VLOOKUP(K27,'[2]ETF Portfolio'!$A$18:$C$114,3,0)</f>
        <v>Buy</v>
      </c>
      <c r="W27" s="21">
        <f>VLOOKUP(K27,'[2]ETF Portfolio'!$A$18:$D$114,4,0)</f>
        <v>45793</v>
      </c>
      <c r="X27" s="26"/>
      <c r="Y27" s="26"/>
      <c r="Z27" s="27">
        <f>R27/VLOOKUP(K27,'[2]ILS Data pull'!$B:$H,7,0)</f>
        <v>3.3333333333333335E-3</v>
      </c>
      <c r="AA27" s="28">
        <f>VLOOKUP(K27,'[2]ETF Portfolio'!$A$18:$Q$114,17,0)</f>
        <v>0.132513423963</v>
      </c>
      <c r="AB27" s="19">
        <v>0</v>
      </c>
      <c r="AC27" s="28">
        <f>VLOOKUP(K27, '[2]ETF Portfolio'!$A$18:$AD$114,30,0)</f>
        <v>0.12295012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21">
        <f t="shared" si="3"/>
        <v>45793</v>
      </c>
      <c r="AJ27" s="21">
        <f t="shared" si="5"/>
        <v>45793</v>
      </c>
      <c r="AK27" s="21">
        <f t="shared" si="5"/>
        <v>45793</v>
      </c>
      <c r="AL27" s="21">
        <f t="shared" si="5"/>
        <v>45793</v>
      </c>
      <c r="AM27" s="21">
        <f t="shared" si="5"/>
        <v>45793</v>
      </c>
      <c r="AN27" s="21" t="str">
        <f>VLOOKUP(K27,'[2]ETF Portfolio'!$A$18:$K$114,11,0)</f>
        <v>Industry Loss Index</v>
      </c>
      <c r="AO27" s="21" t="str">
        <f>VLOOKUP(K27,'[2]ETF Portfolio'!$A$18:$J$114,10,0)</f>
        <v>Aggregate</v>
      </c>
      <c r="AP27" s="19">
        <v>0</v>
      </c>
      <c r="AQ27" s="19">
        <v>0</v>
      </c>
      <c r="AR27" s="19">
        <v>0</v>
      </c>
      <c r="AS27" s="19">
        <v>1</v>
      </c>
      <c r="AV27" s="29"/>
    </row>
    <row r="28" spans="1:48" s="20" customFormat="1" x14ac:dyDescent="0.3">
      <c r="A28" t="s">
        <v>1500</v>
      </c>
      <c r="B28" t="s">
        <v>1499</v>
      </c>
      <c r="C28" t="str">
        <f>VLOOKUP(K28,'[2]ILS Data pull'!$B:$H,2,0)</f>
        <v>CB-Logistics Re Ltd. Series 2024-1 Class A</v>
      </c>
      <c r="D28" s="19" t="str">
        <f t="shared" si="0"/>
        <v>2024-1</v>
      </c>
      <c r="E28" s="19" t="str">
        <f t="shared" si="1"/>
        <v>Class A</v>
      </c>
      <c r="F28" s="19" t="str">
        <f t="shared" si="2"/>
        <v/>
      </c>
      <c r="H28" s="19" t="s">
        <v>1456</v>
      </c>
      <c r="I28" s="21" t="str">
        <f>VLOOKUP(K28,'[2]ETF Portfolio'!$A$18:$I$114,9,0)</f>
        <v>Prologis</v>
      </c>
      <c r="K28" s="21" t="s">
        <v>818</v>
      </c>
      <c r="L28" s="21" t="str" cm="1">
        <f t="array" ref="L28:M28">VLOOKUP(K28,'[2]ETF Portfolio'!A45:$M$114,{12,13},0)</f>
        <v>10/28/2024</v>
      </c>
      <c r="M28" s="21" t="str">
        <v>12/21/2027</v>
      </c>
      <c r="O28" s="19" t="str">
        <f>VLOOKUP(K28,'[2]ETF Portfolio'!$A$18:$B$114,2,0)</f>
        <v>Cat Bond</v>
      </c>
      <c r="P28" s="22">
        <f>VLOOKUP(C28,'[2]ILS Data pull'!$C:$H,2,0)</f>
        <v>0</v>
      </c>
      <c r="Q28" s="22">
        <f>VLOOKUP(C28,'[2]ILS Data pull'!$C:$H,4,0)</f>
        <v>95000000</v>
      </c>
      <c r="R28" s="23">
        <f>VLOOKUP(K28,'[2]ETF Portfolio'!$A$18:$U$114,21,0)</f>
        <v>250000</v>
      </c>
      <c r="T28" s="24">
        <f>VLOOKUP(K28,'[2]ETF Portfolio'!$A$18:$T$114,20,0)</f>
        <v>101.85</v>
      </c>
      <c r="U28" s="25">
        <f>VLOOKUP(K28,'[2]ETF Portfolio'!$A$18:$R$114,18,0)</f>
        <v>9.8100000000000007E-2</v>
      </c>
      <c r="V28" s="19" t="str">
        <f>VLOOKUP(K28,'[2]ETF Portfolio'!$A$18:$C$114,3,0)</f>
        <v>Buy</v>
      </c>
      <c r="W28" s="21">
        <f>VLOOKUP(K28,'[2]ETF Portfolio'!$A$18:$D$114,4,0)</f>
        <v>45797</v>
      </c>
      <c r="X28" s="26"/>
      <c r="Y28" s="26"/>
      <c r="Z28" s="27">
        <f>R28/VLOOKUP(K28,'[2]ILS Data pull'!$B:$H,7,0)</f>
        <v>2.631578947368421E-3</v>
      </c>
      <c r="AA28" s="28">
        <f>VLOOKUP(K28,'[2]ETF Portfolio'!$A$18:$Q$114,17,0)</f>
        <v>5.9943972307865592E-2</v>
      </c>
      <c r="AB28" s="19">
        <v>0</v>
      </c>
      <c r="AC28" s="28">
        <f>VLOOKUP(K28, '[2]ETF Portfolio'!$A$18:$AD$114,30,0)</f>
        <v>9.3113240000000014E-2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21">
        <f t="shared" si="3"/>
        <v>45797</v>
      </c>
      <c r="AJ28" s="21">
        <f t="shared" si="5"/>
        <v>45797</v>
      </c>
      <c r="AK28" s="21">
        <f t="shared" si="5"/>
        <v>45797</v>
      </c>
      <c r="AL28" s="21">
        <f t="shared" si="5"/>
        <v>45797</v>
      </c>
      <c r="AM28" s="21">
        <f t="shared" si="5"/>
        <v>45797</v>
      </c>
      <c r="AN28" s="21" t="str">
        <f>VLOOKUP(K28,'[2]ETF Portfolio'!$A$18:$K$114,11,0)</f>
        <v>Indemnity</v>
      </c>
      <c r="AO28" s="21" t="str">
        <f>VLOOKUP(K28,'[2]ETF Portfolio'!$A$18:$J$114,10,0)</f>
        <v>Occurrence</v>
      </c>
      <c r="AP28" s="19">
        <v>0</v>
      </c>
      <c r="AQ28" s="19">
        <v>0</v>
      </c>
      <c r="AR28" s="19">
        <v>0</v>
      </c>
      <c r="AS28" s="19">
        <v>1</v>
      </c>
      <c r="AV28" s="29"/>
    </row>
    <row r="29" spans="1:48" s="20" customFormat="1" x14ac:dyDescent="0.3">
      <c r="A29" t="s">
        <v>1502</v>
      </c>
      <c r="B29" t="s">
        <v>1501</v>
      </c>
      <c r="C29" t="str">
        <f>VLOOKUP(K29,'[2]ILS Data pull'!$B:$H,2,0)</f>
        <v>CB-Four Lakes Re Ltd. Series 2023-1 Class B Reset 2025</v>
      </c>
      <c r="D29" s="19" t="str">
        <f t="shared" si="0"/>
        <v>2023-1</v>
      </c>
      <c r="E29" s="19" t="str">
        <f t="shared" si="1"/>
        <v>Class B</v>
      </c>
      <c r="F29" s="19" t="str">
        <f t="shared" si="2"/>
        <v>2025</v>
      </c>
      <c r="H29" s="19" t="s">
        <v>1456</v>
      </c>
      <c r="I29" s="21" t="str">
        <f>VLOOKUP(K29,'[2]ETF Portfolio'!$A$18:$I$114,9,0)</f>
        <v>American Family</v>
      </c>
      <c r="K29" s="21" t="s">
        <v>467</v>
      </c>
      <c r="L29" s="21" t="str" cm="1">
        <f t="array" ref="L29:M29">VLOOKUP(K29,'[2]ETF Portfolio'!A46:$M$114,{12,13},0)</f>
        <v>12/14/2023</v>
      </c>
      <c r="M29" s="21" t="str">
        <v>1/7/2027</v>
      </c>
      <c r="O29" s="19" t="str">
        <f>VLOOKUP(K29,'[2]ETF Portfolio'!$A$18:$B$114,2,0)</f>
        <v>Cat Bond</v>
      </c>
      <c r="P29" s="22">
        <f>VLOOKUP(C29,'[2]ILS Data pull'!$C:$H,2,0)</f>
        <v>0</v>
      </c>
      <c r="Q29" s="22">
        <f>VLOOKUP(C29,'[2]ILS Data pull'!$C:$H,4,0)</f>
        <v>600000000</v>
      </c>
      <c r="R29" s="23">
        <f>VLOOKUP(K29,'[2]ETF Portfolio'!$A$18:$U$114,21,0)</f>
        <v>250000</v>
      </c>
      <c r="T29" s="24">
        <f>VLOOKUP(K29,'[2]ETF Portfolio'!$A$18:$T$114,20,0)</f>
        <v>101.6</v>
      </c>
      <c r="U29" s="25">
        <f>VLOOKUP(K29,'[2]ETF Portfolio'!$A$18:$R$114,18,0)</f>
        <v>0.1275</v>
      </c>
      <c r="V29" s="19" t="str">
        <f>VLOOKUP(K29,'[2]ETF Portfolio'!$A$18:$C$114,3,0)</f>
        <v>Buy</v>
      </c>
      <c r="W29" s="21">
        <f>VLOOKUP(K29,'[2]ETF Portfolio'!$A$18:$D$114,4,0)</f>
        <v>45805</v>
      </c>
      <c r="X29" s="26"/>
      <c r="Y29" s="26"/>
      <c r="Z29" s="27">
        <f>R29/VLOOKUP(K29,'[2]ILS Data pull'!$B:$H,7,0)</f>
        <v>5.0000000000000001E-3</v>
      </c>
      <c r="AA29" s="28">
        <f>VLOOKUP(K29,'[2]ETF Portfolio'!$A$18:$Q$114,17,0)</f>
        <v>8.895815195583813E-2</v>
      </c>
      <c r="AB29" s="19">
        <v>0</v>
      </c>
      <c r="AC29" s="28">
        <f>VLOOKUP(K29, '[2]ETF Portfolio'!$A$18:$AD$114,30,0)</f>
        <v>0.11989807000000001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21">
        <f t="shared" si="3"/>
        <v>45805</v>
      </c>
      <c r="AJ29" s="21">
        <f t="shared" si="5"/>
        <v>45805</v>
      </c>
      <c r="AK29" s="21">
        <f t="shared" si="5"/>
        <v>45805</v>
      </c>
      <c r="AL29" s="21">
        <f t="shared" si="5"/>
        <v>45805</v>
      </c>
      <c r="AM29" s="21">
        <f t="shared" si="5"/>
        <v>45805</v>
      </c>
      <c r="AN29" s="21" t="str">
        <f>VLOOKUP(K29,'[2]ETF Portfolio'!$A$18:$K$114,11,0)</f>
        <v>Indemnity</v>
      </c>
      <c r="AO29" s="21" t="str">
        <f>VLOOKUP(K29,'[2]ETF Portfolio'!$A$18:$J$114,10,0)</f>
        <v>Occurrence</v>
      </c>
      <c r="AP29" s="19">
        <v>0</v>
      </c>
      <c r="AQ29" s="19">
        <v>0</v>
      </c>
      <c r="AR29" s="19">
        <v>0</v>
      </c>
      <c r="AS29" s="19">
        <v>1</v>
      </c>
      <c r="AV29" s="29"/>
    </row>
    <row r="30" spans="1:48" s="20" customFormat="1" x14ac:dyDescent="0.3">
      <c r="A30" t="s">
        <v>1504</v>
      </c>
      <c r="B30" t="s">
        <v>1503</v>
      </c>
      <c r="C30" t="str">
        <f>VLOOKUP(K30,'[2]ILS Data pull'!$B:$H,2,0)</f>
        <v>CB-FloodSmart Re Ltd. Series 2024-1 Class A Reset 2025</v>
      </c>
      <c r="D30" s="19" t="str">
        <f t="shared" si="0"/>
        <v>2024-1</v>
      </c>
      <c r="E30" s="19" t="str">
        <f t="shared" si="1"/>
        <v>Class A</v>
      </c>
      <c r="F30" s="19" t="str">
        <f t="shared" si="2"/>
        <v>2025</v>
      </c>
      <c r="H30" s="19" t="s">
        <v>1456</v>
      </c>
      <c r="I30" s="21" t="str">
        <f>VLOOKUP(K30,'[2]ETF Portfolio'!$A$18:$I$114,9,0)</f>
        <v>NFIP</v>
      </c>
      <c r="K30" s="21" t="s">
        <v>1058</v>
      </c>
      <c r="L30" s="21" t="str" cm="1">
        <f t="array" ref="L30:M30">VLOOKUP(K30,'[2]ETF Portfolio'!A47:$M$114,{12,13},0)</f>
        <v>3/7/2024</v>
      </c>
      <c r="M30" s="21" t="str">
        <v>3/12/2027</v>
      </c>
      <c r="O30" s="19" t="str">
        <f>VLOOKUP(K30,'[2]ETF Portfolio'!$A$18:$B$114,2,0)</f>
        <v>Cat Bond</v>
      </c>
      <c r="P30" s="22">
        <f>VLOOKUP(C30,'[2]ILS Data pull'!$C:$H,2,0)</f>
        <v>0</v>
      </c>
      <c r="Q30" s="22">
        <f>VLOOKUP(C30,'[2]ILS Data pull'!$C:$H,4,0)</f>
        <v>2000000000</v>
      </c>
      <c r="R30" s="23">
        <f>VLOOKUP(K30,'[2]ETF Portfolio'!$A$18:$U$114,21,0)</f>
        <v>250000</v>
      </c>
      <c r="T30" s="24">
        <f>VLOOKUP(K30,'[2]ETF Portfolio'!$A$18:$T$114,20,0)</f>
        <v>102.8</v>
      </c>
      <c r="U30" s="25">
        <f>VLOOKUP(K30,'[2]ETF Portfolio'!$A$18:$R$114,18,0)</f>
        <v>0.18169999999999997</v>
      </c>
      <c r="V30" s="19" t="str">
        <f>VLOOKUP(K30,'[2]ETF Portfolio'!$A$18:$C$114,3,0)</f>
        <v>Buy</v>
      </c>
      <c r="W30" s="21">
        <f>VLOOKUP(K30,'[2]ETF Portfolio'!$A$18:$D$114,4,0)</f>
        <v>45834</v>
      </c>
      <c r="X30" s="26"/>
      <c r="Y30" s="26"/>
      <c r="Z30" s="27">
        <f>R30/VLOOKUP(K30,'[2]ILS Data pull'!$B:$H,7,0)</f>
        <v>5.263157894736842E-4</v>
      </c>
      <c r="AA30" s="28">
        <f>VLOOKUP(K30,'[2]ETF Portfolio'!$A$18:$Q$114,17,0)</f>
        <v>0.14337499204691626</v>
      </c>
      <c r="AB30" s="19">
        <v>0</v>
      </c>
      <c r="AC30" s="28">
        <f>VLOOKUP(K30, '[2]ETF Portfolio'!$A$18:$AD$114,30,0)</f>
        <v>0.16562574999999999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21">
        <f t="shared" si="3"/>
        <v>45834</v>
      </c>
      <c r="AJ30" s="21">
        <f t="shared" si="5"/>
        <v>45834</v>
      </c>
      <c r="AK30" s="21">
        <f t="shared" si="5"/>
        <v>45834</v>
      </c>
      <c r="AL30" s="21">
        <f t="shared" si="5"/>
        <v>45834</v>
      </c>
      <c r="AM30" s="21">
        <f t="shared" si="5"/>
        <v>45834</v>
      </c>
      <c r="AN30" s="21" t="str">
        <f>VLOOKUP(K30,'[2]ETF Portfolio'!$A$18:$K$114,11,0)</f>
        <v>Indemnity</v>
      </c>
      <c r="AO30" s="21" t="str">
        <f>VLOOKUP(K30,'[2]ETF Portfolio'!$A$18:$J$114,10,0)</f>
        <v>Occurrence</v>
      </c>
      <c r="AP30" s="19">
        <v>0</v>
      </c>
      <c r="AQ30" s="19">
        <v>0</v>
      </c>
      <c r="AR30" s="19">
        <v>0</v>
      </c>
      <c r="AS30" s="19">
        <v>1</v>
      </c>
      <c r="AV30" s="29"/>
    </row>
    <row r="31" spans="1:48" s="20" customFormat="1" x14ac:dyDescent="0.3">
      <c r="A31" t="s">
        <v>1506</v>
      </c>
      <c r="B31" t="s">
        <v>1505</v>
      </c>
      <c r="C31" t="str">
        <f>VLOOKUP(K31,'[2]ILS Data pull'!$B:$H,2,0)</f>
        <v>CB-Four Lakes Re Ltd. Series 2024-1 Class B</v>
      </c>
      <c r="D31" s="19" t="str">
        <f t="shared" si="0"/>
        <v>2024-1</v>
      </c>
      <c r="E31" s="19" t="str">
        <f t="shared" si="1"/>
        <v>Class B</v>
      </c>
      <c r="F31" s="19" t="str">
        <f t="shared" si="2"/>
        <v/>
      </c>
      <c r="H31" s="19" t="s">
        <v>1456</v>
      </c>
      <c r="I31" s="21" t="str">
        <f>VLOOKUP(K31,'[2]ETF Portfolio'!$A$18:$I$114,9,0)</f>
        <v>American Family</v>
      </c>
      <c r="K31" s="21" t="s">
        <v>471</v>
      </c>
      <c r="L31" s="21" t="str" cm="1">
        <f t="array" ref="L31:M31">VLOOKUP(K31,'[2]ETF Portfolio'!A48:$M$114,{12,13},0)</f>
        <v>12/18/2024</v>
      </c>
      <c r="M31" s="21" t="str">
        <v>1/7/2028</v>
      </c>
      <c r="O31" s="19" t="str">
        <f>VLOOKUP(K31,'[2]ETF Portfolio'!$A$18:$B$114,2,0)</f>
        <v>Cat Bond</v>
      </c>
      <c r="P31" s="22">
        <f>VLOOKUP(C31,'[2]ILS Data pull'!$C:$H,2,0)</f>
        <v>0</v>
      </c>
      <c r="Q31" s="22">
        <f>VLOOKUP(C31,'[2]ILS Data pull'!$C:$H,4,0)</f>
        <v>600000000</v>
      </c>
      <c r="R31" s="23">
        <f>VLOOKUP(K31,'[2]ETF Portfolio'!$A$18:$U$114,21,0)</f>
        <v>250000</v>
      </c>
      <c r="T31" s="24">
        <f>VLOOKUP(K31,'[2]ETF Portfolio'!$A$18:$T$114,20,0)</f>
        <v>99.3</v>
      </c>
      <c r="U31" s="25">
        <f>VLOOKUP(K31,'[2]ETF Portfolio'!$A$18:$R$114,18,0)</f>
        <v>0.1208</v>
      </c>
      <c r="V31" s="19" t="str">
        <f>VLOOKUP(K31,'[2]ETF Portfolio'!$A$18:$C$114,3,0)</f>
        <v>Buy</v>
      </c>
      <c r="W31" s="21">
        <f>VLOOKUP(K31,'[2]ETF Portfolio'!$A$18:$D$114,4,0)</f>
        <v>45859</v>
      </c>
      <c r="X31" s="26"/>
      <c r="Y31" s="26"/>
      <c r="Z31" s="27">
        <f>R31/VLOOKUP(K31,'[2]ILS Data pull'!$B:$H,7,0)</f>
        <v>3.3333333333333335E-3</v>
      </c>
      <c r="AA31" s="28">
        <f>VLOOKUP(K31,'[2]ETF Portfolio'!$A$18:$Q$114,17,0)</f>
        <v>8.2377062182166227E-2</v>
      </c>
      <c r="AB31" s="19">
        <v>0</v>
      </c>
      <c r="AC31" s="28">
        <f>VLOOKUP(K31, '[2]ETF Portfolio'!$A$18:$AD$114,30,0)</f>
        <v>0.12753048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21">
        <f t="shared" si="3"/>
        <v>45859</v>
      </c>
      <c r="AJ31" s="21">
        <f t="shared" si="5"/>
        <v>45859</v>
      </c>
      <c r="AK31" s="21">
        <f t="shared" si="5"/>
        <v>45859</v>
      </c>
      <c r="AL31" s="21">
        <f t="shared" si="5"/>
        <v>45859</v>
      </c>
      <c r="AM31" s="21">
        <f t="shared" si="5"/>
        <v>45859</v>
      </c>
      <c r="AN31" s="21" t="str">
        <f>VLOOKUP(K31,'[2]ETF Portfolio'!$A$18:$K$114,11,0)</f>
        <v>Indemnity</v>
      </c>
      <c r="AO31" s="21" t="str">
        <f>VLOOKUP(K31,'[2]ETF Portfolio'!$A$18:$J$114,10,0)</f>
        <v>Occurrence</v>
      </c>
      <c r="AP31" s="19">
        <v>0</v>
      </c>
      <c r="AQ31" s="19">
        <v>0</v>
      </c>
      <c r="AR31" s="19">
        <v>0</v>
      </c>
      <c r="AS31" s="19">
        <v>1</v>
      </c>
      <c r="AV31" s="29"/>
    </row>
    <row r="32" spans="1:48" x14ac:dyDescent="0.3">
      <c r="A32" t="s">
        <v>1492</v>
      </c>
      <c r="B32" t="s">
        <v>1491</v>
      </c>
      <c r="C32" t="str">
        <f>VLOOKUP(K32,'[2]ILS Data pull'!$B:$H,2,0)</f>
        <v>CB-Mountain Re Ltd. Series 2023-1 Class A Reset 2025</v>
      </c>
      <c r="D32" s="19" t="str">
        <f t="shared" si="0"/>
        <v>2023-1</v>
      </c>
      <c r="E32" s="19" t="str">
        <f t="shared" si="1"/>
        <v>Class A</v>
      </c>
      <c r="F32" s="19" t="str">
        <f t="shared" si="2"/>
        <v>2025</v>
      </c>
      <c r="H32" s="19" t="s">
        <v>1456</v>
      </c>
      <c r="I32" s="21" t="str">
        <f>VLOOKUP(K32,'[2]ETF Portfolio'!$A$18:$I$114,9,0)</f>
        <v>Spinnaker Insurance</v>
      </c>
      <c r="J32" s="20"/>
      <c r="K32" s="21" t="s">
        <v>971</v>
      </c>
      <c r="L32" s="21" t="str" cm="1">
        <f t="array" ref="L32:M32">VLOOKUP(K32,'[2]ETF Portfolio'!A49:$M$114,{12,13},0)</f>
        <v>5/31/2023</v>
      </c>
      <c r="M32" s="21" t="str">
        <v>6/5/2026</v>
      </c>
      <c r="O32" s="19" t="str">
        <f>VLOOKUP(K32,'[2]ETF Portfolio'!$A$18:$B$114,2,0)</f>
        <v>Cat Bond</v>
      </c>
      <c r="P32" s="22">
        <f>VLOOKUP(C32,'[2]ILS Data pull'!$C:$H,2,0)</f>
        <v>0</v>
      </c>
      <c r="Q32" s="22">
        <f>VLOOKUP(C32,'[2]ILS Data pull'!$C:$H,4,0)</f>
        <v>110000000</v>
      </c>
      <c r="R32" s="23">
        <f>VLOOKUP(K32,'[2]ETF Portfolio'!$A$18:$U$114,21,0)</f>
        <v>250000</v>
      </c>
      <c r="T32" s="24">
        <f>VLOOKUP(K32,'[2]ETF Portfolio'!$A$18:$T$114,20,0)</f>
        <v>103.1</v>
      </c>
      <c r="U32" s="25">
        <f>VLOOKUP(K32,'[2]ETF Portfolio'!$A$18:$R$114,18,0)</f>
        <v>0.1056</v>
      </c>
      <c r="V32" s="19" t="str">
        <f>VLOOKUP(K32,'[2]ETF Portfolio'!$A$18:$C$114,3,0)</f>
        <v>Buy</v>
      </c>
      <c r="W32" s="21">
        <f>VLOOKUP(K32,'[2]ETF Portfolio'!$A$18:$D$114,4,0)</f>
        <v>45866</v>
      </c>
      <c r="X32" s="3"/>
      <c r="Y32" s="26"/>
      <c r="Z32" s="27">
        <f>R32/VLOOKUP(K32,'[2]ILS Data pull'!$B:$H,7,0)</f>
        <v>2.2727272727272726E-3</v>
      </c>
      <c r="AA32" s="28">
        <f>VLOOKUP(K32,'[2]ETF Portfolio'!$A$18:$Q$114,17,0)</f>
        <v>6.7368757419999994E-2</v>
      </c>
      <c r="AB32" s="19">
        <v>0</v>
      </c>
      <c r="AC32" s="28">
        <f>VLOOKUP(K32, '[2]ETF Portfolio'!$A$18:$AD$114,30,0)</f>
        <v>7.1632760000000004E-2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21">
        <f t="shared" si="3"/>
        <v>45866</v>
      </c>
      <c r="AJ32" s="21">
        <f t="shared" si="5"/>
        <v>45866</v>
      </c>
      <c r="AK32" s="21">
        <f t="shared" si="5"/>
        <v>45866</v>
      </c>
      <c r="AL32" s="21">
        <f t="shared" si="5"/>
        <v>45866</v>
      </c>
      <c r="AM32" s="21">
        <f t="shared" si="5"/>
        <v>45866</v>
      </c>
      <c r="AN32" s="21" t="str">
        <f>VLOOKUP(K32,'[2]ETF Portfolio'!$A$18:$K$114,11,0)</f>
        <v>Indemnity</v>
      </c>
      <c r="AO32" s="21" t="str">
        <f>VLOOKUP(K32,'[2]ETF Portfolio'!$A$18:$J$114,10,0)</f>
        <v>Occurrence</v>
      </c>
      <c r="AP32" s="19">
        <v>0</v>
      </c>
      <c r="AQ32" s="19">
        <v>0</v>
      </c>
      <c r="AR32" s="19">
        <v>0</v>
      </c>
      <c r="AS32" s="19">
        <v>1</v>
      </c>
      <c r="AT32" s="20"/>
      <c r="AU32" s="20"/>
      <c r="AV32" s="29"/>
    </row>
    <row r="33" spans="1:48" x14ac:dyDescent="0.3">
      <c r="A33" t="s">
        <v>1494</v>
      </c>
      <c r="B33" t="s">
        <v>1493</v>
      </c>
      <c r="C33" t="str">
        <f>VLOOKUP(K33,'[2]ILS Data pull'!$B:$H,2,0)</f>
        <v>CB-Veraison Re Ltd. Series 2023-1 Class A Reset 2025</v>
      </c>
      <c r="D33" s="19" t="str">
        <f t="shared" si="0"/>
        <v>2023-1</v>
      </c>
      <c r="E33" s="19" t="str">
        <f t="shared" si="1"/>
        <v>Class A</v>
      </c>
      <c r="F33" s="19" t="str">
        <f t="shared" si="2"/>
        <v>2025</v>
      </c>
      <c r="H33" s="19" t="s">
        <v>1456</v>
      </c>
      <c r="I33" s="21" t="str">
        <f>VLOOKUP(K33,'[2]ETF Portfolio'!$A$18:$I$114,9,0)</f>
        <v>GeoVera</v>
      </c>
      <c r="J33" s="20"/>
      <c r="K33" s="21" t="s">
        <v>619</v>
      </c>
      <c r="L33" s="21" t="str" cm="1">
        <f t="array" ref="L33:M33">VLOOKUP(K33,'[2]ETF Portfolio'!A50:$M$114,{12,13},0)</f>
        <v>12/20/2022</v>
      </c>
      <c r="M33" s="21" t="str">
        <v>3/9/2026</v>
      </c>
      <c r="O33" s="19" t="str">
        <f>VLOOKUP(K33,'[2]ETF Portfolio'!$A$18:$B$114,2,0)</f>
        <v>Cat Bond</v>
      </c>
      <c r="P33" s="22">
        <f>VLOOKUP(C33,'[2]ILS Data pull'!$C:$H,2,0)</f>
        <v>0</v>
      </c>
      <c r="Q33" s="22">
        <f>VLOOKUP(C33,'[2]ILS Data pull'!$C:$H,4,0)</f>
        <v>100000000</v>
      </c>
      <c r="R33" s="23">
        <f>VLOOKUP(K33,'[2]ETF Portfolio'!$A$18:$U$114,21,0)</f>
        <v>250000</v>
      </c>
      <c r="T33" s="24">
        <f>VLOOKUP(K33,'[2]ETF Portfolio'!$A$18:$T$114,20,0)</f>
        <v>102.925</v>
      </c>
      <c r="U33" s="25">
        <f>VLOOKUP(K33,'[2]ETF Portfolio'!$A$18:$R$114,18,0)</f>
        <v>0.10617999877929687</v>
      </c>
      <c r="V33" s="19" t="str">
        <f>VLOOKUP(K33,'[2]ETF Portfolio'!$A$18:$C$114,3,0)</f>
        <v>Buy</v>
      </c>
      <c r="W33" s="21">
        <f>VLOOKUP(K33,'[2]ETF Portfolio'!$A$18:$D$114,4,0)</f>
        <v>45889</v>
      </c>
      <c r="X33" s="3"/>
      <c r="Y33" s="26"/>
      <c r="Z33" s="27">
        <f>R33/VLOOKUP(K33,'[2]ILS Data pull'!$B:$H,7,0)</f>
        <v>3.3333333333333335E-3</v>
      </c>
      <c r="AA33" s="28">
        <f>VLOOKUP(K33,'[2]ETF Portfolio'!$A$18:$Q$114,17,0)</f>
        <v>6.7481547241393061E-2</v>
      </c>
      <c r="AB33" s="19">
        <v>0</v>
      </c>
      <c r="AC33" s="28">
        <f>VLOOKUP(K33, '[2]ETF Portfolio'!$A$18:$AD$114,30,0)</f>
        <v>5.5554730000000004E-2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21">
        <f t="shared" si="3"/>
        <v>45889</v>
      </c>
      <c r="AJ33" s="21">
        <f t="shared" si="5"/>
        <v>45889</v>
      </c>
      <c r="AK33" s="21">
        <f t="shared" si="5"/>
        <v>45889</v>
      </c>
      <c r="AL33" s="21">
        <f t="shared" si="5"/>
        <v>45889</v>
      </c>
      <c r="AM33" s="21">
        <f t="shared" si="5"/>
        <v>45889</v>
      </c>
      <c r="AN33" s="21" t="str">
        <f>VLOOKUP(K33,'[2]ETF Portfolio'!$A$18:$K$114,11,0)</f>
        <v>Indemnity</v>
      </c>
      <c r="AO33" s="21" t="str">
        <f>VLOOKUP(K33,'[2]ETF Portfolio'!$A$18:$J$114,10,0)</f>
        <v>Occurrence</v>
      </c>
      <c r="AP33" s="19">
        <v>0</v>
      </c>
      <c r="AQ33" s="19">
        <v>0</v>
      </c>
      <c r="AR33" s="19">
        <v>0</v>
      </c>
      <c r="AS33" s="19">
        <v>1</v>
      </c>
      <c r="AT33" s="20"/>
      <c r="AU33" s="20"/>
      <c r="AV33" s="29"/>
    </row>
    <row r="34" spans="1:48" x14ac:dyDescent="0.3">
      <c r="A34" t="s">
        <v>1496</v>
      </c>
      <c r="B34" t="s">
        <v>1495</v>
      </c>
      <c r="C34" t="str">
        <f>VLOOKUP(K34,'[2]ILS Data pull'!$B:$H,2,0)</f>
        <v>CB-Torrey Pines Re Ltd. Series 2023-1 Class B Reset 2025</v>
      </c>
      <c r="D34" s="19" t="str">
        <f t="shared" si="0"/>
        <v>2023-1</v>
      </c>
      <c r="E34" s="19" t="str">
        <f t="shared" si="1"/>
        <v>Class B</v>
      </c>
      <c r="F34" s="19" t="str">
        <f t="shared" si="2"/>
        <v>2025</v>
      </c>
      <c r="H34" s="19" t="s">
        <v>1456</v>
      </c>
      <c r="I34" s="21" t="str">
        <f>VLOOKUP(K34,'[2]ETF Portfolio'!$A$18:$I$114,9,0)</f>
        <v>Palomar Specialty</v>
      </c>
      <c r="J34" s="20"/>
      <c r="K34" s="21" t="s">
        <v>553</v>
      </c>
      <c r="L34" s="21" t="str" cm="1">
        <f t="array" ref="L34:M34">VLOOKUP(K34,'[2]ETF Portfolio'!A51:$M$114,{12,13},0)</f>
        <v>5/25/2023</v>
      </c>
      <c r="M34" s="21" t="str">
        <v>6/5/2026</v>
      </c>
      <c r="O34" s="19" t="str">
        <f>VLOOKUP(K34,'[2]ETF Portfolio'!$A$18:$B$114,2,0)</f>
        <v>Cat Bond</v>
      </c>
      <c r="P34" s="22">
        <f>VLOOKUP(C34,'[2]ILS Data pull'!$C:$H,2,0)</f>
        <v>0</v>
      </c>
      <c r="Q34" s="22">
        <f>VLOOKUP(C34,'[2]ILS Data pull'!$C:$H,4,0)</f>
        <v>125000000</v>
      </c>
      <c r="R34" s="23">
        <f>VLOOKUP(K34,'[2]ETF Portfolio'!$A$18:$U$114,21,0)</f>
        <v>250000</v>
      </c>
      <c r="T34" s="24">
        <f>VLOOKUP(K34,'[2]ETF Portfolio'!$A$18:$T$114,20,0)</f>
        <v>102.75</v>
      </c>
      <c r="U34" s="25">
        <f>VLOOKUP(K34,'[2]ETF Portfolio'!$A$18:$R$114,18,0)</f>
        <v>0.1206</v>
      </c>
      <c r="V34" s="19" t="str">
        <f>VLOOKUP(K34,'[2]ETF Portfolio'!$A$18:$C$114,3,0)</f>
        <v>Buy</v>
      </c>
      <c r="W34" s="21">
        <f>VLOOKUP(K34,'[2]ETF Portfolio'!$A$18:$D$114,4,0)</f>
        <v>45908</v>
      </c>
      <c r="X34" s="3"/>
      <c r="Y34" s="26"/>
      <c r="Z34" s="27">
        <f>R34/VLOOKUP(K34,'[2]ILS Data pull'!$B:$H,7,0)</f>
        <v>5.0000000000000001E-3</v>
      </c>
      <c r="AA34" s="28">
        <f>VLOOKUP(K34,'[2]ETF Portfolio'!$A$18:$Q$114,17,0)</f>
        <v>8.2161083101289042E-2</v>
      </c>
      <c r="AB34" s="19">
        <v>0</v>
      </c>
      <c r="AC34" s="28">
        <f>VLOOKUP(K34, '[2]ETF Portfolio'!$A$18:$AD$114,30,0)</f>
        <v>8.541230000000001E-2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21">
        <f t="shared" si="3"/>
        <v>45908</v>
      </c>
      <c r="AJ34" s="21">
        <f t="shared" si="5"/>
        <v>45908</v>
      </c>
      <c r="AK34" s="21">
        <f t="shared" si="5"/>
        <v>45908</v>
      </c>
      <c r="AL34" s="21">
        <f t="shared" si="5"/>
        <v>45908</v>
      </c>
      <c r="AM34" s="21">
        <f t="shared" si="5"/>
        <v>45908</v>
      </c>
      <c r="AN34" s="21" t="str">
        <f>VLOOKUP(K34,'[2]ETF Portfolio'!$A$18:$K$114,11,0)</f>
        <v>Indemnity</v>
      </c>
      <c r="AO34" s="21" t="str">
        <f>VLOOKUP(K34,'[2]ETF Portfolio'!$A$18:$J$114,10,0)</f>
        <v>Occurrence</v>
      </c>
      <c r="AP34" s="19">
        <v>0</v>
      </c>
      <c r="AQ34" s="19">
        <v>0</v>
      </c>
      <c r="AR34" s="19">
        <v>0</v>
      </c>
      <c r="AS34" s="19">
        <v>1</v>
      </c>
      <c r="AT34" s="20"/>
      <c r="AU34" s="20"/>
    </row>
    <row r="35" spans="1:48" x14ac:dyDescent="0.3">
      <c r="A35" t="s">
        <v>1514</v>
      </c>
      <c r="B35" t="s">
        <v>1513</v>
      </c>
      <c r="C35" t="str">
        <f>VLOOKUP(K35,'[2]ILS Data pull'!$B:$H,2,0)</f>
        <v>CB-Citrus Re Ltd. Series 2023-1 Class B Reset 2025</v>
      </c>
      <c r="D35" s="19" t="str">
        <f t="shared" si="0"/>
        <v>2023-1</v>
      </c>
      <c r="E35" s="19" t="str">
        <f t="shared" si="1"/>
        <v>Class B</v>
      </c>
      <c r="F35" s="19" t="str">
        <f t="shared" si="2"/>
        <v>2025</v>
      </c>
      <c r="H35" s="19" t="s">
        <v>1456</v>
      </c>
      <c r="I35" s="21" t="str">
        <f>VLOOKUP(K35,'[2]ETF Portfolio'!$A$18:$I$114,9,0)</f>
        <v>Heritage</v>
      </c>
      <c r="J35" s="20"/>
      <c r="K35" s="21" t="s">
        <v>663</v>
      </c>
      <c r="L35" s="21" t="str" cm="1">
        <f t="array" ref="L35:M35">VLOOKUP(K35,'[2]ETF Portfolio'!A52:$M$114,{12,13},0)</f>
        <v>5/11/2023</v>
      </c>
      <c r="M35" s="21" t="str">
        <v>6/7/2026</v>
      </c>
      <c r="O35" s="19" t="str">
        <f>VLOOKUP(K35,'[2]ETF Portfolio'!$A$18:$B$114,2,0)</f>
        <v>Cat Bond</v>
      </c>
      <c r="P35" s="22">
        <f>VLOOKUP(C35,'[2]ILS Data pull'!$C:$H,2,0)</f>
        <v>0</v>
      </c>
      <c r="Q35" s="22">
        <f>VLOOKUP(C35,'[2]ILS Data pull'!$C:$H,4,0)</f>
        <v>115000000</v>
      </c>
      <c r="R35" s="23">
        <f>VLOOKUP(K35,'[2]ETF Portfolio'!$A$18:$U$114,21,0)</f>
        <v>250000</v>
      </c>
      <c r="T35" s="24">
        <f>VLOOKUP(K35,'[2]ETF Portfolio'!$A$18:$T$114,20,0)</f>
        <v>103.85</v>
      </c>
      <c r="U35" s="25">
        <f>VLOOKUP(K35,'[2]ETF Portfolio'!$A$18:$R$114,18,0)</f>
        <v>0.1257647939682007</v>
      </c>
      <c r="V35" s="19" t="str">
        <f>VLOOKUP(K35,'[2]ETF Portfolio'!$A$18:$C$114,3,0)</f>
        <v>Buy</v>
      </c>
      <c r="W35" s="21">
        <f>VLOOKUP(K35,'[2]ETF Portfolio'!$A$18:$D$114,4,0)</f>
        <v>45908</v>
      </c>
      <c r="X35" s="3"/>
      <c r="Y35" s="26"/>
      <c r="Z35" s="27">
        <f>R35/VLOOKUP(K35,'[2]ILS Data pull'!$B:$H,7,0)</f>
        <v>2.1739130434782609E-3</v>
      </c>
      <c r="AA35" s="28">
        <f>VLOOKUP(K35,'[2]ETF Portfolio'!$A$18:$Q$114,17,0)</f>
        <v>8.6567912869999986E-2</v>
      </c>
      <c r="AB35" s="19">
        <v>0</v>
      </c>
      <c r="AC35" s="28">
        <f>VLOOKUP(K35, '[2]ETF Portfolio'!$A$18:$AD$114,30,0)</f>
        <v>6.7369300000000007E-2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21">
        <f t="shared" si="3"/>
        <v>45908</v>
      </c>
      <c r="AJ35" s="21">
        <f t="shared" si="5"/>
        <v>45908</v>
      </c>
      <c r="AK35" s="21">
        <f t="shared" si="5"/>
        <v>45908</v>
      </c>
      <c r="AL35" s="21">
        <f t="shared" si="5"/>
        <v>45908</v>
      </c>
      <c r="AM35" s="21">
        <f t="shared" si="5"/>
        <v>45908</v>
      </c>
      <c r="AN35" s="21" t="str">
        <f>VLOOKUP(K35,'[2]ETF Portfolio'!$A$18:$K$114,11,0)</f>
        <v>Indemnity</v>
      </c>
      <c r="AO35" s="21" t="str">
        <f>VLOOKUP(K35,'[2]ETF Portfolio'!$A$18:$J$114,10,0)</f>
        <v>Occurrence</v>
      </c>
      <c r="AP35" s="19">
        <v>0</v>
      </c>
      <c r="AQ35" s="19">
        <v>0</v>
      </c>
      <c r="AR35" s="19">
        <v>0</v>
      </c>
      <c r="AS35" s="19">
        <v>1</v>
      </c>
      <c r="AT35" s="20"/>
      <c r="AU35" s="20"/>
    </row>
    <row r="36" spans="1:48" x14ac:dyDescent="0.3">
      <c r="A36" t="s">
        <v>1516</v>
      </c>
      <c r="B36" t="s">
        <v>1515</v>
      </c>
      <c r="C36" t="str">
        <f>VLOOKUP(K36,'[2]ILS Data pull'!$B:$H,2,0)</f>
        <v>CB-Purple Re Ltd. Series 2023-2 Class A Reset 2025</v>
      </c>
      <c r="D36" s="19" t="str">
        <f t="shared" si="0"/>
        <v>2023-2</v>
      </c>
      <c r="E36" s="19" t="str">
        <f t="shared" si="1"/>
        <v>Class A</v>
      </c>
      <c r="F36" s="19" t="str">
        <f t="shared" si="2"/>
        <v>2025</v>
      </c>
      <c r="H36" s="19" t="s">
        <v>1456</v>
      </c>
      <c r="I36" s="21" t="str">
        <f>VLOOKUP(K36,'[2]ETF Portfolio'!$A$18:$I$114,9,0)</f>
        <v>Slide</v>
      </c>
      <c r="J36" s="20"/>
      <c r="K36" s="21" t="s">
        <v>700</v>
      </c>
      <c r="L36" s="21" t="str" cm="1">
        <f t="array" ref="L36:M36">VLOOKUP(K36,'[2]ETF Portfolio'!A53:$M$114,{12,13},0)</f>
        <v>7/5/2023</v>
      </c>
      <c r="M36" s="21" t="str">
        <v>6/5/2026</v>
      </c>
      <c r="O36" s="19" t="str">
        <f>VLOOKUP(K36,'[2]ETF Portfolio'!$A$18:$B$114,2,0)</f>
        <v>Cat Bond</v>
      </c>
      <c r="P36" s="22">
        <f>VLOOKUP(C36,'[2]ILS Data pull'!$C:$H,2,0)</f>
        <v>0</v>
      </c>
      <c r="Q36" s="22">
        <f>VLOOKUP(C36,'[2]ILS Data pull'!$C:$H,4,0)</f>
        <v>100000000</v>
      </c>
      <c r="R36" s="23">
        <f>VLOOKUP(K36,'[2]ETF Portfolio'!$A$18:$U$114,21,0)</f>
        <v>250000</v>
      </c>
      <c r="T36" s="24">
        <f>VLOOKUP(K36,'[2]ETF Portfolio'!$A$18:$T$114,20,0)</f>
        <v>102.9</v>
      </c>
      <c r="U36" s="25">
        <f>VLOOKUP(K36,'[2]ETF Portfolio'!$A$18:$R$114,18,0)</f>
        <v>0.14446480112075805</v>
      </c>
      <c r="V36" s="19" t="str">
        <f>VLOOKUP(K36,'[2]ETF Portfolio'!$A$18:$C$114,3,0)</f>
        <v>Buy</v>
      </c>
      <c r="W36" s="21">
        <f>VLOOKUP(K36,'[2]ETF Portfolio'!$A$18:$D$114,4,0)</f>
        <v>45908</v>
      </c>
      <c r="X36" s="3"/>
      <c r="Y36" s="26"/>
      <c r="Z36" s="27">
        <f>R36/VLOOKUP(K36,'[2]ILS Data pull'!$B:$H,7,0)</f>
        <v>2.5000000000000001E-3</v>
      </c>
      <c r="AA36" s="28">
        <f>VLOOKUP(K36,'[2]ETF Portfolio'!$A$18:$Q$114,17,0)</f>
        <v>0.10575252025762831</v>
      </c>
      <c r="AB36" s="19">
        <v>0</v>
      </c>
      <c r="AC36" s="28">
        <f>VLOOKUP(K36, '[2]ETF Portfolio'!$A$18:$AD$114,30,0)</f>
        <v>0.10023182999999999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21">
        <f t="shared" si="3"/>
        <v>45908</v>
      </c>
      <c r="AJ36" s="21">
        <f t="shared" si="5"/>
        <v>45908</v>
      </c>
      <c r="AK36" s="21">
        <f t="shared" si="5"/>
        <v>45908</v>
      </c>
      <c r="AL36" s="21">
        <f t="shared" si="5"/>
        <v>45908</v>
      </c>
      <c r="AM36" s="21">
        <f t="shared" si="5"/>
        <v>45908</v>
      </c>
      <c r="AN36" s="21" t="str">
        <f>VLOOKUP(K36,'[2]ETF Portfolio'!$A$18:$K$114,11,0)</f>
        <v>Indemnity</v>
      </c>
      <c r="AO36" s="21" t="str">
        <f>VLOOKUP(K36,'[2]ETF Portfolio'!$A$18:$J$114,10,0)</f>
        <v>Occurrence</v>
      </c>
      <c r="AP36" s="19">
        <v>0</v>
      </c>
      <c r="AQ36" s="19">
        <v>0</v>
      </c>
      <c r="AR36" s="19">
        <v>0</v>
      </c>
      <c r="AS36" s="19">
        <v>1</v>
      </c>
      <c r="AT36" s="20"/>
      <c r="AU36" s="20"/>
    </row>
    <row r="37" spans="1:48" x14ac:dyDescent="0.3">
      <c r="A37" t="s">
        <v>1518</v>
      </c>
      <c r="B37" t="s">
        <v>1517</v>
      </c>
      <c r="C37" t="str">
        <f>VLOOKUP(K37,'[2]ILS Data pull'!$B:$H,2,0)</f>
        <v>CB-Matterhorn Re Ltd. Series 2025-3 Class A</v>
      </c>
      <c r="D37" t="str">
        <f t="shared" si="0"/>
        <v>2025-3</v>
      </c>
      <c r="E37" t="str">
        <f t="shared" si="1"/>
        <v>Class A</v>
      </c>
      <c r="F37" s="19" t="str">
        <f t="shared" si="2"/>
        <v/>
      </c>
      <c r="H37" s="19" t="s">
        <v>1456</v>
      </c>
      <c r="I37" s="21" t="str">
        <f>VLOOKUP(K37,'[2]ETF Portfolio'!$A$18:$I$114,9,0)</f>
        <v>Swiss Re</v>
      </c>
      <c r="J37" s="20"/>
      <c r="K37" s="21" t="s">
        <v>444</v>
      </c>
      <c r="L37" s="21" cm="1">
        <f t="array" ref="L37:M37">VLOOKUP(K37,'[2]ETF Portfolio'!A54:$M$114,{12,13},0)</f>
        <v>45917</v>
      </c>
      <c r="M37" s="21">
        <v>47013</v>
      </c>
      <c r="O37" s="19" t="str">
        <f>VLOOKUP(K37,'[2]ETF Portfolio'!$A$18:$B$114,2,0)</f>
        <v>Cat Bond</v>
      </c>
      <c r="P37" s="22">
        <f>VLOOKUP(C37,'[2]ILS Data pull'!$C:$H,2,0)</f>
        <v>0</v>
      </c>
      <c r="Q37" s="22">
        <f>VLOOKUP(C37,'[2]ILS Data pull'!$C:$H,4,0)</f>
        <v>65000000000</v>
      </c>
      <c r="R37" s="23">
        <f>VLOOKUP(K37,'[2]ETF Portfolio'!$A$18:$U$114,21,0)</f>
        <v>250000</v>
      </c>
      <c r="T37" s="24">
        <f>VLOOKUP(K37,'[2]ETF Portfolio'!$A$18:$T$114,20,0)</f>
        <v>100</v>
      </c>
      <c r="U37" s="25">
        <f>VLOOKUP(K37,'[2]ETF Portfolio'!$A$18:$R$114,18,0)</f>
        <v>6.3716461658477788E-2</v>
      </c>
      <c r="V37" s="19" t="str">
        <f>VLOOKUP(K37,'[2]ETF Portfolio'!$A$18:$C$114,3,0)</f>
        <v>Buy</v>
      </c>
      <c r="W37" s="21">
        <f>VLOOKUP(K37,'[2]ETF Portfolio'!$A$18:$D$114,4,0)</f>
        <v>45912</v>
      </c>
      <c r="Y37" s="26"/>
      <c r="Z37" s="27">
        <f>R37/VLOOKUP(K37,'[2]ILS Data pull'!$B:$H,7,0)</f>
        <v>4.1666666666666666E-3</v>
      </c>
      <c r="AA37" s="28">
        <f>VLOOKUP(K37,'[2]ETF Portfolio'!$A$18:$Q$114,17,0)</f>
        <v>2.4989104510654645E-2</v>
      </c>
      <c r="AB37" s="19">
        <v>0</v>
      </c>
      <c r="AC37" s="28">
        <f>VLOOKUP(K37, '[2]ETF Portfolio'!$A$18:$AD$114,30,0)</f>
        <v>6.3665340000000001E-2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21">
        <f t="shared" si="3"/>
        <v>45912</v>
      </c>
      <c r="AJ37" s="21">
        <f t="shared" si="5"/>
        <v>45912</v>
      </c>
      <c r="AK37" s="21">
        <f t="shared" si="5"/>
        <v>45912</v>
      </c>
      <c r="AL37" s="21">
        <f t="shared" si="5"/>
        <v>45912</v>
      </c>
      <c r="AM37" s="21">
        <f t="shared" si="5"/>
        <v>45912</v>
      </c>
      <c r="AN37" s="21" t="str">
        <f>VLOOKUP(K37,'[2]ETF Portfolio'!$A$18:$K$114,11,0)</f>
        <v>Industry Loss Index</v>
      </c>
      <c r="AO37" s="21" t="str">
        <f>VLOOKUP(K37,'[2]ETF Portfolio'!$A$18:$J$114,10,0)</f>
        <v>Aggregate</v>
      </c>
      <c r="AP37" s="19">
        <v>0</v>
      </c>
      <c r="AQ37" s="19">
        <v>0</v>
      </c>
      <c r="AR37" s="19">
        <v>0</v>
      </c>
      <c r="AS37" s="19">
        <v>1</v>
      </c>
      <c r="AT37" s="20"/>
      <c r="AU37" s="20"/>
    </row>
    <row r="38" spans="1:48" x14ac:dyDescent="0.3">
      <c r="A38" t="s">
        <v>1520</v>
      </c>
      <c r="B38" t="s">
        <v>1519</v>
      </c>
      <c r="C38" t="str">
        <f>VLOOKUP(K38,'[2]ILS Data pull'!$B:$H,2,0)</f>
        <v>CB-Nakama Re Ltd. Series 2023-1 Class 2 Reset 2025</v>
      </c>
      <c r="D38" t="str">
        <f t="shared" si="0"/>
        <v>2023-1</v>
      </c>
      <c r="E38" t="str">
        <f t="shared" si="1"/>
        <v>Class 2</v>
      </c>
      <c r="F38" s="19" t="str">
        <f t="shared" si="2"/>
        <v>2025</v>
      </c>
      <c r="H38" s="19" t="s">
        <v>1456</v>
      </c>
      <c r="I38" s="21" t="str">
        <f>VLOOKUP(K38,'[2]ETF Portfolio'!$A$18:$I$114,9,0)</f>
        <v>Zenkyoren</v>
      </c>
      <c r="J38" s="20"/>
      <c r="K38" s="21" t="s">
        <v>710</v>
      </c>
      <c r="L38" s="21" t="str" cm="1">
        <f t="array" ref="L38:M38">VLOOKUP(K38,'[2]ETF Portfolio'!A55:$M$114,{12,13},0)</f>
        <v>4/24/2023</v>
      </c>
      <c r="M38" s="21" t="str">
        <v>5/9/2028</v>
      </c>
      <c r="O38" s="19" t="str">
        <f>VLOOKUP(K38,'[2]ETF Portfolio'!$A$18:$B$114,2,0)</f>
        <v>Cat Bond</v>
      </c>
      <c r="P38" s="22">
        <f>VLOOKUP(C38,'[2]ILS Data pull'!$C:$H,2,0)</f>
        <v>0</v>
      </c>
      <c r="Q38" s="22">
        <f>VLOOKUP(C38,'[2]ILS Data pull'!$C:$H,4,0)</f>
        <v>150000000</v>
      </c>
      <c r="R38" s="23">
        <f>VLOOKUP(K38,'[2]ETF Portfolio'!$A$18:$U$114,21,0)</f>
        <v>250000</v>
      </c>
      <c r="T38" s="24">
        <f>VLOOKUP(K38,'[2]ETF Portfolio'!$A$18:$T$114,20,0)</f>
        <v>104.5</v>
      </c>
      <c r="U38" s="25">
        <f>VLOOKUP(K38,'[2]ETF Portfolio'!$A$18:$R$114,18,0)</f>
        <v>7.7952500000000008E-2</v>
      </c>
      <c r="V38" s="19" t="str">
        <f>VLOOKUP(K38,'[2]ETF Portfolio'!$A$18:$C$114,3,0)</f>
        <v>Buy</v>
      </c>
      <c r="W38" s="21">
        <f>VLOOKUP(K38,'[2]ETF Portfolio'!$A$18:$D$114,4,0)</f>
        <v>45917</v>
      </c>
      <c r="Y38" s="26"/>
      <c r="Z38" s="27">
        <f>R38/VLOOKUP(K38,'[2]ILS Data pull'!$B:$H,7,0)</f>
        <v>1.6666666666666668E-3</v>
      </c>
      <c r="AA38" s="28">
        <f>VLOOKUP(K38,'[2]ETF Portfolio'!$A$18:$Q$114,17,0)</f>
        <v>3.9735449151122572E-2</v>
      </c>
      <c r="AB38" s="19">
        <v>0</v>
      </c>
      <c r="AC38" s="28">
        <f>VLOOKUP(K38, '[2]ETF Portfolio'!$A$18:$AD$114,30,0)</f>
        <v>6.1684509999999998E-2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21">
        <f t="shared" si="3"/>
        <v>45917</v>
      </c>
      <c r="AJ38" s="21">
        <f t="shared" si="5"/>
        <v>45917</v>
      </c>
      <c r="AK38" s="21">
        <f t="shared" si="5"/>
        <v>45917</v>
      </c>
      <c r="AL38" s="21">
        <f t="shared" si="5"/>
        <v>45917</v>
      </c>
      <c r="AM38" s="21">
        <f t="shared" si="5"/>
        <v>45917</v>
      </c>
      <c r="AN38" s="21" t="str">
        <f>VLOOKUP(K38,'[2]ETF Portfolio'!$A$18:$K$114,11,0)</f>
        <v>Indemnity</v>
      </c>
      <c r="AO38" s="21" t="str">
        <f>VLOOKUP(K38,'[2]ETF Portfolio'!$A$18:$J$114,10,0)</f>
        <v>Aggregate</v>
      </c>
      <c r="AP38" s="19">
        <v>0</v>
      </c>
      <c r="AQ38" s="19">
        <v>0</v>
      </c>
      <c r="AR38" s="19">
        <v>0</v>
      </c>
      <c r="AS38" s="19">
        <v>1</v>
      </c>
      <c r="AT38" s="20"/>
      <c r="AU38" s="20"/>
    </row>
    <row r="39" spans="1:48" x14ac:dyDescent="0.3">
      <c r="A39" t="s">
        <v>1522</v>
      </c>
      <c r="B39" t="s">
        <v>1521</v>
      </c>
      <c r="C39" t="str">
        <f>VLOOKUP(K39,'[2]ILS Data pull'!$B:$H,2,0)</f>
        <v>CB-Black Kite Re Ltd. Series 2025-1 Class A</v>
      </c>
      <c r="D39" t="str">
        <f t="shared" si="0"/>
        <v>2025-1</v>
      </c>
      <c r="E39" t="str">
        <f t="shared" si="1"/>
        <v>Class A</v>
      </c>
      <c r="F39" s="19" t="str">
        <f t="shared" si="2"/>
        <v/>
      </c>
      <c r="H39" s="19" t="s">
        <v>1456</v>
      </c>
      <c r="I39" s="21" t="str">
        <f>VLOOKUP(K39,'[2]ETF Portfolio'!$A$18:$I$114,9,0)</f>
        <v>Peak Re</v>
      </c>
      <c r="J39" s="20"/>
      <c r="K39" s="21" t="s">
        <v>646</v>
      </c>
      <c r="L39" s="21" t="str" cm="1">
        <f t="array" ref="L39:M39">VLOOKUP(K39,'[2]ETF Portfolio'!A56:$M$114,{12,13},0)</f>
        <v>4/29/2025</v>
      </c>
      <c r="M39" s="21" t="str">
        <v>5/8/2028</v>
      </c>
      <c r="O39" s="19" t="str">
        <f>VLOOKUP(K39,'[2]ETF Portfolio'!$A$18:$B$114,2,0)</f>
        <v>Cat Bond</v>
      </c>
      <c r="P39" s="22">
        <f>VLOOKUP(C39,'[2]ILS Data pull'!$C:$H,2,0)</f>
        <v>0</v>
      </c>
      <c r="Q39" s="22">
        <f>VLOOKUP(C39,'[2]ILS Data pull'!$C:$H,4,0)</f>
        <v>50000000</v>
      </c>
      <c r="R39" s="23">
        <f>VLOOKUP(K39,'[2]ETF Portfolio'!$A$18:$U$114,21,0)</f>
        <v>250000</v>
      </c>
      <c r="T39" s="24">
        <f>VLOOKUP(K39,'[2]ETF Portfolio'!$A$18:$T$114,20,0)</f>
        <v>104.65</v>
      </c>
      <c r="U39" s="25">
        <f>VLOOKUP(K39,'[2]ETF Portfolio'!$A$18:$R$114,18,0)</f>
        <v>0.1183</v>
      </c>
      <c r="V39" s="19" t="str">
        <f>VLOOKUP(K39,'[2]ETF Portfolio'!$A$18:$C$114,3,0)</f>
        <v>Buy</v>
      </c>
      <c r="W39" s="21">
        <f>VLOOKUP(K39,'[2]ETF Portfolio'!$A$18:$D$114,4,0)</f>
        <v>45918</v>
      </c>
      <c r="Y39" s="26"/>
      <c r="Z39" s="27">
        <f>R39/VLOOKUP(K39,'[2]ILS Data pull'!$B:$H,7,0)</f>
        <v>5.0000000000000001E-3</v>
      </c>
      <c r="AA39" s="28">
        <f>VLOOKUP(K39,'[2]ETF Portfolio'!$A$18:$Q$114,17,0)</f>
        <v>7.9825592971428452E-2</v>
      </c>
      <c r="AB39" s="19">
        <v>0</v>
      </c>
      <c r="AC39" s="28">
        <f>VLOOKUP(K39, '[2]ETF Portfolio'!$A$18:$AD$114,30,0)</f>
        <v>9.9497470000000005E-2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21">
        <f t="shared" si="3"/>
        <v>45918</v>
      </c>
      <c r="AJ39" s="21">
        <f t="shared" si="5"/>
        <v>45918</v>
      </c>
      <c r="AK39" s="21">
        <f t="shared" si="5"/>
        <v>45918</v>
      </c>
      <c r="AL39" s="21">
        <f t="shared" si="5"/>
        <v>45918</v>
      </c>
      <c r="AM39" s="21">
        <f t="shared" si="5"/>
        <v>45918</v>
      </c>
      <c r="AN39" s="21" t="str">
        <f>VLOOKUP(K39,'[2]ETF Portfolio'!$A$18:$K$114,11,0)</f>
        <v>Industry Loss Index</v>
      </c>
      <c r="AO39" s="21" t="str">
        <f>VLOOKUP(K39,'[2]ETF Portfolio'!$A$18:$J$114,10,0)</f>
        <v>Occurrence</v>
      </c>
      <c r="AP39" s="19">
        <v>0</v>
      </c>
      <c r="AQ39" s="19">
        <v>0</v>
      </c>
      <c r="AR39" s="19">
        <v>0</v>
      </c>
      <c r="AS39" s="19">
        <v>1</v>
      </c>
      <c r="AT39" s="20"/>
      <c r="AU39" s="20"/>
    </row>
    <row r="40" spans="1:48" x14ac:dyDescent="0.3">
      <c r="A40" t="s">
        <v>1524</v>
      </c>
      <c r="B40" t="s">
        <v>1523</v>
      </c>
      <c r="C40" t="str">
        <f>VLOOKUP(K40,'[2]ILS Data pull'!$B:$H,2,0)</f>
        <v>CB-Alamo Re Ltd. Series 2024-1 Class C Reset 2025</v>
      </c>
      <c r="D40" t="str">
        <f t="shared" si="0"/>
        <v>2024-1</v>
      </c>
      <c r="E40" t="str">
        <f t="shared" si="1"/>
        <v>Class C</v>
      </c>
      <c r="F40" s="19" t="str">
        <f t="shared" si="2"/>
        <v>2025</v>
      </c>
      <c r="H40" s="19" t="s">
        <v>1456</v>
      </c>
      <c r="I40" s="21" t="str">
        <f>VLOOKUP(K40,'[2]ETF Portfolio'!$A$18:$I$114,9,0)</f>
        <v>TWIA</v>
      </c>
      <c r="J40" s="20"/>
      <c r="K40" s="21" t="s">
        <v>1138</v>
      </c>
      <c r="L40" s="21" t="str" cm="1">
        <f t="array" ref="L40:M40">VLOOKUP(K40,'[2]ETF Portfolio'!A57:$M$114,{12,13},0)</f>
        <v>4/11/2024</v>
      </c>
      <c r="M40" s="21" t="str">
        <v>6/7/2026</v>
      </c>
      <c r="O40" s="19" t="str">
        <f>VLOOKUP(K40,'[2]ETF Portfolio'!$A$18:$B$114,2,0)</f>
        <v>Cat Bond</v>
      </c>
      <c r="P40" s="22">
        <f>VLOOKUP(C40,'[2]ILS Data pull'!$C:$H,2,0)</f>
        <v>0</v>
      </c>
      <c r="Q40" s="22">
        <f>VLOOKUP(C40,'[2]ILS Data pull'!$C:$H,4,0)</f>
        <v>1800000000</v>
      </c>
      <c r="R40" s="23">
        <f>VLOOKUP(K40,'[2]ETF Portfolio'!$A$18:$U$114,21,0)</f>
        <v>250000</v>
      </c>
      <c r="T40" s="24">
        <f>VLOOKUP(K40,'[2]ETF Portfolio'!$A$18:$T$114,20,0)</f>
        <v>105.2</v>
      </c>
      <c r="U40" s="25">
        <f>VLOOKUP(K40,'[2]ETF Portfolio'!$A$18:$R$114,18,0)</f>
        <v>0.15690000000000001</v>
      </c>
      <c r="V40" s="19" t="str">
        <f>VLOOKUP(K40,'[2]ETF Portfolio'!$A$18:$C$114,3,0)</f>
        <v>Buy</v>
      </c>
      <c r="W40" s="21">
        <f>VLOOKUP(K40,'[2]ETF Portfolio'!$A$18:$D$114,4,0)</f>
        <v>45929</v>
      </c>
      <c r="Y40" s="26"/>
      <c r="Z40" s="27">
        <f>R40/VLOOKUP(K40,'[2]ILS Data pull'!$B:$H,7,0)</f>
        <v>6.2500000000000001E-4</v>
      </c>
      <c r="AA40" s="28">
        <f>VLOOKUP(K40,'[2]ETF Portfolio'!$A$18:$Q$114,17,0)</f>
        <v>0.11854834382856104</v>
      </c>
      <c r="AB40" s="19">
        <v>0</v>
      </c>
      <c r="AC40" s="28">
        <f>VLOOKUP(K40, '[2]ETF Portfolio'!$A$18:$AD$114,30,0)</f>
        <v>8.1617250000000002E-2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21">
        <f t="shared" si="3"/>
        <v>45929</v>
      </c>
      <c r="AJ40" s="21">
        <f t="shared" si="5"/>
        <v>45929</v>
      </c>
      <c r="AK40" s="21">
        <f t="shared" si="5"/>
        <v>45929</v>
      </c>
      <c r="AL40" s="21">
        <f t="shared" si="5"/>
        <v>45929</v>
      </c>
      <c r="AM40" s="21">
        <f t="shared" si="5"/>
        <v>45929</v>
      </c>
      <c r="AN40" s="21" t="str">
        <f>VLOOKUP(K40,'[2]ETF Portfolio'!$A$18:$K$114,11,0)</f>
        <v>Indemnity</v>
      </c>
      <c r="AO40" s="21" t="str">
        <f>VLOOKUP(K40,'[2]ETF Portfolio'!$A$18:$J$114,10,0)</f>
        <v>Aggregate</v>
      </c>
      <c r="AP40" s="19">
        <v>0</v>
      </c>
      <c r="AQ40" s="19">
        <v>0</v>
      </c>
      <c r="AR40" s="19">
        <v>0</v>
      </c>
      <c r="AS40" s="19">
        <v>1</v>
      </c>
      <c r="AT40" s="20"/>
      <c r="AU40" s="20"/>
    </row>
    <row r="41" spans="1:48" x14ac:dyDescent="0.3">
      <c r="A41" t="s">
        <v>1526</v>
      </c>
      <c r="B41" t="s">
        <v>1525</v>
      </c>
      <c r="C41" t="str">
        <f>VLOOKUP(K41,'[2]ILS Data pull'!$B:$H,2,0)</f>
        <v>CB-Sanders Re III Ltd. Series 2024-1 Class A Reset 2025</v>
      </c>
      <c r="D41" t="str">
        <f t="shared" si="0"/>
        <v>2024-1</v>
      </c>
      <c r="E41" t="str">
        <f t="shared" si="1"/>
        <v>Class A</v>
      </c>
      <c r="F41" s="19" t="str">
        <f t="shared" si="2"/>
        <v>2025</v>
      </c>
      <c r="H41" s="19" t="s">
        <v>1456</v>
      </c>
      <c r="I41" s="21" t="str">
        <f>VLOOKUP(K41,'[2]ETF Portfolio'!$A$18:$I$114,9,0)</f>
        <v>AllState</v>
      </c>
      <c r="J41" s="20"/>
      <c r="K41" s="21" t="s">
        <v>417</v>
      </c>
      <c r="L41" s="21" t="str" cm="1">
        <f t="array" ref="L41:M41">VLOOKUP(K41,'[2]ETF Portfolio'!A58:$M$114,{12,13},0)</f>
        <v>1/23/2024</v>
      </c>
      <c r="M41" s="21" t="str">
        <v>4/7/2028</v>
      </c>
      <c r="O41" s="19" t="str">
        <f>VLOOKUP(K41,'[2]ETF Portfolio'!$A$18:$B$114,2,0)</f>
        <v>Cat Bond</v>
      </c>
      <c r="P41" s="22">
        <f>VLOOKUP(C41,'[2]ILS Data pull'!$C:$H,2,0)</f>
        <v>0</v>
      </c>
      <c r="Q41" s="22">
        <f>VLOOKUP(C41,'[2]ILS Data pull'!$C:$H,4,0)</f>
        <v>1000000000</v>
      </c>
      <c r="R41" s="23">
        <f>VLOOKUP(K41,'[2]ETF Portfolio'!$A$18:$U$114,21,0)</f>
        <v>675000</v>
      </c>
      <c r="T41" s="24">
        <f>VLOOKUP(K41,'[2]ETF Portfolio'!$A$18:$T$114,20,0)</f>
        <v>105.4</v>
      </c>
      <c r="U41" s="25">
        <f>VLOOKUP(K41,'[2]ETF Portfolio'!$A$18:$R$114,18,0)</f>
        <v>9.3900000000000011E-2</v>
      </c>
      <c r="V41" s="19" t="str">
        <f>VLOOKUP(K41,'[2]ETF Portfolio'!$A$18:$C$114,3,0)</f>
        <v>Buy</v>
      </c>
      <c r="W41" s="21">
        <f>VLOOKUP(K41,'[2]ETF Portfolio'!$A$18:$D$114,4,0)</f>
        <v>45931</v>
      </c>
      <c r="Y41" s="26"/>
      <c r="Z41" s="27">
        <f>R41/VLOOKUP(K41,'[2]ILS Data pull'!$B:$H,7,0)</f>
        <v>1.6875E-3</v>
      </c>
      <c r="AA41" s="28">
        <f>VLOOKUP(K41,'[2]ETF Portfolio'!$A$18:$Q$114,17,0)</f>
        <v>5.5532829293870552E-2</v>
      </c>
      <c r="AB41" s="19">
        <v>0</v>
      </c>
      <c r="AC41" s="28">
        <f>VLOOKUP(K41, '[2]ETF Portfolio'!$A$18:$AD$114,30,0)</f>
        <v>7.1962929999999994E-2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21">
        <f t="shared" si="3"/>
        <v>45931</v>
      </c>
      <c r="AJ41" s="21">
        <f t="shared" si="5"/>
        <v>45931</v>
      </c>
      <c r="AK41" s="21">
        <f t="shared" si="5"/>
        <v>45931</v>
      </c>
      <c r="AL41" s="21">
        <f t="shared" si="5"/>
        <v>45931</v>
      </c>
      <c r="AM41" s="21">
        <f t="shared" si="5"/>
        <v>45931</v>
      </c>
      <c r="AN41" s="21" t="str">
        <f>VLOOKUP(K41,'[2]ETF Portfolio'!$A$18:$K$114,11,0)</f>
        <v>Indemnity</v>
      </c>
      <c r="AO41" s="21" t="str">
        <f>VLOOKUP(K41,'[2]ETF Portfolio'!$A$18:$J$114,10,0)</f>
        <v>Occurrence</v>
      </c>
      <c r="AP41" s="19">
        <v>0</v>
      </c>
      <c r="AQ41" s="19">
        <v>0</v>
      </c>
      <c r="AR41" s="19">
        <v>0</v>
      </c>
      <c r="AS41" s="19">
        <v>1</v>
      </c>
      <c r="AT41" s="20"/>
      <c r="AU41" s="20"/>
    </row>
    <row r="42" spans="1:48" x14ac:dyDescent="0.3">
      <c r="A42" t="s">
        <v>1528</v>
      </c>
      <c r="B42" t="s">
        <v>1527</v>
      </c>
      <c r="C42" t="str">
        <f>VLOOKUP(K42,'[2]ILS Data pull'!$B:$H,2,0)</f>
        <v>CB-Winston Re Ltd. Series 2024-1 Class A Reset 2025</v>
      </c>
      <c r="D42" t="str">
        <f t="shared" si="0"/>
        <v>2024-1</v>
      </c>
      <c r="E42" t="str">
        <f t="shared" si="1"/>
        <v>Class A</v>
      </c>
      <c r="F42" s="19" t="str">
        <f t="shared" si="2"/>
        <v>2025</v>
      </c>
      <c r="H42" s="19" t="s">
        <v>1456</v>
      </c>
      <c r="I42" s="21" t="str">
        <f>VLOOKUP(K42,'[2]ETF Portfolio'!$A$18:$I$114,9,0)</f>
        <v>Tower Hill Ins Exch</v>
      </c>
      <c r="J42" s="20"/>
      <c r="K42" s="21" t="s">
        <v>992</v>
      </c>
      <c r="L42" s="21" t="str" cm="1">
        <f t="array" ref="L42:M42">VLOOKUP(K42,'[2]ETF Portfolio'!A59:$M$114,{12,13},0)</f>
        <v>2/21/2024</v>
      </c>
      <c r="M42" s="21" t="str">
        <v>2/26/2027</v>
      </c>
      <c r="O42" s="19" t="str">
        <f>VLOOKUP(K42,'[2]ETF Portfolio'!$A$18:$B$114,2,0)</f>
        <v>Cat Bond</v>
      </c>
      <c r="P42" s="22">
        <f>VLOOKUP(C42,'[2]ILS Data pull'!$C:$H,2,0)</f>
        <v>0</v>
      </c>
      <c r="Q42" s="22">
        <f>VLOOKUP(C42,'[2]ILS Data pull'!$C:$H,4,0)</f>
        <v>250000000</v>
      </c>
      <c r="R42" s="23">
        <f>VLOOKUP(K42,'[2]ETF Portfolio'!$A$18:$U$114,21,0)</f>
        <v>250000</v>
      </c>
      <c r="T42" s="24">
        <f>VLOOKUP(K42,'[2]ETF Portfolio'!$A$18:$T$114,20,0)</f>
        <v>107.85</v>
      </c>
      <c r="U42" s="25">
        <f>VLOOKUP(K42,'[2]ETF Portfolio'!$A$18:$R$114,18,0)</f>
        <v>0.14030000000000001</v>
      </c>
      <c r="V42" s="19" t="str">
        <f>VLOOKUP(K42,'[2]ETF Portfolio'!$A$18:$C$114,3,0)</f>
        <v>Buy</v>
      </c>
      <c r="W42" s="21">
        <f>VLOOKUP(K42,'[2]ETF Portfolio'!$A$18:$D$114,4,0)</f>
        <v>45939</v>
      </c>
      <c r="Y42" s="26"/>
      <c r="Z42" s="27">
        <f>R42/VLOOKUP(K42,'[2]ILS Data pull'!$B:$H,7,0)</f>
        <v>1E-3</v>
      </c>
      <c r="AA42" s="28">
        <f>VLOOKUP(K42,'[2]ETF Portfolio'!$A$18:$Q$114,17,0)</f>
        <v>0.10162389465689785</v>
      </c>
      <c r="AB42" s="19">
        <v>0</v>
      </c>
      <c r="AC42" s="28">
        <f>VLOOKUP(K42, '[2]ETF Portfolio'!$A$18:$AD$114,30,0)</f>
        <v>8.1237019999999993E-2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21">
        <f t="shared" si="3"/>
        <v>45939</v>
      </c>
      <c r="AJ42" s="21">
        <f t="shared" si="5"/>
        <v>45939</v>
      </c>
      <c r="AK42" s="21">
        <f t="shared" si="5"/>
        <v>45939</v>
      </c>
      <c r="AL42" s="21">
        <f t="shared" si="5"/>
        <v>45939</v>
      </c>
      <c r="AM42" s="21">
        <f t="shared" si="5"/>
        <v>45939</v>
      </c>
      <c r="AN42" s="21" t="str">
        <f>VLOOKUP(K42,'[2]ETF Portfolio'!$A$18:$K$114,11,0)</f>
        <v>Indemnity</v>
      </c>
      <c r="AO42" s="21" t="str">
        <f>VLOOKUP(K42,'[2]ETF Portfolio'!$A$18:$J$114,10,0)</f>
        <v>Occurrence</v>
      </c>
      <c r="AP42" s="19">
        <v>0</v>
      </c>
      <c r="AQ42" s="19">
        <v>0</v>
      </c>
      <c r="AR42" s="19">
        <v>0</v>
      </c>
      <c r="AS42" s="19">
        <v>1</v>
      </c>
      <c r="AT42" s="20"/>
      <c r="AU42" s="20"/>
    </row>
    <row r="43" spans="1:48" x14ac:dyDescent="0.3">
      <c r="A43" t="s">
        <v>1530</v>
      </c>
      <c r="B43" t="s">
        <v>1529</v>
      </c>
      <c r="C43" t="str">
        <f>VLOOKUP(K43,'[2]ILS Data pull'!$B:$H,2,0)</f>
        <v>CB-Winston Re Ltd. Series 2024-1 Class B Reset 2025</v>
      </c>
      <c r="D43" t="str">
        <f t="shared" si="0"/>
        <v>2024-1</v>
      </c>
      <c r="E43" t="str">
        <f t="shared" si="1"/>
        <v>Class B</v>
      </c>
      <c r="F43" s="19" t="str">
        <f t="shared" si="2"/>
        <v>2025</v>
      </c>
      <c r="H43" s="19" t="s">
        <v>1456</v>
      </c>
      <c r="I43" s="21" t="str">
        <f>VLOOKUP(K43,'[2]ETF Portfolio'!$A$18:$I$114,9,0)</f>
        <v>Tower Hill Ins Exch</v>
      </c>
      <c r="J43" s="20"/>
      <c r="K43" s="21" t="s">
        <v>994</v>
      </c>
      <c r="L43" s="21" t="str" cm="1">
        <f t="array" ref="L43:M43">VLOOKUP(K43,'[2]ETF Portfolio'!A60:$M$114,{12,13},0)</f>
        <v>2/21/2024</v>
      </c>
      <c r="M43" s="21" t="str">
        <v>2/26/2027</v>
      </c>
      <c r="O43" s="19" t="str">
        <f>VLOOKUP(K43,'[2]ETF Portfolio'!$A$18:$B$114,2,0)</f>
        <v>Cat Bond</v>
      </c>
      <c r="P43" s="22">
        <f>VLOOKUP(C43,'[2]ILS Data pull'!$C:$H,2,0)</f>
        <v>0</v>
      </c>
      <c r="Q43" s="22">
        <f>VLOOKUP(C43,'[2]ILS Data pull'!$C:$H,4,0)</f>
        <v>200000000</v>
      </c>
      <c r="R43" s="23">
        <f>VLOOKUP(K43,'[2]ETF Portfolio'!$A$18:$U$114,21,0)</f>
        <v>250000</v>
      </c>
      <c r="T43" s="24">
        <f>VLOOKUP(K43,'[2]ETF Portfolio'!$A$18:$T$114,20,0)</f>
        <v>108.35</v>
      </c>
      <c r="U43" s="25">
        <f>VLOOKUP(K43,'[2]ETF Portfolio'!$A$18:$R$114,18,0)</f>
        <v>0.15509999999999999</v>
      </c>
      <c r="V43" s="19" t="str">
        <f>VLOOKUP(K43,'[2]ETF Portfolio'!$A$18:$C$114,3,0)</f>
        <v>Buy</v>
      </c>
      <c r="W43" s="21">
        <f>VLOOKUP(K43,'[2]ETF Portfolio'!$A$18:$D$114,4,0)</f>
        <v>45939</v>
      </c>
      <c r="Y43" s="26"/>
      <c r="Z43" s="27">
        <f>R43/VLOOKUP(K43,'[2]ILS Data pull'!$B:$H,7,0)</f>
        <v>1.6666666666666668E-3</v>
      </c>
      <c r="AA43" s="28">
        <f>VLOOKUP(K43,'[2]ETF Portfolio'!$A$18:$Q$114,17,0)</f>
        <v>0.11673172109656935</v>
      </c>
      <c r="AB43" s="19">
        <v>0</v>
      </c>
      <c r="AC43" s="28">
        <f>VLOOKUP(K43, '[2]ETF Portfolio'!$A$18:$AD$114,30,0)</f>
        <v>9.1780930000000011E-2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21">
        <f t="shared" si="3"/>
        <v>45939</v>
      </c>
      <c r="AJ43" s="21">
        <f t="shared" si="5"/>
        <v>45939</v>
      </c>
      <c r="AK43" s="21">
        <f t="shared" si="5"/>
        <v>45939</v>
      </c>
      <c r="AL43" s="21">
        <f t="shared" si="5"/>
        <v>45939</v>
      </c>
      <c r="AM43" s="21">
        <f t="shared" si="5"/>
        <v>45939</v>
      </c>
      <c r="AN43" s="21" t="str">
        <f>VLOOKUP(K43,'[2]ETF Portfolio'!$A$18:$K$114,11,0)</f>
        <v>Indemnity</v>
      </c>
      <c r="AO43" s="21" t="str">
        <f>VLOOKUP(K43,'[2]ETF Portfolio'!$A$18:$J$114,10,0)</f>
        <v>Occurrence</v>
      </c>
      <c r="AP43" s="19">
        <v>0</v>
      </c>
      <c r="AQ43" s="19">
        <v>0</v>
      </c>
      <c r="AR43" s="19">
        <v>0</v>
      </c>
      <c r="AS43" s="19">
        <v>1</v>
      </c>
      <c r="AT43" s="20"/>
      <c r="AU43" s="20"/>
    </row>
    <row r="44" spans="1:48" x14ac:dyDescent="0.3">
      <c r="A44" t="s">
        <v>1532</v>
      </c>
      <c r="B44" t="s">
        <v>1531</v>
      </c>
      <c r="C44" t="str">
        <f>VLOOKUP(K44,'[2]ILS Data pull'!$B:$H,2,0)</f>
        <v>CB-Everglades Re II Ltd. Series 2024-1 Class A Reset 2025</v>
      </c>
      <c r="D44" t="str">
        <f t="shared" si="0"/>
        <v>2024-1</v>
      </c>
      <c r="E44" t="str">
        <f t="shared" si="1"/>
        <v>Class A</v>
      </c>
      <c r="F44" s="19" t="str">
        <f t="shared" si="2"/>
        <v>2025</v>
      </c>
      <c r="H44" s="19" t="s">
        <v>1456</v>
      </c>
      <c r="I44" s="21" t="str">
        <f>VLOOKUP(K44,'[2]ETF Portfolio'!$A$18:$I$114,9,0)</f>
        <v>FL Citizens</v>
      </c>
      <c r="J44" s="20"/>
      <c r="K44" s="21" t="s">
        <v>1377</v>
      </c>
      <c r="L44" s="21" t="str" cm="1">
        <f t="array" ref="L44:M44">VLOOKUP(K44,'[2]ETF Portfolio'!A61:$M$114,{12,13},0)</f>
        <v>5/22/2024</v>
      </c>
      <c r="M44" s="21" t="str">
        <v>5/13/2027</v>
      </c>
      <c r="O44" s="19" t="str">
        <f>VLOOKUP(K44,'[2]ETF Portfolio'!$A$18:$B$114,2,0)</f>
        <v>Cat Bond</v>
      </c>
      <c r="P44" s="22">
        <f>VLOOKUP(C44,'[2]ILS Data pull'!$C:$H,2,0)</f>
        <v>0</v>
      </c>
      <c r="Q44" s="22">
        <f>VLOOKUP(C44,'[2]ILS Data pull'!$C:$H,4,0)</f>
        <v>1454000000</v>
      </c>
      <c r="R44" s="23">
        <f>VLOOKUP(K44,'[2]ETF Portfolio'!$A$18:$U$114,21,0)</f>
        <v>500000</v>
      </c>
      <c r="T44" s="24">
        <f>VLOOKUP(K44,'[2]ETF Portfolio'!$A$18:$T$114,20,0)</f>
        <v>107.75</v>
      </c>
      <c r="U44" s="25">
        <f>VLOOKUP(K44,'[2]ETF Portfolio'!$A$18:$R$114,18,0)</f>
        <v>0.14350714000000001</v>
      </c>
      <c r="V44" s="19" t="str">
        <f>VLOOKUP(K44,'[2]ETF Portfolio'!$A$18:$C$114,3,0)</f>
        <v>Buy</v>
      </c>
      <c r="W44" s="21">
        <f>VLOOKUP(K44,'[2]ETF Portfolio'!$A$18:$D$114,4,0)</f>
        <v>45944</v>
      </c>
      <c r="Y44" s="26"/>
      <c r="Z44" s="27">
        <f>R44/VLOOKUP(K44,'[2]ILS Data pull'!$B:$H,7,0)</f>
        <v>1.1111111111111111E-3</v>
      </c>
      <c r="AA44" s="28">
        <f>VLOOKUP(K44,'[2]ETF Portfolio'!$A$18:$Q$114,17,0)</f>
        <v>0.10489571908489592</v>
      </c>
      <c r="AB44" s="19">
        <v>0</v>
      </c>
      <c r="AC44" s="28">
        <f>VLOOKUP(K44, '[2]ETF Portfolio'!$A$18:$AD$114,30,0)</f>
        <v>9.2212089999999997E-2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21">
        <f t="shared" si="3"/>
        <v>45944</v>
      </c>
      <c r="AJ44" s="21">
        <f t="shared" si="5"/>
        <v>45944</v>
      </c>
      <c r="AK44" s="21">
        <f t="shared" si="5"/>
        <v>45944</v>
      </c>
      <c r="AL44" s="21">
        <f t="shared" si="5"/>
        <v>45944</v>
      </c>
      <c r="AM44" s="21">
        <f t="shared" si="5"/>
        <v>45944</v>
      </c>
      <c r="AN44" s="21" t="str">
        <f>VLOOKUP(K44,'[2]ETF Portfolio'!$A$18:$K$114,11,0)</f>
        <v>Indemnity</v>
      </c>
      <c r="AO44" s="21" t="str">
        <f>VLOOKUP(K44,'[2]ETF Portfolio'!$A$18:$J$114,10,0)</f>
        <v>Aggregate</v>
      </c>
      <c r="AP44" s="19">
        <v>0</v>
      </c>
      <c r="AQ44" s="19">
        <v>0</v>
      </c>
      <c r="AR44" s="19">
        <v>0</v>
      </c>
      <c r="AS44" s="19">
        <v>1</v>
      </c>
      <c r="AT44" s="20"/>
      <c r="AU44" s="20"/>
    </row>
    <row r="45" spans="1:48" x14ac:dyDescent="0.3">
      <c r="A45" t="s">
        <v>1534</v>
      </c>
      <c r="B45" t="s">
        <v>1533</v>
      </c>
      <c r="C45" t="str">
        <f>VLOOKUP(K45,'[2]ILS Data pull'!$B:$H,2,0)</f>
        <v>CB-Herbie Re Ltd. Series 2025-1 Class A</v>
      </c>
      <c r="D45" t="str">
        <f t="shared" si="0"/>
        <v>2025-1</v>
      </c>
      <c r="E45" t="str">
        <f t="shared" si="1"/>
        <v>Class A</v>
      </c>
      <c r="F45" s="19" t="str">
        <f t="shared" si="2"/>
        <v/>
      </c>
      <c r="H45" s="19" t="s">
        <v>1456</v>
      </c>
      <c r="I45" s="21" t="str">
        <f>VLOOKUP(K45,'[2]ETF Portfolio'!$A$18:$I$114,9,0)</f>
        <v>Fidelis</v>
      </c>
      <c r="K45" s="21" t="s">
        <v>1287</v>
      </c>
      <c r="L45" s="21" t="str" cm="1">
        <f t="array" ref="L45:M45">VLOOKUP(K45,'[2]ETF Portfolio'!A63:$M$114,{12,13},0)</f>
        <v>5/30/2025</v>
      </c>
      <c r="M45" s="21" t="str">
        <v>6/7/2027</v>
      </c>
      <c r="O45" s="19" t="str">
        <f>VLOOKUP(K45,'[2]ETF Portfolio'!$A$18:$B$114,2,0)</f>
        <v>Cat Bond</v>
      </c>
      <c r="P45" s="22">
        <f>VLOOKUP(C45,'[2]ILS Data pull'!$C:$H,2,0)</f>
        <v>0</v>
      </c>
      <c r="Q45" s="22">
        <f>VLOOKUP(C45,'[2]ILS Data pull'!$C:$H,4,0)</f>
        <v>30000000000</v>
      </c>
      <c r="R45" s="23">
        <f>VLOOKUP(K45,'[2]ETF Portfolio'!$A$18:$U$114,21,0)</f>
        <v>500000</v>
      </c>
      <c r="T45" s="24">
        <f>VLOOKUP(K45,'[2]ETF Portfolio'!$A$18:$T$114,20,0)</f>
        <v>116</v>
      </c>
      <c r="U45" s="25">
        <f>VLOOKUP(K45,'[2]ETF Portfolio'!$A$18:$R$114,18,0)</f>
        <v>0.34866479396820066</v>
      </c>
      <c r="V45" s="19" t="str">
        <f>VLOOKUP(K45,'[2]ETF Portfolio'!$A$18:$C$114,3,0)</f>
        <v>Buy</v>
      </c>
      <c r="W45" s="21">
        <f>VLOOKUP(K45,'[2]ETF Portfolio'!$A$18:$D$114,4,0)</f>
        <v>45951</v>
      </c>
      <c r="Y45" s="26"/>
      <c r="Z45" s="27">
        <f>R45/VLOOKUP(K45,'[2]ILS Data pull'!$B:$H,7,0)</f>
        <v>5.5555555555555558E-3</v>
      </c>
      <c r="AA45" s="28">
        <f>VLOOKUP(K45,'[2]ETF Portfolio'!$A$18:$Q$114,17,0)</f>
        <v>0.3093300987126848</v>
      </c>
      <c r="AB45" s="19">
        <v>0</v>
      </c>
      <c r="AC45" s="28">
        <f>VLOOKUP(K45, '[2]ETF Portfolio'!$A$18:$AD$114,30,0)</f>
        <v>0.22882463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21">
        <f t="shared" si="3"/>
        <v>45951</v>
      </c>
      <c r="AJ45" s="21">
        <f t="shared" si="5"/>
        <v>45951</v>
      </c>
      <c r="AK45" s="21">
        <f t="shared" si="5"/>
        <v>45951</v>
      </c>
      <c r="AL45" s="21">
        <f t="shared" si="5"/>
        <v>45951</v>
      </c>
      <c r="AM45" s="21">
        <f t="shared" si="5"/>
        <v>45951</v>
      </c>
      <c r="AN45" s="21" t="str">
        <f>VLOOKUP(K45,'[2]ETF Portfolio'!$A$18:$K$114,11,0)</f>
        <v>Industry Loss Index</v>
      </c>
      <c r="AO45" s="21" t="str">
        <f>VLOOKUP(K45,'[2]ETF Portfolio'!$A$18:$J$114,10,0)</f>
        <v>Aggregate</v>
      </c>
      <c r="AP45" s="19">
        <v>0</v>
      </c>
      <c r="AQ45" s="19">
        <v>0</v>
      </c>
      <c r="AR45" s="19">
        <v>0</v>
      </c>
      <c r="AS45" s="19">
        <v>1</v>
      </c>
      <c r="AT45" s="20"/>
      <c r="AU45" s="20"/>
    </row>
    <row r="46" spans="1:48" x14ac:dyDescent="0.3">
      <c r="A46" t="s">
        <v>1536</v>
      </c>
      <c r="B46" t="s">
        <v>1535</v>
      </c>
      <c r="C46" t="str">
        <f>VLOOKUP(K46,'[2]ILS Data pull'!$B:$H,2,0)</f>
        <v>CB-Maschpark Re Ltd. Series 2024-1 Class A</v>
      </c>
      <c r="D46" t="str">
        <f t="shared" si="0"/>
        <v>2024-1</v>
      </c>
      <c r="E46" t="str">
        <f t="shared" si="1"/>
        <v>Class A</v>
      </c>
      <c r="F46" s="19" t="str">
        <f t="shared" si="2"/>
        <v/>
      </c>
      <c r="H46" s="19" t="s">
        <v>1456</v>
      </c>
      <c r="I46" s="21" t="str">
        <f>VLOOKUP(K46,'[2]ETF Portfolio'!$A$18:$I$114,9,0)</f>
        <v>Talanx AG (Via Hannover Re)</v>
      </c>
      <c r="K46" s="21" t="s">
        <v>1379</v>
      </c>
      <c r="L46" s="21" t="str" cm="1">
        <f t="array" ref="L46:M46">VLOOKUP(K46,'[2]ETF Portfolio'!A64:$M$114,{12,13},0)</f>
        <v>12/4/2024</v>
      </c>
      <c r="M46" s="21" t="str">
        <v>1/10/2028</v>
      </c>
      <c r="O46" s="19" t="str">
        <f>VLOOKUP(K46,'[2]ETF Portfolio'!$A$18:$B$114,2,0)</f>
        <v>Cat Bond</v>
      </c>
      <c r="P46" s="22">
        <f>VLOOKUP(C46,'[2]ILS Data pull'!$C:$H,2,0)</f>
        <v>0</v>
      </c>
      <c r="Q46" s="22">
        <f>VLOOKUP(C46,'[2]ILS Data pull'!$C:$H,4,0)</f>
        <v>100000000</v>
      </c>
      <c r="R46" s="23">
        <f>VLOOKUP(K46,'[2]ETF Portfolio'!$A$18:$U$114,21,0)</f>
        <v>250000</v>
      </c>
      <c r="T46" s="24">
        <f>VLOOKUP(K46,'[2]ETF Portfolio'!$A$18:$T$114,20,0)</f>
        <v>103.1</v>
      </c>
      <c r="U46" s="25">
        <f>VLOOKUP(K46,'[2]ETF Portfolio'!$A$18:$R$114,18,0)</f>
        <v>7.3099999999999998E-2</v>
      </c>
      <c r="V46" s="19" t="str">
        <f>VLOOKUP(K46,'[2]ETF Portfolio'!$A$18:$C$114,3,0)</f>
        <v>Buy</v>
      </c>
      <c r="W46" s="21">
        <f>VLOOKUP(K46,'[2]ETF Portfolio'!$A$18:$D$114,4,0)</f>
        <v>45957</v>
      </c>
      <c r="Y46" s="26"/>
      <c r="Z46" s="27">
        <f>R46/VLOOKUP(K46,'[2]ILS Data pull'!$B:$H,7,0)</f>
        <v>2.5000000000000001E-3</v>
      </c>
      <c r="AA46" s="28">
        <f>VLOOKUP(K46,'[2]ETF Portfolio'!$A$18:$Q$114,17,0)</f>
        <v>3.4997438079953813E-2</v>
      </c>
      <c r="AB46" s="19">
        <v>0</v>
      </c>
      <c r="AC46" s="28">
        <f>VLOOKUP(K46, '[2]ETF Portfolio'!$A$18:$AD$114,30,0)</f>
        <v>5.9052420000000001E-2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21">
        <f t="shared" si="3"/>
        <v>45957</v>
      </c>
      <c r="AJ46" s="21">
        <f t="shared" si="5"/>
        <v>45957</v>
      </c>
      <c r="AK46" s="21">
        <f t="shared" si="5"/>
        <v>45957</v>
      </c>
      <c r="AL46" s="21">
        <f t="shared" si="5"/>
        <v>45957</v>
      </c>
      <c r="AM46" s="21">
        <f t="shared" si="5"/>
        <v>45957</v>
      </c>
      <c r="AN46" s="21" t="str">
        <f>VLOOKUP(K46,'[2]ETF Portfolio'!$A$18:$K$114,11,0)</f>
        <v>Parametric</v>
      </c>
      <c r="AO46" s="21" t="str">
        <f>VLOOKUP(K46,'[2]ETF Portfolio'!$A$18:$J$114,10,0)</f>
        <v>Occurrence</v>
      </c>
      <c r="AP46" s="19">
        <v>0</v>
      </c>
      <c r="AQ46" s="19">
        <v>0</v>
      </c>
      <c r="AR46" s="19">
        <v>0</v>
      </c>
      <c r="AS46" s="19">
        <v>1</v>
      </c>
      <c r="AT46" s="20"/>
      <c r="AU46" s="20"/>
    </row>
    <row r="47" spans="1:48" x14ac:dyDescent="0.3">
      <c r="A47" t="s">
        <v>1538</v>
      </c>
      <c r="B47" t="s">
        <v>1537</v>
      </c>
      <c r="C47" t="str">
        <f>VLOOKUP(K47,'[2]ILS Data pull'!$B:$H,2,0)</f>
        <v>CB-Veraison Re Ltd. Series 2025-1 Class B</v>
      </c>
      <c r="D47" t="str">
        <f t="shared" si="0"/>
        <v>2025-1</v>
      </c>
      <c r="E47" t="str">
        <f t="shared" si="1"/>
        <v>Class B</v>
      </c>
      <c r="F47" s="19" t="str">
        <f t="shared" si="2"/>
        <v/>
      </c>
      <c r="H47" s="19" t="s">
        <v>1456</v>
      </c>
      <c r="I47" s="21" t="str">
        <f>VLOOKUP(K47,'[2]ETF Portfolio'!$A$18:$I$114,9,0)</f>
        <v>GeoVera</v>
      </c>
      <c r="K47" s="21" t="s">
        <v>628</v>
      </c>
      <c r="L47" s="21" t="str" cm="1">
        <f t="array" ref="L47:M47">VLOOKUP(K47,'[2]ETF Portfolio'!A65:$M$114,{12,13},0)</f>
        <v>2/5/2025</v>
      </c>
      <c r="M47" s="21" t="str">
        <v>3/8/2028</v>
      </c>
      <c r="O47" s="19" t="str">
        <f>VLOOKUP(K47,'[2]ETF Portfolio'!$A$18:$B$114,2,0)</f>
        <v>Cat Bond</v>
      </c>
      <c r="P47" s="22">
        <f>VLOOKUP(C47,'[2]ILS Data pull'!$C:$H,2,0)</f>
        <v>0</v>
      </c>
      <c r="Q47" s="22">
        <f>VLOOKUP(C47,'[2]ILS Data pull'!$C:$H,4,0)</f>
        <v>150000000</v>
      </c>
      <c r="R47" s="23">
        <f>VLOOKUP(K47,'[2]ETF Portfolio'!$A$18:$U$114,21,0)</f>
        <v>250000</v>
      </c>
      <c r="T47" s="24">
        <f>VLOOKUP(K47,'[2]ETF Portfolio'!$A$18:$T$114,20,0)</f>
        <v>101.25</v>
      </c>
      <c r="U47" s="25">
        <f>VLOOKUP(K47,'[2]ETF Portfolio'!$A$18:$R$114,18,0)</f>
        <v>8.8507139999999998E-2</v>
      </c>
      <c r="V47" s="19" t="str">
        <f>VLOOKUP(K47,'[2]ETF Portfolio'!$A$18:$C$114,3,0)</f>
        <v>Buy</v>
      </c>
      <c r="W47" s="21">
        <f>VLOOKUP(K47,'[2]ETF Portfolio'!$A$18:$D$114,4,0)</f>
        <v>45957</v>
      </c>
      <c r="Y47" s="26"/>
      <c r="Z47" s="27">
        <f>R47/VLOOKUP(K47,'[2]ILS Data pull'!$B:$H,7,0)</f>
        <v>1.6666666666666668E-3</v>
      </c>
      <c r="AA47" s="28">
        <f>VLOOKUP(K47,'[2]ETF Portfolio'!$A$18:$Q$114,17,0)</f>
        <v>4.9959809826109432E-2</v>
      </c>
      <c r="AB47" s="19">
        <v>0</v>
      </c>
      <c r="AC47" s="28">
        <f>VLOOKUP(K47, '[2]ETF Portfolio'!$A$18:$AD$114,30,0)</f>
        <v>8.3334779999999997E-2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21">
        <f t="shared" si="3"/>
        <v>45957</v>
      </c>
      <c r="AJ47" s="21">
        <f t="shared" si="5"/>
        <v>45957</v>
      </c>
      <c r="AK47" s="21">
        <f t="shared" si="5"/>
        <v>45957</v>
      </c>
      <c r="AL47" s="21">
        <f t="shared" si="5"/>
        <v>45957</v>
      </c>
      <c r="AM47" s="21">
        <f t="shared" si="5"/>
        <v>45957</v>
      </c>
      <c r="AN47" s="21" t="str">
        <f>VLOOKUP(K47,'[2]ETF Portfolio'!$A$18:$K$114,11,0)</f>
        <v>Indemnity</v>
      </c>
      <c r="AO47" s="21" t="str">
        <f>VLOOKUP(K47,'[2]ETF Portfolio'!$A$18:$J$114,10,0)</f>
        <v>Occurrence</v>
      </c>
      <c r="AP47" s="19">
        <v>0</v>
      </c>
      <c r="AQ47" s="19">
        <v>0</v>
      </c>
      <c r="AR47" s="19">
        <v>0</v>
      </c>
      <c r="AS47" s="19">
        <v>1</v>
      </c>
      <c r="AT47" s="20"/>
      <c r="AU47" s="20"/>
    </row>
    <row r="48" spans="1:48" x14ac:dyDescent="0.3">
      <c r="A48" t="s">
        <v>1540</v>
      </c>
      <c r="B48" t="s">
        <v>1539</v>
      </c>
      <c r="C48" t="str">
        <f>VLOOKUP(K48,'[2]ILS Data pull'!$B:$H,2,0)</f>
        <v>CB-Winston Re Ltd. Series 2025-1 Class A</v>
      </c>
      <c r="D48" t="str">
        <f t="shared" si="0"/>
        <v>2025-1</v>
      </c>
      <c r="E48" t="str">
        <f t="shared" si="1"/>
        <v>Class A</v>
      </c>
      <c r="F48" s="19" t="str">
        <f t="shared" si="2"/>
        <v/>
      </c>
      <c r="H48" s="19" t="s">
        <v>1456</v>
      </c>
      <c r="I48" s="21" t="str">
        <f>VLOOKUP(K48,'[2]ETF Portfolio'!$A$18:$I$114,9,0)</f>
        <v>Tower Hill Ins Exch</v>
      </c>
      <c r="K48" s="21" t="s">
        <v>1380</v>
      </c>
      <c r="L48" s="21" t="str" cm="1">
        <f t="array" ref="L48:M48">VLOOKUP(K48,'[2]ETF Portfolio'!A66:$M$114,{12,13},0)</f>
        <v>2/13/2025</v>
      </c>
      <c r="M48" s="21" t="str">
        <v>2/21/2028</v>
      </c>
      <c r="O48" s="19" t="str">
        <f>VLOOKUP(K48,'[2]ETF Portfolio'!$A$18:$B$114,2,0)</f>
        <v>Cat Bond</v>
      </c>
      <c r="P48" s="22">
        <f>VLOOKUP(C48,'[2]ILS Data pull'!$C:$H,2,0)</f>
        <v>0</v>
      </c>
      <c r="Q48" s="22">
        <f>VLOOKUP(C48,'[2]ILS Data pull'!$C:$H,4,0)</f>
        <v>200000000</v>
      </c>
      <c r="R48" s="23">
        <f>VLOOKUP(K48,'[2]ETF Portfolio'!$A$18:$U$114,21,0)</f>
        <v>250000</v>
      </c>
      <c r="T48" s="24">
        <f>VLOOKUP(K48,'[2]ETF Portfolio'!$A$18:$T$114,20,0)</f>
        <v>104.2</v>
      </c>
      <c r="U48" s="25">
        <f>VLOOKUP(K48,'[2]ETF Portfolio'!$A$18:$R$114,18,0)</f>
        <v>0.1032</v>
      </c>
      <c r="V48" s="19" t="str">
        <f>VLOOKUP(K48,'[2]ETF Portfolio'!$A$18:$C$114,3,0)</f>
        <v>Buy</v>
      </c>
      <c r="W48" s="21">
        <f>VLOOKUP(K48,'[2]ETF Portfolio'!$A$18:$D$114,4,0)</f>
        <v>45957</v>
      </c>
      <c r="Y48" s="26"/>
      <c r="Z48" s="27">
        <f>R48/VLOOKUP(K48,'[2]ILS Data pull'!$B:$H,7,0)</f>
        <v>1.4285714285714286E-3</v>
      </c>
      <c r="AA48" s="28">
        <f>VLOOKUP(K48,'[2]ETF Portfolio'!$A$18:$Q$114,17,0)</f>
        <v>6.4970000542552628E-2</v>
      </c>
      <c r="AB48" s="19">
        <v>0</v>
      </c>
      <c r="AC48" s="28">
        <f>VLOOKUP(K48, '[2]ETF Portfolio'!$A$18:$AD$114,30,0)</f>
        <v>8.3603850000000007E-2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21">
        <f t="shared" si="3"/>
        <v>45957</v>
      </c>
      <c r="AJ48" s="21">
        <f t="shared" si="5"/>
        <v>45957</v>
      </c>
      <c r="AK48" s="21">
        <f t="shared" si="5"/>
        <v>45957</v>
      </c>
      <c r="AL48" s="21">
        <f t="shared" si="5"/>
        <v>45957</v>
      </c>
      <c r="AM48" s="21">
        <f t="shared" si="5"/>
        <v>45957</v>
      </c>
      <c r="AN48" s="21" t="str">
        <f>VLOOKUP(K48,'[2]ETF Portfolio'!$A$18:$K$114,11,0)</f>
        <v>Indemnity</v>
      </c>
      <c r="AO48" s="21" t="str">
        <f>VLOOKUP(K48,'[2]ETF Portfolio'!$A$18:$J$114,10,0)</f>
        <v>Occurrence</v>
      </c>
      <c r="AP48" s="19">
        <v>0</v>
      </c>
      <c r="AQ48" s="19">
        <v>0</v>
      </c>
      <c r="AR48" s="19">
        <v>0</v>
      </c>
      <c r="AS48" s="19">
        <v>1</v>
      </c>
      <c r="AT48" s="20"/>
      <c r="AU48" s="20"/>
    </row>
    <row r="49" spans="1:47" x14ac:dyDescent="0.3">
      <c r="A49" t="s">
        <v>1542</v>
      </c>
      <c r="B49" t="s">
        <v>1541</v>
      </c>
      <c r="C49" t="str">
        <f>VLOOKUP(K49,'[2]ILS Data pull'!$B:$H,2,0)</f>
        <v>CB-Wrigley Re Ltd. Series 2023-1 Class B Reset 2025</v>
      </c>
      <c r="D49" t="str">
        <f t="shared" si="0"/>
        <v>2023-1</v>
      </c>
      <c r="E49" t="str">
        <f t="shared" si="1"/>
        <v>Class B</v>
      </c>
      <c r="F49" s="19" t="str">
        <f t="shared" si="2"/>
        <v>2025</v>
      </c>
      <c r="H49" s="19" t="s">
        <v>1456</v>
      </c>
      <c r="I49" s="21" t="str">
        <f>VLOOKUP(K49,'[2]ETF Portfolio'!$A$18:$I$114,9,0)</f>
        <v>Gryphon Mutual (Blackstone)</v>
      </c>
      <c r="K49" s="21" t="s">
        <v>1098</v>
      </c>
      <c r="L49" s="21" t="str" cm="1">
        <f t="array" ref="L49:M49">VLOOKUP(K49,'[2]ETF Portfolio'!A67:$M$114,{12,13},0)</f>
        <v>7/19/2023</v>
      </c>
      <c r="M49" s="21" t="str">
        <v>8/7/2026</v>
      </c>
      <c r="O49" s="19" t="str">
        <f>VLOOKUP(K49,'[2]ETF Portfolio'!$A$18:$B$114,2,0)</f>
        <v>Cat Bond</v>
      </c>
      <c r="P49" s="22">
        <f>VLOOKUP(C49,'[2]ILS Data pull'!$C:$H,2,0)</f>
        <v>0</v>
      </c>
      <c r="Q49" s="22">
        <f>VLOOKUP(C49,'[2]ILS Data pull'!$C:$H,4,0)</f>
        <v>150000000</v>
      </c>
      <c r="R49" s="23">
        <f>VLOOKUP(K49,'[2]ETF Portfolio'!$A$18:$U$114,21,0)</f>
        <v>250000</v>
      </c>
      <c r="T49" s="24">
        <f>VLOOKUP(K49,'[2]ETF Portfolio'!$A$18:$T$114,20,0)</f>
        <v>103.15</v>
      </c>
      <c r="U49" s="25">
        <f>VLOOKUP(K49,'[2]ETF Portfolio'!$A$18:$R$114,18,0)</f>
        <v>0.1051</v>
      </c>
      <c r="V49" s="19" t="str">
        <f>VLOOKUP(K49,'[2]ETF Portfolio'!$A$18:$C$114,3,0)</f>
        <v>Buy</v>
      </c>
      <c r="W49" s="21">
        <f>VLOOKUP(K49,'[2]ETF Portfolio'!$A$18:$D$114,4,0)</f>
        <v>45960</v>
      </c>
      <c r="Y49" s="26"/>
      <c r="Z49" s="27">
        <f>R49/VLOOKUP(K49,'[2]ILS Data pull'!$B:$H,7,0)</f>
        <v>1.6666666666666668E-3</v>
      </c>
      <c r="AA49" s="28">
        <f>VLOOKUP(K49,'[2]ETF Portfolio'!$A$18:$Q$114,17,0)</f>
        <v>6.682648264256999E-2</v>
      </c>
      <c r="AB49" s="19">
        <v>0</v>
      </c>
      <c r="AC49" s="28">
        <f>VLOOKUP(K49, '[2]ETF Portfolio'!$A$18:$AD$114,30,0)</f>
        <v>6.3872529999999997E-2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21">
        <f t="shared" si="3"/>
        <v>45960</v>
      </c>
      <c r="AJ49" s="21">
        <f t="shared" si="5"/>
        <v>45960</v>
      </c>
      <c r="AK49" s="21">
        <f t="shared" si="5"/>
        <v>45960</v>
      </c>
      <c r="AL49" s="21">
        <f t="shared" si="5"/>
        <v>45960</v>
      </c>
      <c r="AM49" s="21">
        <f t="shared" si="5"/>
        <v>45960</v>
      </c>
      <c r="AN49" s="21" t="str">
        <f>VLOOKUP(K49,'[2]ETF Portfolio'!$A$18:$K$114,11,0)</f>
        <v>Indemnity</v>
      </c>
      <c r="AO49" s="21" t="str">
        <f>VLOOKUP(K49,'[2]ETF Portfolio'!$A$18:$J$114,10,0)</f>
        <v>Aggregate</v>
      </c>
      <c r="AP49" s="19">
        <v>0</v>
      </c>
      <c r="AQ49" s="19">
        <v>0</v>
      </c>
      <c r="AR49" s="19">
        <v>0</v>
      </c>
      <c r="AS49" s="19">
        <v>1</v>
      </c>
      <c r="AT49" s="20"/>
      <c r="AU49" s="20"/>
    </row>
    <row r="50" spans="1:47" x14ac:dyDescent="0.3">
      <c r="A50" t="s">
        <v>1544</v>
      </c>
      <c r="B50" t="s">
        <v>1543</v>
      </c>
      <c r="C50" t="str">
        <f>VLOOKUP(K50,'[2]ILS Data pull'!$B:$H,2,0)</f>
        <v>CB-Sutter Re Ltd. Series 2023-1 Class B Reset 2025</v>
      </c>
      <c r="D50" t="str">
        <f t="shared" si="0"/>
        <v>2023-1</v>
      </c>
      <c r="E50" t="str">
        <f t="shared" si="1"/>
        <v>Class B</v>
      </c>
      <c r="F50" s="19" t="str">
        <f t="shared" si="2"/>
        <v>2025</v>
      </c>
      <c r="H50" s="19" t="s">
        <v>1456</v>
      </c>
      <c r="I50" s="21" t="str">
        <f>VLOOKUP(K50,'[2]ETF Portfolio'!$A$18:$I$114,9,0)</f>
        <v>CEA</v>
      </c>
      <c r="K50" s="21" t="s">
        <v>1200</v>
      </c>
      <c r="L50" s="21" t="str" cm="1">
        <f t="array" ref="L50:M50">VLOOKUP(K50,'[2]ETF Portfolio'!A68:$M$114,{12,13},0)</f>
        <v>6/13/2023</v>
      </c>
      <c r="M50" s="21" t="str">
        <v>6/19/2026</v>
      </c>
      <c r="O50" s="19" t="str">
        <f>VLOOKUP(K50,'[2]ETF Portfolio'!$A$18:$B$114,2,0)</f>
        <v>Cat Bond</v>
      </c>
      <c r="P50" s="22">
        <f>VLOOKUP(C50,'[2]ILS Data pull'!$C:$H,2,0)</f>
        <v>0</v>
      </c>
      <c r="Q50" s="22">
        <f>VLOOKUP(C50,'[2]ILS Data pull'!$C:$H,4,0)</f>
        <v>500000000</v>
      </c>
      <c r="R50" s="23">
        <f>VLOOKUP(K50,'[2]ETF Portfolio'!$A$18:$U$114,21,0)</f>
        <v>250000</v>
      </c>
      <c r="T50" s="24">
        <f>VLOOKUP(K50,'[2]ETF Portfolio'!$A$18:$T$114,20,0)</f>
        <v>102.35</v>
      </c>
      <c r="U50" s="25">
        <f>VLOOKUP(K50,'[2]ETF Portfolio'!$A$18:$R$114,18,0)</f>
        <v>0.1056</v>
      </c>
      <c r="V50" s="19" t="str">
        <f>VLOOKUP(K50,'[2]ETF Portfolio'!$A$18:$C$114,3,0)</f>
        <v>Buy</v>
      </c>
      <c r="W50" s="21">
        <f>VLOOKUP(K50,'[2]ETF Portfolio'!$A$18:$D$114,4,0)</f>
        <v>45960</v>
      </c>
      <c r="Y50" s="26"/>
      <c r="Z50" s="27">
        <f>R50/VLOOKUP(K50,'[2]ILS Data pull'!$B:$H,7,0)</f>
        <v>1.1111111111111111E-3</v>
      </c>
      <c r="AA50" s="28">
        <f>VLOOKUP(K50,'[2]ETF Portfolio'!$A$18:$Q$114,17,0)</f>
        <v>6.742759059999999E-2</v>
      </c>
      <c r="AB50" s="19">
        <v>0</v>
      </c>
      <c r="AC50" s="28">
        <f>VLOOKUP(K50, '[2]ETF Portfolio'!$A$18:$AD$114,30,0)</f>
        <v>6.777103000000001E-2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21">
        <f t="shared" si="3"/>
        <v>45960</v>
      </c>
      <c r="AJ50" s="21">
        <f t="shared" si="5"/>
        <v>45960</v>
      </c>
      <c r="AK50" s="21">
        <f t="shared" si="5"/>
        <v>45960</v>
      </c>
      <c r="AL50" s="21">
        <f t="shared" si="5"/>
        <v>45960</v>
      </c>
      <c r="AM50" s="21">
        <f t="shared" si="5"/>
        <v>45960</v>
      </c>
      <c r="AN50" s="21" t="str">
        <f>VLOOKUP(K50,'[2]ETF Portfolio'!$A$18:$K$114,11,0)</f>
        <v>Indemnity</v>
      </c>
      <c r="AO50" s="21" t="str">
        <f>VLOOKUP(K50,'[2]ETF Portfolio'!$A$18:$J$114,10,0)</f>
        <v>Aggregate</v>
      </c>
      <c r="AP50" s="19">
        <v>0</v>
      </c>
      <c r="AQ50" s="19">
        <v>0</v>
      </c>
      <c r="AR50" s="19">
        <v>0</v>
      </c>
      <c r="AS50" s="19">
        <v>1</v>
      </c>
      <c r="AT50" s="20"/>
      <c r="AU50" s="20"/>
    </row>
    <row r="51" spans="1:47" x14ac:dyDescent="0.3">
      <c r="A51" t="s">
        <v>1546</v>
      </c>
      <c r="B51" t="s">
        <v>1545</v>
      </c>
      <c r="C51" t="str">
        <f>VLOOKUP(K51,'[2]ILS Data pull'!$B:$H,2,0)</f>
        <v>CB-Bluebonnet Re Ltd. Series 2025-1 Class A</v>
      </c>
      <c r="D51" t="str">
        <f t="shared" si="0"/>
        <v>2025-1</v>
      </c>
      <c r="E51" t="str">
        <f t="shared" si="1"/>
        <v>Class A</v>
      </c>
      <c r="F51" s="19" t="str">
        <f t="shared" si="2"/>
        <v/>
      </c>
      <c r="H51" s="19" t="s">
        <v>1456</v>
      </c>
      <c r="I51" s="21" t="str">
        <f>VLOOKUP(K51,'[2]ETF Portfolio'!$A$18:$I$114,9,0)</f>
        <v>TWIA</v>
      </c>
      <c r="K51" s="21" t="s">
        <v>747</v>
      </c>
      <c r="L51" s="21" t="str" cm="1">
        <f t="array" ref="L51:M51">VLOOKUP(K51,'[2]ETF Portfolio'!A69:$M$114,{12,13},0)</f>
        <v>5/14/2025</v>
      </c>
      <c r="M51" s="21" t="str">
        <v>6/7/2028</v>
      </c>
      <c r="O51" s="19" t="str">
        <f>VLOOKUP(K51,'[2]ETF Portfolio'!$A$18:$B$114,2,0)</f>
        <v>Cat Bond</v>
      </c>
      <c r="P51" s="22">
        <f>VLOOKUP(C51,'[2]ILS Data pull'!$C:$H,2,0)</f>
        <v>0</v>
      </c>
      <c r="Q51" s="22">
        <f>VLOOKUP(C51,'[2]ILS Data pull'!$C:$H,4,0)</f>
        <v>1427000000</v>
      </c>
      <c r="R51" s="23">
        <f>VLOOKUP(K51,'[2]ETF Portfolio'!$A$18:$U$114,21,0)</f>
        <v>250000</v>
      </c>
      <c r="T51" s="24">
        <f>VLOOKUP(K51,'[2]ETF Portfolio'!$A$18:$T$114,20,0)</f>
        <v>105.6</v>
      </c>
      <c r="U51" s="25">
        <f>VLOOKUP(K51,'[2]ETF Portfolio'!$A$18:$R$114,18,0)</f>
        <v>9.5600000000000004E-2</v>
      </c>
      <c r="V51" s="19" t="str">
        <f>VLOOKUP(K51,'[2]ETF Portfolio'!$A$18:$C$114,3,0)</f>
        <v>Buy</v>
      </c>
      <c r="W51" s="21">
        <f>VLOOKUP(K51,'[2]ETF Portfolio'!$A$18:$D$114,4,0)</f>
        <v>45964</v>
      </c>
      <c r="Y51" s="26"/>
      <c r="Z51" s="27">
        <f>R51/VLOOKUP(K51,'[2]ILS Data pull'!$B:$H,7,0)</f>
        <v>1E-3</v>
      </c>
      <c r="AA51" s="28">
        <f>VLOOKUP(K51,'[2]ETF Portfolio'!$A$18:$Q$114,17,0)</f>
        <v>5.7469028659218019E-2</v>
      </c>
      <c r="AB51" s="19">
        <v>0</v>
      </c>
      <c r="AC51" s="28">
        <f>VLOOKUP(K51, '[2]ETF Portfolio'!$A$18:$AD$114,30,0)</f>
        <v>7.2376590000000005E-2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21">
        <f t="shared" si="3"/>
        <v>45964</v>
      </c>
      <c r="AJ51" s="21">
        <f t="shared" ref="AJ51:AM59" si="6">AI51</f>
        <v>45964</v>
      </c>
      <c r="AK51" s="21">
        <f t="shared" si="6"/>
        <v>45964</v>
      </c>
      <c r="AL51" s="21">
        <f t="shared" si="6"/>
        <v>45964</v>
      </c>
      <c r="AM51" s="21">
        <f t="shared" si="6"/>
        <v>45964</v>
      </c>
      <c r="AN51" s="21" t="str">
        <f>VLOOKUP(K51,'[2]ETF Portfolio'!$A$18:$K$114,11,0)</f>
        <v>Indemnity</v>
      </c>
      <c r="AO51" s="21" t="str">
        <f>VLOOKUP(K51,'[2]ETF Portfolio'!$A$18:$J$114,10,0)</f>
        <v>Aggregate</v>
      </c>
      <c r="AP51" s="19">
        <v>0</v>
      </c>
      <c r="AQ51" s="19">
        <v>0</v>
      </c>
      <c r="AR51" s="19">
        <v>0</v>
      </c>
      <c r="AS51" s="19">
        <v>1</v>
      </c>
      <c r="AT51" s="20"/>
      <c r="AU51" s="20"/>
    </row>
    <row r="52" spans="1:47" x14ac:dyDescent="0.3">
      <c r="A52" t="s">
        <v>1548</v>
      </c>
      <c r="B52" t="s">
        <v>1547</v>
      </c>
      <c r="C52" t="str">
        <f>VLOOKUP(K52,'[2]ILS Data pull'!$B:$H,2,0)</f>
        <v>CB-Torrey Pines Re Ltd. Series 2025-1 Class B</v>
      </c>
      <c r="D52" t="str">
        <f t="shared" si="0"/>
        <v>2025-1</v>
      </c>
      <c r="E52" t="str">
        <f t="shared" si="1"/>
        <v>Class B</v>
      </c>
      <c r="F52" s="19" t="str">
        <f t="shared" si="2"/>
        <v/>
      </c>
      <c r="H52" s="19" t="s">
        <v>1456</v>
      </c>
      <c r="I52" s="21" t="str">
        <f>VLOOKUP(K52,'[2]ETF Portfolio'!$A$18:$I$114,9,0)</f>
        <v>Palomar Specialty</v>
      </c>
      <c r="K52" s="21" t="s">
        <v>564</v>
      </c>
      <c r="L52" s="21" t="str" cm="1">
        <f t="array" ref="L52:M52">VLOOKUP(K52,'[2]ETF Portfolio'!A70:$M$114,{12,13},0)</f>
        <v>4/30/2025</v>
      </c>
      <c r="M52" s="21" t="str">
        <v>6/7/2028</v>
      </c>
      <c r="O52" s="19" t="str">
        <f>VLOOKUP(K52,'[2]ETF Portfolio'!$A$18:$B$114,2,0)</f>
        <v>Cat Bond</v>
      </c>
      <c r="P52" s="22">
        <f>VLOOKUP(C52,'[2]ILS Data pull'!$C:$H,2,0)</f>
        <v>0</v>
      </c>
      <c r="Q52" s="22">
        <f>VLOOKUP(C52,'[2]ILS Data pull'!$C:$H,4,0)</f>
        <v>650000000</v>
      </c>
      <c r="R52" s="23">
        <f>VLOOKUP(K52,'[2]ETF Portfolio'!$A$18:$U$114,21,0)</f>
        <v>250000</v>
      </c>
      <c r="T52" s="24">
        <f>VLOOKUP(K52,'[2]ETF Portfolio'!$A$18:$T$114,20,0)</f>
        <v>103</v>
      </c>
      <c r="U52" s="25">
        <f>VLOOKUP(K52,'[2]ETF Portfolio'!$A$18:$R$114,18,0)</f>
        <v>8.3299999999999999E-2</v>
      </c>
      <c r="V52" s="19" t="str">
        <f>VLOOKUP(K52,'[2]ETF Portfolio'!$A$18:$C$114,3,0)</f>
        <v>Buy</v>
      </c>
      <c r="W52" s="21">
        <f>VLOOKUP(K52,'[2]ETF Portfolio'!$A$18:$D$114,4,0)</f>
        <v>45965</v>
      </c>
      <c r="Y52" s="26"/>
      <c r="Z52" s="27">
        <f>R52/VLOOKUP(K52,'[2]ILS Data pull'!$B:$H,7,0)</f>
        <v>1.25E-3</v>
      </c>
      <c r="AA52" s="28">
        <f>VLOOKUP(K52,'[2]ETF Portfolio'!$A$18:$Q$114,17,0)</f>
        <v>4.4995846200183612E-2</v>
      </c>
      <c r="AB52" s="19">
        <v>0</v>
      </c>
      <c r="AC52" s="28">
        <f>VLOOKUP(K52, '[2]ETF Portfolio'!$A$18:$AD$114,30,0)</f>
        <v>7.1044219999999991E-2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21">
        <f t="shared" si="3"/>
        <v>45965</v>
      </c>
      <c r="AJ52" s="21">
        <f t="shared" si="6"/>
        <v>45965</v>
      </c>
      <c r="AK52" s="21">
        <f t="shared" si="6"/>
        <v>45965</v>
      </c>
      <c r="AL52" s="21">
        <f t="shared" si="6"/>
        <v>45965</v>
      </c>
      <c r="AM52" s="21">
        <f t="shared" si="6"/>
        <v>45965</v>
      </c>
      <c r="AN52" s="21" t="str">
        <f>VLOOKUP(K52,'[2]ETF Portfolio'!$A$18:$K$114,11,0)</f>
        <v>Indemnity</v>
      </c>
      <c r="AO52" s="21" t="str">
        <f>VLOOKUP(K52,'[2]ETF Portfolio'!$A$18:$J$114,10,0)</f>
        <v>Occurrence</v>
      </c>
      <c r="AP52" s="19">
        <v>0</v>
      </c>
      <c r="AQ52" s="19">
        <v>0</v>
      </c>
      <c r="AR52" s="19">
        <v>0</v>
      </c>
      <c r="AS52" s="19">
        <v>1</v>
      </c>
      <c r="AT52" s="20"/>
      <c r="AU52" s="20"/>
    </row>
    <row r="53" spans="1:47" x14ac:dyDescent="0.3">
      <c r="A53" t="s">
        <v>1508</v>
      </c>
      <c r="B53" t="s">
        <v>1507</v>
      </c>
      <c r="C53" t="str">
        <f>VLOOKUP(K53,'[2]ILS Data pull'!$B:$H,2,0)</f>
        <v>CB-Bonanza Re Ltd. Series 2024-1 Class C</v>
      </c>
      <c r="D53" t="str">
        <f t="shared" si="0"/>
        <v>2024-1</v>
      </c>
      <c r="E53" t="str">
        <f t="shared" si="1"/>
        <v>Class C</v>
      </c>
      <c r="F53" s="19" t="str">
        <f t="shared" si="2"/>
        <v/>
      </c>
      <c r="H53" s="19" t="s">
        <v>1456</v>
      </c>
      <c r="I53" s="21" t="str">
        <f>VLOOKUP(K53,'[2]ETF Portfolio'!$A$18:$I$114,9,0)</f>
        <v>Progressive</v>
      </c>
      <c r="K53" s="21" t="s">
        <v>249</v>
      </c>
      <c r="L53" s="21" t="str" cm="1">
        <f t="array" ref="L53:M53">VLOOKUP(K53,'[2]ETF Portfolio'!A71:$M$114,{12,13},0)</f>
        <v>12/19/2024</v>
      </c>
      <c r="M53" s="21" t="str">
        <v>12/19/2027</v>
      </c>
      <c r="O53" s="19" t="str">
        <f>VLOOKUP(K53,'[2]ETF Portfolio'!$A$18:$B$114,2,0)</f>
        <v>Cat Bond</v>
      </c>
      <c r="P53" s="22">
        <f>VLOOKUP(C53,'[2]ILS Data pull'!$C:$H,2,0)</f>
        <v>0</v>
      </c>
      <c r="Q53" s="22">
        <f>VLOOKUP(C53,'[2]ILS Data pull'!$C:$H,4,0)</f>
        <v>200000000</v>
      </c>
      <c r="R53" s="23">
        <f>VLOOKUP(K53,'[2]ETF Portfolio'!$A$18:$U$114,21,0)</f>
        <v>500000</v>
      </c>
      <c r="T53" s="24">
        <f>VLOOKUP(K53,'[2]ETF Portfolio'!$A$18:$T$114,20,0)</f>
        <v>102.9</v>
      </c>
      <c r="U53" s="25">
        <f>VLOOKUP(K53,'[2]ETF Portfolio'!$A$18:$R$114,18,0)</f>
        <v>9.3000000000000013E-2</v>
      </c>
      <c r="V53" s="19" t="str">
        <f>VLOOKUP(K53,'[2]ETF Portfolio'!$A$18:$C$114,3,0)</f>
        <v>Buy</v>
      </c>
      <c r="W53" s="21">
        <f>VLOOKUP(K53,'[2]ETF Portfolio'!$A$18:$D$114,4,0)</f>
        <v>45966</v>
      </c>
      <c r="Y53" s="26"/>
      <c r="Z53" s="27">
        <f>R53/VLOOKUP(K53,'[2]ILS Data pull'!$B:$H,7,0)</f>
        <v>2.5000000000000001E-3</v>
      </c>
      <c r="AA53" s="28">
        <f>VLOOKUP(K53,'[2]ETF Portfolio'!$A$18:$Q$114,17,0)</f>
        <v>5.6146497097254007E-2</v>
      </c>
      <c r="AB53" s="19">
        <v>0</v>
      </c>
      <c r="AC53" s="28">
        <f>VLOOKUP(K53, '[2]ETF Portfolio'!$A$18:$AD$114,30,0)</f>
        <v>7.9424849999999991E-2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21">
        <f t="shared" si="3"/>
        <v>45966</v>
      </c>
      <c r="AJ53" s="21">
        <f t="shared" si="6"/>
        <v>45966</v>
      </c>
      <c r="AK53" s="21">
        <f t="shared" si="6"/>
        <v>45966</v>
      </c>
      <c r="AL53" s="21">
        <f t="shared" si="6"/>
        <v>45966</v>
      </c>
      <c r="AM53" s="21">
        <f t="shared" si="6"/>
        <v>45966</v>
      </c>
      <c r="AN53" s="21" t="str">
        <f>VLOOKUP(K53,'[2]ETF Portfolio'!$A$18:$K$114,11,0)</f>
        <v>Indemnity</v>
      </c>
      <c r="AO53" s="21" t="str">
        <f>VLOOKUP(K53,'[2]ETF Portfolio'!$A$18:$J$114,10,0)</f>
        <v>Occurrence</v>
      </c>
      <c r="AP53" s="19">
        <v>0</v>
      </c>
      <c r="AQ53" s="19">
        <v>0</v>
      </c>
      <c r="AR53" s="19">
        <v>0</v>
      </c>
      <c r="AS53" s="19">
        <v>1</v>
      </c>
      <c r="AT53" s="20"/>
      <c r="AU53" s="20"/>
    </row>
    <row r="54" spans="1:47" x14ac:dyDescent="0.3">
      <c r="A54" t="s">
        <v>1512</v>
      </c>
      <c r="B54" t="s">
        <v>1511</v>
      </c>
      <c r="C54" t="str">
        <f>VLOOKUP(K54,'[2]ILS Data pull'!$B:$H,2,0)</f>
        <v>CB-Armor Re II Ltd. Series 2024-2 Class A</v>
      </c>
      <c r="D54" t="str">
        <f t="shared" si="0"/>
        <v>2024-2</v>
      </c>
      <c r="E54" t="str">
        <f t="shared" si="1"/>
        <v>Class A</v>
      </c>
      <c r="F54" s="19" t="str">
        <f t="shared" si="2"/>
        <v/>
      </c>
      <c r="H54" s="19" t="s">
        <v>1456</v>
      </c>
      <c r="I54" s="21" t="str">
        <f>VLOOKUP(K54,'[2]ETF Portfolio'!$A$18:$I$114,9,0)</f>
        <v>American Coastal</v>
      </c>
      <c r="K54" s="21" t="s">
        <v>1383</v>
      </c>
      <c r="L54" s="21" t="str" cm="1">
        <f t="array" ref="L54:M54">VLOOKUP(K54,'[2]ETF Portfolio'!A72:$M$114,{12,13},0)</f>
        <v>12/20/2024</v>
      </c>
      <c r="M54" s="21" t="str">
        <v>1/7/2028</v>
      </c>
      <c r="O54" s="19" t="str">
        <f>VLOOKUP(K54,'[2]ETF Portfolio'!$A$18:$B$114,2,0)</f>
        <v>Cat Bond</v>
      </c>
      <c r="P54" s="22">
        <f>VLOOKUP(C54,'[2]ILS Data pull'!$C:$H,2,0)</f>
        <v>0</v>
      </c>
      <c r="Q54" s="22">
        <f>VLOOKUP(C54,'[2]ILS Data pull'!$C:$H,4,0)</f>
        <v>200000000</v>
      </c>
      <c r="R54" s="23">
        <f>VLOOKUP(K54,'[2]ETF Portfolio'!$A$18:$U$114,21,0)</f>
        <v>250000</v>
      </c>
      <c r="T54" s="24">
        <f>VLOOKUP(K54,'[2]ETF Portfolio'!$A$18:$T$114,20,0)</f>
        <v>107.2</v>
      </c>
      <c r="U54" s="25">
        <f>VLOOKUP(K54,'[2]ETF Portfolio'!$A$18:$R$114,18,0)</f>
        <v>0.12330000000000001</v>
      </c>
      <c r="V54" s="19" t="str">
        <f>VLOOKUP(K54,'[2]ETF Portfolio'!$A$18:$C$114,3,0)</f>
        <v>Buy</v>
      </c>
      <c r="W54" s="21">
        <f>VLOOKUP(K54,'[2]ETF Portfolio'!$A$18:$D$114,4,0)</f>
        <v>45967</v>
      </c>
      <c r="Y54" s="26"/>
      <c r="Z54" s="27">
        <f>R54/VLOOKUP(K54,'[2]ILS Data pull'!$B:$H,7,0)</f>
        <v>1.25E-3</v>
      </c>
      <c r="AA54" s="28">
        <f>VLOOKUP(K54,'[2]ETF Portfolio'!$A$18:$Q$114,17,0)</f>
        <v>8.4869250491294942E-2</v>
      </c>
      <c r="AB54" s="19">
        <v>0</v>
      </c>
      <c r="AC54" s="28">
        <f>VLOOKUP(K54, '[2]ETF Portfolio'!$A$18:$AD$114,30,0)</f>
        <v>8.7041720000000003E-2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21">
        <f t="shared" si="3"/>
        <v>45967</v>
      </c>
      <c r="AJ54" s="21">
        <f t="shared" si="6"/>
        <v>45967</v>
      </c>
      <c r="AK54" s="21">
        <f t="shared" si="6"/>
        <v>45967</v>
      </c>
      <c r="AL54" s="21">
        <f t="shared" si="6"/>
        <v>45967</v>
      </c>
      <c r="AM54" s="21">
        <f t="shared" si="6"/>
        <v>45967</v>
      </c>
      <c r="AN54" s="21" t="str">
        <f>VLOOKUP(K54,'[2]ETF Portfolio'!$A$18:$K$114,11,0)</f>
        <v>Indemnity</v>
      </c>
      <c r="AO54" s="21" t="str">
        <f>VLOOKUP(K54,'[2]ETF Portfolio'!$A$18:$J$114,10,0)</f>
        <v>Occurrence</v>
      </c>
      <c r="AP54" s="19">
        <v>0</v>
      </c>
      <c r="AQ54" s="19">
        <v>0</v>
      </c>
      <c r="AR54" s="19">
        <v>0</v>
      </c>
      <c r="AS54" s="19">
        <v>1</v>
      </c>
      <c r="AT54" s="20"/>
      <c r="AU54" s="20"/>
    </row>
    <row r="55" spans="1:47" x14ac:dyDescent="0.3">
      <c r="A55" t="s">
        <v>1510</v>
      </c>
      <c r="B55" t="s">
        <v>1509</v>
      </c>
      <c r="C55" t="str">
        <f>VLOOKUP(K55,'[2]ILS Data pull'!$B:$H,2,0)</f>
        <v>CB-Titania Re Ltd. Series 2025-1 Class A</v>
      </c>
      <c r="D55" t="str">
        <f t="shared" si="0"/>
        <v>2025-1</v>
      </c>
      <c r="E55" t="str">
        <f t="shared" si="1"/>
        <v>Class A</v>
      </c>
      <c r="H55" s="19" t="s">
        <v>1456</v>
      </c>
      <c r="I55" s="21" t="str">
        <f>VLOOKUP(K55,'[2]ETF Portfolio'!$A$18:$I$114,9,0)</f>
        <v>Syndicate 1910</v>
      </c>
      <c r="K55" s="21" t="s">
        <v>1221</v>
      </c>
      <c r="L55" s="21" t="str" cm="1">
        <f t="array" ref="L55:M55">VLOOKUP(K55,'[2]ETF Portfolio'!A75:$M$114,{12,13},0)</f>
        <v>7/1/2025</v>
      </c>
      <c r="M55" s="33" t="str">
        <v>7/9/2029</v>
      </c>
      <c r="O55" s="19" t="str">
        <f>VLOOKUP(K55,'[2]ETF Portfolio'!$A$18:$B$114,2,0)</f>
        <v>Cat Bond</v>
      </c>
      <c r="P55" s="22">
        <f>VLOOKUP(C55,'[2]ILS Data pull'!$C:$H,2,0)</f>
        <v>0</v>
      </c>
      <c r="Q55" s="22">
        <f>VLOOKUP(C55,'[2]ILS Data pull'!$C:$H,4,0)</f>
        <v>300000000</v>
      </c>
      <c r="R55" s="23">
        <f>VLOOKUP(K55,'[2]ETF Portfolio'!$A$18:$U$114,21,0)</f>
        <v>500000</v>
      </c>
      <c r="T55" s="24">
        <f>VLOOKUP(K55,'[2]ETF Portfolio'!$A$18:$T$114,20,0)</f>
        <v>104.75</v>
      </c>
      <c r="U55" s="25">
        <f>VLOOKUP(K55,'[2]ETF Portfolio'!$A$18:$R$114,18,0)</f>
        <v>0.10100714</v>
      </c>
      <c r="V55" s="19" t="str">
        <f>VLOOKUP(K55,'[2]ETF Portfolio'!$A$18:$C$114,3,0)</f>
        <v>Buy</v>
      </c>
      <c r="W55" s="21">
        <f>VLOOKUP(K55,'[2]ETF Portfolio'!$A$18:$D$114,4,0)</f>
        <v>45974</v>
      </c>
      <c r="Z55" s="27">
        <f>R55/VLOOKUP(K55,'[2]ILS Data pull'!$B:$H,7,0)</f>
        <v>6.6666666666666671E-3</v>
      </c>
      <c r="AA55" s="28">
        <f>VLOOKUP(K55,'[2]ETF Portfolio'!$A$18:$Q$114,17,0)</f>
        <v>6.2334962800133301E-2</v>
      </c>
      <c r="AB55" s="19">
        <v>0</v>
      </c>
      <c r="AC55" s="28">
        <f>VLOOKUP(K55, '[2]ETF Portfolio'!$A$18:$AD$114,30,0)</f>
        <v>8.5719829999999997E-2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21">
        <f t="shared" si="3"/>
        <v>45974</v>
      </c>
      <c r="AJ55" s="21">
        <f t="shared" si="6"/>
        <v>45974</v>
      </c>
      <c r="AK55" s="21">
        <f t="shared" si="6"/>
        <v>45974</v>
      </c>
      <c r="AL55" s="21">
        <f t="shared" si="6"/>
        <v>45974</v>
      </c>
      <c r="AM55" s="21">
        <f t="shared" si="6"/>
        <v>45974</v>
      </c>
      <c r="AN55" s="21" t="str">
        <f>VLOOKUP(K55,'[2]ETF Portfolio'!$A$18:$K$114,11,0)</f>
        <v>Industry Loss Index</v>
      </c>
      <c r="AO55" s="21" t="str">
        <f>VLOOKUP(K55,'[2]ETF Portfolio'!$A$18:$J$114,10,0)</f>
        <v>Aggregate</v>
      </c>
      <c r="AP55" s="19">
        <v>0</v>
      </c>
      <c r="AQ55" s="19">
        <v>0</v>
      </c>
      <c r="AR55" s="19">
        <v>0</v>
      </c>
      <c r="AS55" s="19">
        <v>1</v>
      </c>
    </row>
    <row r="56" spans="1:47" x14ac:dyDescent="0.3">
      <c r="A56" t="s">
        <v>1556</v>
      </c>
      <c r="B56" t="s">
        <v>1555</v>
      </c>
      <c r="C56" t="str">
        <f>VLOOKUP(K56,'[2]ILS Data pull'!$B:$H,2,0)</f>
        <v>CB-Armor Re II Ltd. Series 2024-2 Class A</v>
      </c>
      <c r="D56" t="str">
        <f t="shared" si="0"/>
        <v>2024-2</v>
      </c>
      <c r="E56" t="str">
        <f t="shared" si="1"/>
        <v>Class A</v>
      </c>
      <c r="H56" s="19" t="s">
        <v>1456</v>
      </c>
      <c r="I56" s="21" t="str">
        <f>VLOOKUP(K56,'[2]ETF Portfolio'!$A$18:$I$114,9,0)</f>
        <v>American Coastal</v>
      </c>
      <c r="K56" s="21" t="s">
        <v>1385</v>
      </c>
      <c r="L56" s="21" t="str" cm="1">
        <f t="array" ref="L56:M56">VLOOKUP(K56,'[2]ETF Portfolio'!A76:$M$114,{12,13},0)</f>
        <v>12/20/2024</v>
      </c>
      <c r="M56" s="33" t="str">
        <v>1/7/2028</v>
      </c>
      <c r="O56" s="19" t="str">
        <f>VLOOKUP(K56,'[2]ETF Portfolio'!$A$18:$B$114,2,0)</f>
        <v>Cat Bond</v>
      </c>
      <c r="P56" s="22">
        <f>VLOOKUP(C56,'[2]ILS Data pull'!$C:$H,2,0)</f>
        <v>0</v>
      </c>
      <c r="Q56" s="22">
        <f>VLOOKUP(C56,'[2]ILS Data pull'!$C:$H,4,0)</f>
        <v>200000000</v>
      </c>
      <c r="R56" s="23">
        <f>VLOOKUP(K56,'[2]ETF Portfolio'!$A$18:$U$114,21,0)</f>
        <v>250000</v>
      </c>
      <c r="T56" s="24">
        <f>VLOOKUP(K56,'[2]ETF Portfolio'!$A$18:$T$114,20,0)</f>
        <v>107.15</v>
      </c>
      <c r="U56" s="25">
        <f>VLOOKUP(K56,'[2]ETF Portfolio'!$A$18:$R$114,18,0)</f>
        <v>0.12330000000000001</v>
      </c>
      <c r="V56" s="19" t="str">
        <f>VLOOKUP(K56,'[2]ETF Portfolio'!$A$18:$C$114,3,0)</f>
        <v>Buy</v>
      </c>
      <c r="W56" s="21">
        <f>VLOOKUP(K56,'[2]ETF Portfolio'!$A$18:$D$114,4,0)</f>
        <v>45974</v>
      </c>
      <c r="Z56" s="27">
        <f>R56/VLOOKUP(K56,'[2]ILS Data pull'!$B:$H,7,0)</f>
        <v>1.25E-3</v>
      </c>
      <c r="AA56" s="28">
        <f>VLOOKUP(K56,'[2]ETF Portfolio'!$A$18:$Q$114,17,0)</f>
        <v>8.4869250491294942E-2</v>
      </c>
      <c r="AB56" s="19">
        <v>0</v>
      </c>
      <c r="AC56" s="28">
        <f>VLOOKUP(K56, '[2]ETF Portfolio'!$A$18:$AD$114,30,0)</f>
        <v>8.6807519999999999E-2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21">
        <f t="shared" si="3"/>
        <v>45974</v>
      </c>
      <c r="AJ56" s="21">
        <f t="shared" si="6"/>
        <v>45974</v>
      </c>
      <c r="AK56" s="21">
        <f t="shared" si="6"/>
        <v>45974</v>
      </c>
      <c r="AL56" s="21">
        <f t="shared" si="6"/>
        <v>45974</v>
      </c>
      <c r="AM56" s="21">
        <f t="shared" si="6"/>
        <v>45974</v>
      </c>
      <c r="AN56" s="21" t="str">
        <f>VLOOKUP(K56,'[2]ETF Portfolio'!$A$18:$K$114,11,0)</f>
        <v>Indemnity</v>
      </c>
      <c r="AO56" s="21" t="str">
        <f>VLOOKUP(K56,'[2]ETF Portfolio'!$A$18:$J$114,10,0)</f>
        <v>Occurrence</v>
      </c>
      <c r="AP56" s="19">
        <v>0</v>
      </c>
      <c r="AQ56" s="19">
        <v>0</v>
      </c>
      <c r="AR56" s="19">
        <v>0</v>
      </c>
      <c r="AS56" s="19">
        <v>1</v>
      </c>
    </row>
    <row r="57" spans="1:47" x14ac:dyDescent="0.3">
      <c r="A57" t="s">
        <v>1558</v>
      </c>
      <c r="B57" t="s">
        <v>1557</v>
      </c>
      <c r="C57" t="str">
        <f>VLOOKUP(K57,'[2]ILS Data pull'!$B:$H,2,0)</f>
        <v>CB-Cape Lookout Re Ltd. Series 2025-1 Class A</v>
      </c>
      <c r="D57" t="str">
        <f t="shared" si="0"/>
        <v>2025-1</v>
      </c>
      <c r="E57" t="str">
        <f t="shared" si="1"/>
        <v>Class A</v>
      </c>
      <c r="H57" s="19" t="s">
        <v>1456</v>
      </c>
      <c r="I57" s="21" t="str">
        <f>VLOOKUP(K57,'[2]ETF Portfolio'!$A$18:$I$114,9,0)</f>
        <v>NCIUA</v>
      </c>
      <c r="K57" s="21" t="s">
        <v>678</v>
      </c>
      <c r="L57" s="21" t="str" cm="1">
        <f t="array" ref="L57:M57">VLOOKUP(K57,'[2]ETF Portfolio'!A77:$M$114,{12,13},0)</f>
        <v>3/6/2025</v>
      </c>
      <c r="M57" s="33" t="str">
        <v>3/13/2028</v>
      </c>
      <c r="O57" s="19" t="str">
        <f>VLOOKUP(K57,'[2]ETF Portfolio'!$A$18:$B$114,2,0)</f>
        <v>Cat Bond</v>
      </c>
      <c r="P57" s="22">
        <f>VLOOKUP(C57,'[2]ILS Data pull'!$C:$H,2,0)</f>
        <v>0</v>
      </c>
      <c r="Q57" s="22">
        <f>VLOOKUP(C57,'[2]ILS Data pull'!$C:$H,4,0)</f>
        <v>600000000</v>
      </c>
      <c r="R57" s="23">
        <f>VLOOKUP(K57,'[2]ETF Portfolio'!$A$18:$U$114,21,0)</f>
        <v>250000</v>
      </c>
      <c r="T57" s="24">
        <f>VLOOKUP(K57,'[2]ETF Portfolio'!$A$18:$T$114,20,0)</f>
        <v>105.25</v>
      </c>
      <c r="U57" s="25">
        <f>VLOOKUP(K57,'[2]ETF Portfolio'!$A$18:$R$114,18,0)</f>
        <v>0.10710000000000001</v>
      </c>
      <c r="V57" s="19" t="str">
        <f>VLOOKUP(K57,'[2]ETF Portfolio'!$A$18:$C$114,3,0)</f>
        <v>Buy</v>
      </c>
      <c r="W57" s="21">
        <f>VLOOKUP(K57,'[2]ETF Portfolio'!$A$18:$D$114,4,0)</f>
        <v>45974</v>
      </c>
      <c r="Z57" s="27">
        <f>R57/VLOOKUP(K57,'[2]ILS Data pull'!$B:$H,7,0)</f>
        <v>4.1666666666666669E-4</v>
      </c>
      <c r="AA57" s="28">
        <f>VLOOKUP(K57,'[2]ETF Portfolio'!$A$18:$Q$114,17,0)</f>
        <v>6.896924363170169E-2</v>
      </c>
      <c r="AB57" s="19">
        <v>0</v>
      </c>
      <c r="AC57" s="28">
        <f>VLOOKUP(K57, '[2]ETF Portfolio'!$A$18:$AD$114,30,0)</f>
        <v>8.2521459999999991E-2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21">
        <f t="shared" si="3"/>
        <v>45974</v>
      </c>
      <c r="AJ57" s="21">
        <f t="shared" si="6"/>
        <v>45974</v>
      </c>
      <c r="AK57" s="21">
        <f t="shared" si="6"/>
        <v>45974</v>
      </c>
      <c r="AL57" s="21">
        <f t="shared" si="6"/>
        <v>45974</v>
      </c>
      <c r="AM57" s="21">
        <f t="shared" si="6"/>
        <v>45974</v>
      </c>
      <c r="AN57" s="21" t="str">
        <f>VLOOKUP(K57,'[2]ETF Portfolio'!$A$18:$K$114,11,0)</f>
        <v>Indemnity</v>
      </c>
      <c r="AO57" s="21" t="str">
        <f>VLOOKUP(K57,'[2]ETF Portfolio'!$A$18:$J$114,10,0)</f>
        <v>Aggregate</v>
      </c>
      <c r="AP57" s="19">
        <v>0</v>
      </c>
      <c r="AQ57" s="19">
        <v>0</v>
      </c>
      <c r="AR57" s="19">
        <v>0</v>
      </c>
      <c r="AS57" s="19">
        <v>1</v>
      </c>
    </row>
    <row r="58" spans="1:47" x14ac:dyDescent="0.3">
      <c r="A58" t="s">
        <v>1560</v>
      </c>
      <c r="B58" t="s">
        <v>1559</v>
      </c>
      <c r="C58" t="str">
        <f>VLOOKUP(K58,'[2]ILS Data pull'!$B:$H,2,0)</f>
        <v>CB-Everglades Re II Ltd. Series 2024-1 Class A Reset 2025</v>
      </c>
      <c r="D58" t="str">
        <f t="shared" si="0"/>
        <v>2024-1</v>
      </c>
      <c r="E58" t="str">
        <f t="shared" si="1"/>
        <v>Class A</v>
      </c>
      <c r="H58" s="19" t="s">
        <v>1456</v>
      </c>
      <c r="I58" s="21" t="str">
        <f>VLOOKUP(K58,'[2]ETF Portfolio'!$A$18:$I$114,9,0)</f>
        <v>FL Citizens</v>
      </c>
      <c r="K58" s="21" t="s">
        <v>1387</v>
      </c>
      <c r="L58" s="21" t="str" cm="1">
        <f t="array" ref="L58:M58">VLOOKUP(K58,'[2]ETF Portfolio'!A78:$M$114,{12,13},0)</f>
        <v>5/22/2024</v>
      </c>
      <c r="M58" s="33" t="str">
        <v>5/13/2027</v>
      </c>
      <c r="O58" s="19" t="str">
        <f>VLOOKUP(K58,'[2]ETF Portfolio'!$A$18:$B$114,2,0)</f>
        <v>Cat Bond</v>
      </c>
      <c r="P58" s="22">
        <f>VLOOKUP(C58,'[2]ILS Data pull'!$C:$H,2,0)</f>
        <v>0</v>
      </c>
      <c r="Q58" s="22">
        <f>VLOOKUP(C58,'[2]ILS Data pull'!$C:$H,4,0)</f>
        <v>1454000000</v>
      </c>
      <c r="R58" s="23">
        <f>VLOOKUP(K58,'[2]ETF Portfolio'!$A$18:$U$114,21,0)</f>
        <v>250000</v>
      </c>
      <c r="T58" s="24">
        <f>VLOOKUP(K58,'[2]ETF Portfolio'!$A$18:$T$114,20,0)</f>
        <v>107.75</v>
      </c>
      <c r="U58" s="25">
        <f>VLOOKUP(K58,'[2]ETF Portfolio'!$A$18:$R$114,18,0)</f>
        <v>0.14350714000000001</v>
      </c>
      <c r="V58" s="19" t="str">
        <f>VLOOKUP(K58,'[2]ETF Portfolio'!$A$18:$C$114,3,0)</f>
        <v>Buy</v>
      </c>
      <c r="W58" s="21">
        <f>VLOOKUP(K58,'[2]ETF Portfolio'!$A$18:$D$114,4,0)</f>
        <v>45974</v>
      </c>
      <c r="Z58" s="27">
        <f>R58/VLOOKUP(K58,'[2]ILS Data pull'!$B:$H,7,0)</f>
        <v>5.5555555555555556E-4</v>
      </c>
      <c r="AA58" s="28">
        <f>VLOOKUP(K58,'[2]ETF Portfolio'!$A$18:$Q$114,17,0)</f>
        <v>0.10489571908489592</v>
      </c>
      <c r="AB58" s="19">
        <v>0</v>
      </c>
      <c r="AC58" s="28">
        <f>VLOOKUP(K58, '[2]ETF Portfolio'!$A$18:$AD$114,30,0)</f>
        <v>8.8858130000000007E-2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21">
        <f t="shared" si="3"/>
        <v>45974</v>
      </c>
      <c r="AJ58" s="21">
        <f t="shared" si="6"/>
        <v>45974</v>
      </c>
      <c r="AK58" s="21">
        <f t="shared" si="6"/>
        <v>45974</v>
      </c>
      <c r="AL58" s="21">
        <f t="shared" si="6"/>
        <v>45974</v>
      </c>
      <c r="AM58" s="21">
        <f t="shared" si="6"/>
        <v>45974</v>
      </c>
      <c r="AN58" s="21" t="str">
        <f>VLOOKUP(K58,'[2]ETF Portfolio'!$A$18:$K$114,11,0)</f>
        <v>Indemnity</v>
      </c>
      <c r="AO58" s="21" t="str">
        <f>VLOOKUP(K58,'[2]ETF Portfolio'!$A$18:$J$114,10,0)</f>
        <v>Aggregate</v>
      </c>
      <c r="AP58" s="19">
        <v>0</v>
      </c>
      <c r="AQ58" s="19">
        <v>0</v>
      </c>
      <c r="AR58" s="19">
        <v>0</v>
      </c>
      <c r="AS58" s="19">
        <v>1</v>
      </c>
    </row>
    <row r="59" spans="1:47" x14ac:dyDescent="0.3">
      <c r="A59" t="s">
        <v>1562</v>
      </c>
      <c r="B59" t="s">
        <v>1561</v>
      </c>
      <c r="C59" t="str">
        <f>VLOOKUP(K59,'[2]ILS Data pull'!$B:$H,2,0)</f>
        <v>CB-Puerto Rico Parametric Re Ltd. Series 2024-1 Class A</v>
      </c>
      <c r="D59" t="str">
        <f t="shared" si="0"/>
        <v>2024-1</v>
      </c>
      <c r="E59" t="str">
        <f t="shared" si="1"/>
        <v>Class A</v>
      </c>
      <c r="H59" s="19" t="s">
        <v>1456</v>
      </c>
      <c r="I59" s="21" t="str">
        <f>VLOOKUP(K59,'[2]ETF Portfolio'!$A$18:$I$114,9,0)</f>
        <v>Puerto Rico Government</v>
      </c>
      <c r="K59" s="21" t="s">
        <v>640</v>
      </c>
      <c r="L59" s="21" t="str" cm="1">
        <f t="array" ref="L59:M59">VLOOKUP(K59,'[2]ETF Portfolio'!A79:$M$114,{12,13},0)</f>
        <v>6/20/2024</v>
      </c>
      <c r="M59" s="33" t="str">
        <v>6/7/2027</v>
      </c>
      <c r="O59" s="19" t="str">
        <f>VLOOKUP(K59,'[2]ETF Portfolio'!$A$18:$B$114,2,0)</f>
        <v>Cat Bond</v>
      </c>
      <c r="P59" s="22">
        <f>VLOOKUP(C59,'[2]ILS Data pull'!$C:$H,2,0)</f>
        <v>0</v>
      </c>
      <c r="Q59" s="22">
        <f>VLOOKUP(C59,'[2]ILS Data pull'!$C:$H,4,0)</f>
        <v>85000000</v>
      </c>
      <c r="R59" s="23">
        <f>VLOOKUP(K59,'[2]ETF Portfolio'!$A$18:$U$114,21,0)</f>
        <v>250000</v>
      </c>
      <c r="T59" s="24">
        <f>VLOOKUP(K59,'[2]ETF Portfolio'!$A$18:$T$114,20,0)</f>
        <v>107.35</v>
      </c>
      <c r="U59" s="25">
        <f>VLOOKUP(K59,'[2]ETF Portfolio'!$A$18:$R$114,18,0)</f>
        <v>0.12866479396820069</v>
      </c>
      <c r="V59" s="19" t="str">
        <f>VLOOKUP(K59,'[2]ETF Portfolio'!$A$18:$C$114,3,0)</f>
        <v>Buy</v>
      </c>
      <c r="W59" s="21">
        <f>VLOOKUP(K59,'[2]ETF Portfolio'!$A$18:$D$114,4,0)</f>
        <v>45974</v>
      </c>
      <c r="Z59" s="27">
        <f>R59/VLOOKUP(K59,'[2]ILS Data pull'!$B:$H,7,0)</f>
        <v>2.9411764705882353E-3</v>
      </c>
      <c r="AA59" s="28">
        <f>VLOOKUP(K59,'[2]ETF Portfolio'!$A$18:$Q$114,17,0)</f>
        <v>8.9871699733416924E-2</v>
      </c>
      <c r="AB59" s="19">
        <v>0</v>
      </c>
      <c r="AC59" s="28">
        <f>VLOOKUP(K59, '[2]ETF Portfolio'!$A$18:$AD$114,30,0)</f>
        <v>7.9067299999999993E-2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21">
        <f t="shared" si="3"/>
        <v>45974</v>
      </c>
      <c r="AJ59" s="21">
        <f t="shared" si="6"/>
        <v>45974</v>
      </c>
      <c r="AK59" s="21">
        <f t="shared" si="6"/>
        <v>45974</v>
      </c>
      <c r="AL59" s="21">
        <f t="shared" si="6"/>
        <v>45974</v>
      </c>
      <c r="AM59" s="21">
        <f t="shared" si="6"/>
        <v>45974</v>
      </c>
      <c r="AN59" s="21" t="str">
        <f>VLOOKUP(K59,'[2]ETF Portfolio'!$A$18:$K$114,11,0)</f>
        <v>Parametric</v>
      </c>
      <c r="AO59" s="21" t="str">
        <f>VLOOKUP(K59,'[2]ETF Portfolio'!$A$18:$J$114,10,0)</f>
        <v>Occurrence</v>
      </c>
      <c r="AP59" s="19">
        <v>0</v>
      </c>
      <c r="AQ59" s="19">
        <v>0</v>
      </c>
      <c r="AR59" s="19">
        <v>0</v>
      </c>
      <c r="AS59" s="19">
        <v>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09C3-AA69-44FA-81FF-6E40FEF79196}">
  <sheetPr codeName="Sheet3"/>
  <dimension ref="A1:CH278"/>
  <sheetViews>
    <sheetView topLeftCell="L1" workbookViewId="0">
      <selection activeCell="W2" sqref="W2"/>
    </sheetView>
  </sheetViews>
  <sheetFormatPr defaultRowHeight="14.4" x14ac:dyDescent="0.3"/>
  <cols>
    <col min="1" max="1" width="24.44140625" bestFit="1" customWidth="1"/>
    <col min="2" max="2" width="48.6640625" bestFit="1" customWidth="1"/>
    <col min="3" max="12" width="17.5546875" customWidth="1"/>
    <col min="13" max="13" width="21.77734375" bestFit="1" customWidth="1"/>
    <col min="14" max="14" width="19.6640625" bestFit="1" customWidth="1"/>
    <col min="15" max="15" width="22" bestFit="1" customWidth="1"/>
    <col min="16" max="16" width="19" bestFit="1" customWidth="1"/>
    <col min="17" max="17" width="12.21875" bestFit="1" customWidth="1"/>
    <col min="18" max="19" width="12" bestFit="1" customWidth="1"/>
    <col min="20" max="20" width="15.77734375" bestFit="1" customWidth="1"/>
    <col min="21" max="22" width="12" bestFit="1" customWidth="1"/>
    <col min="23" max="23" width="16.33203125" bestFit="1" customWidth="1"/>
    <col min="24" max="24" width="16.88671875" bestFit="1" customWidth="1"/>
    <col min="25" max="25" width="13.88671875" bestFit="1" customWidth="1"/>
    <col min="26" max="26" width="9.21875" bestFit="1" customWidth="1"/>
    <col min="27" max="27" width="8.5546875" bestFit="1" customWidth="1"/>
    <col min="28" max="28" width="15.88671875" bestFit="1" customWidth="1"/>
    <col min="29" max="29" width="9.109375" bestFit="1" customWidth="1"/>
    <col min="30" max="30" width="11.77734375" bestFit="1" customWidth="1"/>
    <col min="31" max="31" width="5.33203125" bestFit="1" customWidth="1"/>
    <col min="32" max="32" width="12" bestFit="1" customWidth="1"/>
    <col min="33" max="33" width="16.21875" bestFit="1" customWidth="1"/>
    <col min="34" max="34" width="11.77734375" bestFit="1" customWidth="1"/>
    <col min="35" max="35" width="10.5546875" bestFit="1" customWidth="1"/>
    <col min="36" max="36" width="27.21875" bestFit="1" customWidth="1"/>
    <col min="37" max="37" width="11" bestFit="1" customWidth="1"/>
    <col min="38" max="38" width="12" bestFit="1" customWidth="1"/>
    <col min="39" max="39" width="12.6640625" bestFit="1" customWidth="1"/>
    <col min="40" max="40" width="18" bestFit="1" customWidth="1"/>
    <col min="41" max="41" width="11.6640625" bestFit="1" customWidth="1"/>
    <col min="42" max="42" width="22.109375" bestFit="1" customWidth="1"/>
    <col min="43" max="43" width="5" bestFit="1" customWidth="1"/>
    <col min="44" max="44" width="11" bestFit="1" customWidth="1"/>
    <col min="45" max="45" width="7.21875" bestFit="1" customWidth="1"/>
    <col min="46" max="46" width="12" bestFit="1" customWidth="1"/>
    <col min="47" max="47" width="8" bestFit="1" customWidth="1"/>
    <col min="48" max="48" width="17.33203125" bestFit="1" customWidth="1"/>
    <col min="49" max="49" width="9.77734375" bestFit="1" customWidth="1"/>
    <col min="50" max="50" width="5" bestFit="1" customWidth="1"/>
    <col min="51" max="51" width="12.21875" bestFit="1" customWidth="1"/>
    <col min="52" max="52" width="26.21875" bestFit="1" customWidth="1"/>
    <col min="53" max="53" width="32.33203125" bestFit="1" customWidth="1"/>
    <col min="54" max="54" width="15.44140625" bestFit="1" customWidth="1"/>
    <col min="55" max="55" width="20.77734375" bestFit="1" customWidth="1"/>
    <col min="56" max="56" width="19.33203125" bestFit="1" customWidth="1"/>
    <col min="57" max="57" width="16" bestFit="1" customWidth="1"/>
    <col min="58" max="58" width="13.77734375" bestFit="1" customWidth="1"/>
    <col min="59" max="59" width="19.21875" bestFit="1" customWidth="1"/>
    <col min="60" max="60" width="15.21875" bestFit="1" customWidth="1"/>
    <col min="61" max="61" width="6.6640625" bestFit="1" customWidth="1"/>
    <col min="62" max="62" width="8.5546875" bestFit="1" customWidth="1"/>
    <col min="63" max="63" width="5.5546875" bestFit="1" customWidth="1"/>
    <col min="64" max="64" width="9" bestFit="1" customWidth="1"/>
    <col min="65" max="65" width="7.88671875" bestFit="1" customWidth="1"/>
    <col min="66" max="66" width="13.6640625" bestFit="1" customWidth="1"/>
    <col min="67" max="67" width="12.5546875" bestFit="1" customWidth="1"/>
    <col min="68" max="68" width="11.33203125" bestFit="1" customWidth="1"/>
    <col min="69" max="69" width="18.44140625" bestFit="1" customWidth="1"/>
    <col min="70" max="70" width="11.77734375" bestFit="1" customWidth="1"/>
    <col min="71" max="71" width="12.21875" bestFit="1" customWidth="1"/>
    <col min="72" max="72" width="11.77734375" bestFit="1" customWidth="1"/>
    <col min="73" max="73" width="14.21875" bestFit="1" customWidth="1"/>
    <col min="74" max="74" width="7.6640625" bestFit="1" customWidth="1"/>
    <col min="75" max="75" width="11.5546875" bestFit="1" customWidth="1"/>
    <col min="76" max="76" width="8.33203125" bestFit="1" customWidth="1"/>
    <col min="77" max="77" width="6.88671875" bestFit="1" customWidth="1"/>
    <col min="78" max="78" width="17.6640625" bestFit="1" customWidth="1"/>
    <col min="79" max="79" width="18.109375" bestFit="1" customWidth="1"/>
    <col min="80" max="80" width="10" bestFit="1" customWidth="1"/>
    <col min="81" max="81" width="11" bestFit="1" customWidth="1"/>
  </cols>
  <sheetData>
    <row r="1" spans="1:19" x14ac:dyDescent="0.3">
      <c r="A1" s="134" t="s">
        <v>1432</v>
      </c>
      <c r="B1" s="134" t="s">
        <v>1584</v>
      </c>
      <c r="C1" s="134" t="s">
        <v>1585</v>
      </c>
      <c r="D1" s="134" t="s">
        <v>1586</v>
      </c>
      <c r="E1" s="134" t="s">
        <v>1408</v>
      </c>
      <c r="F1" s="134" t="s">
        <v>1409</v>
      </c>
      <c r="G1" s="134" t="s">
        <v>1444</v>
      </c>
      <c r="H1" s="134" t="s">
        <v>1587</v>
      </c>
      <c r="I1" s="134" t="s">
        <v>1588</v>
      </c>
      <c r="J1" s="134" t="s">
        <v>1589</v>
      </c>
      <c r="K1" s="134" t="s">
        <v>1590</v>
      </c>
      <c r="L1" s="134" t="s">
        <v>76</v>
      </c>
      <c r="M1" s="134" t="s">
        <v>1591</v>
      </c>
      <c r="N1" s="134" t="s">
        <v>1592</v>
      </c>
      <c r="O1" s="134" t="s">
        <v>1593</v>
      </c>
      <c r="P1" s="134" t="s">
        <v>1594</v>
      </c>
      <c r="Q1" s="134" t="s">
        <v>1595</v>
      </c>
      <c r="R1" s="134" t="s">
        <v>1596</v>
      </c>
      <c r="S1" s="134" t="s">
        <v>1429</v>
      </c>
    </row>
    <row r="2" spans="1:19" x14ac:dyDescent="0.3">
      <c r="A2" s="34">
        <v>103</v>
      </c>
      <c r="B2" s="34">
        <v>1</v>
      </c>
      <c r="C2" s="34" t="s">
        <v>1597</v>
      </c>
      <c r="D2" s="34">
        <v>3000000</v>
      </c>
      <c r="E2" s="34" t="s">
        <v>123</v>
      </c>
      <c r="F2" s="34" t="s">
        <v>123</v>
      </c>
      <c r="G2" s="34" t="s">
        <v>1330</v>
      </c>
      <c r="H2" s="34" t="s">
        <v>123</v>
      </c>
      <c r="I2" s="34" t="s">
        <v>123</v>
      </c>
      <c r="J2" s="35">
        <v>46203</v>
      </c>
      <c r="K2" s="34" t="s">
        <v>1598</v>
      </c>
      <c r="L2" s="35">
        <v>46203.571720219908</v>
      </c>
      <c r="M2" s="34">
        <v>1</v>
      </c>
      <c r="N2" s="34">
        <v>0</v>
      </c>
      <c r="O2" s="34" t="s">
        <v>1599</v>
      </c>
      <c r="P2" s="34" t="s">
        <v>1600</v>
      </c>
      <c r="Q2" s="34">
        <v>2545683</v>
      </c>
      <c r="R2" s="34" t="s">
        <v>123</v>
      </c>
      <c r="S2" s="34">
        <v>103</v>
      </c>
    </row>
    <row r="4" spans="1:19" x14ac:dyDescent="0.3">
      <c r="A4" s="134" t="s">
        <v>1601</v>
      </c>
      <c r="B4" s="134" t="s">
        <v>1602</v>
      </c>
      <c r="C4" s="134" t="s">
        <v>1603</v>
      </c>
      <c r="D4" s="134" t="s">
        <v>1604</v>
      </c>
      <c r="E4" s="134" t="s">
        <v>1605</v>
      </c>
      <c r="F4" s="134" t="s">
        <v>63</v>
      </c>
      <c r="G4" s="134" t="s">
        <v>71</v>
      </c>
      <c r="H4" s="134" t="s">
        <v>1606</v>
      </c>
      <c r="I4" s="134" t="s">
        <v>67</v>
      </c>
      <c r="J4" s="134" t="s">
        <v>1607</v>
      </c>
      <c r="K4" s="134" t="s">
        <v>1608</v>
      </c>
      <c r="L4" s="134" t="s">
        <v>1429</v>
      </c>
      <c r="M4" s="134" t="s">
        <v>1609</v>
      </c>
      <c r="N4" s="134" t="s">
        <v>1610</v>
      </c>
      <c r="O4" s="134" t="s">
        <v>1611</v>
      </c>
      <c r="P4" s="134" t="s">
        <v>1612</v>
      </c>
    </row>
    <row r="5" spans="1:19" x14ac:dyDescent="0.3">
      <c r="A5" s="34">
        <v>86</v>
      </c>
      <c r="B5" s="34">
        <v>1</v>
      </c>
      <c r="C5" s="34">
        <v>1.2E-2</v>
      </c>
      <c r="D5" s="34">
        <v>0</v>
      </c>
      <c r="E5" s="34" t="s">
        <v>1613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3.8E-3</v>
      </c>
      <c r="L5" s="34">
        <v>103</v>
      </c>
      <c r="M5" s="34">
        <v>3.8699999999999998E-2</v>
      </c>
      <c r="N5" s="34">
        <v>0</v>
      </c>
      <c r="O5" s="34">
        <v>0</v>
      </c>
      <c r="P5" s="34">
        <v>0</v>
      </c>
    </row>
    <row r="7" spans="1:19" x14ac:dyDescent="0.3">
      <c r="A7" s="134" t="s">
        <v>1432</v>
      </c>
      <c r="B7" s="134" t="s">
        <v>1584</v>
      </c>
      <c r="C7" s="134" t="s">
        <v>1614</v>
      </c>
      <c r="D7" s="134" t="s">
        <v>1615</v>
      </c>
      <c r="E7" s="134" t="s">
        <v>1616</v>
      </c>
      <c r="F7" s="134" t="s">
        <v>1617</v>
      </c>
      <c r="G7" s="134" t="s">
        <v>1618</v>
      </c>
      <c r="H7" s="134" t="s">
        <v>1619</v>
      </c>
      <c r="I7" s="134" t="s">
        <v>1429</v>
      </c>
    </row>
    <row r="8" spans="1:19" x14ac:dyDescent="0.3">
      <c r="A8" s="34">
        <v>5299</v>
      </c>
      <c r="B8" s="34">
        <v>1</v>
      </c>
      <c r="C8" s="34" t="s">
        <v>1620</v>
      </c>
      <c r="D8" s="34" t="s">
        <v>1621</v>
      </c>
      <c r="E8" s="34">
        <v>0</v>
      </c>
      <c r="F8" s="34">
        <v>0.15</v>
      </c>
      <c r="G8" s="34"/>
      <c r="H8" s="34">
        <v>0</v>
      </c>
      <c r="I8" s="34">
        <v>103</v>
      </c>
    </row>
    <row r="9" spans="1:19" x14ac:dyDescent="0.3">
      <c r="A9" s="34">
        <v>5300</v>
      </c>
      <c r="B9" s="34">
        <v>1</v>
      </c>
      <c r="C9" s="34" t="s">
        <v>1620</v>
      </c>
      <c r="D9" s="34" t="s">
        <v>1622</v>
      </c>
      <c r="E9" s="34">
        <v>0</v>
      </c>
      <c r="F9" s="34">
        <v>0.3</v>
      </c>
      <c r="G9" s="34"/>
      <c r="H9" s="34">
        <v>0</v>
      </c>
      <c r="I9" s="34">
        <v>103</v>
      </c>
    </row>
    <row r="10" spans="1:19" x14ac:dyDescent="0.3">
      <c r="A10" s="34">
        <v>5301</v>
      </c>
      <c r="B10" s="34">
        <v>1</v>
      </c>
      <c r="C10" s="34" t="s">
        <v>1620</v>
      </c>
      <c r="D10" s="34" t="s">
        <v>1327</v>
      </c>
      <c r="E10" s="34">
        <v>0</v>
      </c>
      <c r="F10" s="34">
        <v>0.3</v>
      </c>
      <c r="G10" s="34"/>
      <c r="H10" s="34">
        <v>0</v>
      </c>
      <c r="I10" s="34">
        <v>103</v>
      </c>
    </row>
    <row r="11" spans="1:19" x14ac:dyDescent="0.3">
      <c r="A11" s="34">
        <v>5302</v>
      </c>
      <c r="B11" s="34">
        <v>1</v>
      </c>
      <c r="C11" s="34" t="s">
        <v>1620</v>
      </c>
      <c r="D11" s="34" t="s">
        <v>1331</v>
      </c>
      <c r="E11" s="34">
        <v>0</v>
      </c>
      <c r="F11" s="34">
        <v>0.3</v>
      </c>
      <c r="G11" s="34"/>
      <c r="H11" s="34">
        <v>0</v>
      </c>
      <c r="I11" s="34">
        <v>103</v>
      </c>
    </row>
    <row r="12" spans="1:19" x14ac:dyDescent="0.3">
      <c r="A12" s="34">
        <v>5303</v>
      </c>
      <c r="B12" s="34">
        <v>1</v>
      </c>
      <c r="C12" s="34" t="s">
        <v>1620</v>
      </c>
      <c r="D12" s="34" t="s">
        <v>1335</v>
      </c>
      <c r="E12" s="34">
        <v>0</v>
      </c>
      <c r="F12" s="34">
        <v>0.3</v>
      </c>
      <c r="G12" s="34"/>
      <c r="H12" s="34">
        <v>0</v>
      </c>
      <c r="I12" s="34">
        <v>103</v>
      </c>
    </row>
    <row r="13" spans="1:19" x14ac:dyDescent="0.3">
      <c r="A13" s="34">
        <v>5304</v>
      </c>
      <c r="B13" s="34">
        <v>1</v>
      </c>
      <c r="C13" s="34" t="s">
        <v>1620</v>
      </c>
      <c r="D13" s="34" t="s">
        <v>1337</v>
      </c>
      <c r="E13" s="34">
        <v>0</v>
      </c>
      <c r="F13" s="34">
        <v>0.3</v>
      </c>
      <c r="G13" s="34"/>
      <c r="H13" s="34">
        <v>0</v>
      </c>
      <c r="I13" s="34">
        <v>103</v>
      </c>
    </row>
    <row r="14" spans="1:19" x14ac:dyDescent="0.3">
      <c r="A14" s="34">
        <v>5305</v>
      </c>
      <c r="B14" s="34">
        <v>1</v>
      </c>
      <c r="C14" s="34" t="s">
        <v>1620</v>
      </c>
      <c r="D14" s="34" t="s">
        <v>1339</v>
      </c>
      <c r="E14" s="34">
        <v>0</v>
      </c>
      <c r="F14" s="34">
        <v>0.3</v>
      </c>
      <c r="G14" s="34"/>
      <c r="H14" s="34">
        <v>0</v>
      </c>
      <c r="I14" s="34">
        <v>103</v>
      </c>
    </row>
    <row r="15" spans="1:19" x14ac:dyDescent="0.3">
      <c r="A15" s="34">
        <v>5306</v>
      </c>
      <c r="B15" s="34">
        <v>1</v>
      </c>
      <c r="C15" s="34" t="s">
        <v>1620</v>
      </c>
      <c r="D15" s="34" t="s">
        <v>1341</v>
      </c>
      <c r="E15" s="34">
        <v>0</v>
      </c>
      <c r="F15" s="34">
        <v>0.3</v>
      </c>
      <c r="G15" s="34"/>
      <c r="H15" s="34">
        <v>0</v>
      </c>
      <c r="I15" s="34">
        <v>103</v>
      </c>
    </row>
    <row r="16" spans="1:19" x14ac:dyDescent="0.3">
      <c r="A16" s="34">
        <v>5307</v>
      </c>
      <c r="B16" s="34">
        <v>1</v>
      </c>
      <c r="C16" s="34" t="s">
        <v>1620</v>
      </c>
      <c r="D16" s="34" t="s">
        <v>1342</v>
      </c>
      <c r="E16" s="34">
        <v>0</v>
      </c>
      <c r="F16" s="34">
        <v>0.3</v>
      </c>
      <c r="G16" s="34"/>
      <c r="H16" s="34">
        <v>0</v>
      </c>
      <c r="I16" s="34">
        <v>103</v>
      </c>
    </row>
    <row r="17" spans="1:9" x14ac:dyDescent="0.3">
      <c r="A17" s="34">
        <v>5308</v>
      </c>
      <c r="B17" s="34">
        <v>1</v>
      </c>
      <c r="C17" s="34" t="s">
        <v>1620</v>
      </c>
      <c r="D17" s="34" t="s">
        <v>1343</v>
      </c>
      <c r="E17" s="34">
        <v>0</v>
      </c>
      <c r="F17" s="34">
        <v>0.3</v>
      </c>
      <c r="G17" s="34"/>
      <c r="H17" s="34">
        <v>0</v>
      </c>
      <c r="I17" s="34">
        <v>103</v>
      </c>
    </row>
    <row r="18" spans="1:9" x14ac:dyDescent="0.3">
      <c r="A18" s="34">
        <v>5309</v>
      </c>
      <c r="B18" s="34">
        <v>1</v>
      </c>
      <c r="C18" s="34" t="s">
        <v>1620</v>
      </c>
      <c r="D18" s="34" t="s">
        <v>1344</v>
      </c>
      <c r="E18" s="34">
        <v>0</v>
      </c>
      <c r="F18" s="34">
        <v>0.3</v>
      </c>
      <c r="G18" s="34"/>
      <c r="H18" s="34">
        <v>0</v>
      </c>
      <c r="I18" s="34">
        <v>103</v>
      </c>
    </row>
    <row r="19" spans="1:9" x14ac:dyDescent="0.3">
      <c r="A19" s="34">
        <v>5310</v>
      </c>
      <c r="B19" s="34">
        <v>1</v>
      </c>
      <c r="C19" s="34" t="s">
        <v>1315</v>
      </c>
      <c r="D19" s="34" t="s">
        <v>1345</v>
      </c>
      <c r="E19" s="34">
        <v>0</v>
      </c>
      <c r="F19" s="34">
        <v>0.1</v>
      </c>
      <c r="G19" s="34"/>
      <c r="H19" s="34">
        <v>0</v>
      </c>
      <c r="I19" s="34">
        <v>103</v>
      </c>
    </row>
    <row r="20" spans="1:9" x14ac:dyDescent="0.3">
      <c r="A20" s="34">
        <v>5311</v>
      </c>
      <c r="B20" s="34">
        <v>1</v>
      </c>
      <c r="C20" s="34" t="s">
        <v>1315</v>
      </c>
      <c r="D20" s="34" t="s">
        <v>1623</v>
      </c>
      <c r="E20" s="34">
        <v>0</v>
      </c>
      <c r="F20" s="34">
        <v>0.3</v>
      </c>
      <c r="G20" s="34"/>
      <c r="H20" s="34">
        <v>0</v>
      </c>
      <c r="I20" s="34">
        <v>103</v>
      </c>
    </row>
    <row r="21" spans="1:9" x14ac:dyDescent="0.3">
      <c r="A21" s="34">
        <v>5312</v>
      </c>
      <c r="B21" s="34">
        <v>1</v>
      </c>
      <c r="C21" s="34" t="s">
        <v>1315</v>
      </c>
      <c r="D21" s="34" t="s">
        <v>1624</v>
      </c>
      <c r="E21" s="34">
        <v>0</v>
      </c>
      <c r="F21" s="34">
        <v>0.3</v>
      </c>
      <c r="G21" s="34"/>
      <c r="H21" s="34">
        <v>0</v>
      </c>
      <c r="I21" s="34">
        <v>103</v>
      </c>
    </row>
    <row r="22" spans="1:9" x14ac:dyDescent="0.3">
      <c r="A22" s="34">
        <v>5313</v>
      </c>
      <c r="B22" s="34">
        <v>1</v>
      </c>
      <c r="C22" s="34" t="s">
        <v>1315</v>
      </c>
      <c r="D22" s="34" t="s">
        <v>1625</v>
      </c>
      <c r="E22" s="34">
        <v>0</v>
      </c>
      <c r="F22" s="34">
        <v>0.3</v>
      </c>
      <c r="G22" s="34"/>
      <c r="H22" s="34">
        <v>0</v>
      </c>
      <c r="I22" s="34">
        <v>103</v>
      </c>
    </row>
    <row r="23" spans="1:9" x14ac:dyDescent="0.3">
      <c r="A23" s="34">
        <v>5314</v>
      </c>
      <c r="B23" s="34">
        <v>1</v>
      </c>
      <c r="C23" s="34" t="s">
        <v>1315</v>
      </c>
      <c r="D23" s="34" t="s">
        <v>1626</v>
      </c>
      <c r="E23" s="34">
        <v>0</v>
      </c>
      <c r="F23" s="34">
        <v>0.3</v>
      </c>
      <c r="G23" s="34"/>
      <c r="H23" s="34">
        <v>0</v>
      </c>
      <c r="I23" s="34">
        <v>103</v>
      </c>
    </row>
    <row r="24" spans="1:9" x14ac:dyDescent="0.3">
      <c r="A24" s="34">
        <v>5315</v>
      </c>
      <c r="B24" s="34">
        <v>1</v>
      </c>
      <c r="C24" s="34" t="s">
        <v>1315</v>
      </c>
      <c r="D24" s="34" t="s">
        <v>1627</v>
      </c>
      <c r="E24" s="34">
        <v>0</v>
      </c>
      <c r="F24" s="34">
        <v>0.3</v>
      </c>
      <c r="G24" s="34"/>
      <c r="H24" s="34">
        <v>0</v>
      </c>
      <c r="I24" s="34">
        <v>103</v>
      </c>
    </row>
    <row r="25" spans="1:9" x14ac:dyDescent="0.3">
      <c r="A25" s="34">
        <v>5316</v>
      </c>
      <c r="B25" s="34">
        <v>1</v>
      </c>
      <c r="C25" s="34" t="s">
        <v>1315</v>
      </c>
      <c r="D25" s="34" t="s">
        <v>1628</v>
      </c>
      <c r="E25" s="34">
        <v>0</v>
      </c>
      <c r="F25" s="34">
        <v>0.3</v>
      </c>
      <c r="G25" s="34"/>
      <c r="H25" s="34">
        <v>0</v>
      </c>
      <c r="I25" s="34">
        <v>103</v>
      </c>
    </row>
    <row r="26" spans="1:9" x14ac:dyDescent="0.3">
      <c r="A26" s="34">
        <v>5317</v>
      </c>
      <c r="B26" s="34">
        <v>1</v>
      </c>
      <c r="C26" s="34" t="s">
        <v>1315</v>
      </c>
      <c r="D26" s="34" t="s">
        <v>1629</v>
      </c>
      <c r="E26" s="34">
        <v>0</v>
      </c>
      <c r="F26" s="34">
        <v>0.3</v>
      </c>
      <c r="G26" s="34"/>
      <c r="H26" s="34">
        <v>0</v>
      </c>
      <c r="I26" s="34">
        <v>103</v>
      </c>
    </row>
    <row r="27" spans="1:9" x14ac:dyDescent="0.3">
      <c r="A27" s="34">
        <v>5318</v>
      </c>
      <c r="B27" s="34">
        <v>1</v>
      </c>
      <c r="C27" s="34" t="s">
        <v>1630</v>
      </c>
      <c r="D27" s="34" t="s">
        <v>130</v>
      </c>
      <c r="E27" s="34">
        <v>0</v>
      </c>
      <c r="F27" s="34">
        <v>0.05</v>
      </c>
      <c r="G27" s="34"/>
      <c r="H27" s="34">
        <v>0</v>
      </c>
      <c r="I27" s="34">
        <v>103</v>
      </c>
    </row>
    <row r="28" spans="1:9" x14ac:dyDescent="0.3">
      <c r="A28" s="34">
        <v>5319</v>
      </c>
      <c r="B28" s="34">
        <v>1</v>
      </c>
      <c r="C28" s="34" t="s">
        <v>1630</v>
      </c>
      <c r="D28" s="34" t="s">
        <v>1624</v>
      </c>
      <c r="E28" s="34">
        <v>0</v>
      </c>
      <c r="F28" s="34">
        <v>2.5000000000000001E-2</v>
      </c>
      <c r="G28" s="34"/>
      <c r="H28" s="34">
        <v>0</v>
      </c>
      <c r="I28" s="34">
        <v>103</v>
      </c>
    </row>
    <row r="29" spans="1:9" x14ac:dyDescent="0.3">
      <c r="A29" s="34">
        <v>5320</v>
      </c>
      <c r="B29" s="34">
        <v>1</v>
      </c>
      <c r="C29" s="34" t="s">
        <v>1630</v>
      </c>
      <c r="D29" s="34" t="s">
        <v>1625</v>
      </c>
      <c r="E29" s="34">
        <v>0</v>
      </c>
      <c r="F29" s="34">
        <v>0.4</v>
      </c>
      <c r="G29" s="34"/>
      <c r="H29" s="34">
        <v>0</v>
      </c>
      <c r="I29" s="34">
        <v>103</v>
      </c>
    </row>
    <row r="30" spans="1:9" x14ac:dyDescent="0.3">
      <c r="A30" s="34">
        <v>5321</v>
      </c>
      <c r="B30" s="34">
        <v>1</v>
      </c>
      <c r="C30" s="34" t="s">
        <v>1630</v>
      </c>
      <c r="D30" s="34" t="s">
        <v>1627</v>
      </c>
      <c r="E30" s="34">
        <v>0</v>
      </c>
      <c r="F30" s="34">
        <v>0.4</v>
      </c>
      <c r="G30" s="34"/>
      <c r="H30" s="34">
        <v>0</v>
      </c>
      <c r="I30" s="34">
        <v>103</v>
      </c>
    </row>
    <row r="31" spans="1:9" x14ac:dyDescent="0.3">
      <c r="A31" s="34">
        <v>5322</v>
      </c>
      <c r="B31" s="34">
        <v>1</v>
      </c>
      <c r="C31" s="34" t="s">
        <v>1630</v>
      </c>
      <c r="D31" s="34" t="s">
        <v>1626</v>
      </c>
      <c r="E31" s="34">
        <v>0</v>
      </c>
      <c r="F31" s="34">
        <v>0.05</v>
      </c>
      <c r="G31" s="34"/>
      <c r="H31" s="34">
        <v>0</v>
      </c>
      <c r="I31" s="34">
        <v>103</v>
      </c>
    </row>
    <row r="32" spans="1:9" x14ac:dyDescent="0.3">
      <c r="A32" s="34">
        <v>5323</v>
      </c>
      <c r="B32" s="34">
        <v>1</v>
      </c>
      <c r="C32" s="34" t="s">
        <v>1630</v>
      </c>
      <c r="D32" s="34" t="s">
        <v>1629</v>
      </c>
      <c r="E32" s="34">
        <v>0</v>
      </c>
      <c r="F32" s="34">
        <v>0.1</v>
      </c>
      <c r="G32" s="34"/>
      <c r="H32" s="34">
        <v>0</v>
      </c>
      <c r="I32" s="34">
        <v>103</v>
      </c>
    </row>
    <row r="33" spans="1:9" x14ac:dyDescent="0.3">
      <c r="A33" s="34">
        <v>5324</v>
      </c>
      <c r="B33" s="34">
        <v>1</v>
      </c>
      <c r="C33" s="34" t="s">
        <v>1630</v>
      </c>
      <c r="D33" s="34" t="s">
        <v>1623</v>
      </c>
      <c r="E33" s="34">
        <v>0</v>
      </c>
      <c r="F33" s="34">
        <v>0.1</v>
      </c>
      <c r="G33" s="34"/>
      <c r="H33" s="34">
        <v>0</v>
      </c>
      <c r="I33" s="34">
        <v>103</v>
      </c>
    </row>
    <row r="34" spans="1:9" x14ac:dyDescent="0.3">
      <c r="A34" s="34">
        <v>5325</v>
      </c>
      <c r="B34" s="34">
        <v>1</v>
      </c>
      <c r="C34" s="34" t="s">
        <v>1630</v>
      </c>
      <c r="D34" s="34" t="s">
        <v>1631</v>
      </c>
      <c r="E34" s="34">
        <v>0</v>
      </c>
      <c r="F34" s="34">
        <v>0</v>
      </c>
      <c r="G34" s="34"/>
      <c r="H34" s="34">
        <v>0</v>
      </c>
      <c r="I34" s="34">
        <v>103</v>
      </c>
    </row>
    <row r="35" spans="1:9" x14ac:dyDescent="0.3">
      <c r="A35" s="34">
        <v>5326</v>
      </c>
      <c r="B35" s="34">
        <v>1</v>
      </c>
      <c r="C35" s="34" t="s">
        <v>1632</v>
      </c>
      <c r="D35" s="34" t="s">
        <v>1633</v>
      </c>
      <c r="E35" s="34">
        <v>0</v>
      </c>
      <c r="F35" s="34">
        <v>0.35</v>
      </c>
      <c r="G35" s="34" t="s">
        <v>1634</v>
      </c>
      <c r="H35" s="34">
        <v>100</v>
      </c>
      <c r="I35" s="34">
        <v>103</v>
      </c>
    </row>
    <row r="36" spans="1:9" x14ac:dyDescent="0.3">
      <c r="A36" s="34">
        <v>5327</v>
      </c>
      <c r="B36" s="34">
        <v>1</v>
      </c>
      <c r="C36" s="34" t="s">
        <v>1632</v>
      </c>
      <c r="D36" s="34" t="s">
        <v>1635</v>
      </c>
      <c r="E36" s="34">
        <v>0</v>
      </c>
      <c r="F36" s="34">
        <v>0.3</v>
      </c>
      <c r="G36" s="34" t="s">
        <v>1634</v>
      </c>
      <c r="H36" s="34">
        <v>100</v>
      </c>
      <c r="I36" s="34">
        <v>103</v>
      </c>
    </row>
    <row r="37" spans="1:9" x14ac:dyDescent="0.3">
      <c r="A37" s="34">
        <v>5328</v>
      </c>
      <c r="B37" s="34">
        <v>1</v>
      </c>
      <c r="C37" s="34" t="s">
        <v>1632</v>
      </c>
      <c r="D37" s="34" t="s">
        <v>1636</v>
      </c>
      <c r="E37" s="34">
        <v>0</v>
      </c>
      <c r="F37" s="34">
        <v>0.3</v>
      </c>
      <c r="G37" s="34" t="s">
        <v>1634</v>
      </c>
      <c r="H37" s="34">
        <v>100</v>
      </c>
      <c r="I37" s="34">
        <v>103</v>
      </c>
    </row>
    <row r="38" spans="1:9" x14ac:dyDescent="0.3">
      <c r="A38" s="34">
        <v>5329</v>
      </c>
      <c r="B38" s="34">
        <v>1</v>
      </c>
      <c r="C38" s="34" t="s">
        <v>1632</v>
      </c>
      <c r="D38" s="34" t="s">
        <v>1637</v>
      </c>
      <c r="E38" s="34">
        <v>0</v>
      </c>
      <c r="F38" s="34">
        <v>0.3</v>
      </c>
      <c r="G38" s="34" t="s">
        <v>1634</v>
      </c>
      <c r="H38" s="34">
        <v>100</v>
      </c>
      <c r="I38" s="34">
        <v>103</v>
      </c>
    </row>
    <row r="39" spans="1:9" x14ac:dyDescent="0.3">
      <c r="A39" s="34">
        <v>5330</v>
      </c>
      <c r="B39" s="34">
        <v>1</v>
      </c>
      <c r="C39" s="34" t="s">
        <v>1632</v>
      </c>
      <c r="D39" s="34" t="s">
        <v>1638</v>
      </c>
      <c r="E39" s="34">
        <v>0</v>
      </c>
      <c r="F39" s="34">
        <v>0.3</v>
      </c>
      <c r="G39" s="34" t="s">
        <v>1634</v>
      </c>
      <c r="H39" s="34">
        <v>100</v>
      </c>
      <c r="I39" s="34">
        <v>103</v>
      </c>
    </row>
    <row r="40" spans="1:9" x14ac:dyDescent="0.3">
      <c r="A40" s="34">
        <v>5331</v>
      </c>
      <c r="B40" s="34">
        <v>1</v>
      </c>
      <c r="C40" s="34" t="s">
        <v>1632</v>
      </c>
      <c r="D40" s="34" t="s">
        <v>1639</v>
      </c>
      <c r="E40" s="34">
        <v>0</v>
      </c>
      <c r="F40" s="34">
        <v>0.3</v>
      </c>
      <c r="G40" s="34" t="s">
        <v>1634</v>
      </c>
      <c r="H40" s="34">
        <v>100</v>
      </c>
      <c r="I40" s="34">
        <v>103</v>
      </c>
    </row>
    <row r="41" spans="1:9" x14ac:dyDescent="0.3">
      <c r="A41" s="34">
        <v>5332</v>
      </c>
      <c r="B41" s="34">
        <v>1</v>
      </c>
      <c r="C41" s="34" t="s">
        <v>1632</v>
      </c>
      <c r="D41" s="34" t="s">
        <v>1640</v>
      </c>
      <c r="E41" s="34">
        <v>0</v>
      </c>
      <c r="F41" s="34">
        <v>0.2</v>
      </c>
      <c r="G41" s="34" t="s">
        <v>1634</v>
      </c>
      <c r="H41" s="34">
        <v>100</v>
      </c>
      <c r="I41" s="34">
        <v>103</v>
      </c>
    </row>
    <row r="42" spans="1:9" x14ac:dyDescent="0.3">
      <c r="A42" s="34">
        <v>5333</v>
      </c>
      <c r="B42" s="34">
        <v>1</v>
      </c>
      <c r="C42" s="34" t="s">
        <v>1632</v>
      </c>
      <c r="D42" s="34" t="s">
        <v>1641</v>
      </c>
      <c r="E42" s="34">
        <v>0</v>
      </c>
      <c r="F42" s="34">
        <v>0.2</v>
      </c>
      <c r="G42" s="34" t="s">
        <v>1634</v>
      </c>
      <c r="H42" s="34">
        <v>100</v>
      </c>
      <c r="I42" s="34">
        <v>103</v>
      </c>
    </row>
    <row r="43" spans="1:9" x14ac:dyDescent="0.3">
      <c r="A43" s="34">
        <v>5334</v>
      </c>
      <c r="B43" s="34">
        <v>1</v>
      </c>
      <c r="C43" s="34" t="s">
        <v>1632</v>
      </c>
      <c r="D43" s="34" t="s">
        <v>1642</v>
      </c>
      <c r="E43" s="34">
        <v>0</v>
      </c>
      <c r="F43" s="34">
        <v>0.3</v>
      </c>
      <c r="G43" s="34" t="s">
        <v>1634</v>
      </c>
      <c r="H43" s="34">
        <v>100</v>
      </c>
      <c r="I43" s="34">
        <v>103</v>
      </c>
    </row>
    <row r="44" spans="1:9" x14ac:dyDescent="0.3">
      <c r="A44" s="34">
        <v>5335</v>
      </c>
      <c r="B44" s="34">
        <v>1</v>
      </c>
      <c r="C44" s="34" t="s">
        <v>1632</v>
      </c>
      <c r="D44" s="34" t="s">
        <v>1643</v>
      </c>
      <c r="E44" s="34">
        <v>0</v>
      </c>
      <c r="F44" s="34">
        <v>0.2</v>
      </c>
      <c r="G44" s="34" t="s">
        <v>1634</v>
      </c>
      <c r="H44" s="34">
        <v>100</v>
      </c>
      <c r="I44" s="34">
        <v>103</v>
      </c>
    </row>
    <row r="45" spans="1:9" x14ac:dyDescent="0.3">
      <c r="A45" s="34">
        <v>5336</v>
      </c>
      <c r="B45" s="34">
        <v>1</v>
      </c>
      <c r="C45" s="34" t="s">
        <v>1632</v>
      </c>
      <c r="D45" s="34" t="s">
        <v>1644</v>
      </c>
      <c r="E45" s="34">
        <v>0</v>
      </c>
      <c r="F45" s="34">
        <v>0.15</v>
      </c>
      <c r="G45" s="34" t="s">
        <v>1634</v>
      </c>
      <c r="H45" s="34">
        <v>100</v>
      </c>
      <c r="I45" s="34">
        <v>103</v>
      </c>
    </row>
    <row r="46" spans="1:9" x14ac:dyDescent="0.3">
      <c r="A46" s="34">
        <v>5337</v>
      </c>
      <c r="B46" s="34">
        <v>1</v>
      </c>
      <c r="C46" s="34" t="s">
        <v>1632</v>
      </c>
      <c r="D46" s="34" t="s">
        <v>1645</v>
      </c>
      <c r="E46" s="34">
        <v>0</v>
      </c>
      <c r="F46" s="34">
        <v>0.15</v>
      </c>
      <c r="G46" s="34" t="s">
        <v>1634</v>
      </c>
      <c r="H46" s="34">
        <v>100</v>
      </c>
      <c r="I46" s="34">
        <v>103</v>
      </c>
    </row>
    <row r="47" spans="1:9" x14ac:dyDescent="0.3">
      <c r="A47" s="34">
        <v>5338</v>
      </c>
      <c r="B47" s="34">
        <v>1</v>
      </c>
      <c r="C47" s="34" t="s">
        <v>1632</v>
      </c>
      <c r="D47" s="34" t="s">
        <v>1646</v>
      </c>
      <c r="E47" s="34">
        <v>0</v>
      </c>
      <c r="F47" s="34">
        <v>0.15</v>
      </c>
      <c r="G47" s="34" t="s">
        <v>1634</v>
      </c>
      <c r="H47" s="34">
        <v>100</v>
      </c>
      <c r="I47" s="34">
        <v>103</v>
      </c>
    </row>
    <row r="48" spans="1:9" x14ac:dyDescent="0.3">
      <c r="A48" s="34">
        <v>5339</v>
      </c>
      <c r="B48" s="34">
        <v>1</v>
      </c>
      <c r="C48" s="34" t="s">
        <v>1632</v>
      </c>
      <c r="D48" s="34" t="s">
        <v>1647</v>
      </c>
      <c r="E48" s="34">
        <v>0</v>
      </c>
      <c r="F48" s="34">
        <v>0.15</v>
      </c>
      <c r="G48" s="34" t="s">
        <v>1634</v>
      </c>
      <c r="H48" s="34">
        <v>100</v>
      </c>
      <c r="I48" s="34">
        <v>103</v>
      </c>
    </row>
    <row r="49" spans="1:9" x14ac:dyDescent="0.3">
      <c r="A49" s="34">
        <v>5340</v>
      </c>
      <c r="B49" s="34">
        <v>1</v>
      </c>
      <c r="C49" s="34" t="s">
        <v>1632</v>
      </c>
      <c r="D49" s="34" t="s">
        <v>1633</v>
      </c>
      <c r="E49" s="34">
        <v>0</v>
      </c>
      <c r="F49" s="34">
        <v>0.5</v>
      </c>
      <c r="G49" s="34" t="s">
        <v>1648</v>
      </c>
      <c r="H49" s="34">
        <v>500</v>
      </c>
      <c r="I49" s="34">
        <v>103</v>
      </c>
    </row>
    <row r="50" spans="1:9" x14ac:dyDescent="0.3">
      <c r="A50" s="34">
        <v>5341</v>
      </c>
      <c r="B50" s="34">
        <v>1</v>
      </c>
      <c r="C50" s="34" t="s">
        <v>1632</v>
      </c>
      <c r="D50" s="34" t="s">
        <v>1635</v>
      </c>
      <c r="E50" s="34">
        <v>0</v>
      </c>
      <c r="F50" s="34">
        <v>0.5</v>
      </c>
      <c r="G50" s="34" t="s">
        <v>1648</v>
      </c>
      <c r="H50" s="34">
        <v>500</v>
      </c>
      <c r="I50" s="34">
        <v>103</v>
      </c>
    </row>
    <row r="51" spans="1:9" x14ac:dyDescent="0.3">
      <c r="A51" s="34">
        <v>5342</v>
      </c>
      <c r="B51" s="34">
        <v>1</v>
      </c>
      <c r="C51" s="34" t="s">
        <v>1632</v>
      </c>
      <c r="D51" s="34" t="s">
        <v>1636</v>
      </c>
      <c r="E51" s="34">
        <v>0</v>
      </c>
      <c r="F51" s="34">
        <v>0.5</v>
      </c>
      <c r="G51" s="34" t="s">
        <v>1648</v>
      </c>
      <c r="H51" s="34">
        <v>500</v>
      </c>
      <c r="I51" s="34">
        <v>103</v>
      </c>
    </row>
    <row r="52" spans="1:9" x14ac:dyDescent="0.3">
      <c r="A52" s="34">
        <v>5343</v>
      </c>
      <c r="B52" s="34">
        <v>1</v>
      </c>
      <c r="C52" s="34" t="s">
        <v>1632</v>
      </c>
      <c r="D52" s="34" t="s">
        <v>1637</v>
      </c>
      <c r="E52" s="34">
        <v>0</v>
      </c>
      <c r="F52" s="34">
        <v>0.5</v>
      </c>
      <c r="G52" s="34" t="s">
        <v>1648</v>
      </c>
      <c r="H52" s="34">
        <v>500</v>
      </c>
      <c r="I52" s="34">
        <v>103</v>
      </c>
    </row>
    <row r="53" spans="1:9" x14ac:dyDescent="0.3">
      <c r="A53" s="34">
        <v>5344</v>
      </c>
      <c r="B53" s="34">
        <v>1</v>
      </c>
      <c r="C53" s="34" t="s">
        <v>1632</v>
      </c>
      <c r="D53" s="34" t="s">
        <v>1638</v>
      </c>
      <c r="E53" s="34">
        <v>0</v>
      </c>
      <c r="F53" s="34">
        <v>0.5</v>
      </c>
      <c r="G53" s="34" t="s">
        <v>1648</v>
      </c>
      <c r="H53" s="34">
        <v>500</v>
      </c>
      <c r="I53" s="34">
        <v>103</v>
      </c>
    </row>
    <row r="54" spans="1:9" x14ac:dyDescent="0.3">
      <c r="A54" s="34">
        <v>5345</v>
      </c>
      <c r="B54" s="34">
        <v>1</v>
      </c>
      <c r="C54" s="34" t="s">
        <v>1632</v>
      </c>
      <c r="D54" s="34" t="s">
        <v>1639</v>
      </c>
      <c r="E54" s="34">
        <v>0</v>
      </c>
      <c r="F54" s="34">
        <v>0.5</v>
      </c>
      <c r="G54" s="34" t="s">
        <v>1648</v>
      </c>
      <c r="H54" s="34">
        <v>500</v>
      </c>
      <c r="I54" s="34">
        <v>103</v>
      </c>
    </row>
    <row r="55" spans="1:9" x14ac:dyDescent="0.3">
      <c r="A55" s="34">
        <v>5346</v>
      </c>
      <c r="B55" s="34">
        <v>1</v>
      </c>
      <c r="C55" s="34" t="s">
        <v>1632</v>
      </c>
      <c r="D55" s="34" t="s">
        <v>1640</v>
      </c>
      <c r="E55" s="34">
        <v>0</v>
      </c>
      <c r="F55" s="34">
        <v>0.35</v>
      </c>
      <c r="G55" s="34" t="s">
        <v>1648</v>
      </c>
      <c r="H55" s="34">
        <v>500</v>
      </c>
      <c r="I55" s="34">
        <v>103</v>
      </c>
    </row>
    <row r="56" spans="1:9" x14ac:dyDescent="0.3">
      <c r="A56" s="34">
        <v>5347</v>
      </c>
      <c r="B56" s="34">
        <v>1</v>
      </c>
      <c r="C56" s="34" t="s">
        <v>1632</v>
      </c>
      <c r="D56" s="34" t="s">
        <v>1641</v>
      </c>
      <c r="E56" s="34">
        <v>0</v>
      </c>
      <c r="F56" s="34">
        <v>0.3</v>
      </c>
      <c r="G56" s="34" t="s">
        <v>1648</v>
      </c>
      <c r="H56" s="34">
        <v>500</v>
      </c>
      <c r="I56" s="34">
        <v>103</v>
      </c>
    </row>
    <row r="57" spans="1:9" x14ac:dyDescent="0.3">
      <c r="A57" s="34">
        <v>5348</v>
      </c>
      <c r="B57" s="34">
        <v>1</v>
      </c>
      <c r="C57" s="34" t="s">
        <v>1632</v>
      </c>
      <c r="D57" s="34" t="s">
        <v>1642</v>
      </c>
      <c r="E57" s="34">
        <v>0</v>
      </c>
      <c r="F57" s="34">
        <v>0.5</v>
      </c>
      <c r="G57" s="34" t="s">
        <v>1648</v>
      </c>
      <c r="H57" s="34">
        <v>500</v>
      </c>
      <c r="I57" s="34">
        <v>103</v>
      </c>
    </row>
    <row r="58" spans="1:9" x14ac:dyDescent="0.3">
      <c r="A58" s="34">
        <v>5349</v>
      </c>
      <c r="B58" s="34">
        <v>1</v>
      </c>
      <c r="C58" s="34" t="s">
        <v>1632</v>
      </c>
      <c r="D58" s="34" t="s">
        <v>1643</v>
      </c>
      <c r="E58" s="34">
        <v>0</v>
      </c>
      <c r="F58" s="34">
        <v>0.3</v>
      </c>
      <c r="G58" s="34" t="s">
        <v>1648</v>
      </c>
      <c r="H58" s="34">
        <v>500</v>
      </c>
      <c r="I58" s="34">
        <v>103</v>
      </c>
    </row>
    <row r="59" spans="1:9" x14ac:dyDescent="0.3">
      <c r="A59" s="34">
        <v>5350</v>
      </c>
      <c r="B59" s="34">
        <v>1</v>
      </c>
      <c r="C59" s="34" t="s">
        <v>1632</v>
      </c>
      <c r="D59" s="34" t="s">
        <v>1644</v>
      </c>
      <c r="E59" s="34">
        <v>0</v>
      </c>
      <c r="F59" s="34">
        <v>0.25</v>
      </c>
      <c r="G59" s="34" t="s">
        <v>1648</v>
      </c>
      <c r="H59" s="34">
        <v>500</v>
      </c>
      <c r="I59" s="34">
        <v>103</v>
      </c>
    </row>
    <row r="60" spans="1:9" x14ac:dyDescent="0.3">
      <c r="A60" s="34">
        <v>5351</v>
      </c>
      <c r="B60" s="34">
        <v>1</v>
      </c>
      <c r="C60" s="34" t="s">
        <v>1632</v>
      </c>
      <c r="D60" s="34" t="s">
        <v>1645</v>
      </c>
      <c r="E60" s="34">
        <v>0</v>
      </c>
      <c r="F60" s="34">
        <v>0.25</v>
      </c>
      <c r="G60" s="34" t="s">
        <v>1648</v>
      </c>
      <c r="H60" s="34">
        <v>500</v>
      </c>
      <c r="I60" s="34">
        <v>103</v>
      </c>
    </row>
    <row r="61" spans="1:9" x14ac:dyDescent="0.3">
      <c r="A61" s="34">
        <v>5352</v>
      </c>
      <c r="B61" s="34">
        <v>1</v>
      </c>
      <c r="C61" s="34" t="s">
        <v>1632</v>
      </c>
      <c r="D61" s="34" t="s">
        <v>1646</v>
      </c>
      <c r="E61" s="34">
        <v>0</v>
      </c>
      <c r="F61" s="34">
        <v>0.25</v>
      </c>
      <c r="G61" s="34" t="s">
        <v>1648</v>
      </c>
      <c r="H61" s="34">
        <v>500</v>
      </c>
      <c r="I61" s="34">
        <v>103</v>
      </c>
    </row>
    <row r="62" spans="1:9" x14ac:dyDescent="0.3">
      <c r="A62" s="34">
        <v>5353</v>
      </c>
      <c r="B62" s="34">
        <v>1</v>
      </c>
      <c r="C62" s="34" t="s">
        <v>1632</v>
      </c>
      <c r="D62" s="34" t="s">
        <v>1647</v>
      </c>
      <c r="E62" s="34">
        <v>0</v>
      </c>
      <c r="F62" s="34">
        <v>0.25</v>
      </c>
      <c r="G62" s="34" t="s">
        <v>1648</v>
      </c>
      <c r="H62" s="34">
        <v>500</v>
      </c>
      <c r="I62" s="34">
        <v>103</v>
      </c>
    </row>
    <row r="63" spans="1:9" x14ac:dyDescent="0.3">
      <c r="A63" s="34">
        <v>5354</v>
      </c>
      <c r="B63" s="34">
        <v>1</v>
      </c>
      <c r="C63" s="34" t="s">
        <v>1632</v>
      </c>
      <c r="D63" s="34" t="s">
        <v>1649</v>
      </c>
      <c r="E63" s="34">
        <v>0</v>
      </c>
      <c r="F63" s="34">
        <v>0.4</v>
      </c>
      <c r="G63" s="34" t="s">
        <v>1634</v>
      </c>
      <c r="H63" s="34">
        <v>100</v>
      </c>
      <c r="I63" s="34">
        <v>103</v>
      </c>
    </row>
    <row r="64" spans="1:9" x14ac:dyDescent="0.3">
      <c r="A64" s="34">
        <v>5355</v>
      </c>
      <c r="B64" s="34">
        <v>1</v>
      </c>
      <c r="C64" s="34" t="s">
        <v>1632</v>
      </c>
      <c r="D64" s="34" t="s">
        <v>1649</v>
      </c>
      <c r="E64" s="34">
        <v>0</v>
      </c>
      <c r="F64" s="34">
        <v>0.65</v>
      </c>
      <c r="G64" s="34" t="s">
        <v>1648</v>
      </c>
      <c r="H64" s="34">
        <v>500</v>
      </c>
      <c r="I64" s="34">
        <v>103</v>
      </c>
    </row>
    <row r="65" spans="1:9" x14ac:dyDescent="0.3">
      <c r="A65" s="34">
        <v>5356</v>
      </c>
      <c r="B65" s="34">
        <v>1</v>
      </c>
      <c r="C65" s="34" t="s">
        <v>1632</v>
      </c>
      <c r="D65" s="34" t="s">
        <v>1650</v>
      </c>
      <c r="E65" s="34">
        <v>0</v>
      </c>
      <c r="F65" s="34">
        <v>0.65</v>
      </c>
      <c r="G65" s="34" t="s">
        <v>1648</v>
      </c>
      <c r="H65" s="34">
        <v>500</v>
      </c>
      <c r="I65" s="34">
        <v>103</v>
      </c>
    </row>
    <row r="66" spans="1:9" x14ac:dyDescent="0.3">
      <c r="A66" s="34">
        <v>5357</v>
      </c>
      <c r="B66" s="34">
        <v>1</v>
      </c>
      <c r="C66" s="34" t="s">
        <v>1632</v>
      </c>
      <c r="D66" s="34" t="s">
        <v>1650</v>
      </c>
      <c r="E66" s="34">
        <v>0</v>
      </c>
      <c r="F66" s="34">
        <v>0.4</v>
      </c>
      <c r="G66" s="34" t="s">
        <v>1634</v>
      </c>
      <c r="H66" s="34">
        <v>100</v>
      </c>
      <c r="I66" s="34">
        <v>103</v>
      </c>
    </row>
    <row r="67" spans="1:9" x14ac:dyDescent="0.3">
      <c r="A67" s="34">
        <v>5358</v>
      </c>
      <c r="B67" s="34">
        <v>1</v>
      </c>
      <c r="C67" s="34" t="s">
        <v>1632</v>
      </c>
      <c r="D67" s="34" t="s">
        <v>1651</v>
      </c>
      <c r="E67" s="34">
        <v>0</v>
      </c>
      <c r="F67" s="34">
        <v>0.4</v>
      </c>
      <c r="G67" s="34" t="s">
        <v>1634</v>
      </c>
      <c r="H67" s="34">
        <v>100</v>
      </c>
      <c r="I67" s="34">
        <v>103</v>
      </c>
    </row>
    <row r="68" spans="1:9" x14ac:dyDescent="0.3">
      <c r="A68" s="34">
        <v>5359</v>
      </c>
      <c r="B68" s="34">
        <v>1</v>
      </c>
      <c r="C68" s="34" t="s">
        <v>1632</v>
      </c>
      <c r="D68" s="34" t="s">
        <v>1651</v>
      </c>
      <c r="E68" s="34">
        <v>0</v>
      </c>
      <c r="F68" s="34">
        <v>0.65</v>
      </c>
      <c r="G68" s="34" t="s">
        <v>1648</v>
      </c>
      <c r="H68" s="34">
        <v>500</v>
      </c>
      <c r="I68" s="34">
        <v>103</v>
      </c>
    </row>
    <row r="69" spans="1:9" x14ac:dyDescent="0.3">
      <c r="A69" s="34">
        <v>5360</v>
      </c>
      <c r="B69" s="34">
        <v>1</v>
      </c>
      <c r="C69" s="34" t="s">
        <v>1632</v>
      </c>
      <c r="D69" s="34" t="s">
        <v>1652</v>
      </c>
      <c r="E69" s="34">
        <v>0</v>
      </c>
      <c r="F69" s="34">
        <v>0.65</v>
      </c>
      <c r="G69" s="34" t="s">
        <v>1648</v>
      </c>
      <c r="H69" s="34">
        <v>500</v>
      </c>
      <c r="I69" s="34">
        <v>103</v>
      </c>
    </row>
    <row r="70" spans="1:9" x14ac:dyDescent="0.3">
      <c r="A70" s="34">
        <v>5361</v>
      </c>
      <c r="B70" s="34">
        <v>1</v>
      </c>
      <c r="C70" s="34" t="s">
        <v>1632</v>
      </c>
      <c r="D70" s="34" t="s">
        <v>1652</v>
      </c>
      <c r="E70" s="34">
        <v>0</v>
      </c>
      <c r="F70" s="34">
        <v>0.4</v>
      </c>
      <c r="G70" s="34" t="s">
        <v>1634</v>
      </c>
      <c r="H70" s="34">
        <v>100</v>
      </c>
      <c r="I70" s="34">
        <v>103</v>
      </c>
    </row>
    <row r="71" spans="1:9" x14ac:dyDescent="0.3">
      <c r="A71" s="34">
        <v>5362</v>
      </c>
      <c r="B71" s="34">
        <v>1</v>
      </c>
      <c r="C71" s="34" t="s">
        <v>1632</v>
      </c>
      <c r="D71" s="34" t="s">
        <v>1653</v>
      </c>
      <c r="E71" s="34">
        <v>0</v>
      </c>
      <c r="F71" s="34">
        <v>0.3</v>
      </c>
      <c r="G71" s="34" t="s">
        <v>1634</v>
      </c>
      <c r="H71" s="34">
        <v>100</v>
      </c>
      <c r="I71" s="34">
        <v>103</v>
      </c>
    </row>
    <row r="72" spans="1:9" x14ac:dyDescent="0.3">
      <c r="A72" s="34">
        <v>5363</v>
      </c>
      <c r="B72" s="34">
        <v>1</v>
      </c>
      <c r="C72" s="34" t="s">
        <v>1632</v>
      </c>
      <c r="D72" s="34" t="s">
        <v>1653</v>
      </c>
      <c r="E72" s="34">
        <v>0</v>
      </c>
      <c r="F72" s="34">
        <v>0.45</v>
      </c>
      <c r="G72" s="34" t="s">
        <v>1648</v>
      </c>
      <c r="H72" s="34">
        <v>500</v>
      </c>
      <c r="I72" s="34">
        <v>103</v>
      </c>
    </row>
    <row r="73" spans="1:9" x14ac:dyDescent="0.3">
      <c r="A73" s="34">
        <v>5364</v>
      </c>
      <c r="B73" s="34">
        <v>1</v>
      </c>
      <c r="C73" s="34" t="s">
        <v>1632</v>
      </c>
      <c r="D73" s="34" t="s">
        <v>1654</v>
      </c>
      <c r="E73" s="34">
        <v>0</v>
      </c>
      <c r="F73" s="34">
        <v>0.45</v>
      </c>
      <c r="G73" s="34" t="s">
        <v>1648</v>
      </c>
      <c r="H73" s="34">
        <v>500</v>
      </c>
      <c r="I73" s="34">
        <v>103</v>
      </c>
    </row>
    <row r="74" spans="1:9" x14ac:dyDescent="0.3">
      <c r="A74" s="34">
        <v>5365</v>
      </c>
      <c r="B74" s="34">
        <v>1</v>
      </c>
      <c r="C74" s="34" t="s">
        <v>1632</v>
      </c>
      <c r="D74" s="34" t="s">
        <v>1654</v>
      </c>
      <c r="E74" s="34">
        <v>0</v>
      </c>
      <c r="F74" s="34">
        <v>0.3</v>
      </c>
      <c r="G74" s="34" t="s">
        <v>1634</v>
      </c>
      <c r="H74" s="34">
        <v>100</v>
      </c>
      <c r="I74" s="34">
        <v>103</v>
      </c>
    </row>
    <row r="75" spans="1:9" x14ac:dyDescent="0.3">
      <c r="A75" s="34">
        <v>5366</v>
      </c>
      <c r="B75" s="34">
        <v>1</v>
      </c>
      <c r="C75" s="34" t="s">
        <v>1632</v>
      </c>
      <c r="D75" s="34" t="s">
        <v>1655</v>
      </c>
      <c r="E75" s="34">
        <v>0</v>
      </c>
      <c r="F75" s="34">
        <v>0.3</v>
      </c>
      <c r="G75" s="34" t="s">
        <v>1634</v>
      </c>
      <c r="H75" s="34">
        <v>100</v>
      </c>
      <c r="I75" s="34">
        <v>103</v>
      </c>
    </row>
    <row r="76" spans="1:9" x14ac:dyDescent="0.3">
      <c r="A76" s="34">
        <v>5367</v>
      </c>
      <c r="B76" s="34">
        <v>1</v>
      </c>
      <c r="C76" s="34" t="s">
        <v>1632</v>
      </c>
      <c r="D76" s="34" t="s">
        <v>1655</v>
      </c>
      <c r="E76" s="34">
        <v>0</v>
      </c>
      <c r="F76" s="34">
        <v>0.45</v>
      </c>
      <c r="G76" s="34" t="s">
        <v>1648</v>
      </c>
      <c r="H76" s="34">
        <v>500</v>
      </c>
      <c r="I76" s="34">
        <v>103</v>
      </c>
    </row>
    <row r="77" spans="1:9" x14ac:dyDescent="0.3">
      <c r="A77" s="34">
        <v>5368</v>
      </c>
      <c r="B77" s="34">
        <v>1</v>
      </c>
      <c r="C77" s="34" t="s">
        <v>1632</v>
      </c>
      <c r="D77" s="34" t="s">
        <v>1656</v>
      </c>
      <c r="E77" s="34">
        <v>0</v>
      </c>
      <c r="F77" s="34">
        <v>0.3</v>
      </c>
      <c r="G77" s="34" t="s">
        <v>1634</v>
      </c>
      <c r="H77" s="34">
        <v>100</v>
      </c>
      <c r="I77" s="34">
        <v>103</v>
      </c>
    </row>
    <row r="78" spans="1:9" x14ac:dyDescent="0.3">
      <c r="A78" s="34">
        <v>5369</v>
      </c>
      <c r="B78" s="34">
        <v>1</v>
      </c>
      <c r="C78" s="34" t="s">
        <v>1632</v>
      </c>
      <c r="D78" s="34" t="s">
        <v>1657</v>
      </c>
      <c r="E78" s="34">
        <v>0</v>
      </c>
      <c r="F78" s="34">
        <v>0.2</v>
      </c>
      <c r="G78" s="34" t="s">
        <v>1634</v>
      </c>
      <c r="H78" s="34">
        <v>100</v>
      </c>
      <c r="I78" s="34">
        <v>103</v>
      </c>
    </row>
    <row r="79" spans="1:9" x14ac:dyDescent="0.3">
      <c r="A79" s="34">
        <v>5370</v>
      </c>
      <c r="B79" s="34">
        <v>1</v>
      </c>
      <c r="C79" s="34" t="s">
        <v>1632</v>
      </c>
      <c r="D79" s="34" t="s">
        <v>1658</v>
      </c>
      <c r="E79" s="34">
        <v>0</v>
      </c>
      <c r="F79" s="34">
        <v>0.2</v>
      </c>
      <c r="G79" s="34" t="s">
        <v>1634</v>
      </c>
      <c r="H79" s="34">
        <v>100</v>
      </c>
      <c r="I79" s="34">
        <v>103</v>
      </c>
    </row>
    <row r="80" spans="1:9" x14ac:dyDescent="0.3">
      <c r="A80" s="34">
        <v>5371</v>
      </c>
      <c r="B80" s="34">
        <v>1</v>
      </c>
      <c r="C80" s="34" t="s">
        <v>1632</v>
      </c>
      <c r="D80" s="34" t="s">
        <v>1659</v>
      </c>
      <c r="E80" s="34">
        <v>0</v>
      </c>
      <c r="F80" s="34">
        <v>0.2</v>
      </c>
      <c r="G80" s="34" t="s">
        <v>1634</v>
      </c>
      <c r="H80" s="34">
        <v>100</v>
      </c>
      <c r="I80" s="34">
        <v>103</v>
      </c>
    </row>
    <row r="81" spans="1:9" x14ac:dyDescent="0.3">
      <c r="A81" s="34">
        <v>5372</v>
      </c>
      <c r="B81" s="34">
        <v>1</v>
      </c>
      <c r="C81" s="34" t="s">
        <v>1632</v>
      </c>
      <c r="D81" s="34" t="s">
        <v>1660</v>
      </c>
      <c r="E81" s="34">
        <v>0</v>
      </c>
      <c r="F81" s="34">
        <v>0.2</v>
      </c>
      <c r="G81" s="34" t="s">
        <v>1634</v>
      </c>
      <c r="H81" s="34">
        <v>100</v>
      </c>
      <c r="I81" s="34">
        <v>103</v>
      </c>
    </row>
    <row r="82" spans="1:9" x14ac:dyDescent="0.3">
      <c r="A82" s="34">
        <v>5373</v>
      </c>
      <c r="B82" s="34">
        <v>1</v>
      </c>
      <c r="C82" s="34" t="s">
        <v>1632</v>
      </c>
      <c r="D82" s="34" t="s">
        <v>1656</v>
      </c>
      <c r="E82" s="34">
        <v>0</v>
      </c>
      <c r="F82" s="34">
        <v>0.45</v>
      </c>
      <c r="G82" s="34" t="s">
        <v>1648</v>
      </c>
      <c r="H82" s="34">
        <v>500</v>
      </c>
      <c r="I82" s="34">
        <v>103</v>
      </c>
    </row>
    <row r="83" spans="1:9" x14ac:dyDescent="0.3">
      <c r="A83" s="34">
        <v>5374</v>
      </c>
      <c r="B83" s="34">
        <v>1</v>
      </c>
      <c r="C83" s="34" t="s">
        <v>1632</v>
      </c>
      <c r="D83" s="34" t="s">
        <v>1657</v>
      </c>
      <c r="E83" s="34">
        <v>0</v>
      </c>
      <c r="F83" s="34">
        <v>0.35</v>
      </c>
      <c r="G83" s="34" t="s">
        <v>1648</v>
      </c>
      <c r="H83" s="34">
        <v>500</v>
      </c>
      <c r="I83" s="34">
        <v>103</v>
      </c>
    </row>
    <row r="84" spans="1:9" x14ac:dyDescent="0.3">
      <c r="A84" s="34">
        <v>5375</v>
      </c>
      <c r="B84" s="34">
        <v>1</v>
      </c>
      <c r="C84" s="34" t="s">
        <v>1632</v>
      </c>
      <c r="D84" s="34" t="s">
        <v>1658</v>
      </c>
      <c r="E84" s="34">
        <v>0</v>
      </c>
      <c r="F84" s="34">
        <v>0.35</v>
      </c>
      <c r="G84" s="34" t="s">
        <v>1648</v>
      </c>
      <c r="H84" s="34">
        <v>500</v>
      </c>
      <c r="I84" s="34">
        <v>103</v>
      </c>
    </row>
    <row r="85" spans="1:9" x14ac:dyDescent="0.3">
      <c r="A85" s="34">
        <v>5376</v>
      </c>
      <c r="B85" s="34">
        <v>1</v>
      </c>
      <c r="C85" s="34" t="s">
        <v>1632</v>
      </c>
      <c r="D85" s="34" t="s">
        <v>1659</v>
      </c>
      <c r="E85" s="34">
        <v>0</v>
      </c>
      <c r="F85" s="34">
        <v>0.35</v>
      </c>
      <c r="G85" s="34" t="s">
        <v>1648</v>
      </c>
      <c r="H85" s="34">
        <v>500</v>
      </c>
      <c r="I85" s="34">
        <v>103</v>
      </c>
    </row>
    <row r="86" spans="1:9" x14ac:dyDescent="0.3">
      <c r="A86" s="34">
        <v>5377</v>
      </c>
      <c r="B86" s="34">
        <v>1</v>
      </c>
      <c r="C86" s="34" t="s">
        <v>1632</v>
      </c>
      <c r="D86" s="34" t="s">
        <v>1660</v>
      </c>
      <c r="E86" s="34">
        <v>0</v>
      </c>
      <c r="F86" s="34">
        <v>0.35</v>
      </c>
      <c r="G86" s="34" t="s">
        <v>1648</v>
      </c>
      <c r="H86" s="34">
        <v>500</v>
      </c>
      <c r="I86" s="34">
        <v>103</v>
      </c>
    </row>
    <row r="87" spans="1:9" x14ac:dyDescent="0.3">
      <c r="A87" s="34">
        <v>5378</v>
      </c>
      <c r="B87" s="34">
        <v>1</v>
      </c>
      <c r="C87" s="34" t="s">
        <v>1632</v>
      </c>
      <c r="D87" s="34" t="s">
        <v>1661</v>
      </c>
      <c r="E87" s="34">
        <v>0</v>
      </c>
      <c r="F87" s="34">
        <v>0.45</v>
      </c>
      <c r="G87" s="34" t="s">
        <v>1634</v>
      </c>
      <c r="H87" s="34">
        <v>100</v>
      </c>
      <c r="I87" s="34">
        <v>103</v>
      </c>
    </row>
    <row r="88" spans="1:9" x14ac:dyDescent="0.3">
      <c r="A88" s="34">
        <v>5379</v>
      </c>
      <c r="B88" s="34">
        <v>1</v>
      </c>
      <c r="C88" s="34" t="s">
        <v>1632</v>
      </c>
      <c r="D88" s="34" t="s">
        <v>1661</v>
      </c>
      <c r="E88" s="34">
        <v>0</v>
      </c>
      <c r="F88" s="34">
        <v>0.45</v>
      </c>
      <c r="G88" s="34" t="s">
        <v>1648</v>
      </c>
      <c r="H88" s="34">
        <v>500</v>
      </c>
      <c r="I88" s="34">
        <v>103</v>
      </c>
    </row>
    <row r="89" spans="1:9" x14ac:dyDescent="0.3">
      <c r="A89" s="34">
        <v>5380</v>
      </c>
      <c r="B89" s="34">
        <v>1</v>
      </c>
      <c r="C89" s="34" t="s">
        <v>1662</v>
      </c>
      <c r="D89" s="34" t="s">
        <v>130</v>
      </c>
      <c r="E89" s="34">
        <v>0</v>
      </c>
      <c r="F89" s="34">
        <v>0.5</v>
      </c>
      <c r="G89" s="34"/>
      <c r="H89" s="34">
        <v>0</v>
      </c>
      <c r="I89" s="34">
        <v>103</v>
      </c>
    </row>
    <row r="90" spans="1:9" x14ac:dyDescent="0.3">
      <c r="A90" s="34">
        <v>5381</v>
      </c>
      <c r="B90" s="34">
        <v>1</v>
      </c>
      <c r="C90" s="34" t="s">
        <v>1662</v>
      </c>
      <c r="D90" s="34" t="s">
        <v>1624</v>
      </c>
      <c r="E90" s="34">
        <v>0</v>
      </c>
      <c r="F90" s="34">
        <v>0.3</v>
      </c>
      <c r="G90" s="34"/>
      <c r="H90" s="34">
        <v>0</v>
      </c>
      <c r="I90" s="34">
        <v>103</v>
      </c>
    </row>
    <row r="91" spans="1:9" x14ac:dyDescent="0.3">
      <c r="A91" s="34">
        <v>5382</v>
      </c>
      <c r="B91" s="34">
        <v>1</v>
      </c>
      <c r="C91" s="34" t="s">
        <v>1662</v>
      </c>
      <c r="D91" s="34" t="s">
        <v>1625</v>
      </c>
      <c r="E91" s="34">
        <v>0</v>
      </c>
      <c r="F91" s="34">
        <v>0.7</v>
      </c>
      <c r="G91" s="34"/>
      <c r="H91" s="34">
        <v>0</v>
      </c>
      <c r="I91" s="34">
        <v>103</v>
      </c>
    </row>
    <row r="92" spans="1:9" x14ac:dyDescent="0.3">
      <c r="A92" s="34">
        <v>5383</v>
      </c>
      <c r="B92" s="34">
        <v>1</v>
      </c>
      <c r="C92" s="34" t="s">
        <v>1662</v>
      </c>
      <c r="D92" s="34" t="s">
        <v>1627</v>
      </c>
      <c r="E92" s="34">
        <v>0</v>
      </c>
      <c r="F92" s="34">
        <v>0.7</v>
      </c>
      <c r="G92" s="34"/>
      <c r="H92" s="34">
        <v>0</v>
      </c>
      <c r="I92" s="34">
        <v>103</v>
      </c>
    </row>
    <row r="93" spans="1:9" x14ac:dyDescent="0.3">
      <c r="A93" s="34">
        <v>5384</v>
      </c>
      <c r="B93" s="34">
        <v>1</v>
      </c>
      <c r="C93" s="34" t="s">
        <v>1662</v>
      </c>
      <c r="D93" s="34" t="s">
        <v>1626</v>
      </c>
      <c r="E93" s="34">
        <v>0</v>
      </c>
      <c r="F93" s="34">
        <v>0.3</v>
      </c>
      <c r="G93" s="34"/>
      <c r="H93" s="34">
        <v>0</v>
      </c>
      <c r="I93" s="34">
        <v>103</v>
      </c>
    </row>
    <row r="94" spans="1:9" x14ac:dyDescent="0.3">
      <c r="A94" s="34">
        <v>5385</v>
      </c>
      <c r="B94" s="34">
        <v>1</v>
      </c>
      <c r="C94" s="34" t="s">
        <v>1662</v>
      </c>
      <c r="D94" s="34" t="s">
        <v>1629</v>
      </c>
      <c r="E94" s="34">
        <v>0</v>
      </c>
      <c r="F94" s="34">
        <v>0.75</v>
      </c>
      <c r="G94" s="34"/>
      <c r="H94" s="34">
        <v>0</v>
      </c>
      <c r="I94" s="34">
        <v>103</v>
      </c>
    </row>
    <row r="95" spans="1:9" x14ac:dyDescent="0.3">
      <c r="A95" s="34">
        <v>5386</v>
      </c>
      <c r="B95" s="34">
        <v>1</v>
      </c>
      <c r="C95" s="34" t="s">
        <v>1662</v>
      </c>
      <c r="D95" s="34" t="s">
        <v>1623</v>
      </c>
      <c r="E95" s="34">
        <v>0</v>
      </c>
      <c r="F95" s="34">
        <v>0.15</v>
      </c>
      <c r="G95" s="34"/>
      <c r="H95" s="34">
        <v>0</v>
      </c>
      <c r="I95" s="34">
        <v>103</v>
      </c>
    </row>
    <row r="98" spans="1:81" x14ac:dyDescent="0.3">
      <c r="A98" s="134" t="s">
        <v>2</v>
      </c>
      <c r="B98" s="134" t="s">
        <v>3</v>
      </c>
      <c r="C98" s="134" t="s">
        <v>1315</v>
      </c>
      <c r="D98" s="134" t="s">
        <v>1389</v>
      </c>
      <c r="E98" s="134" t="s">
        <v>1390</v>
      </c>
      <c r="F98" s="134" t="s">
        <v>1391</v>
      </c>
      <c r="G98" s="134" t="s">
        <v>1392</v>
      </c>
      <c r="H98" s="134" t="s">
        <v>1393</v>
      </c>
      <c r="I98" s="134" t="s">
        <v>1394</v>
      </c>
      <c r="J98" s="134" t="s">
        <v>1395</v>
      </c>
      <c r="K98" s="134" t="s">
        <v>1396</v>
      </c>
      <c r="L98" s="134" t="s">
        <v>1397</v>
      </c>
      <c r="M98" s="134" t="s">
        <v>1398</v>
      </c>
      <c r="N98" s="134" t="s">
        <v>1399</v>
      </c>
      <c r="O98" s="134" t="s">
        <v>1400</v>
      </c>
      <c r="P98" s="134" t="s">
        <v>1401</v>
      </c>
      <c r="Q98" s="134" t="s">
        <v>1322</v>
      </c>
      <c r="R98" s="134" t="s">
        <v>1402</v>
      </c>
      <c r="S98" s="134" t="s">
        <v>1403</v>
      </c>
      <c r="T98" s="134" t="s">
        <v>1404</v>
      </c>
      <c r="U98" s="134" t="s">
        <v>1405</v>
      </c>
      <c r="V98" s="134" t="s">
        <v>1406</v>
      </c>
      <c r="W98" s="134" t="s">
        <v>1407</v>
      </c>
      <c r="X98" s="134" t="s">
        <v>1408</v>
      </c>
      <c r="Y98" s="134" t="s">
        <v>1409</v>
      </c>
      <c r="Z98" s="134" t="s">
        <v>1410</v>
      </c>
      <c r="AA98" s="134" t="s">
        <v>1411</v>
      </c>
      <c r="AB98" s="134" t="s">
        <v>1412</v>
      </c>
      <c r="AC98" s="134" t="s">
        <v>1413</v>
      </c>
      <c r="AD98" s="134" t="s">
        <v>1414</v>
      </c>
      <c r="AE98" s="134" t="s">
        <v>1415</v>
      </c>
      <c r="AF98" s="134" t="s">
        <v>1416</v>
      </c>
      <c r="AG98" s="134" t="s">
        <v>1417</v>
      </c>
      <c r="AH98" s="134" t="s">
        <v>1418</v>
      </c>
      <c r="AI98" s="134" t="s">
        <v>71</v>
      </c>
      <c r="AJ98" s="134" t="s">
        <v>1419</v>
      </c>
      <c r="AK98" s="134" t="s">
        <v>1420</v>
      </c>
      <c r="AL98" s="134" t="s">
        <v>1421</v>
      </c>
      <c r="AM98" s="134" t="s">
        <v>1422</v>
      </c>
      <c r="AN98" s="134" t="s">
        <v>1423</v>
      </c>
      <c r="AO98" s="134" t="s">
        <v>1424</v>
      </c>
      <c r="AP98" s="134" t="s">
        <v>1425</v>
      </c>
      <c r="AQ98" s="134" t="s">
        <v>1318</v>
      </c>
      <c r="AR98" s="134" t="s">
        <v>1426</v>
      </c>
      <c r="AS98" s="134" t="s">
        <v>1427</v>
      </c>
      <c r="AT98" s="134" t="s">
        <v>1428</v>
      </c>
      <c r="AU98" s="134" t="s">
        <v>1429</v>
      </c>
      <c r="AV98" s="134" t="s">
        <v>1430</v>
      </c>
      <c r="AW98" s="134" t="s">
        <v>1431</v>
      </c>
      <c r="AX98" s="134" t="s">
        <v>1432</v>
      </c>
      <c r="AY98" s="134" t="s">
        <v>1433</v>
      </c>
      <c r="AZ98" s="134" t="s">
        <v>1434</v>
      </c>
      <c r="BA98" s="134" t="s">
        <v>1435</v>
      </c>
      <c r="BB98" s="134" t="s">
        <v>1436</v>
      </c>
      <c r="BC98" s="134" t="s">
        <v>1437</v>
      </c>
      <c r="BD98" s="134" t="s">
        <v>1438</v>
      </c>
      <c r="BE98" s="134" t="s">
        <v>1439</v>
      </c>
      <c r="BF98" s="134" t="s">
        <v>0</v>
      </c>
      <c r="BG98" s="134" t="s">
        <v>1440</v>
      </c>
      <c r="BH98" s="134" t="s">
        <v>1441</v>
      </c>
      <c r="BI98" s="134" t="s">
        <v>14</v>
      </c>
      <c r="BJ98" s="134" t="s">
        <v>13</v>
      </c>
      <c r="BK98" s="134" t="s">
        <v>1316</v>
      </c>
      <c r="BL98" s="134" t="s">
        <v>35</v>
      </c>
      <c r="BM98" s="134" t="s">
        <v>1442</v>
      </c>
      <c r="BN98" s="134" t="s">
        <v>1443</v>
      </c>
      <c r="BO98" s="134" t="s">
        <v>1444</v>
      </c>
      <c r="BP98" s="134" t="s">
        <v>1445</v>
      </c>
      <c r="BQ98" s="134" t="s">
        <v>1446</v>
      </c>
      <c r="BR98" s="134" t="s">
        <v>1447</v>
      </c>
      <c r="BS98" s="134" t="s">
        <v>1448</v>
      </c>
      <c r="BT98" s="134" t="s">
        <v>1449</v>
      </c>
      <c r="BU98" s="134" t="s">
        <v>1450</v>
      </c>
      <c r="BV98" s="134" t="s">
        <v>1321</v>
      </c>
      <c r="BW98" s="134" t="s">
        <v>1451</v>
      </c>
      <c r="BX98" s="134" t="s">
        <v>1452</v>
      </c>
      <c r="BY98" s="134" t="s">
        <v>1317</v>
      </c>
      <c r="BZ98" s="134" t="s">
        <v>1320</v>
      </c>
      <c r="CA98" s="134" t="s">
        <v>1453</v>
      </c>
      <c r="CB98" s="134" t="s">
        <v>1323</v>
      </c>
      <c r="CC98" s="134" t="s">
        <v>1324</v>
      </c>
    </row>
    <row r="99" spans="1:81" x14ac:dyDescent="0.3">
      <c r="A99" s="34" t="s">
        <v>1563</v>
      </c>
      <c r="B99" s="34" t="s">
        <v>711</v>
      </c>
      <c r="C99" s="34" t="s">
        <v>1327</v>
      </c>
      <c r="D99" s="34"/>
      <c r="E99" s="153">
        <v>45405</v>
      </c>
      <c r="F99" s="153">
        <v>47212</v>
      </c>
      <c r="G99" s="34"/>
      <c r="H99" s="34" t="s">
        <v>1325</v>
      </c>
      <c r="I99" s="34">
        <v>0</v>
      </c>
      <c r="J99" s="34">
        <v>150000000</v>
      </c>
      <c r="K99" s="34">
        <v>9324720</v>
      </c>
      <c r="L99" s="34">
        <v>250000.5</v>
      </c>
      <c r="M99" s="34">
        <v>250000.5</v>
      </c>
      <c r="N99" s="34">
        <v>0</v>
      </c>
      <c r="O99" s="34">
        <v>101</v>
      </c>
      <c r="P99" s="34">
        <v>1.6666700000000001E-3</v>
      </c>
      <c r="Q99" s="34">
        <v>15541.2310824</v>
      </c>
      <c r="R99" s="34">
        <v>252500.505</v>
      </c>
      <c r="S99" s="137">
        <v>3008.2233801000002</v>
      </c>
      <c r="T99" s="34">
        <v>29874.235617040002</v>
      </c>
      <c r="U99" s="34">
        <v>99597.387295659995</v>
      </c>
      <c r="V99" s="34">
        <v>333334</v>
      </c>
      <c r="W99" s="34">
        <v>8.3333500000000005E-2</v>
      </c>
      <c r="X99" s="34">
        <v>0</v>
      </c>
      <c r="Y99" s="34" t="s">
        <v>1663</v>
      </c>
      <c r="Z99" s="34">
        <v>0</v>
      </c>
      <c r="AA99" s="34">
        <v>0</v>
      </c>
      <c r="AB99" s="34">
        <v>0</v>
      </c>
      <c r="AC99" s="34">
        <v>1</v>
      </c>
      <c r="AD99" s="34" t="s">
        <v>123</v>
      </c>
      <c r="AE99" s="34" t="s">
        <v>123</v>
      </c>
      <c r="AF99" s="34" t="s">
        <v>714</v>
      </c>
      <c r="AG99" s="34" t="s">
        <v>123</v>
      </c>
      <c r="AH99" s="34" t="s">
        <v>123</v>
      </c>
      <c r="AI99" s="34">
        <v>0</v>
      </c>
      <c r="AJ99" s="34" t="s">
        <v>123</v>
      </c>
      <c r="AK99" s="34">
        <v>0.19356403</v>
      </c>
      <c r="AL99" s="34">
        <v>73333.48</v>
      </c>
      <c r="AM99" s="34">
        <v>12533.007702299999</v>
      </c>
      <c r="AN99" s="34">
        <v>0.17090431</v>
      </c>
      <c r="AO99" s="34">
        <v>0.80643597</v>
      </c>
      <c r="AP99" s="34">
        <v>0</v>
      </c>
      <c r="AQ99" s="34">
        <v>1009</v>
      </c>
      <c r="AR99" s="34">
        <v>5.6722120000000001E-2</v>
      </c>
      <c r="AS99" s="34"/>
      <c r="AT99" s="34">
        <v>33333.4</v>
      </c>
      <c r="AU99" s="34">
        <v>103</v>
      </c>
      <c r="AV99" s="34" t="s">
        <v>1564</v>
      </c>
      <c r="AW99" s="34">
        <v>0</v>
      </c>
      <c r="AX99" s="34">
        <v>1327</v>
      </c>
      <c r="AY99" s="34" t="s">
        <v>1329</v>
      </c>
      <c r="AZ99" s="153">
        <v>45749</v>
      </c>
      <c r="BA99" s="153">
        <v>45749</v>
      </c>
      <c r="BB99" s="34" t="s">
        <v>123</v>
      </c>
      <c r="BC99" s="34" t="s">
        <v>123</v>
      </c>
      <c r="BD99" s="34" t="s">
        <v>123</v>
      </c>
      <c r="BE99" s="34" t="s">
        <v>139</v>
      </c>
      <c r="BF99" s="34">
        <v>151</v>
      </c>
      <c r="BG99" s="34">
        <v>0</v>
      </c>
      <c r="BH99" s="34">
        <v>2.3430280000000001E-2</v>
      </c>
      <c r="BI99" s="34" t="s">
        <v>150</v>
      </c>
      <c r="BJ99" s="34" t="s">
        <v>1328</v>
      </c>
      <c r="BK99" s="34">
        <v>2025</v>
      </c>
      <c r="BL99" s="34" t="s">
        <v>1456</v>
      </c>
      <c r="BM99" s="34"/>
      <c r="BN99" s="34">
        <v>0</v>
      </c>
      <c r="BO99" s="34" t="s">
        <v>1330</v>
      </c>
      <c r="BP99" s="34">
        <v>6.2164799999999999E-2</v>
      </c>
      <c r="BQ99" s="34" t="s">
        <v>1326</v>
      </c>
      <c r="BR99" s="153">
        <v>45749</v>
      </c>
      <c r="BS99" s="34">
        <v>0</v>
      </c>
      <c r="BT99" s="34" t="s">
        <v>123</v>
      </c>
      <c r="BU99" s="34">
        <v>0</v>
      </c>
      <c r="BV99" s="34">
        <v>250000</v>
      </c>
      <c r="BW99" s="34">
        <v>0</v>
      </c>
      <c r="BX99" s="34">
        <v>151</v>
      </c>
      <c r="BY99" s="34">
        <v>0</v>
      </c>
      <c r="BZ99" s="34">
        <v>1</v>
      </c>
      <c r="CA99" s="34">
        <v>0.98799999999999999</v>
      </c>
      <c r="CB99" s="34">
        <v>8.0999999999999996E-3</v>
      </c>
      <c r="CC99" s="34">
        <v>7.7000000000000002E-3</v>
      </c>
    </row>
    <row r="100" spans="1:81" x14ac:dyDescent="0.3">
      <c r="A100" s="34" t="s">
        <v>1565</v>
      </c>
      <c r="B100" s="34" t="s">
        <v>1120</v>
      </c>
      <c r="C100" s="34" t="s">
        <v>1331</v>
      </c>
      <c r="D100" s="34"/>
      <c r="E100" s="153">
        <v>45686</v>
      </c>
      <c r="F100" s="153">
        <v>46850</v>
      </c>
      <c r="G100" s="34"/>
      <c r="H100" s="34" t="s">
        <v>1325</v>
      </c>
      <c r="I100" s="34">
        <v>5000000</v>
      </c>
      <c r="J100" s="34">
        <v>5000000</v>
      </c>
      <c r="K100" s="34">
        <v>3142943.7</v>
      </c>
      <c r="L100" s="34">
        <v>249999.9</v>
      </c>
      <c r="M100" s="34">
        <v>249999.9</v>
      </c>
      <c r="N100" s="34">
        <v>0</v>
      </c>
      <c r="O100" s="34">
        <v>100.2</v>
      </c>
      <c r="P100" s="34">
        <v>8.3333299999999999E-3</v>
      </c>
      <c r="Q100" s="34">
        <v>26191.18702352</v>
      </c>
      <c r="R100" s="34">
        <v>250499.89980000001</v>
      </c>
      <c r="S100" s="137">
        <v>22496.904567549998</v>
      </c>
      <c r="T100" s="34">
        <v>125280.18023160999</v>
      </c>
      <c r="U100" s="34">
        <v>833332.99166666996</v>
      </c>
      <c r="V100" s="34">
        <v>833332.99166666996</v>
      </c>
      <c r="W100" s="34">
        <v>8.3333299999999999E-2</v>
      </c>
      <c r="X100" s="34">
        <v>0</v>
      </c>
      <c r="Y100" s="34" t="s">
        <v>1663</v>
      </c>
      <c r="Z100" s="34">
        <v>0</v>
      </c>
      <c r="AA100" s="34">
        <v>0</v>
      </c>
      <c r="AB100" s="34">
        <v>0</v>
      </c>
      <c r="AC100" s="34">
        <v>1</v>
      </c>
      <c r="AD100" s="34" t="s">
        <v>123</v>
      </c>
      <c r="AE100" s="34" t="s">
        <v>123</v>
      </c>
      <c r="AF100" s="34" t="s">
        <v>1121</v>
      </c>
      <c r="AG100" s="34" t="s">
        <v>123</v>
      </c>
      <c r="AH100" s="34" t="s">
        <v>123</v>
      </c>
      <c r="AI100" s="34">
        <v>0</v>
      </c>
      <c r="AJ100" s="34" t="s">
        <v>123</v>
      </c>
      <c r="AK100" s="34">
        <v>0.85894941000000002</v>
      </c>
      <c r="AL100" s="34">
        <v>810870.64952900005</v>
      </c>
      <c r="AM100" s="34">
        <v>3694.2824559699998</v>
      </c>
      <c r="AN100" s="34">
        <v>4.5559499999999996E-3</v>
      </c>
      <c r="AO100" s="34">
        <v>0.14105059</v>
      </c>
      <c r="AP100" s="34">
        <v>0</v>
      </c>
      <c r="AQ100" s="34">
        <v>647</v>
      </c>
      <c r="AR100" s="34">
        <v>0.10367698</v>
      </c>
      <c r="AS100" s="34"/>
      <c r="AT100" s="34">
        <v>833332.99166666996</v>
      </c>
      <c r="AU100" s="34">
        <v>103</v>
      </c>
      <c r="AV100" s="34" t="s">
        <v>1566</v>
      </c>
      <c r="AW100" s="34">
        <v>0</v>
      </c>
      <c r="AX100" s="34">
        <v>1328</v>
      </c>
      <c r="AY100" s="34" t="s">
        <v>1333</v>
      </c>
      <c r="AZ100" s="153">
        <v>45751</v>
      </c>
      <c r="BA100" s="153">
        <v>45751</v>
      </c>
      <c r="BB100" s="34" t="s">
        <v>123</v>
      </c>
      <c r="BC100" s="34" t="s">
        <v>123</v>
      </c>
      <c r="BD100" s="34" t="s">
        <v>123</v>
      </c>
      <c r="BE100" s="34" t="s">
        <v>1334</v>
      </c>
      <c r="BF100" s="34">
        <v>268</v>
      </c>
      <c r="BG100" s="34">
        <v>0</v>
      </c>
      <c r="BH100" s="34">
        <v>6.6102750000000002E-2</v>
      </c>
      <c r="BI100" s="34" t="s">
        <v>159</v>
      </c>
      <c r="BJ100" s="34" t="s">
        <v>1332</v>
      </c>
      <c r="BK100" s="34">
        <v>2025</v>
      </c>
      <c r="BL100" s="34" t="s">
        <v>1456</v>
      </c>
      <c r="BM100" s="34"/>
      <c r="BN100" s="34">
        <v>0</v>
      </c>
      <c r="BO100" s="34" t="s">
        <v>1330</v>
      </c>
      <c r="BP100" s="34">
        <v>0.10476479</v>
      </c>
      <c r="BQ100" s="34" t="s">
        <v>1326</v>
      </c>
      <c r="BR100" s="153">
        <v>45751</v>
      </c>
      <c r="BS100" s="34">
        <v>0</v>
      </c>
      <c r="BT100" s="34" t="s">
        <v>123</v>
      </c>
      <c r="BU100" s="34">
        <v>0</v>
      </c>
      <c r="BV100" s="34">
        <v>250000</v>
      </c>
      <c r="BW100" s="34">
        <v>0</v>
      </c>
      <c r="BX100" s="34">
        <v>268</v>
      </c>
      <c r="BY100" s="34">
        <v>0</v>
      </c>
      <c r="BZ100" s="34">
        <v>1</v>
      </c>
      <c r="CA100" s="34">
        <v>0.96140000000000003</v>
      </c>
      <c r="CB100" s="34">
        <v>3.3399999999999999E-2</v>
      </c>
      <c r="CC100" s="34">
        <v>3.1300000000000001E-2</v>
      </c>
    </row>
    <row r="101" spans="1:81" x14ac:dyDescent="0.3">
      <c r="A101" s="34" t="s">
        <v>1567</v>
      </c>
      <c r="B101" s="34" t="s">
        <v>668</v>
      </c>
      <c r="C101" s="34" t="s">
        <v>1335</v>
      </c>
      <c r="D101" s="34"/>
      <c r="E101" s="153">
        <v>45252</v>
      </c>
      <c r="F101" s="153">
        <v>46395</v>
      </c>
      <c r="G101" s="34"/>
      <c r="H101" s="34" t="s">
        <v>1325</v>
      </c>
      <c r="I101" s="34">
        <v>0</v>
      </c>
      <c r="J101" s="34">
        <v>600000000</v>
      </c>
      <c r="K101" s="34">
        <v>18120000</v>
      </c>
      <c r="L101" s="34">
        <v>250000</v>
      </c>
      <c r="M101" s="34">
        <v>250000</v>
      </c>
      <c r="N101" s="34">
        <v>0</v>
      </c>
      <c r="O101" s="34">
        <v>102.85</v>
      </c>
      <c r="P101" s="34">
        <v>1.25E-3</v>
      </c>
      <c r="Q101" s="34">
        <v>22650</v>
      </c>
      <c r="R101" s="34">
        <v>257125</v>
      </c>
      <c r="S101" s="137">
        <v>3755.7019891700002</v>
      </c>
      <c r="T101" s="34">
        <v>10541.39055928</v>
      </c>
      <c r="U101" s="34">
        <v>37500.001875000002</v>
      </c>
      <c r="V101" s="34">
        <v>37500.001875000002</v>
      </c>
      <c r="W101" s="34">
        <v>8.3333329999999997E-2</v>
      </c>
      <c r="X101" s="34">
        <v>0</v>
      </c>
      <c r="Y101" s="34" t="s">
        <v>1663</v>
      </c>
      <c r="Z101" s="34">
        <v>0</v>
      </c>
      <c r="AA101" s="34">
        <v>0</v>
      </c>
      <c r="AB101" s="34">
        <v>0</v>
      </c>
      <c r="AC101" s="34">
        <v>1</v>
      </c>
      <c r="AD101" s="34" t="s">
        <v>123</v>
      </c>
      <c r="AE101" s="34" t="s">
        <v>123</v>
      </c>
      <c r="AF101" s="34" t="s">
        <v>671</v>
      </c>
      <c r="AG101" s="34" t="s">
        <v>123</v>
      </c>
      <c r="AH101" s="34" t="s">
        <v>123</v>
      </c>
      <c r="AI101" s="34">
        <v>0</v>
      </c>
      <c r="AJ101" s="34" t="s">
        <v>123</v>
      </c>
      <c r="AK101" s="34">
        <v>0.16581466</v>
      </c>
      <c r="AL101" s="34">
        <v>36091.802810759997</v>
      </c>
      <c r="AM101" s="34">
        <v>18894.29801083</v>
      </c>
      <c r="AN101" s="34">
        <v>0.52350662999999997</v>
      </c>
      <c r="AO101" s="34">
        <v>0.83418534</v>
      </c>
      <c r="AP101" s="34">
        <v>0</v>
      </c>
      <c r="AQ101" s="34">
        <v>192</v>
      </c>
      <c r="AR101" s="34">
        <v>7.6703099999999996E-2</v>
      </c>
      <c r="AS101" s="34"/>
      <c r="AT101" s="34">
        <v>37500.001875000002</v>
      </c>
      <c r="AU101" s="34">
        <v>103</v>
      </c>
      <c r="AV101" s="34" t="s">
        <v>1568</v>
      </c>
      <c r="AW101" s="34">
        <v>0</v>
      </c>
      <c r="AX101" s="34">
        <v>1329</v>
      </c>
      <c r="AY101" s="34" t="s">
        <v>1333</v>
      </c>
      <c r="AZ101" s="153">
        <v>45751</v>
      </c>
      <c r="BA101" s="153">
        <v>45751</v>
      </c>
      <c r="BB101" s="34" t="s">
        <v>123</v>
      </c>
      <c r="BC101" s="34" t="s">
        <v>123</v>
      </c>
      <c r="BD101" s="34" t="s">
        <v>123</v>
      </c>
      <c r="BE101" s="34" t="s">
        <v>139</v>
      </c>
      <c r="BF101" s="34">
        <v>138</v>
      </c>
      <c r="BG101" s="34">
        <v>0</v>
      </c>
      <c r="BH101" s="34">
        <v>5.2493049999999999E-2</v>
      </c>
      <c r="BI101" s="34" t="s">
        <v>133</v>
      </c>
      <c r="BJ101" s="34" t="s">
        <v>1336</v>
      </c>
      <c r="BK101" s="34">
        <v>2025</v>
      </c>
      <c r="BL101" s="34" t="s">
        <v>1456</v>
      </c>
      <c r="BM101" s="34"/>
      <c r="BN101" s="34">
        <v>0</v>
      </c>
      <c r="BO101" s="34" t="s">
        <v>1330</v>
      </c>
      <c r="BP101" s="34">
        <v>9.06E-2</v>
      </c>
      <c r="BQ101" s="34" t="s">
        <v>1326</v>
      </c>
      <c r="BR101" s="153">
        <v>45751</v>
      </c>
      <c r="BS101" s="34">
        <v>0</v>
      </c>
      <c r="BT101" s="34" t="s">
        <v>123</v>
      </c>
      <c r="BU101" s="34">
        <v>0</v>
      </c>
      <c r="BV101" s="34">
        <v>250000</v>
      </c>
      <c r="BW101" s="34">
        <v>0</v>
      </c>
      <c r="BX101" s="34">
        <v>138</v>
      </c>
      <c r="BY101" s="34">
        <v>0</v>
      </c>
      <c r="BZ101" s="34">
        <v>1</v>
      </c>
      <c r="CA101" s="34">
        <v>0.90849999999999997</v>
      </c>
      <c r="CB101" s="34">
        <v>2.8000000000000001E-2</v>
      </c>
      <c r="CC101" s="34">
        <v>1.6E-2</v>
      </c>
    </row>
    <row r="102" spans="1:81" x14ac:dyDescent="0.3">
      <c r="A102" s="34" t="s">
        <v>1569</v>
      </c>
      <c r="B102" s="34" t="s">
        <v>856</v>
      </c>
      <c r="C102" s="34" t="s">
        <v>1337</v>
      </c>
      <c r="D102" s="34"/>
      <c r="E102" s="153">
        <v>44650</v>
      </c>
      <c r="F102" s="153">
        <v>46119</v>
      </c>
      <c r="G102" s="34"/>
      <c r="H102" s="34" t="s">
        <v>1325</v>
      </c>
      <c r="I102" s="34">
        <v>0</v>
      </c>
      <c r="J102" s="34">
        <v>100000000</v>
      </c>
      <c r="K102" s="34">
        <v>7992000</v>
      </c>
      <c r="L102" s="34">
        <v>249999.6</v>
      </c>
      <c r="M102" s="34">
        <v>249999.6</v>
      </c>
      <c r="N102" s="34">
        <v>0</v>
      </c>
      <c r="O102" s="34">
        <v>101</v>
      </c>
      <c r="P102" s="34">
        <v>2.08333E-3</v>
      </c>
      <c r="Q102" s="34">
        <v>16649.97336</v>
      </c>
      <c r="R102" s="34">
        <v>252499.59599999999</v>
      </c>
      <c r="S102" s="137">
        <v>943.90852725000002</v>
      </c>
      <c r="T102" s="34">
        <v>11702.408490579999</v>
      </c>
      <c r="U102" s="34">
        <v>0</v>
      </c>
      <c r="V102" s="34">
        <v>156249.75</v>
      </c>
      <c r="W102" s="34">
        <v>8.3333199999999996E-2</v>
      </c>
      <c r="X102" s="34">
        <v>0</v>
      </c>
      <c r="Y102" s="34" t="s">
        <v>1663</v>
      </c>
      <c r="Z102" s="34">
        <v>0</v>
      </c>
      <c r="AA102" s="34">
        <v>0</v>
      </c>
      <c r="AB102" s="34">
        <v>0</v>
      </c>
      <c r="AC102" s="34">
        <v>1</v>
      </c>
      <c r="AD102" s="34" t="s">
        <v>123</v>
      </c>
      <c r="AE102" s="34" t="s">
        <v>123</v>
      </c>
      <c r="AF102" s="34" t="s">
        <v>858</v>
      </c>
      <c r="AG102" s="34" t="s">
        <v>123</v>
      </c>
      <c r="AH102" s="34" t="s">
        <v>123</v>
      </c>
      <c r="AI102" s="34">
        <v>0</v>
      </c>
      <c r="AJ102" s="34" t="s">
        <v>123</v>
      </c>
      <c r="AK102" s="34">
        <v>5.6691289999999998E-2</v>
      </c>
      <c r="AL102" s="34">
        <v>34374.945</v>
      </c>
      <c r="AM102" s="34">
        <v>15706.06483275</v>
      </c>
      <c r="AN102" s="34">
        <v>0.45690444000000002</v>
      </c>
      <c r="AO102" s="34">
        <v>0.94330871000000005</v>
      </c>
      <c r="AP102" s="34">
        <v>0</v>
      </c>
      <c r="AQ102" s="34">
        <v>-84</v>
      </c>
      <c r="AR102" s="34">
        <v>5.962858E-2</v>
      </c>
      <c r="AS102" s="34"/>
      <c r="AT102" s="34">
        <v>15624.975</v>
      </c>
      <c r="AU102" s="34">
        <v>103</v>
      </c>
      <c r="AV102" s="34" t="s">
        <v>1570</v>
      </c>
      <c r="AW102" s="34">
        <v>0</v>
      </c>
      <c r="AX102" s="34">
        <v>1330</v>
      </c>
      <c r="AY102" s="34" t="s">
        <v>1333</v>
      </c>
      <c r="AZ102" s="153">
        <v>45751</v>
      </c>
      <c r="BA102" s="153">
        <v>45751</v>
      </c>
      <c r="BB102" s="34" t="s">
        <v>123</v>
      </c>
      <c r="BC102" s="34" t="s">
        <v>123</v>
      </c>
      <c r="BD102" s="34" t="s">
        <v>123</v>
      </c>
      <c r="BE102" s="34" t="s">
        <v>139</v>
      </c>
      <c r="BF102" s="34">
        <v>196</v>
      </c>
      <c r="BG102" s="34">
        <v>0</v>
      </c>
      <c r="BH102" s="34">
        <v>2.8000799999999999E-2</v>
      </c>
      <c r="BI102" s="34" t="s">
        <v>167</v>
      </c>
      <c r="BJ102" s="34" t="s">
        <v>1338</v>
      </c>
      <c r="BK102" s="34">
        <v>2025</v>
      </c>
      <c r="BL102" s="34" t="s">
        <v>1456</v>
      </c>
      <c r="BM102" s="34"/>
      <c r="BN102" s="34">
        <v>0</v>
      </c>
      <c r="BO102" s="34" t="s">
        <v>1330</v>
      </c>
      <c r="BP102" s="34">
        <v>6.6600000000000006E-2</v>
      </c>
      <c r="BQ102" s="34" t="s">
        <v>1326</v>
      </c>
      <c r="BR102" s="153">
        <v>45751</v>
      </c>
      <c r="BS102" s="34">
        <v>0</v>
      </c>
      <c r="BT102" s="34" t="s">
        <v>123</v>
      </c>
      <c r="BU102" s="34">
        <v>0</v>
      </c>
      <c r="BV102" s="34">
        <v>250000</v>
      </c>
      <c r="BW102" s="34">
        <v>0</v>
      </c>
      <c r="BX102" s="34">
        <v>196</v>
      </c>
      <c r="BY102" s="34">
        <v>0</v>
      </c>
      <c r="BZ102" s="34">
        <v>1</v>
      </c>
      <c r="CA102" s="34">
        <v>0.9929</v>
      </c>
      <c r="CB102" s="34">
        <v>1.5900000000000001E-2</v>
      </c>
      <c r="CC102" s="34">
        <v>0</v>
      </c>
    </row>
    <row r="103" spans="1:81" x14ac:dyDescent="0.3">
      <c r="A103" s="34" t="s">
        <v>1454</v>
      </c>
      <c r="B103" s="34" t="s">
        <v>1028</v>
      </c>
      <c r="C103" s="34" t="s">
        <v>1339</v>
      </c>
      <c r="D103" s="34"/>
      <c r="E103" s="153">
        <v>45267</v>
      </c>
      <c r="F103" s="153">
        <v>46363</v>
      </c>
      <c r="G103" s="34"/>
      <c r="H103" s="34" t="s">
        <v>1325</v>
      </c>
      <c r="I103" s="34">
        <v>0</v>
      </c>
      <c r="J103" s="34">
        <v>1000000000</v>
      </c>
      <c r="K103" s="34">
        <v>27960000</v>
      </c>
      <c r="L103" s="34">
        <v>249999</v>
      </c>
      <c r="M103" s="34">
        <v>249999</v>
      </c>
      <c r="N103" s="34">
        <v>0</v>
      </c>
      <c r="O103" s="34">
        <v>103.95</v>
      </c>
      <c r="P103" s="34">
        <v>8.3332999999999996E-4</v>
      </c>
      <c r="Q103" s="34">
        <v>23299.906800000001</v>
      </c>
      <c r="R103" s="34">
        <v>259873.96049999999</v>
      </c>
      <c r="S103" s="137">
        <v>1086.6179498700001</v>
      </c>
      <c r="T103" s="34">
        <v>6533.8996998100001</v>
      </c>
      <c r="U103" s="34">
        <v>41666.499583340003</v>
      </c>
      <c r="V103" s="34">
        <v>41666.499583340003</v>
      </c>
      <c r="W103" s="34">
        <v>8.3333000000000004E-2</v>
      </c>
      <c r="X103" s="34">
        <v>0</v>
      </c>
      <c r="Y103" s="34" t="s">
        <v>1663</v>
      </c>
      <c r="Z103" s="34">
        <v>0</v>
      </c>
      <c r="AA103" s="34">
        <v>0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1029</v>
      </c>
      <c r="AG103" s="34" t="s">
        <v>123</v>
      </c>
      <c r="AH103" s="34" t="s">
        <v>123</v>
      </c>
      <c r="AI103" s="34">
        <v>0</v>
      </c>
      <c r="AJ103" s="34" t="s">
        <v>123</v>
      </c>
      <c r="AK103" s="34">
        <v>4.6636150000000001E-2</v>
      </c>
      <c r="AL103" s="34">
        <v>21614.526075500002</v>
      </c>
      <c r="AM103" s="34">
        <v>22213.28885013</v>
      </c>
      <c r="AN103" s="34">
        <v>1.02770187</v>
      </c>
      <c r="AO103" s="34">
        <v>0.95336385000000001</v>
      </c>
      <c r="AP103" s="34">
        <v>0</v>
      </c>
      <c r="AQ103" s="34">
        <v>160</v>
      </c>
      <c r="AR103" s="34">
        <v>7.1253140000000006E-2</v>
      </c>
      <c r="AS103" s="34"/>
      <c r="AT103" s="34">
        <v>41666.499583340003</v>
      </c>
      <c r="AU103" s="34">
        <v>103</v>
      </c>
      <c r="AV103" s="34" t="s">
        <v>1455</v>
      </c>
      <c r="AW103" s="34">
        <v>0</v>
      </c>
      <c r="AX103" s="34">
        <v>1331</v>
      </c>
      <c r="AY103" s="34" t="s">
        <v>1329</v>
      </c>
      <c r="AZ103" s="153">
        <v>45751</v>
      </c>
      <c r="BA103" s="153">
        <v>45751</v>
      </c>
      <c r="BB103" s="34" t="s">
        <v>123</v>
      </c>
      <c r="BC103" s="34" t="s">
        <v>123</v>
      </c>
      <c r="BD103" s="34" t="s">
        <v>123</v>
      </c>
      <c r="BE103" s="34" t="s">
        <v>139</v>
      </c>
      <c r="BF103" s="34">
        <v>243</v>
      </c>
      <c r="BG103" s="34">
        <v>0</v>
      </c>
      <c r="BH103" s="34">
        <v>5.500062E-2</v>
      </c>
      <c r="BI103" s="34" t="s">
        <v>528</v>
      </c>
      <c r="BJ103" s="34" t="s">
        <v>1340</v>
      </c>
      <c r="BK103" s="34">
        <v>2024</v>
      </c>
      <c r="BL103" s="34" t="s">
        <v>1456</v>
      </c>
      <c r="BM103" s="34"/>
      <c r="BN103" s="34">
        <v>0</v>
      </c>
      <c r="BO103" s="34" t="s">
        <v>1330</v>
      </c>
      <c r="BP103" s="34">
        <v>9.3200000000000005E-2</v>
      </c>
      <c r="BQ103" s="34" t="s">
        <v>1326</v>
      </c>
      <c r="BR103" s="153">
        <v>45751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243</v>
      </c>
      <c r="BY103" s="34">
        <v>0</v>
      </c>
      <c r="BZ103" s="34">
        <v>1</v>
      </c>
      <c r="CA103" s="34">
        <v>0.97389999999999999</v>
      </c>
      <c r="CB103" s="34">
        <v>8.5000000000000006E-3</v>
      </c>
      <c r="CC103" s="34">
        <v>7.7000000000000002E-3</v>
      </c>
    </row>
    <row r="104" spans="1:81" x14ac:dyDescent="0.3">
      <c r="A104" s="34" t="s">
        <v>1457</v>
      </c>
      <c r="B104" s="34" t="s">
        <v>625</v>
      </c>
      <c r="C104" s="34" t="s">
        <v>1341</v>
      </c>
      <c r="D104" s="34"/>
      <c r="E104" s="153">
        <v>45693</v>
      </c>
      <c r="F104" s="153">
        <v>46820</v>
      </c>
      <c r="G104" s="34"/>
      <c r="H104" s="34" t="s">
        <v>1325</v>
      </c>
      <c r="I104" s="34">
        <v>0</v>
      </c>
      <c r="J104" s="34">
        <v>300000000</v>
      </c>
      <c r="K104" s="34">
        <v>22052142</v>
      </c>
      <c r="L104" s="34">
        <v>249999</v>
      </c>
      <c r="M104" s="34">
        <v>249999</v>
      </c>
      <c r="N104" s="34">
        <v>0</v>
      </c>
      <c r="O104" s="34">
        <v>100.25</v>
      </c>
      <c r="P104" s="34">
        <v>8.3332999999999996E-4</v>
      </c>
      <c r="Q104" s="34">
        <v>18376.711492859999</v>
      </c>
      <c r="R104" s="34">
        <v>250623.9975</v>
      </c>
      <c r="S104" s="137">
        <v>2588.7476928800002</v>
      </c>
      <c r="T104" s="34">
        <v>17498.523027079998</v>
      </c>
      <c r="U104" s="34">
        <v>124999.5</v>
      </c>
      <c r="V104" s="34">
        <v>124999.5</v>
      </c>
      <c r="W104" s="34">
        <v>8.3333000000000004E-2</v>
      </c>
      <c r="X104" s="34">
        <v>0</v>
      </c>
      <c r="Y104" s="34" t="s">
        <v>1663</v>
      </c>
      <c r="Z104" s="34">
        <v>0</v>
      </c>
      <c r="AA104" s="34">
        <v>0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626</v>
      </c>
      <c r="AG104" s="34" t="s">
        <v>123</v>
      </c>
      <c r="AH104" s="34" t="s">
        <v>123</v>
      </c>
      <c r="AI104" s="34">
        <v>0</v>
      </c>
      <c r="AJ104" s="34" t="s">
        <v>123</v>
      </c>
      <c r="AK104" s="34">
        <v>0.14087110999999999</v>
      </c>
      <c r="AL104" s="34">
        <v>61303.833941409997</v>
      </c>
      <c r="AM104" s="34">
        <v>15787.96379998</v>
      </c>
      <c r="AN104" s="34">
        <v>0.25753631999999999</v>
      </c>
      <c r="AO104" s="34">
        <v>0.85912889000000003</v>
      </c>
      <c r="AP104" s="34">
        <v>0</v>
      </c>
      <c r="AQ104" s="34">
        <v>617</v>
      </c>
      <c r="AR104" s="34">
        <v>7.558753E-2</v>
      </c>
      <c r="AS104" s="34"/>
      <c r="AT104" s="34">
        <v>113499.13040798</v>
      </c>
      <c r="AU104" s="34">
        <v>103</v>
      </c>
      <c r="AV104" s="34" t="s">
        <v>1458</v>
      </c>
      <c r="AW104" s="34">
        <v>0</v>
      </c>
      <c r="AX104" s="34">
        <v>1332</v>
      </c>
      <c r="AY104" s="34" t="s">
        <v>1333</v>
      </c>
      <c r="AZ104" s="153">
        <v>45755</v>
      </c>
      <c r="BA104" s="153">
        <v>45755</v>
      </c>
      <c r="BB104" s="34" t="s">
        <v>123</v>
      </c>
      <c r="BC104" s="34" t="s">
        <v>123</v>
      </c>
      <c r="BD104" s="34" t="s">
        <v>123</v>
      </c>
      <c r="BE104" s="34" t="s">
        <v>139</v>
      </c>
      <c r="BF104" s="34">
        <v>127</v>
      </c>
      <c r="BG104" s="34">
        <v>0</v>
      </c>
      <c r="BH104" s="34">
        <v>3.496664E-2</v>
      </c>
      <c r="BI104" s="34" t="s">
        <v>159</v>
      </c>
      <c r="BJ104" s="34" t="s">
        <v>1336</v>
      </c>
      <c r="BK104" s="34"/>
      <c r="BL104" s="34" t="s">
        <v>1456</v>
      </c>
      <c r="BM104" s="34"/>
      <c r="BN104" s="34">
        <v>0</v>
      </c>
      <c r="BO104" s="34" t="s">
        <v>1330</v>
      </c>
      <c r="BP104" s="34">
        <v>7.3507139999999999E-2</v>
      </c>
      <c r="BQ104" s="34" t="s">
        <v>1326</v>
      </c>
      <c r="BR104" s="153">
        <v>45755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127</v>
      </c>
      <c r="BY104" s="34">
        <v>0</v>
      </c>
      <c r="BZ104" s="34">
        <v>1</v>
      </c>
      <c r="CA104" s="34">
        <v>0.97789999999999999</v>
      </c>
      <c r="CB104" s="34">
        <v>1.11E-2</v>
      </c>
      <c r="CC104" s="34">
        <v>0</v>
      </c>
    </row>
    <row r="105" spans="1:81" x14ac:dyDescent="0.3">
      <c r="A105" s="34" t="s">
        <v>1549</v>
      </c>
      <c r="B105" s="34" t="s">
        <v>1114</v>
      </c>
      <c r="C105" s="34" t="s">
        <v>1342</v>
      </c>
      <c r="D105" s="34"/>
      <c r="E105" s="153">
        <v>45649</v>
      </c>
      <c r="F105" s="153">
        <v>46849</v>
      </c>
      <c r="G105" s="34"/>
      <c r="H105" s="34" t="s">
        <v>1325</v>
      </c>
      <c r="I105" s="34">
        <v>0</v>
      </c>
      <c r="J105" s="34">
        <v>300000000</v>
      </c>
      <c r="K105" s="34">
        <v>17920000</v>
      </c>
      <c r="L105" s="34">
        <v>250000</v>
      </c>
      <c r="M105" s="34">
        <v>250000</v>
      </c>
      <c r="N105" s="34">
        <v>0</v>
      </c>
      <c r="O105" s="34">
        <v>100.65</v>
      </c>
      <c r="P105" s="34">
        <v>1.25E-3</v>
      </c>
      <c r="Q105" s="34">
        <v>22400</v>
      </c>
      <c r="R105" s="34">
        <v>251625</v>
      </c>
      <c r="S105" s="137">
        <v>34429.148355290003</v>
      </c>
      <c r="T105" s="34">
        <v>134670.03523340001</v>
      </c>
      <c r="U105" s="34">
        <v>593750</v>
      </c>
      <c r="V105" s="34">
        <v>593750</v>
      </c>
      <c r="W105" s="34">
        <v>8.3333329999999997E-2</v>
      </c>
      <c r="X105" s="34">
        <v>0</v>
      </c>
      <c r="Y105" s="34" t="s">
        <v>1663</v>
      </c>
      <c r="Z105" s="34">
        <v>0</v>
      </c>
      <c r="AA105" s="34">
        <v>0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1117</v>
      </c>
      <c r="AG105" s="34" t="s">
        <v>123</v>
      </c>
      <c r="AH105" s="34" t="s">
        <v>123</v>
      </c>
      <c r="AI105" s="34">
        <v>0</v>
      </c>
      <c r="AJ105" s="34" t="s">
        <v>123</v>
      </c>
      <c r="AK105" s="34">
        <v>1.53701555</v>
      </c>
      <c r="AL105" s="34">
        <v>466560.00324227998</v>
      </c>
      <c r="AM105" s="34">
        <v>-12029.148355290001</v>
      </c>
      <c r="AN105" s="34">
        <v>-2.5782639999999999E-2</v>
      </c>
      <c r="AO105" s="34">
        <v>-0.53701555000000001</v>
      </c>
      <c r="AP105" s="34">
        <v>0</v>
      </c>
      <c r="AQ105" s="34">
        <v>646</v>
      </c>
      <c r="AR105" s="34">
        <v>9.0424110000000002E-2</v>
      </c>
      <c r="AS105" s="34"/>
      <c r="AT105" s="34">
        <v>565902.89630509005</v>
      </c>
      <c r="AU105" s="34">
        <v>103</v>
      </c>
      <c r="AV105" s="34" t="s">
        <v>1550</v>
      </c>
      <c r="AW105" s="34">
        <v>0</v>
      </c>
      <c r="AX105" s="34">
        <v>1333</v>
      </c>
      <c r="AY105" s="34" t="s">
        <v>1333</v>
      </c>
      <c r="AZ105" s="153">
        <v>45755</v>
      </c>
      <c r="BA105" s="153">
        <v>45755</v>
      </c>
      <c r="BB105" s="34" t="s">
        <v>123</v>
      </c>
      <c r="BC105" s="34" t="s">
        <v>123</v>
      </c>
      <c r="BD105" s="34" t="s">
        <v>123</v>
      </c>
      <c r="BE105" s="34" t="s">
        <v>139</v>
      </c>
      <c r="BF105" s="34">
        <v>266</v>
      </c>
      <c r="BG105" s="34">
        <v>0</v>
      </c>
      <c r="BH105" s="34">
        <v>5.1341879999999999E-2</v>
      </c>
      <c r="BI105" s="34" t="s">
        <v>150</v>
      </c>
      <c r="BJ105" s="34" t="s">
        <v>1336</v>
      </c>
      <c r="BK105" s="34">
        <v>2025</v>
      </c>
      <c r="BL105" s="34" t="s">
        <v>1456</v>
      </c>
      <c r="BM105" s="34"/>
      <c r="BN105" s="34">
        <v>0</v>
      </c>
      <c r="BO105" s="34" t="s">
        <v>1330</v>
      </c>
      <c r="BP105" s="34">
        <v>8.9599999999999999E-2</v>
      </c>
      <c r="BQ105" s="34" t="s">
        <v>1326</v>
      </c>
      <c r="BR105" s="153">
        <v>45755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266</v>
      </c>
      <c r="BY105" s="34">
        <v>0</v>
      </c>
      <c r="BZ105" s="34">
        <v>1</v>
      </c>
      <c r="CA105" s="34">
        <v>0.93220000000000003</v>
      </c>
      <c r="CB105" s="34">
        <v>1.4999999999999999E-2</v>
      </c>
      <c r="CC105" s="34">
        <v>9.1999999999999998E-3</v>
      </c>
    </row>
    <row r="106" spans="1:81" x14ac:dyDescent="0.3">
      <c r="A106" s="34" t="s">
        <v>1551</v>
      </c>
      <c r="B106" s="34" t="s">
        <v>963</v>
      </c>
      <c r="C106" s="34" t="s">
        <v>1343</v>
      </c>
      <c r="D106" s="34"/>
      <c r="E106" s="153">
        <v>45300</v>
      </c>
      <c r="F106" s="153">
        <v>46395</v>
      </c>
      <c r="G106" s="34"/>
      <c r="H106" s="34" t="s">
        <v>1325</v>
      </c>
      <c r="I106" s="34">
        <v>0</v>
      </c>
      <c r="J106" s="34">
        <v>400000000</v>
      </c>
      <c r="K106" s="34">
        <v>20017500</v>
      </c>
      <c r="L106" s="34">
        <v>249999.45</v>
      </c>
      <c r="M106" s="34">
        <v>249999.45</v>
      </c>
      <c r="N106" s="34">
        <v>0</v>
      </c>
      <c r="O106" s="34">
        <v>102.3</v>
      </c>
      <c r="P106" s="34">
        <v>9.8039000000000004E-4</v>
      </c>
      <c r="Q106" s="34">
        <v>19624.956825000001</v>
      </c>
      <c r="R106" s="34">
        <v>255749.43734999999</v>
      </c>
      <c r="S106" s="137">
        <v>826.86517335999997</v>
      </c>
      <c r="T106" s="34">
        <v>6218.2190076899997</v>
      </c>
      <c r="U106" s="34">
        <v>49019.50039216</v>
      </c>
      <c r="V106" s="34">
        <v>49019.50039216</v>
      </c>
      <c r="W106" s="34">
        <v>8.3333149999999995E-2</v>
      </c>
      <c r="X106" s="34">
        <v>0</v>
      </c>
      <c r="Y106" s="34" t="s">
        <v>1663</v>
      </c>
      <c r="Z106" s="34">
        <v>0</v>
      </c>
      <c r="AA106" s="34">
        <v>0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966</v>
      </c>
      <c r="AG106" s="34" t="s">
        <v>123</v>
      </c>
      <c r="AH106" s="34" t="s">
        <v>123</v>
      </c>
      <c r="AI106" s="34">
        <v>0</v>
      </c>
      <c r="AJ106" s="34" t="s">
        <v>123</v>
      </c>
      <c r="AK106" s="34">
        <v>4.213335E-2</v>
      </c>
      <c r="AL106" s="34">
        <v>32103.915476149999</v>
      </c>
      <c r="AM106" s="34">
        <v>18798.091651639999</v>
      </c>
      <c r="AN106" s="34">
        <v>0.58553891000000002</v>
      </c>
      <c r="AO106" s="34">
        <v>0.95786665000000004</v>
      </c>
      <c r="AP106" s="34">
        <v>0</v>
      </c>
      <c r="AQ106" s="34">
        <v>192</v>
      </c>
      <c r="AR106" s="34">
        <v>6.7969870000000002E-2</v>
      </c>
      <c r="AS106" s="34"/>
      <c r="AT106" s="34">
        <v>44117.550352940001</v>
      </c>
      <c r="AU106" s="34">
        <v>103</v>
      </c>
      <c r="AV106" s="34" t="s">
        <v>1552</v>
      </c>
      <c r="AW106" s="34">
        <v>0</v>
      </c>
      <c r="AX106" s="34">
        <v>1334</v>
      </c>
      <c r="AY106" s="34" t="s">
        <v>1333</v>
      </c>
      <c r="AZ106" s="153">
        <v>45756</v>
      </c>
      <c r="BA106" s="153">
        <v>45756</v>
      </c>
      <c r="BB106" s="34" t="s">
        <v>123</v>
      </c>
      <c r="BC106" s="34" t="s">
        <v>123</v>
      </c>
      <c r="BD106" s="34" t="s">
        <v>123</v>
      </c>
      <c r="BE106" s="34" t="s">
        <v>139</v>
      </c>
      <c r="BF106" s="34">
        <v>226</v>
      </c>
      <c r="BG106" s="34">
        <v>0</v>
      </c>
      <c r="BH106" s="34">
        <v>4.0195000000000002E-2</v>
      </c>
      <c r="BI106" s="34" t="s">
        <v>150</v>
      </c>
      <c r="BJ106" s="34" t="s">
        <v>1336</v>
      </c>
      <c r="BK106" s="34">
        <v>2025</v>
      </c>
      <c r="BL106" s="34" t="s">
        <v>1456</v>
      </c>
      <c r="BM106" s="34"/>
      <c r="BN106" s="34">
        <v>0</v>
      </c>
      <c r="BO106" s="34" t="s">
        <v>1330</v>
      </c>
      <c r="BP106" s="34">
        <v>7.85E-2</v>
      </c>
      <c r="BQ106" s="34" t="s">
        <v>1326</v>
      </c>
      <c r="BR106" s="153">
        <v>45756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226</v>
      </c>
      <c r="BY106" s="34">
        <v>0</v>
      </c>
      <c r="BZ106" s="34">
        <v>1</v>
      </c>
      <c r="CA106" s="34">
        <v>0.98270000000000002</v>
      </c>
      <c r="CB106" s="34">
        <v>2.5000000000000001E-3</v>
      </c>
      <c r="CC106" s="34">
        <v>8.0000000000000004E-4</v>
      </c>
    </row>
    <row r="107" spans="1:81" x14ac:dyDescent="0.3">
      <c r="A107" s="34" t="s">
        <v>1459</v>
      </c>
      <c r="B107" s="34" t="s">
        <v>418</v>
      </c>
      <c r="C107" s="34" t="s">
        <v>1344</v>
      </c>
      <c r="D107" s="34"/>
      <c r="E107" s="153">
        <v>45016</v>
      </c>
      <c r="F107" s="153">
        <v>46484</v>
      </c>
      <c r="G107" s="34"/>
      <c r="H107" s="34" t="s">
        <v>1325</v>
      </c>
      <c r="I107" s="34">
        <v>0</v>
      </c>
      <c r="J107" s="34">
        <v>750000000</v>
      </c>
      <c r="K107" s="34">
        <v>9300000</v>
      </c>
      <c r="L107" s="34">
        <v>250000</v>
      </c>
      <c r="M107" s="34">
        <v>250000</v>
      </c>
      <c r="N107" s="34">
        <v>0</v>
      </c>
      <c r="O107" s="34">
        <v>102.6</v>
      </c>
      <c r="P107" s="34">
        <v>2.5000000000000001E-3</v>
      </c>
      <c r="Q107" s="34">
        <v>23250</v>
      </c>
      <c r="R107" s="34">
        <v>256500</v>
      </c>
      <c r="S107" s="137">
        <v>4103.8393320599998</v>
      </c>
      <c r="T107" s="34">
        <v>28947.07596142</v>
      </c>
      <c r="U107" s="34">
        <v>212499.99950000001</v>
      </c>
      <c r="V107" s="34">
        <v>212499.99950000001</v>
      </c>
      <c r="W107" s="34">
        <v>8.3333329999999997E-2</v>
      </c>
      <c r="X107" s="34">
        <v>0</v>
      </c>
      <c r="Y107" s="34" t="s">
        <v>1663</v>
      </c>
      <c r="Z107" s="34">
        <v>0</v>
      </c>
      <c r="AA107" s="34">
        <v>0</v>
      </c>
      <c r="AB107" s="34">
        <v>0</v>
      </c>
      <c r="AC107" s="34">
        <v>1</v>
      </c>
      <c r="AD107" s="34" t="s">
        <v>123</v>
      </c>
      <c r="AE107" s="34" t="s">
        <v>123</v>
      </c>
      <c r="AF107" s="34" t="s">
        <v>419</v>
      </c>
      <c r="AG107" s="34" t="s">
        <v>123</v>
      </c>
      <c r="AH107" s="34" t="s">
        <v>123</v>
      </c>
      <c r="AI107" s="34">
        <v>0</v>
      </c>
      <c r="AJ107" s="34" t="s">
        <v>123</v>
      </c>
      <c r="AK107" s="34">
        <v>0.17650921999999999</v>
      </c>
      <c r="AL107" s="34">
        <v>135313.64752783001</v>
      </c>
      <c r="AM107" s="34">
        <v>19146.160667939999</v>
      </c>
      <c r="AN107" s="34">
        <v>0.14149468000000001</v>
      </c>
      <c r="AO107" s="34">
        <v>0.82349077999999998</v>
      </c>
      <c r="AP107" s="34">
        <v>0</v>
      </c>
      <c r="AQ107" s="34">
        <v>281</v>
      </c>
      <c r="AR107" s="34">
        <v>8.2214540000000003E-2</v>
      </c>
      <c r="AS107" s="34"/>
      <c r="AT107" s="34">
        <v>203004.60607079999</v>
      </c>
      <c r="AU107" s="34">
        <v>103</v>
      </c>
      <c r="AV107" s="34" t="s">
        <v>1460</v>
      </c>
      <c r="AW107" s="34">
        <v>0</v>
      </c>
      <c r="AX107" s="34">
        <v>1335</v>
      </c>
      <c r="AY107" s="34" t="s">
        <v>1333</v>
      </c>
      <c r="AZ107" s="153">
        <v>45756</v>
      </c>
      <c r="BA107" s="153">
        <v>45756</v>
      </c>
      <c r="BB107" s="34" t="s">
        <v>123</v>
      </c>
      <c r="BC107" s="34" t="s">
        <v>123</v>
      </c>
      <c r="BD107" s="34" t="s">
        <v>123</v>
      </c>
      <c r="BE107" s="34" t="s">
        <v>139</v>
      </c>
      <c r="BF107" s="34">
        <v>65</v>
      </c>
      <c r="BG107" s="34">
        <v>0</v>
      </c>
      <c r="BH107" s="34">
        <v>5.4591849999999997E-2</v>
      </c>
      <c r="BI107" s="34" t="s">
        <v>133</v>
      </c>
      <c r="BJ107" s="34" t="s">
        <v>1336</v>
      </c>
      <c r="BK107" s="34">
        <v>2025</v>
      </c>
      <c r="BL107" s="34" t="s">
        <v>1456</v>
      </c>
      <c r="BM107" s="34"/>
      <c r="BN107" s="34">
        <v>0</v>
      </c>
      <c r="BO107" s="34" t="s">
        <v>1330</v>
      </c>
      <c r="BP107" s="34">
        <v>9.2999999999999999E-2</v>
      </c>
      <c r="BQ107" s="34" t="s">
        <v>1326</v>
      </c>
      <c r="BR107" s="153">
        <v>45756</v>
      </c>
      <c r="BS107" s="34">
        <v>0</v>
      </c>
      <c r="BT107" s="34" t="s">
        <v>123</v>
      </c>
      <c r="BU107" s="34">
        <v>0</v>
      </c>
      <c r="BV107" s="34">
        <v>250000</v>
      </c>
      <c r="BW107" s="34">
        <v>0</v>
      </c>
      <c r="BX107" s="34">
        <v>65</v>
      </c>
      <c r="BY107" s="34">
        <v>0</v>
      </c>
      <c r="BZ107" s="34">
        <v>1</v>
      </c>
      <c r="CA107" s="34">
        <v>0.97970000000000002</v>
      </c>
      <c r="CB107" s="34">
        <v>1.24E-2</v>
      </c>
      <c r="CC107" s="34">
        <v>9.1999999999999998E-3</v>
      </c>
    </row>
    <row r="108" spans="1:81" x14ac:dyDescent="0.3">
      <c r="A108" s="34" t="s">
        <v>1461</v>
      </c>
      <c r="B108" s="34" t="s">
        <v>895</v>
      </c>
      <c r="C108" s="34" t="s">
        <v>1345</v>
      </c>
      <c r="D108" s="34"/>
      <c r="E108" s="153">
        <v>45630</v>
      </c>
      <c r="F108" s="153">
        <v>46762</v>
      </c>
      <c r="G108" s="34"/>
      <c r="H108" s="34" t="s">
        <v>1325</v>
      </c>
      <c r="I108" s="34">
        <v>0</v>
      </c>
      <c r="J108" s="34">
        <v>100000000</v>
      </c>
      <c r="K108" s="34">
        <v>7310000</v>
      </c>
      <c r="L108" s="34">
        <v>250000</v>
      </c>
      <c r="M108" s="34">
        <v>250000</v>
      </c>
      <c r="N108" s="34">
        <v>0</v>
      </c>
      <c r="O108" s="34">
        <v>101.6</v>
      </c>
      <c r="P108" s="34">
        <v>2.5000000000000001E-3</v>
      </c>
      <c r="Q108" s="34">
        <v>18275</v>
      </c>
      <c r="R108" s="34">
        <v>254000</v>
      </c>
      <c r="S108" s="137">
        <v>7694.2988885300001</v>
      </c>
      <c r="T108" s="34">
        <v>36782.324244629999</v>
      </c>
      <c r="U108" s="34">
        <v>187500</v>
      </c>
      <c r="V108" s="34">
        <v>187500</v>
      </c>
      <c r="W108" s="34">
        <v>8.3333329999999997E-2</v>
      </c>
      <c r="X108" s="34">
        <v>0</v>
      </c>
      <c r="Y108" s="34" t="s">
        <v>1663</v>
      </c>
      <c r="Z108" s="34">
        <v>0</v>
      </c>
      <c r="AA108" s="34">
        <v>0</v>
      </c>
      <c r="AB108" s="34">
        <v>0</v>
      </c>
      <c r="AC108" s="34">
        <v>1</v>
      </c>
      <c r="AD108" s="34" t="s">
        <v>123</v>
      </c>
      <c r="AE108" s="34" t="s">
        <v>123</v>
      </c>
      <c r="AF108" s="34" t="s">
        <v>1346</v>
      </c>
      <c r="AG108" s="34" t="s">
        <v>123</v>
      </c>
      <c r="AH108" s="34" t="s">
        <v>123</v>
      </c>
      <c r="AI108" s="34">
        <v>0</v>
      </c>
      <c r="AJ108" s="34" t="s">
        <v>123</v>
      </c>
      <c r="AK108" s="34">
        <v>0.42102866999999999</v>
      </c>
      <c r="AL108" s="34">
        <v>50190.853242849997</v>
      </c>
      <c r="AM108" s="34">
        <v>10580.70111147</v>
      </c>
      <c r="AN108" s="34">
        <v>0.21080935000000001</v>
      </c>
      <c r="AO108" s="34">
        <v>0.57897133000000001</v>
      </c>
      <c r="AP108" s="34">
        <v>0</v>
      </c>
      <c r="AQ108" s="34">
        <v>559</v>
      </c>
      <c r="AR108" s="34">
        <v>6.9968119999999995E-2</v>
      </c>
      <c r="AS108" s="34"/>
      <c r="AT108" s="34">
        <v>93750</v>
      </c>
      <c r="AU108" s="34">
        <v>103</v>
      </c>
      <c r="AV108" s="34" t="s">
        <v>1462</v>
      </c>
      <c r="AW108" s="34">
        <v>0</v>
      </c>
      <c r="AX108" s="34">
        <v>1336</v>
      </c>
      <c r="AY108" s="34" t="s">
        <v>1333</v>
      </c>
      <c r="AZ108" s="153">
        <v>45756</v>
      </c>
      <c r="BA108" s="153">
        <v>45756</v>
      </c>
      <c r="BB108" s="34" t="s">
        <v>123</v>
      </c>
      <c r="BC108" s="34" t="s">
        <v>123</v>
      </c>
      <c r="BD108" s="34" t="s">
        <v>123</v>
      </c>
      <c r="BE108" s="34" t="s">
        <v>1347</v>
      </c>
      <c r="BF108" s="34">
        <v>208</v>
      </c>
      <c r="BG108" s="34">
        <v>0</v>
      </c>
      <c r="BH108" s="34">
        <v>3.4997439999999998E-2</v>
      </c>
      <c r="BI108" s="34" t="s">
        <v>150</v>
      </c>
      <c r="BJ108" s="34" t="s">
        <v>1336</v>
      </c>
      <c r="BK108" s="34"/>
      <c r="BL108" s="34" t="s">
        <v>1456</v>
      </c>
      <c r="BM108" s="34"/>
      <c r="BN108" s="34">
        <v>0</v>
      </c>
      <c r="BO108" s="34" t="s">
        <v>1330</v>
      </c>
      <c r="BP108" s="34">
        <v>7.3099999999999998E-2</v>
      </c>
      <c r="BQ108" s="34" t="s">
        <v>1326</v>
      </c>
      <c r="BR108" s="153">
        <v>45756</v>
      </c>
      <c r="BS108" s="34">
        <v>0</v>
      </c>
      <c r="BT108" s="34" t="s">
        <v>123</v>
      </c>
      <c r="BU108" s="34">
        <v>0</v>
      </c>
      <c r="BV108" s="34">
        <v>250000</v>
      </c>
      <c r="BW108" s="34">
        <v>0</v>
      </c>
      <c r="BX108" s="34">
        <v>208</v>
      </c>
      <c r="BY108" s="34">
        <v>0</v>
      </c>
      <c r="BZ108" s="34">
        <v>1</v>
      </c>
      <c r="CA108" s="34">
        <v>0.95669999999999999</v>
      </c>
      <c r="CB108" s="34">
        <v>1.1299999999999999E-2</v>
      </c>
      <c r="CC108" s="34">
        <v>0</v>
      </c>
    </row>
    <row r="112" spans="1:81" ht="33.6" x14ac:dyDescent="0.3">
      <c r="A112" s="36" t="s">
        <v>1664</v>
      </c>
      <c r="B112" s="37" t="s">
        <v>1665</v>
      </c>
      <c r="C112" s="38">
        <v>2545680</v>
      </c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 ht="17.399999999999999" thickBot="1" x14ac:dyDescent="0.35">
      <c r="A113" s="40"/>
      <c r="B113" s="41" t="s">
        <v>1666</v>
      </c>
      <c r="C113" s="42">
        <v>3000000</v>
      </c>
      <c r="D113" s="43"/>
      <c r="E113" s="43"/>
      <c r="F113" s="43"/>
      <c r="G113" s="44"/>
      <c r="H113" s="44"/>
      <c r="I113" s="44"/>
      <c r="J113" s="45"/>
      <c r="K113" s="44"/>
      <c r="L113" s="44"/>
    </row>
    <row r="114" spans="1:12" ht="16.8" x14ac:dyDescent="0.3">
      <c r="A114" s="189" t="s">
        <v>1667</v>
      </c>
      <c r="B114" s="191" t="s">
        <v>1668</v>
      </c>
      <c r="C114" s="46">
        <v>0.1</v>
      </c>
      <c r="D114" s="46">
        <v>0.5</v>
      </c>
      <c r="E114" s="46">
        <v>0.8</v>
      </c>
      <c r="F114" s="46">
        <v>0.9</v>
      </c>
      <c r="G114" s="46">
        <v>0.96</v>
      </c>
      <c r="H114" s="47">
        <v>0.98</v>
      </c>
      <c r="I114" s="46">
        <v>0.99</v>
      </c>
      <c r="J114" s="48">
        <v>0.996</v>
      </c>
      <c r="K114" s="49">
        <v>0.998</v>
      </c>
      <c r="L114" s="49">
        <v>0.999</v>
      </c>
    </row>
    <row r="115" spans="1:12" ht="17.399999999999999" thickBot="1" x14ac:dyDescent="0.35">
      <c r="A115" s="190"/>
      <c r="B115" s="192"/>
      <c r="C115" s="50" t="s">
        <v>1669</v>
      </c>
      <c r="D115" s="51" t="s">
        <v>1670</v>
      </c>
      <c r="E115" s="51" t="s">
        <v>1671</v>
      </c>
      <c r="F115" s="51" t="s">
        <v>1672</v>
      </c>
      <c r="G115" s="51" t="s">
        <v>1673</v>
      </c>
      <c r="H115" s="51" t="s">
        <v>1674</v>
      </c>
      <c r="I115" s="51" t="s">
        <v>1675</v>
      </c>
      <c r="J115" s="51" t="s">
        <v>1676</v>
      </c>
      <c r="K115" s="51" t="s">
        <v>1677</v>
      </c>
      <c r="L115" s="51" t="s">
        <v>1678</v>
      </c>
    </row>
    <row r="116" spans="1:12" ht="16.8" x14ac:dyDescent="0.45">
      <c r="A116" s="52" t="s">
        <v>1679</v>
      </c>
      <c r="B116" s="53">
        <v>206259</v>
      </c>
      <c r="C116" s="53">
        <v>206259</v>
      </c>
      <c r="D116" s="53">
        <v>206259</v>
      </c>
      <c r="E116" s="53">
        <v>206259</v>
      </c>
      <c r="F116" s="53">
        <v>206259</v>
      </c>
      <c r="G116" s="53">
        <v>206259</v>
      </c>
      <c r="H116" s="53">
        <v>206259</v>
      </c>
      <c r="I116" s="53">
        <v>206259</v>
      </c>
      <c r="J116" s="53">
        <v>206259</v>
      </c>
      <c r="K116" s="54">
        <v>206259</v>
      </c>
      <c r="L116" s="54">
        <v>206259</v>
      </c>
    </row>
    <row r="117" spans="1:12" ht="16.8" x14ac:dyDescent="0.45">
      <c r="A117" s="52" t="s">
        <v>1680</v>
      </c>
      <c r="B117" s="55">
        <v>0</v>
      </c>
      <c r="C117" s="55">
        <v>0</v>
      </c>
      <c r="D117" s="55">
        <v>0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>
        <v>0</v>
      </c>
      <c r="K117" s="56">
        <v>0</v>
      </c>
      <c r="L117" s="56">
        <v>0</v>
      </c>
    </row>
    <row r="118" spans="1:12" ht="16.8" x14ac:dyDescent="0.45">
      <c r="A118" s="57" t="s">
        <v>1681</v>
      </c>
      <c r="B118" s="55">
        <v>0</v>
      </c>
      <c r="C118" s="55">
        <v>0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6">
        <v>0</v>
      </c>
      <c r="L118" s="56">
        <v>0</v>
      </c>
    </row>
    <row r="119" spans="1:12" ht="16.8" x14ac:dyDescent="0.45">
      <c r="A119" s="58" t="s">
        <v>1682</v>
      </c>
      <c r="B119" s="59">
        <v>206259</v>
      </c>
      <c r="C119" s="59">
        <v>206259</v>
      </c>
      <c r="D119" s="59">
        <v>206259</v>
      </c>
      <c r="E119" s="59">
        <v>206259</v>
      </c>
      <c r="F119" s="59">
        <v>206259</v>
      </c>
      <c r="G119" s="59">
        <v>206259</v>
      </c>
      <c r="H119" s="59">
        <v>206259</v>
      </c>
      <c r="I119" s="59">
        <v>206259</v>
      </c>
      <c r="J119" s="59">
        <v>206259</v>
      </c>
      <c r="K119" s="60">
        <v>206259</v>
      </c>
      <c r="L119" s="60">
        <v>206259</v>
      </c>
    </row>
    <row r="120" spans="1:12" ht="16.8" x14ac:dyDescent="0.45">
      <c r="A120" s="52" t="s">
        <v>1683</v>
      </c>
      <c r="B120" s="61">
        <v>80934.3</v>
      </c>
      <c r="C120" s="61">
        <v>0</v>
      </c>
      <c r="D120" s="61">
        <v>0</v>
      </c>
      <c r="E120" s="61">
        <v>0</v>
      </c>
      <c r="F120" s="61">
        <v>188472.5794967768</v>
      </c>
      <c r="G120" s="61">
        <v>691033.13950718951</v>
      </c>
      <c r="H120" s="61">
        <v>1054050.6413191578</v>
      </c>
      <c r="I120" s="61">
        <v>1481441.8153359499</v>
      </c>
      <c r="J120" s="61">
        <v>1726102.4934338261</v>
      </c>
      <c r="K120" s="62">
        <v>1878401.757819992</v>
      </c>
      <c r="L120" s="62">
        <v>1892768.4930171613</v>
      </c>
    </row>
    <row r="121" spans="1:12" ht="16.8" x14ac:dyDescent="0.45">
      <c r="A121" s="57" t="s">
        <v>1684</v>
      </c>
      <c r="B121" s="55">
        <v>0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6">
        <v>0</v>
      </c>
      <c r="L121" s="56">
        <v>0</v>
      </c>
    </row>
    <row r="122" spans="1:12" ht="16.8" x14ac:dyDescent="0.45">
      <c r="A122" s="57" t="s">
        <v>1685</v>
      </c>
      <c r="B122" s="55">
        <v>0</v>
      </c>
      <c r="C122" s="55">
        <v>0</v>
      </c>
      <c r="D122" s="55">
        <v>0</v>
      </c>
      <c r="E122" s="55">
        <v>0</v>
      </c>
      <c r="F122" s="55">
        <v>0</v>
      </c>
      <c r="G122" s="55">
        <v>0</v>
      </c>
      <c r="H122" s="55">
        <v>0</v>
      </c>
      <c r="I122" s="55">
        <v>0</v>
      </c>
      <c r="J122" s="55">
        <v>0</v>
      </c>
      <c r="K122" s="56">
        <v>0</v>
      </c>
      <c r="L122" s="56">
        <v>0</v>
      </c>
    </row>
    <row r="123" spans="1:12" ht="16.8" x14ac:dyDescent="0.45">
      <c r="A123" s="57" t="s">
        <v>1686</v>
      </c>
      <c r="B123" s="55">
        <v>0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6">
        <v>0</v>
      </c>
      <c r="L123" s="56">
        <v>0</v>
      </c>
    </row>
    <row r="124" spans="1:12" ht="16.8" x14ac:dyDescent="0.45">
      <c r="A124" s="58" t="s">
        <v>1687</v>
      </c>
      <c r="B124" s="59">
        <v>125324.7</v>
      </c>
      <c r="C124" s="59">
        <v>206259</v>
      </c>
      <c r="D124" s="59">
        <v>206259</v>
      </c>
      <c r="E124" s="59">
        <v>206259</v>
      </c>
      <c r="F124" s="59">
        <v>17786.420503223198</v>
      </c>
      <c r="G124" s="59">
        <v>-484774.13950718951</v>
      </c>
      <c r="H124" s="59">
        <v>-847791.64131915779</v>
      </c>
      <c r="I124" s="59">
        <v>-1275182.8153359499</v>
      </c>
      <c r="J124" s="59">
        <v>-1519843.4934338261</v>
      </c>
      <c r="K124" s="60">
        <v>-1672142.757819992</v>
      </c>
      <c r="L124" s="60">
        <v>-1686509.4930171613</v>
      </c>
    </row>
    <row r="125" spans="1:12" ht="16.8" x14ac:dyDescent="0.45">
      <c r="A125" s="52" t="s">
        <v>1688</v>
      </c>
      <c r="B125" s="63">
        <v>4.1774899999999997E-2</v>
      </c>
      <c r="C125" s="63">
        <v>6.8752999999999995E-2</v>
      </c>
      <c r="D125" s="63">
        <v>6.8752999999999995E-2</v>
      </c>
      <c r="E125" s="63">
        <v>6.8752999999999995E-2</v>
      </c>
      <c r="F125" s="63">
        <v>5.928806834407733E-3</v>
      </c>
      <c r="G125" s="63">
        <v>-0.16159137983572983</v>
      </c>
      <c r="H125" s="63">
        <v>-0.28259721377305258</v>
      </c>
      <c r="I125" s="63">
        <v>-0.42506093844531662</v>
      </c>
      <c r="J125" s="63">
        <v>-0.50661449781127543</v>
      </c>
      <c r="K125" s="64">
        <v>-0.55738091927333067</v>
      </c>
      <c r="L125" s="64">
        <v>-0.56216983100572038</v>
      </c>
    </row>
    <row r="126" spans="1:12" ht="16.8" x14ac:dyDescent="0.45">
      <c r="A126" s="52" t="s">
        <v>1689</v>
      </c>
      <c r="B126" s="65">
        <v>17582.099999999999</v>
      </c>
      <c r="C126" s="65">
        <v>17582.099999999999</v>
      </c>
      <c r="D126" s="65">
        <v>17582.099999999999</v>
      </c>
      <c r="E126" s="65">
        <v>17582.099999999999</v>
      </c>
      <c r="F126" s="65">
        <v>17582.099999999999</v>
      </c>
      <c r="G126" s="65">
        <v>17582.099999999999</v>
      </c>
      <c r="H126" s="65">
        <v>17582.099999999999</v>
      </c>
      <c r="I126" s="65">
        <v>17582.099999999999</v>
      </c>
      <c r="J126" s="65">
        <v>17582.099999999999</v>
      </c>
      <c r="K126" s="66">
        <v>17582.099999999999</v>
      </c>
      <c r="L126" s="66">
        <v>17582.099999999999</v>
      </c>
    </row>
    <row r="127" spans="1:12" ht="17.399999999999999" thickBot="1" x14ac:dyDescent="0.5">
      <c r="A127" s="67" t="s">
        <v>1690</v>
      </c>
      <c r="B127" s="68">
        <v>11400</v>
      </c>
      <c r="C127" s="68">
        <v>11400</v>
      </c>
      <c r="D127" s="68">
        <v>11400</v>
      </c>
      <c r="E127" s="68">
        <v>11400</v>
      </c>
      <c r="F127" s="68">
        <v>11400</v>
      </c>
      <c r="G127" s="68">
        <v>11400</v>
      </c>
      <c r="H127" s="68">
        <v>11400</v>
      </c>
      <c r="I127" s="68">
        <v>11400</v>
      </c>
      <c r="J127" s="68">
        <v>11400</v>
      </c>
      <c r="K127" s="69">
        <v>11400</v>
      </c>
      <c r="L127" s="69">
        <v>11400</v>
      </c>
    </row>
    <row r="128" spans="1:12" ht="17.399999999999999" thickTop="1" x14ac:dyDescent="0.45">
      <c r="A128" s="70" t="s">
        <v>1691</v>
      </c>
      <c r="B128" s="59">
        <v>36000</v>
      </c>
      <c r="C128" s="59">
        <v>36000</v>
      </c>
      <c r="D128" s="59">
        <v>36000</v>
      </c>
      <c r="E128" s="59">
        <v>36000</v>
      </c>
      <c r="F128" s="59">
        <v>36000</v>
      </c>
      <c r="G128" s="59">
        <v>36000</v>
      </c>
      <c r="H128" s="59">
        <v>36000</v>
      </c>
      <c r="I128" s="59">
        <v>36000</v>
      </c>
      <c r="J128" s="59">
        <v>36000</v>
      </c>
      <c r="K128" s="60">
        <v>36000</v>
      </c>
      <c r="L128" s="60">
        <v>36000</v>
      </c>
    </row>
    <row r="129" spans="1:12" ht="16.8" x14ac:dyDescent="0.45">
      <c r="A129" s="57" t="s">
        <v>1604</v>
      </c>
      <c r="B129" s="55">
        <v>0</v>
      </c>
      <c r="C129" s="55">
        <v>0</v>
      </c>
      <c r="D129" s="55">
        <v>0</v>
      </c>
      <c r="E129" s="55">
        <v>0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6">
        <v>0</v>
      </c>
      <c r="L129" s="56">
        <v>0</v>
      </c>
    </row>
    <row r="130" spans="1:12" ht="16.8" x14ac:dyDescent="0.45">
      <c r="A130" s="52" t="s">
        <v>1692</v>
      </c>
      <c r="B130" s="61">
        <v>95506.799999999988</v>
      </c>
      <c r="C130" s="61">
        <v>176441.1</v>
      </c>
      <c r="D130" s="61">
        <v>176441.1</v>
      </c>
      <c r="E130" s="61">
        <v>176441.1</v>
      </c>
      <c r="F130" s="61">
        <v>-12031.479496776803</v>
      </c>
      <c r="G130" s="61">
        <v>-514592.03950718953</v>
      </c>
      <c r="H130" s="61">
        <v>-877609.54131915781</v>
      </c>
      <c r="I130" s="61">
        <v>-1305000.7153359498</v>
      </c>
      <c r="J130" s="61">
        <v>-1549661.393433826</v>
      </c>
      <c r="K130" s="62">
        <v>-1701960.6578199919</v>
      </c>
      <c r="L130" s="62">
        <v>-1716327.3930171612</v>
      </c>
    </row>
    <row r="131" spans="1:12" ht="17.399999999999999" thickBot="1" x14ac:dyDescent="0.5">
      <c r="A131" s="71" t="s">
        <v>1693</v>
      </c>
      <c r="B131" s="72">
        <v>3.1835599999999999E-2</v>
      </c>
      <c r="C131" s="72">
        <v>5.8813700000000003E-2</v>
      </c>
      <c r="D131" s="72">
        <v>5.8813700000000003E-2</v>
      </c>
      <c r="E131" s="72">
        <v>5.8813700000000003E-2</v>
      </c>
      <c r="F131" s="72">
        <v>-4.0104931655922677E-3</v>
      </c>
      <c r="G131" s="72">
        <v>-0.17153067983572984</v>
      </c>
      <c r="H131" s="72">
        <v>-0.29253651377305262</v>
      </c>
      <c r="I131" s="72">
        <v>-0.4350002384453166</v>
      </c>
      <c r="J131" s="72">
        <v>-0.51655379781127531</v>
      </c>
      <c r="K131" s="73">
        <v>-0.56732021927333065</v>
      </c>
      <c r="L131" s="73">
        <v>-0.57210913100572036</v>
      </c>
    </row>
    <row r="132" spans="1:12" ht="15" thickTop="1" x14ac:dyDescent="0.3"/>
    <row r="135" spans="1:12" ht="16.8" x14ac:dyDescent="0.45">
      <c r="A135" s="74" t="s">
        <v>1694</v>
      </c>
    </row>
    <row r="136" spans="1:12" ht="15" thickBot="1" x14ac:dyDescent="0.35">
      <c r="A136" s="75"/>
    </row>
    <row r="137" spans="1:12" ht="15" thickBot="1" x14ac:dyDescent="0.35">
      <c r="A137" s="76" t="s">
        <v>1695</v>
      </c>
      <c r="B137" s="77" t="s">
        <v>1330</v>
      </c>
      <c r="C137" s="78" t="s">
        <v>1696</v>
      </c>
    </row>
    <row r="138" spans="1:12" x14ac:dyDescent="0.3">
      <c r="A138" s="79" t="s">
        <v>1697</v>
      </c>
      <c r="B138" s="80">
        <v>125324.7</v>
      </c>
      <c r="C138" s="81">
        <v>4.1774899999999997E-2</v>
      </c>
    </row>
    <row r="139" spans="1:12" x14ac:dyDescent="0.3">
      <c r="A139" s="82" t="s">
        <v>1698</v>
      </c>
      <c r="B139" s="83">
        <v>95506.799999999988</v>
      </c>
      <c r="C139" s="84">
        <v>3.1835599999999999E-2</v>
      </c>
    </row>
    <row r="140" spans="1:12" x14ac:dyDescent="0.3">
      <c r="A140" s="82" t="s">
        <v>1699</v>
      </c>
      <c r="B140" s="85">
        <v>262707</v>
      </c>
      <c r="C140" s="84">
        <v>8.7568999999999994E-2</v>
      </c>
    </row>
    <row r="141" spans="1:12" x14ac:dyDescent="0.3">
      <c r="A141" s="82" t="s">
        <v>1700</v>
      </c>
      <c r="B141" s="86">
        <v>0.36354874441868695</v>
      </c>
      <c r="C141" s="87">
        <v>0.36354874441868695</v>
      </c>
    </row>
    <row r="142" spans="1:12" x14ac:dyDescent="0.3">
      <c r="A142" s="88" t="s">
        <v>1701</v>
      </c>
      <c r="B142" s="89">
        <v>2.750662780032417</v>
      </c>
      <c r="C142" s="90"/>
    </row>
    <row r="143" spans="1:12" x14ac:dyDescent="0.3">
      <c r="A143" s="88" t="s">
        <v>1702</v>
      </c>
      <c r="B143" s="91">
        <v>176441.1</v>
      </c>
      <c r="C143" s="92">
        <v>5.8813700000000003E-2</v>
      </c>
    </row>
    <row r="144" spans="1:12" x14ac:dyDescent="0.3">
      <c r="A144" s="93" t="s">
        <v>1703</v>
      </c>
      <c r="B144" s="94">
        <v>9.5200000000000007E-2</v>
      </c>
      <c r="C144" s="95"/>
    </row>
    <row r="145" spans="1:9" x14ac:dyDescent="0.3">
      <c r="A145" s="82" t="s">
        <v>1704</v>
      </c>
      <c r="B145" s="96">
        <v>-1305000.7153359498</v>
      </c>
      <c r="C145" s="97">
        <v>-0.4350002384453166</v>
      </c>
    </row>
    <row r="146" spans="1:9" x14ac:dyDescent="0.3">
      <c r="A146" s="82" t="s">
        <v>1705</v>
      </c>
      <c r="B146" s="96">
        <v>-1549661.393433826</v>
      </c>
      <c r="C146" s="98">
        <v>-0.51655379781127531</v>
      </c>
    </row>
    <row r="147" spans="1:9" x14ac:dyDescent="0.3">
      <c r="A147" s="82" t="s">
        <v>1706</v>
      </c>
      <c r="B147" s="85">
        <v>-1545316.5568457611</v>
      </c>
      <c r="C147" s="92">
        <v>-0.51510551894858703</v>
      </c>
    </row>
    <row r="148" spans="1:9" x14ac:dyDescent="0.3">
      <c r="A148" s="82" t="s">
        <v>1707</v>
      </c>
      <c r="B148" s="99">
        <v>7.3185247239817355E-2</v>
      </c>
      <c r="C148" s="84"/>
    </row>
    <row r="149" spans="1:9" x14ac:dyDescent="0.3">
      <c r="A149" s="82" t="s">
        <v>1708</v>
      </c>
      <c r="B149" s="85">
        <v>2500000</v>
      </c>
      <c r="C149" s="84"/>
    </row>
    <row r="150" spans="1:9" x14ac:dyDescent="0.3">
      <c r="A150" s="82" t="s">
        <v>1709</v>
      </c>
      <c r="B150" s="85">
        <v>2500000</v>
      </c>
      <c r="C150" s="84"/>
    </row>
    <row r="151" spans="1:9" x14ac:dyDescent="0.3">
      <c r="A151" s="82" t="s">
        <v>1710</v>
      </c>
      <c r="B151" s="34"/>
      <c r="C151" s="100">
        <v>0.83333333333333337</v>
      </c>
    </row>
    <row r="152" spans="1:9" ht="15" thickBot="1" x14ac:dyDescent="0.35">
      <c r="A152" s="101" t="s">
        <v>1426</v>
      </c>
      <c r="B152" s="102"/>
      <c r="C152" s="103">
        <v>8.2503599999999996E-2</v>
      </c>
    </row>
    <row r="153" spans="1:9" x14ac:dyDescent="0.3">
      <c r="A153" s="104" t="s">
        <v>1665</v>
      </c>
      <c r="B153" s="105">
        <v>2545680</v>
      </c>
      <c r="C153" s="106"/>
    </row>
    <row r="154" spans="1:9" ht="15" thickBot="1" x14ac:dyDescent="0.35">
      <c r="A154" s="107" t="s">
        <v>1666</v>
      </c>
      <c r="B154" s="108">
        <v>3000000</v>
      </c>
      <c r="C154" s="109"/>
    </row>
    <row r="155" spans="1:9" ht="15" thickBot="1" x14ac:dyDescent="0.35"/>
    <row r="156" spans="1:9" x14ac:dyDescent="0.3">
      <c r="A156" s="110" t="s">
        <v>1393</v>
      </c>
      <c r="B156" s="110" t="s">
        <v>1717</v>
      </c>
      <c r="C156" s="110" t="s">
        <v>1718</v>
      </c>
      <c r="D156" s="110" t="s">
        <v>1711</v>
      </c>
      <c r="E156" s="110" t="s">
        <v>1712</v>
      </c>
      <c r="F156" s="111" t="s">
        <v>1713</v>
      </c>
      <c r="G156" t="s">
        <v>1714</v>
      </c>
      <c r="H156" t="s">
        <v>1715</v>
      </c>
      <c r="I156" t="s">
        <v>1716</v>
      </c>
    </row>
    <row r="157" spans="1:9" x14ac:dyDescent="0.3">
      <c r="A157" s="112" t="s">
        <v>1325</v>
      </c>
      <c r="B157" s="112">
        <v>2749997.45</v>
      </c>
      <c r="C157" s="113">
        <v>0.91666581666666658</v>
      </c>
      <c r="D157" s="113">
        <v>0.05</v>
      </c>
      <c r="E157" s="113" t="s">
        <v>1663</v>
      </c>
      <c r="F157" s="114">
        <v>1.0000006452979735</v>
      </c>
      <c r="G157">
        <v>0.99816056855142843</v>
      </c>
      <c r="H157">
        <v>0.99999983798903802</v>
      </c>
      <c r="I157">
        <v>206258.966583781</v>
      </c>
    </row>
    <row r="158" spans="1:9" ht="15" thickBot="1" x14ac:dyDescent="0.35"/>
    <row r="159" spans="1:9" x14ac:dyDescent="0.3">
      <c r="A159" s="118" t="s">
        <v>1632</v>
      </c>
      <c r="B159" s="118" t="s">
        <v>1719</v>
      </c>
      <c r="C159" s="118" t="s">
        <v>1720</v>
      </c>
      <c r="D159" s="118" t="s">
        <v>1721</v>
      </c>
      <c r="E159" s="118" t="s">
        <v>1722</v>
      </c>
      <c r="F159" s="118" t="s">
        <v>1723</v>
      </c>
      <c r="G159" s="118" t="s">
        <v>1724</v>
      </c>
      <c r="H159" s="118" t="s">
        <v>1725</v>
      </c>
      <c r="I159" s="118" t="s">
        <v>1725</v>
      </c>
    </row>
    <row r="160" spans="1:9" x14ac:dyDescent="0.3">
      <c r="A160" s="119" t="s">
        <v>1633</v>
      </c>
      <c r="B160" s="120">
        <v>250000.00125</v>
      </c>
      <c r="C160" s="120">
        <v>499999.90125000005</v>
      </c>
      <c r="D160" s="117">
        <v>8.3333333750000002E-2</v>
      </c>
      <c r="E160" s="117">
        <v>0.16666663375000002</v>
      </c>
      <c r="F160" s="117">
        <v>0.35</v>
      </c>
      <c r="G160" s="117">
        <v>0.5</v>
      </c>
      <c r="H160" s="112" t="s">
        <v>1571</v>
      </c>
      <c r="I160" s="121" t="s">
        <v>1571</v>
      </c>
    </row>
    <row r="161" spans="1:9" x14ac:dyDescent="0.3">
      <c r="A161" s="119" t="s">
        <v>1635</v>
      </c>
      <c r="B161" s="120">
        <v>249999.90000000005</v>
      </c>
      <c r="C161" s="120">
        <v>279556.78508472437</v>
      </c>
      <c r="D161" s="117">
        <v>8.3333300000000013E-2</v>
      </c>
      <c r="E161" s="117">
        <v>9.3185595028241461E-2</v>
      </c>
      <c r="F161" s="117">
        <v>0.3</v>
      </c>
      <c r="G161" s="117">
        <v>0.5</v>
      </c>
      <c r="H161" s="112" t="s">
        <v>1571</v>
      </c>
      <c r="I161" s="121" t="s">
        <v>1571</v>
      </c>
    </row>
    <row r="162" spans="1:9" x14ac:dyDescent="0.3">
      <c r="A162" s="119" t="s">
        <v>1639</v>
      </c>
      <c r="B162" s="120">
        <v>0</v>
      </c>
      <c r="C162" s="120">
        <v>278698.78576808498</v>
      </c>
      <c r="D162" s="117">
        <v>0</v>
      </c>
      <c r="E162" s="117">
        <v>9.2899595256028325E-2</v>
      </c>
      <c r="F162" s="117">
        <v>0.3</v>
      </c>
      <c r="G162" s="117">
        <v>0.5</v>
      </c>
      <c r="H162" s="112" t="s">
        <v>1571</v>
      </c>
      <c r="I162" s="121" t="s">
        <v>1571</v>
      </c>
    </row>
    <row r="163" spans="1:9" x14ac:dyDescent="0.3">
      <c r="A163" s="122" t="s">
        <v>1651</v>
      </c>
      <c r="B163" s="120">
        <v>0</v>
      </c>
      <c r="C163" s="120">
        <v>249999.89999999994</v>
      </c>
      <c r="D163" s="117">
        <v>0</v>
      </c>
      <c r="E163" s="117">
        <v>8.3333299999999985E-2</v>
      </c>
      <c r="F163" s="117">
        <v>0.4</v>
      </c>
      <c r="G163" s="117">
        <v>0.65</v>
      </c>
      <c r="H163" s="112" t="s">
        <v>1571</v>
      </c>
      <c r="I163" s="121" t="s">
        <v>1571</v>
      </c>
    </row>
    <row r="164" spans="1:9" x14ac:dyDescent="0.3">
      <c r="A164" s="119" t="s">
        <v>1649</v>
      </c>
      <c r="B164" s="120">
        <v>0</v>
      </c>
      <c r="C164" s="120">
        <v>77303.871926452892</v>
      </c>
      <c r="D164" s="117">
        <v>0</v>
      </c>
      <c r="E164" s="117">
        <v>2.5767957308817632E-2</v>
      </c>
      <c r="F164" s="117">
        <v>0.4</v>
      </c>
      <c r="G164" s="117">
        <v>0.65</v>
      </c>
      <c r="H164" s="112" t="s">
        <v>1571</v>
      </c>
      <c r="I164" s="121" t="s">
        <v>1571</v>
      </c>
    </row>
    <row r="165" spans="1:9" x14ac:dyDescent="0.3">
      <c r="A165" s="119" t="s">
        <v>1650</v>
      </c>
      <c r="B165" s="120">
        <v>249999.99750000006</v>
      </c>
      <c r="C165" s="120">
        <v>460986.65859580616</v>
      </c>
      <c r="D165" s="117">
        <v>8.3333332500000024E-2</v>
      </c>
      <c r="E165" s="117">
        <v>0.1536622195319354</v>
      </c>
      <c r="F165" s="117">
        <v>0.4</v>
      </c>
      <c r="G165" s="117">
        <v>0.65</v>
      </c>
      <c r="H165" s="112" t="s">
        <v>1571</v>
      </c>
      <c r="I165" s="121" t="s">
        <v>1571</v>
      </c>
    </row>
    <row r="166" spans="1:9" x14ac:dyDescent="0.3">
      <c r="A166" s="119" t="s">
        <v>1636</v>
      </c>
      <c r="B166" s="120">
        <v>0</v>
      </c>
      <c r="C166" s="120">
        <v>249999.9</v>
      </c>
      <c r="D166" s="117">
        <v>0</v>
      </c>
      <c r="E166" s="117">
        <v>8.3333299999999999E-2</v>
      </c>
      <c r="F166" s="117">
        <v>0.3</v>
      </c>
      <c r="G166" s="117">
        <v>0.5</v>
      </c>
      <c r="H166" s="112" t="s">
        <v>1571</v>
      </c>
      <c r="I166" s="121" t="s">
        <v>1571</v>
      </c>
    </row>
    <row r="167" spans="1:9" x14ac:dyDescent="0.3">
      <c r="A167" s="119" t="s">
        <v>1640</v>
      </c>
      <c r="B167" s="120">
        <v>12552.467579817421</v>
      </c>
      <c r="C167" s="120">
        <v>499998</v>
      </c>
      <c r="D167" s="117">
        <v>4.18415585993914E-3</v>
      </c>
      <c r="E167" s="117">
        <v>0.16666600000000001</v>
      </c>
      <c r="F167" s="117">
        <v>0.2</v>
      </c>
      <c r="G167" s="117">
        <v>0.35</v>
      </c>
      <c r="H167" s="112" t="s">
        <v>1571</v>
      </c>
      <c r="I167" s="121" t="s">
        <v>1571</v>
      </c>
    </row>
    <row r="168" spans="1:9" x14ac:dyDescent="0.3">
      <c r="A168" s="119" t="s">
        <v>1653</v>
      </c>
      <c r="B168" s="120">
        <v>0</v>
      </c>
      <c r="C168" s="120">
        <v>249999</v>
      </c>
      <c r="D168" s="117">
        <v>0</v>
      </c>
      <c r="E168" s="117">
        <v>8.3333000000000004E-2</v>
      </c>
      <c r="F168" s="117">
        <v>0.3</v>
      </c>
      <c r="G168" s="117">
        <v>0.45</v>
      </c>
      <c r="H168" s="112" t="s">
        <v>1571</v>
      </c>
      <c r="I168" s="121" t="s">
        <v>1571</v>
      </c>
    </row>
    <row r="169" spans="1:9" x14ac:dyDescent="0.3">
      <c r="A169" s="119" t="s">
        <v>1660</v>
      </c>
      <c r="B169" s="120">
        <v>0</v>
      </c>
      <c r="C169" s="120">
        <v>0</v>
      </c>
      <c r="D169" s="117">
        <v>0</v>
      </c>
      <c r="E169" s="117">
        <v>0</v>
      </c>
      <c r="F169" s="117">
        <v>0.2</v>
      </c>
      <c r="G169" s="117">
        <v>0.35</v>
      </c>
      <c r="H169" s="112" t="s">
        <v>1571</v>
      </c>
      <c r="I169" s="121" t="s">
        <v>1571</v>
      </c>
    </row>
    <row r="170" spans="1:9" x14ac:dyDescent="0.3">
      <c r="A170" s="119" t="s">
        <v>1638</v>
      </c>
      <c r="B170" s="120">
        <v>0</v>
      </c>
      <c r="C170" s="120">
        <v>0</v>
      </c>
      <c r="D170" s="117">
        <v>0</v>
      </c>
      <c r="E170" s="117">
        <v>0</v>
      </c>
      <c r="F170" s="117">
        <v>0.3</v>
      </c>
      <c r="G170" s="117">
        <v>0.5</v>
      </c>
      <c r="H170" s="112" t="s">
        <v>1571</v>
      </c>
      <c r="I170" s="121" t="s">
        <v>1571</v>
      </c>
    </row>
    <row r="171" spans="1:9" x14ac:dyDescent="0.3">
      <c r="A171" s="119" t="s">
        <v>1656</v>
      </c>
      <c r="B171" s="120">
        <v>0</v>
      </c>
      <c r="C171" s="120">
        <v>0</v>
      </c>
      <c r="D171" s="117">
        <v>0</v>
      </c>
      <c r="E171" s="117">
        <v>0</v>
      </c>
      <c r="F171" s="117">
        <v>0.3</v>
      </c>
      <c r="G171" s="117">
        <v>0.45</v>
      </c>
      <c r="H171" s="112" t="s">
        <v>1571</v>
      </c>
      <c r="I171" s="121" t="s">
        <v>1571</v>
      </c>
    </row>
    <row r="172" spans="1:9" x14ac:dyDescent="0.3">
      <c r="A172" s="119" t="s">
        <v>1641</v>
      </c>
      <c r="B172" s="120">
        <v>0</v>
      </c>
      <c r="C172" s="120">
        <v>250000.5</v>
      </c>
      <c r="D172" s="117">
        <v>0</v>
      </c>
      <c r="E172" s="117">
        <v>8.3333500000000005E-2</v>
      </c>
      <c r="F172" s="117">
        <v>0.2</v>
      </c>
      <c r="G172" s="117">
        <v>0.3</v>
      </c>
      <c r="H172" s="112" t="s">
        <v>1571</v>
      </c>
      <c r="I172" s="121" t="s">
        <v>1571</v>
      </c>
    </row>
    <row r="173" spans="1:9" x14ac:dyDescent="0.3">
      <c r="A173" s="119" t="s">
        <v>1637</v>
      </c>
      <c r="B173" s="120">
        <v>249999.6</v>
      </c>
      <c r="C173" s="120">
        <v>249999.60000000003</v>
      </c>
      <c r="D173" s="117">
        <v>8.3333199999999996E-2</v>
      </c>
      <c r="E173" s="117">
        <v>8.333320000000001E-2</v>
      </c>
      <c r="F173" s="117">
        <v>0.3</v>
      </c>
      <c r="G173" s="117">
        <v>0.5</v>
      </c>
      <c r="H173" s="112" t="s">
        <v>1571</v>
      </c>
      <c r="I173" s="121" t="s">
        <v>1571</v>
      </c>
    </row>
    <row r="174" spans="1:9" x14ac:dyDescent="0.3">
      <c r="A174" s="119" t="s">
        <v>1659</v>
      </c>
      <c r="B174" s="120">
        <v>0</v>
      </c>
      <c r="C174" s="120">
        <v>0</v>
      </c>
      <c r="D174" s="117">
        <v>0</v>
      </c>
      <c r="E174" s="117">
        <v>0</v>
      </c>
      <c r="F174" s="117">
        <v>0.2</v>
      </c>
      <c r="G174" s="117">
        <v>0.35</v>
      </c>
      <c r="H174" s="112" t="s">
        <v>1571</v>
      </c>
      <c r="I174" s="121" t="s">
        <v>1571</v>
      </c>
    </row>
    <row r="175" spans="1:9" x14ac:dyDescent="0.3">
      <c r="A175" s="119" t="s">
        <v>1657</v>
      </c>
      <c r="B175" s="116">
        <v>0</v>
      </c>
      <c r="C175" s="116">
        <v>0</v>
      </c>
      <c r="D175" s="117">
        <v>0</v>
      </c>
      <c r="E175" s="117">
        <v>0</v>
      </c>
      <c r="F175" s="117">
        <v>0.2</v>
      </c>
      <c r="G175" s="117">
        <v>0.35</v>
      </c>
      <c r="H175" s="123" t="s">
        <v>1571</v>
      </c>
      <c r="I175" s="124" t="s">
        <v>1571</v>
      </c>
    </row>
    <row r="176" spans="1:9" x14ac:dyDescent="0.3">
      <c r="A176" s="119" t="s">
        <v>1658</v>
      </c>
      <c r="B176" s="116">
        <v>0</v>
      </c>
      <c r="C176" s="116">
        <v>0</v>
      </c>
      <c r="D176" s="117">
        <v>0</v>
      </c>
      <c r="E176" s="117">
        <v>0</v>
      </c>
      <c r="F176" s="117">
        <v>0.2</v>
      </c>
      <c r="G176" s="117">
        <v>0.35</v>
      </c>
      <c r="H176" s="112" t="s">
        <v>1571</v>
      </c>
      <c r="I176" s="124" t="s">
        <v>1571</v>
      </c>
    </row>
    <row r="177" spans="1:9" x14ac:dyDescent="0.3">
      <c r="A177" s="125" t="s">
        <v>1652</v>
      </c>
      <c r="B177" s="126">
        <v>0</v>
      </c>
      <c r="C177" s="126">
        <v>0</v>
      </c>
      <c r="D177" s="117">
        <v>0</v>
      </c>
      <c r="E177" s="117">
        <v>0</v>
      </c>
      <c r="F177" s="117">
        <v>0.4</v>
      </c>
      <c r="G177" s="117">
        <v>0.65</v>
      </c>
      <c r="H177" s="38" t="s">
        <v>1571</v>
      </c>
      <c r="I177" s="121" t="s">
        <v>1571</v>
      </c>
    </row>
    <row r="178" spans="1:9" x14ac:dyDescent="0.3">
      <c r="A178" s="125" t="s">
        <v>1654</v>
      </c>
      <c r="B178" s="116">
        <v>0</v>
      </c>
      <c r="C178" s="116">
        <v>0</v>
      </c>
      <c r="D178" s="117">
        <v>0</v>
      </c>
      <c r="E178" s="117">
        <v>0</v>
      </c>
      <c r="F178" s="117">
        <v>0.3</v>
      </c>
      <c r="G178" s="117">
        <v>0.45</v>
      </c>
      <c r="H178" s="42" t="s">
        <v>1571</v>
      </c>
      <c r="I178" s="124" t="s">
        <v>1571</v>
      </c>
    </row>
    <row r="179" spans="1:9" x14ac:dyDescent="0.3">
      <c r="A179" s="125" t="s">
        <v>1655</v>
      </c>
      <c r="B179" s="116">
        <v>62500</v>
      </c>
      <c r="C179" s="116">
        <v>250000</v>
      </c>
      <c r="D179" s="117">
        <v>2.0833333333333332E-2</v>
      </c>
      <c r="E179" s="117">
        <v>8.3333333333333329E-2</v>
      </c>
      <c r="F179" s="117">
        <v>0.3</v>
      </c>
      <c r="G179" s="117">
        <v>0.45</v>
      </c>
      <c r="H179" s="42" t="s">
        <v>1571</v>
      </c>
      <c r="I179" s="124" t="s">
        <v>1571</v>
      </c>
    </row>
    <row r="180" spans="1:9" x14ac:dyDescent="0.3">
      <c r="A180" s="125" t="s">
        <v>1647</v>
      </c>
      <c r="B180" s="116">
        <v>0</v>
      </c>
      <c r="C180" s="116">
        <v>0</v>
      </c>
      <c r="D180" s="117">
        <v>0</v>
      </c>
      <c r="E180" s="117">
        <v>0</v>
      </c>
      <c r="F180" s="117">
        <v>0.15</v>
      </c>
      <c r="G180" s="117">
        <v>0.25</v>
      </c>
      <c r="H180" s="42" t="s">
        <v>1571</v>
      </c>
      <c r="I180" s="124" t="s">
        <v>1571</v>
      </c>
    </row>
    <row r="181" spans="1:9" x14ac:dyDescent="0.3">
      <c r="A181" s="125" t="s">
        <v>1642</v>
      </c>
      <c r="B181" s="116">
        <v>0</v>
      </c>
      <c r="C181" s="116">
        <v>0</v>
      </c>
      <c r="D181" s="117">
        <v>0</v>
      </c>
      <c r="E181" s="117">
        <v>0</v>
      </c>
      <c r="F181" s="117">
        <v>0.3</v>
      </c>
      <c r="G181" s="117">
        <v>0.5</v>
      </c>
      <c r="H181" s="42" t="s">
        <v>1571</v>
      </c>
      <c r="I181" s="124" t="s">
        <v>1571</v>
      </c>
    </row>
    <row r="182" spans="1:9" ht="15" thickBot="1" x14ac:dyDescent="0.35">
      <c r="A182" s="127" t="s">
        <v>1643</v>
      </c>
      <c r="B182" s="128">
        <v>0</v>
      </c>
      <c r="C182" s="128">
        <v>0</v>
      </c>
      <c r="D182" s="129">
        <v>0</v>
      </c>
      <c r="E182" s="129">
        <v>0</v>
      </c>
      <c r="F182" s="129">
        <v>0.2</v>
      </c>
      <c r="G182" s="129">
        <v>0.3</v>
      </c>
      <c r="H182" s="130" t="s">
        <v>1571</v>
      </c>
      <c r="I182" s="131" t="s">
        <v>1571</v>
      </c>
    </row>
    <row r="184" spans="1:9" x14ac:dyDescent="0.3">
      <c r="A184" s="132" t="s">
        <v>1315</v>
      </c>
      <c r="B184" s="132" t="s">
        <v>1717</v>
      </c>
      <c r="C184" s="132" t="s">
        <v>1718</v>
      </c>
      <c r="D184" s="132" t="s">
        <v>1711</v>
      </c>
      <c r="E184" s="132" t="s">
        <v>1712</v>
      </c>
    </row>
    <row r="185" spans="1:9" x14ac:dyDescent="0.3">
      <c r="A185" s="37" t="s">
        <v>1344</v>
      </c>
      <c r="B185" s="116">
        <v>250000</v>
      </c>
      <c r="C185" s="117">
        <v>8.3333333333333329E-2</v>
      </c>
      <c r="D185" s="133">
        <v>0.1</v>
      </c>
      <c r="E185" s="112" t="s">
        <v>1726</v>
      </c>
    </row>
    <row r="186" spans="1:9" x14ac:dyDescent="0.3">
      <c r="A186" s="37" t="s">
        <v>1342</v>
      </c>
      <c r="B186" s="116">
        <v>250000</v>
      </c>
      <c r="C186" s="117">
        <v>8.3333333333333329E-2</v>
      </c>
      <c r="D186" s="133">
        <v>0.1</v>
      </c>
      <c r="E186" s="112" t="s">
        <v>1726</v>
      </c>
    </row>
    <row r="187" spans="1:9" x14ac:dyDescent="0.3">
      <c r="A187" s="37" t="s">
        <v>1339</v>
      </c>
      <c r="B187" s="116">
        <v>249999</v>
      </c>
      <c r="C187" s="117">
        <v>8.3333000000000004E-2</v>
      </c>
      <c r="D187" s="133">
        <v>0.1</v>
      </c>
      <c r="E187" s="112" t="s">
        <v>1726</v>
      </c>
    </row>
    <row r="188" spans="1:9" x14ac:dyDescent="0.3">
      <c r="A188" s="37" t="s">
        <v>1341</v>
      </c>
      <c r="B188" s="116">
        <v>249999</v>
      </c>
      <c r="C188" s="117">
        <v>8.3333000000000004E-2</v>
      </c>
      <c r="D188" s="133">
        <v>0.1</v>
      </c>
      <c r="E188" s="112" t="s">
        <v>1726</v>
      </c>
    </row>
    <row r="189" spans="1:9" x14ac:dyDescent="0.3">
      <c r="A189" s="37" t="s">
        <v>1331</v>
      </c>
      <c r="B189" s="116">
        <v>249999.9</v>
      </c>
      <c r="C189" s="117">
        <v>8.3333299999999999E-2</v>
      </c>
      <c r="D189" s="133">
        <v>0.1</v>
      </c>
      <c r="E189" s="112" t="s">
        <v>1726</v>
      </c>
    </row>
    <row r="190" spans="1:9" x14ac:dyDescent="0.3">
      <c r="A190" s="37" t="s">
        <v>1337</v>
      </c>
      <c r="B190" s="116">
        <v>249999.60000000003</v>
      </c>
      <c r="C190" s="117">
        <v>8.333320000000001E-2</v>
      </c>
      <c r="D190" s="133">
        <v>0.1</v>
      </c>
      <c r="E190" s="112" t="s">
        <v>1726</v>
      </c>
    </row>
    <row r="191" spans="1:9" x14ac:dyDescent="0.3">
      <c r="A191" s="37" t="s">
        <v>1335</v>
      </c>
      <c r="B191" s="116">
        <v>250000</v>
      </c>
      <c r="C191" s="117">
        <v>8.3333333333333329E-2</v>
      </c>
      <c r="D191" s="133">
        <v>0.1</v>
      </c>
      <c r="E191" s="112" t="s">
        <v>1726</v>
      </c>
    </row>
    <row r="192" spans="1:9" x14ac:dyDescent="0.3">
      <c r="A192" s="37" t="s">
        <v>1345</v>
      </c>
      <c r="B192" s="116">
        <v>500000</v>
      </c>
      <c r="C192" s="117">
        <v>0.16666666666666666</v>
      </c>
      <c r="D192" s="133">
        <v>0.1</v>
      </c>
      <c r="E192" s="112" t="s">
        <v>1663</v>
      </c>
    </row>
    <row r="193" spans="1:9" x14ac:dyDescent="0.3">
      <c r="A193" s="37" t="s">
        <v>1343</v>
      </c>
      <c r="B193" s="116">
        <v>249999.45</v>
      </c>
      <c r="C193" s="117">
        <v>8.3333150000000009E-2</v>
      </c>
      <c r="D193" s="133">
        <v>0.1</v>
      </c>
      <c r="E193" s="112" t="s">
        <v>1726</v>
      </c>
    </row>
    <row r="194" spans="1:9" x14ac:dyDescent="0.3">
      <c r="A194" s="37" t="s">
        <v>1327</v>
      </c>
      <c r="B194" s="116">
        <v>250000.5</v>
      </c>
      <c r="C194" s="117">
        <v>8.3333500000000005E-2</v>
      </c>
      <c r="D194" s="133">
        <v>0.1</v>
      </c>
      <c r="E194" s="112" t="s">
        <v>1726</v>
      </c>
    </row>
    <row r="197" spans="1:9" x14ac:dyDescent="0.3">
      <c r="A197" s="134" t="s">
        <v>1432</v>
      </c>
      <c r="B197" s="135" t="s">
        <v>1727</v>
      </c>
      <c r="C197" s="136" t="s">
        <v>1728</v>
      </c>
      <c r="D197" s="136" t="s">
        <v>1729</v>
      </c>
      <c r="E197" s="136" t="s">
        <v>1730</v>
      </c>
      <c r="F197" s="136" t="s">
        <v>1731</v>
      </c>
      <c r="G197" s="136" t="s">
        <v>1732</v>
      </c>
      <c r="H197" s="136" t="s">
        <v>1733</v>
      </c>
      <c r="I197" s="136" t="s">
        <v>1734</v>
      </c>
    </row>
    <row r="198" spans="1:9" x14ac:dyDescent="0.3">
      <c r="A198" s="34">
        <v>1</v>
      </c>
      <c r="B198" s="34" t="s">
        <v>1661</v>
      </c>
      <c r="C198" s="137">
        <v>30777.586259014963</v>
      </c>
      <c r="D198" s="137">
        <v>81.63365436426102</v>
      </c>
      <c r="E198" s="137">
        <v>499999.00125000003</v>
      </c>
      <c r="F198" s="137">
        <v>587737.03838970093</v>
      </c>
      <c r="G198" s="137">
        <v>587737.03838970093</v>
      </c>
      <c r="H198" s="137">
        <v>500080.6349043643</v>
      </c>
      <c r="I198" s="137">
        <v>-287639.60042058327</v>
      </c>
    </row>
    <row r="199" spans="1:9" x14ac:dyDescent="0.3">
      <c r="A199" s="34">
        <v>2</v>
      </c>
      <c r="B199" s="34" t="s">
        <v>1633</v>
      </c>
      <c r="C199" s="137">
        <v>17310.587846508839</v>
      </c>
      <c r="D199" s="137">
        <v>13548.632066870385</v>
      </c>
      <c r="E199" s="137">
        <v>327093.49603754544</v>
      </c>
      <c r="F199" s="137">
        <v>497975.26895345881</v>
      </c>
      <c r="G199" s="137">
        <v>394986.91660338663</v>
      </c>
      <c r="H199" s="137">
        <v>340642.12810441584</v>
      </c>
      <c r="I199" s="137">
        <v>-128201.09362063484</v>
      </c>
    </row>
    <row r="200" spans="1:9" x14ac:dyDescent="0.3">
      <c r="A200" s="34">
        <v>3</v>
      </c>
      <c r="B200" s="34" t="s">
        <v>1635</v>
      </c>
      <c r="C200" s="137">
        <v>6282.3361040696336</v>
      </c>
      <c r="D200" s="137">
        <v>24576.883809309591</v>
      </c>
      <c r="E200" s="137">
        <v>249999.90000000005</v>
      </c>
      <c r="F200" s="137">
        <v>298122.98268758343</v>
      </c>
      <c r="G200" s="137">
        <v>111868.26352754141</v>
      </c>
      <c r="H200" s="137">
        <v>274576.78380930965</v>
      </c>
      <c r="I200" s="137">
        <v>-62135.749325528654</v>
      </c>
    </row>
    <row r="201" spans="1:9" x14ac:dyDescent="0.3">
      <c r="A201" s="34">
        <v>4</v>
      </c>
      <c r="B201" s="34" t="s">
        <v>1639</v>
      </c>
      <c r="C201" s="137">
        <v>1689.0246823183093</v>
      </c>
      <c r="D201" s="137">
        <v>29170.195231060916</v>
      </c>
      <c r="E201" s="137">
        <v>0</v>
      </c>
      <c r="F201" s="137">
        <v>168902.46823183092</v>
      </c>
      <c r="G201" s="137">
        <v>32498.488197873732</v>
      </c>
      <c r="H201" s="137">
        <v>29170.195231060916</v>
      </c>
      <c r="I201" s="137">
        <v>183270.83925272009</v>
      </c>
    </row>
    <row r="202" spans="1:9" x14ac:dyDescent="0.3">
      <c r="A202" s="34">
        <v>5</v>
      </c>
      <c r="B202" s="34" t="s">
        <v>1651</v>
      </c>
      <c r="C202" s="137">
        <v>641.15392236062007</v>
      </c>
      <c r="D202" s="137">
        <v>30218.065991018604</v>
      </c>
      <c r="E202" s="137">
        <v>0</v>
      </c>
      <c r="F202" s="137">
        <v>64115.392236062005</v>
      </c>
      <c r="G202" s="137">
        <v>14999.995874999999</v>
      </c>
      <c r="H202" s="137">
        <v>30218.065991018604</v>
      </c>
      <c r="I202" s="137">
        <v>182222.96849276239</v>
      </c>
    </row>
    <row r="203" spans="1:9" x14ac:dyDescent="0.3">
      <c r="A203" s="34">
        <v>6</v>
      </c>
      <c r="B203" s="34" t="s">
        <v>1649</v>
      </c>
      <c r="C203" s="137">
        <v>535.76832601638864</v>
      </c>
      <c r="D203" s="137">
        <v>30323.451587362833</v>
      </c>
      <c r="E203" s="137">
        <v>0</v>
      </c>
      <c r="F203" s="137">
        <v>53576.832601638867</v>
      </c>
      <c r="G203" s="137">
        <v>15353.433800686407</v>
      </c>
      <c r="H203" s="137">
        <v>30323.451587362833</v>
      </c>
      <c r="I203" s="137">
        <v>182117.58289641817</v>
      </c>
    </row>
    <row r="204" spans="1:9" x14ac:dyDescent="0.3">
      <c r="A204" s="34">
        <v>7</v>
      </c>
      <c r="B204" s="34" t="s">
        <v>1650</v>
      </c>
      <c r="C204" s="137">
        <v>5761.3135606388259</v>
      </c>
      <c r="D204" s="137">
        <v>25097.9063527404</v>
      </c>
      <c r="E204" s="137">
        <v>249999.99750000006</v>
      </c>
      <c r="F204" s="137">
        <v>316177.42719592305</v>
      </c>
      <c r="G204" s="137">
        <v>147902.89230674342</v>
      </c>
      <c r="H204" s="137">
        <v>275097.90385274048</v>
      </c>
      <c r="I204" s="137">
        <v>-62656.86936895948</v>
      </c>
    </row>
    <row r="205" spans="1:9" x14ac:dyDescent="0.3">
      <c r="A205" s="34">
        <v>8</v>
      </c>
      <c r="B205" s="34" t="s">
        <v>1636</v>
      </c>
      <c r="C205" s="137">
        <v>785.74961981509102</v>
      </c>
      <c r="D205" s="137">
        <v>30073.470293564133</v>
      </c>
      <c r="E205" s="137">
        <v>0</v>
      </c>
      <c r="F205" s="137">
        <v>78574.961981509099</v>
      </c>
      <c r="G205" s="137">
        <v>15757.302662688846</v>
      </c>
      <c r="H205" s="137">
        <v>30073.470293564133</v>
      </c>
      <c r="I205" s="137">
        <v>182367.56419021686</v>
      </c>
    </row>
    <row r="206" spans="1:9" x14ac:dyDescent="0.3">
      <c r="A206" s="34">
        <v>9</v>
      </c>
      <c r="B206" s="34" t="s">
        <v>1640</v>
      </c>
      <c r="C206" s="137">
        <v>4135.5399820985822</v>
      </c>
      <c r="D206" s="137">
        <v>26723.67993128064</v>
      </c>
      <c r="E206" s="137">
        <v>12552.467579817421</v>
      </c>
      <c r="F206" s="137">
        <v>413312.51090208546</v>
      </c>
      <c r="G206" s="137">
        <v>116187.67879881465</v>
      </c>
      <c r="H206" s="137">
        <v>39276.147511098061</v>
      </c>
      <c r="I206" s="137">
        <v>173164.88697268293</v>
      </c>
    </row>
    <row r="207" spans="1:9" x14ac:dyDescent="0.3">
      <c r="A207" s="34">
        <v>10</v>
      </c>
      <c r="B207" s="34" t="s">
        <v>1653</v>
      </c>
      <c r="C207" s="137">
        <v>660.87283625631096</v>
      </c>
      <c r="D207" s="137">
        <v>30198.347077122911</v>
      </c>
      <c r="E207" s="137">
        <v>0</v>
      </c>
      <c r="F207" s="137">
        <v>66087.283625631098</v>
      </c>
      <c r="G207" s="137">
        <v>2499.9989999999998</v>
      </c>
      <c r="H207" s="137">
        <v>30198.347077122911</v>
      </c>
      <c r="I207" s="137">
        <v>182242.68740665808</v>
      </c>
    </row>
    <row r="208" spans="1:9" x14ac:dyDescent="0.3">
      <c r="A208" s="34">
        <v>11</v>
      </c>
      <c r="B208" s="34" t="s">
        <v>1660</v>
      </c>
      <c r="C208" s="137">
        <v>0</v>
      </c>
      <c r="D208" s="137">
        <v>30859.219913379224</v>
      </c>
      <c r="E208" s="137">
        <v>0</v>
      </c>
      <c r="F208" s="137">
        <v>0</v>
      </c>
      <c r="G208" s="137">
        <v>0</v>
      </c>
      <c r="H208" s="137">
        <v>30859.219913379224</v>
      </c>
      <c r="I208" s="137">
        <v>181581.81457040177</v>
      </c>
    </row>
    <row r="209" spans="1:13" x14ac:dyDescent="0.3">
      <c r="A209" s="34">
        <v>12</v>
      </c>
      <c r="B209" s="34" t="s">
        <v>1638</v>
      </c>
      <c r="C209" s="137">
        <v>0</v>
      </c>
      <c r="D209" s="137">
        <v>30859.219913379224</v>
      </c>
      <c r="E209" s="137">
        <v>0</v>
      </c>
      <c r="F209" s="137">
        <v>0</v>
      </c>
      <c r="G209" s="137">
        <v>0</v>
      </c>
      <c r="H209" s="137">
        <v>30859.219913379224</v>
      </c>
      <c r="I209" s="137">
        <v>181581.81457040177</v>
      </c>
    </row>
    <row r="210" spans="1:13" x14ac:dyDescent="0.3">
      <c r="A210" s="34">
        <v>13</v>
      </c>
      <c r="B210" s="34" t="s">
        <v>1656</v>
      </c>
      <c r="C210" s="137">
        <v>0</v>
      </c>
      <c r="D210" s="137">
        <v>30859.219913379224</v>
      </c>
      <c r="E210" s="137">
        <v>0</v>
      </c>
      <c r="F210" s="137">
        <v>0</v>
      </c>
      <c r="G210" s="137">
        <v>0</v>
      </c>
      <c r="H210" s="137">
        <v>30859.219913379224</v>
      </c>
      <c r="I210" s="137">
        <v>181581.81457040177</v>
      </c>
    </row>
    <row r="211" spans="1:13" x14ac:dyDescent="0.3">
      <c r="A211" s="34">
        <v>14</v>
      </c>
      <c r="B211" s="34" t="s">
        <v>1641</v>
      </c>
      <c r="C211" s="137">
        <v>1971.5092803013679</v>
      </c>
      <c r="D211" s="137">
        <v>28887.710633077855</v>
      </c>
      <c r="E211" s="137">
        <v>0</v>
      </c>
      <c r="F211" s="137">
        <v>197150.9280301368</v>
      </c>
      <c r="G211" s="137">
        <v>10000.02</v>
      </c>
      <c r="H211" s="137">
        <v>28887.710633077855</v>
      </c>
      <c r="I211" s="137">
        <v>183553.32385070313</v>
      </c>
    </row>
    <row r="212" spans="1:13" x14ac:dyDescent="0.3">
      <c r="A212" s="34">
        <v>15</v>
      </c>
      <c r="B212" s="34" t="s">
        <v>1637</v>
      </c>
      <c r="C212" s="137">
        <v>3733.109579950129</v>
      </c>
      <c r="D212" s="137">
        <v>27126.110333429096</v>
      </c>
      <c r="E212" s="137">
        <v>249999.6</v>
      </c>
      <c r="F212" s="137">
        <v>249999.6000000003</v>
      </c>
      <c r="G212" s="137">
        <v>27499.956000000006</v>
      </c>
      <c r="H212" s="137">
        <v>277125.7103334291</v>
      </c>
      <c r="I212" s="137">
        <v>-64684.675849648105</v>
      </c>
    </row>
    <row r="213" spans="1:13" x14ac:dyDescent="0.3">
      <c r="A213" s="34">
        <v>16</v>
      </c>
      <c r="B213" s="34" t="s">
        <v>1659</v>
      </c>
      <c r="C213" s="137">
        <v>0</v>
      </c>
      <c r="D213" s="137">
        <v>30859.219913379224</v>
      </c>
      <c r="E213" s="137">
        <v>0</v>
      </c>
      <c r="F213" s="137">
        <v>0</v>
      </c>
      <c r="G213" s="137">
        <v>0</v>
      </c>
      <c r="H213" s="137">
        <v>30859.219913379224</v>
      </c>
      <c r="I213" s="137">
        <v>181581.81457040177</v>
      </c>
    </row>
    <row r="214" spans="1:13" x14ac:dyDescent="0.3">
      <c r="A214" s="34">
        <v>17</v>
      </c>
      <c r="B214" s="34" t="s">
        <v>1657</v>
      </c>
      <c r="C214" s="137">
        <v>0</v>
      </c>
      <c r="D214" s="137">
        <v>30859.219913379224</v>
      </c>
      <c r="E214" s="137">
        <v>0</v>
      </c>
      <c r="F214" s="137">
        <v>0</v>
      </c>
      <c r="G214" s="137">
        <v>0</v>
      </c>
      <c r="H214" s="137">
        <v>30859.219913379224</v>
      </c>
      <c r="I214" s="137">
        <v>181581.81457040177</v>
      </c>
    </row>
    <row r="215" spans="1:13" x14ac:dyDescent="0.3">
      <c r="A215" s="34">
        <v>18</v>
      </c>
      <c r="B215" s="34" t="s">
        <v>1658</v>
      </c>
      <c r="C215" s="137">
        <v>153.18208328999415</v>
      </c>
      <c r="D215" s="137">
        <v>30706.03783008923</v>
      </c>
      <c r="E215" s="137">
        <v>0</v>
      </c>
      <c r="F215" s="137">
        <v>15318.208328999415</v>
      </c>
      <c r="G215" s="137">
        <v>2499.9999374999998</v>
      </c>
      <c r="H215" s="137">
        <v>30706.03783008923</v>
      </c>
      <c r="I215" s="137">
        <v>181734.99665369178</v>
      </c>
    </row>
    <row r="216" spans="1:13" x14ac:dyDescent="0.3">
      <c r="A216" s="34">
        <v>19</v>
      </c>
      <c r="B216" s="34" t="s">
        <v>1652</v>
      </c>
      <c r="C216" s="137">
        <v>0</v>
      </c>
      <c r="D216" s="137">
        <v>30859.219913379224</v>
      </c>
      <c r="E216" s="137">
        <v>0</v>
      </c>
      <c r="F216" s="137">
        <v>0</v>
      </c>
      <c r="G216" s="137">
        <v>0</v>
      </c>
      <c r="H216" s="137">
        <v>30859.219913379224</v>
      </c>
      <c r="I216" s="137">
        <v>181581.81457040177</v>
      </c>
    </row>
    <row r="217" spans="1:13" x14ac:dyDescent="0.3">
      <c r="A217" s="34">
        <v>20</v>
      </c>
      <c r="B217" s="34" t="s">
        <v>1654</v>
      </c>
      <c r="C217" s="137">
        <v>0</v>
      </c>
      <c r="D217" s="137">
        <v>30859.219913379224</v>
      </c>
      <c r="E217" s="137">
        <v>0</v>
      </c>
      <c r="F217" s="137">
        <v>0</v>
      </c>
      <c r="G217" s="137">
        <v>0</v>
      </c>
      <c r="H217" s="137">
        <v>30859.219913379224</v>
      </c>
      <c r="I217" s="137">
        <v>181581.81457040177</v>
      </c>
    </row>
    <row r="218" spans="1:13" x14ac:dyDescent="0.3">
      <c r="A218" s="34">
        <v>21</v>
      </c>
      <c r="B218" s="34" t="s">
        <v>1655</v>
      </c>
      <c r="C218" s="137">
        <v>2306.25</v>
      </c>
      <c r="D218" s="137">
        <v>28552.969913379224</v>
      </c>
      <c r="E218" s="137">
        <v>62500</v>
      </c>
      <c r="F218" s="137">
        <v>222500</v>
      </c>
      <c r="G218" s="137">
        <v>11562.5</v>
      </c>
      <c r="H218" s="137">
        <v>91052.969913379231</v>
      </c>
      <c r="I218" s="137">
        <v>121388.06457040177</v>
      </c>
    </row>
    <row r="219" spans="1:13" x14ac:dyDescent="0.3">
      <c r="A219" s="34">
        <v>22</v>
      </c>
      <c r="B219" s="34" t="s">
        <v>1647</v>
      </c>
      <c r="C219" s="137">
        <v>0</v>
      </c>
      <c r="D219" s="137">
        <v>30859.219913379224</v>
      </c>
      <c r="E219" s="137">
        <v>0</v>
      </c>
      <c r="F219" s="137">
        <v>0</v>
      </c>
      <c r="G219" s="137">
        <v>0</v>
      </c>
      <c r="H219" s="137">
        <v>30859.219913379224</v>
      </c>
      <c r="I219" s="137">
        <v>181581.81457040177</v>
      </c>
    </row>
    <row r="220" spans="1:13" x14ac:dyDescent="0.3">
      <c r="A220" s="34">
        <v>23</v>
      </c>
      <c r="B220" s="34" t="s">
        <v>1642</v>
      </c>
      <c r="C220" s="137">
        <v>170.08928812862158</v>
      </c>
      <c r="D220" s="137">
        <v>30689.130625250604</v>
      </c>
      <c r="E220" s="137">
        <v>0</v>
      </c>
      <c r="F220" s="137">
        <v>17008.928812862156</v>
      </c>
      <c r="G220" s="137">
        <v>2499.9990000000007</v>
      </c>
      <c r="H220" s="137">
        <v>30689.130625250604</v>
      </c>
      <c r="I220" s="137">
        <v>181751.90385853039</v>
      </c>
    </row>
    <row r="221" spans="1:13" x14ac:dyDescent="0.3">
      <c r="A221" s="34">
        <v>24</v>
      </c>
      <c r="B221" s="34" t="s">
        <v>1643</v>
      </c>
      <c r="C221" s="137">
        <v>286.4454424812152</v>
      </c>
      <c r="D221" s="137">
        <v>30572.77447089801</v>
      </c>
      <c r="E221" s="137">
        <v>0</v>
      </c>
      <c r="F221" s="137">
        <v>28644.544248121521</v>
      </c>
      <c r="G221" s="137">
        <v>19999.96905</v>
      </c>
      <c r="H221" s="137">
        <v>30572.77447089801</v>
      </c>
      <c r="I221" s="137">
        <v>181868.26001288299</v>
      </c>
    </row>
    <row r="223" spans="1:13" x14ac:dyDescent="0.3">
      <c r="A223" s="138" t="s">
        <v>1735</v>
      </c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40"/>
    </row>
    <row r="224" spans="1:13" x14ac:dyDescent="0.3">
      <c r="A224" s="134" t="s">
        <v>3</v>
      </c>
      <c r="B224" s="141" t="s">
        <v>1736</v>
      </c>
      <c r="C224" s="141" t="s">
        <v>1737</v>
      </c>
      <c r="D224" s="141" t="s">
        <v>1738</v>
      </c>
      <c r="E224" s="141" t="s">
        <v>1739</v>
      </c>
      <c r="F224" s="141" t="s">
        <v>1740</v>
      </c>
      <c r="G224" s="141" t="s">
        <v>1741</v>
      </c>
      <c r="H224" s="141" t="s">
        <v>1742</v>
      </c>
      <c r="I224" s="141" t="s">
        <v>1743</v>
      </c>
      <c r="J224" s="141" t="s">
        <v>1744</v>
      </c>
      <c r="K224" s="141" t="s">
        <v>1745</v>
      </c>
      <c r="L224" s="141" t="s">
        <v>1746</v>
      </c>
      <c r="M224" s="142" t="s">
        <v>1747</v>
      </c>
    </row>
    <row r="225" spans="1:13" x14ac:dyDescent="0.3">
      <c r="A225" s="134" t="s">
        <v>1748</v>
      </c>
      <c r="B225" s="143">
        <v>2.0916131754265415E-2</v>
      </c>
      <c r="C225" s="143">
        <v>2.1263091731365123E-2</v>
      </c>
      <c r="D225" s="143">
        <v>2.547390594827997E-2</v>
      </c>
      <c r="E225" s="143">
        <v>2.9348358467302337E-2</v>
      </c>
      <c r="F225" s="143">
        <v>3.6645120686460073E-2</v>
      </c>
      <c r="G225" s="143">
        <v>2.8315861451334721E-2</v>
      </c>
      <c r="H225" s="143">
        <v>9.5797060950531157E-2</v>
      </c>
      <c r="I225" s="143">
        <v>0.18489413684574485</v>
      </c>
      <c r="J225" s="143">
        <v>0.26439234154020469</v>
      </c>
      <c r="K225" s="143">
        <v>0.19003525908460117</v>
      </c>
      <c r="L225" s="143">
        <v>5.6671606551312412E-2</v>
      </c>
      <c r="M225" s="89">
        <v>4.360241154868108E-2</v>
      </c>
    </row>
    <row r="226" spans="1:13" x14ac:dyDescent="0.3">
      <c r="A226" s="134" t="s">
        <v>418</v>
      </c>
      <c r="B226" s="143">
        <v>9.2125361825374716E-3</v>
      </c>
      <c r="C226" s="143">
        <v>0</v>
      </c>
      <c r="D226" s="143">
        <v>1.9233949749381626E-2</v>
      </c>
      <c r="E226" s="143">
        <v>0</v>
      </c>
      <c r="F226" s="143">
        <v>0</v>
      </c>
      <c r="G226" s="143">
        <v>4.0765256499497547E-3</v>
      </c>
      <c r="H226" s="143">
        <v>0.16716078752946567</v>
      </c>
      <c r="I226" s="143">
        <v>0.22471629386534661</v>
      </c>
      <c r="J226" s="143">
        <v>0.35611373176918232</v>
      </c>
      <c r="K226" s="143">
        <v>0.16864073673426586</v>
      </c>
      <c r="L226" s="143">
        <v>1.9444030984041197E-2</v>
      </c>
      <c r="M226" s="89">
        <v>0</v>
      </c>
    </row>
    <row r="227" spans="1:13" x14ac:dyDescent="0.3">
      <c r="A227" s="134" t="s">
        <v>625</v>
      </c>
      <c r="B227" s="143">
        <v>4.581253407546073E-2</v>
      </c>
      <c r="C227" s="143">
        <v>8.8365987119138706E-2</v>
      </c>
      <c r="D227" s="143">
        <v>6.3362474244213499E-2</v>
      </c>
      <c r="E227" s="143">
        <v>8.641559410637624E-2</v>
      </c>
      <c r="F227" s="143">
        <v>0.11523574104142741</v>
      </c>
      <c r="G227" s="143">
        <v>5.5050758765482849E-2</v>
      </c>
      <c r="H227" s="143">
        <v>7.5561662881372033E-2</v>
      </c>
      <c r="I227" s="143">
        <v>9.2981530731386958E-2</v>
      </c>
      <c r="J227" s="143">
        <v>9.8228070762673883E-2</v>
      </c>
      <c r="K227" s="143">
        <v>9.298581698348829E-2</v>
      </c>
      <c r="L227" s="143">
        <v>7.9982604019048262E-2</v>
      </c>
      <c r="M227" s="89">
        <v>0.10601659168163574</v>
      </c>
    </row>
    <row r="228" spans="1:13" x14ac:dyDescent="0.3">
      <c r="A228" s="134" t="s">
        <v>668</v>
      </c>
      <c r="B228" s="143">
        <v>0</v>
      </c>
      <c r="C228" s="143">
        <v>0</v>
      </c>
      <c r="D228" s="143">
        <v>0</v>
      </c>
      <c r="E228" s="143">
        <v>0</v>
      </c>
      <c r="F228" s="143">
        <v>0</v>
      </c>
      <c r="G228" s="143">
        <v>1.2844111929466615E-2</v>
      </c>
      <c r="H228" s="143">
        <v>0.14927831065365924</v>
      </c>
      <c r="I228" s="143">
        <v>0.27728413875629065</v>
      </c>
      <c r="J228" s="143">
        <v>0.32860553610692789</v>
      </c>
      <c r="K228" s="143">
        <v>0.21968485499684401</v>
      </c>
      <c r="L228" s="143">
        <v>1.2303020067228294E-2</v>
      </c>
      <c r="M228" s="89">
        <v>0</v>
      </c>
    </row>
    <row r="229" spans="1:13" x14ac:dyDescent="0.3">
      <c r="A229" s="134" t="s">
        <v>711</v>
      </c>
      <c r="B229" s="143">
        <v>8.1890927706282896E-2</v>
      </c>
      <c r="C229" s="143">
        <v>6.1007284919591821E-2</v>
      </c>
      <c r="D229" s="143">
        <v>3.8041983048526261E-2</v>
      </c>
      <c r="E229" s="143">
        <v>0.10144528812940336</v>
      </c>
      <c r="F229" s="143">
        <v>0.14170089737115674</v>
      </c>
      <c r="G229" s="143">
        <v>2.7135170086679074E-2</v>
      </c>
      <c r="H229" s="143">
        <v>0.13948727117792958</v>
      </c>
      <c r="I229" s="143">
        <v>7.3870339903825397E-2</v>
      </c>
      <c r="J229" s="143">
        <v>0.11412594914557878</v>
      </c>
      <c r="K229" s="143">
        <v>0.10144528812940336</v>
      </c>
      <c r="L229" s="143">
        <v>7.6083966097052522E-2</v>
      </c>
      <c r="M229" s="89">
        <v>4.3765269235124804E-2</v>
      </c>
    </row>
    <row r="230" spans="1:13" x14ac:dyDescent="0.3">
      <c r="A230" s="134" t="s">
        <v>856</v>
      </c>
      <c r="B230" s="143">
        <v>1.3216618073489799E-2</v>
      </c>
      <c r="C230" s="143">
        <v>6.6083090367449002E-3</v>
      </c>
      <c r="D230" s="143">
        <v>2.5158196307004468E-2</v>
      </c>
      <c r="E230" s="143">
        <v>4.625816325721431E-2</v>
      </c>
      <c r="F230" s="143">
        <v>3.3041545183724499E-2</v>
      </c>
      <c r="G230" s="143">
        <v>4.2062562708936588E-2</v>
      </c>
      <c r="H230" s="143">
        <v>7.6911864271459837E-2</v>
      </c>
      <c r="I230" s="143">
        <v>0.14538279880838778</v>
      </c>
      <c r="J230" s="143">
        <v>0.2621267870600123</v>
      </c>
      <c r="K230" s="143">
        <v>0.1802694864276192</v>
      </c>
      <c r="L230" s="143">
        <v>8.7004588065098379E-2</v>
      </c>
      <c r="M230" s="89">
        <v>8.1958948620730762E-2</v>
      </c>
    </row>
    <row r="231" spans="1:13" x14ac:dyDescent="0.3">
      <c r="A231" s="134" t="s">
        <v>895</v>
      </c>
      <c r="B231" s="143">
        <v>9.3495934959349589E-2</v>
      </c>
      <c r="C231" s="143">
        <v>5.0135501355013552E-2</v>
      </c>
      <c r="D231" s="143">
        <v>0.12330623306233063</v>
      </c>
      <c r="E231" s="143">
        <v>5.4200542005420058E-2</v>
      </c>
      <c r="F231" s="143">
        <v>7.7235772357723581E-2</v>
      </c>
      <c r="G231" s="143">
        <v>8.943089430894309E-2</v>
      </c>
      <c r="H231" s="143">
        <v>0.1043360433604336</v>
      </c>
      <c r="I231" s="143">
        <v>6.097560975609756E-2</v>
      </c>
      <c r="J231" s="143">
        <v>7.4525745257452577E-2</v>
      </c>
      <c r="K231" s="143">
        <v>7.9945799457994585E-2</v>
      </c>
      <c r="L231" s="143">
        <v>9.0785907859078585E-2</v>
      </c>
      <c r="M231" s="89">
        <v>0.1016260162601626</v>
      </c>
    </row>
    <row r="232" spans="1:13" x14ac:dyDescent="0.3">
      <c r="A232" s="134" t="s">
        <v>963</v>
      </c>
      <c r="B232" s="143">
        <v>0</v>
      </c>
      <c r="C232" s="143">
        <v>0</v>
      </c>
      <c r="D232" s="143">
        <v>0</v>
      </c>
      <c r="E232" s="143">
        <v>0</v>
      </c>
      <c r="F232" s="143">
        <v>0</v>
      </c>
      <c r="G232" s="143">
        <v>0</v>
      </c>
      <c r="H232" s="143">
        <v>0.18257463723928827</v>
      </c>
      <c r="I232" s="143">
        <v>0.44955123663210012</v>
      </c>
      <c r="J232" s="143">
        <v>0.3173122104274802</v>
      </c>
      <c r="K232" s="143">
        <v>5.0560963345151165E-2</v>
      </c>
      <c r="L232" s="143">
        <v>0</v>
      </c>
      <c r="M232" s="89">
        <v>0</v>
      </c>
    </row>
    <row r="233" spans="1:13" x14ac:dyDescent="0.3">
      <c r="A233" s="134" t="s">
        <v>1028</v>
      </c>
      <c r="B233" s="143">
        <v>4.3735347898384923E-2</v>
      </c>
      <c r="C233" s="143">
        <v>9.4374240213367072E-2</v>
      </c>
      <c r="D233" s="143">
        <v>6.1890438631671194E-2</v>
      </c>
      <c r="E233" s="143">
        <v>8.9384982769975169E-2</v>
      </c>
      <c r="F233" s="143">
        <v>0.13936094181496883</v>
      </c>
      <c r="G233" s="143">
        <v>5.5489542349181797E-2</v>
      </c>
      <c r="H233" s="143">
        <v>6.1890438631671194E-2</v>
      </c>
      <c r="I233" s="143">
        <v>7.4268526358005432E-2</v>
      </c>
      <c r="J233" s="143">
        <v>0.10530929808580219</v>
      </c>
      <c r="K233" s="143">
        <v>8.6647575183294953E-2</v>
      </c>
      <c r="L233" s="143">
        <v>6.189808734715168E-2</v>
      </c>
      <c r="M233" s="89">
        <v>0.12574883266459574</v>
      </c>
    </row>
    <row r="234" spans="1:13" x14ac:dyDescent="0.3">
      <c r="A234" s="134" t="s">
        <v>1114</v>
      </c>
      <c r="B234" s="143">
        <v>0</v>
      </c>
      <c r="C234" s="143">
        <v>0</v>
      </c>
      <c r="D234" s="143">
        <v>3.3018529063594091E-3</v>
      </c>
      <c r="E234" s="143">
        <v>8.416856649148383E-3</v>
      </c>
      <c r="F234" s="143">
        <v>0</v>
      </c>
      <c r="G234" s="143">
        <v>2.0936960691526809E-2</v>
      </c>
      <c r="H234" s="143">
        <v>9.9258793391909572E-2</v>
      </c>
      <c r="I234" s="143">
        <v>0.31643059286727909</v>
      </c>
      <c r="J234" s="143">
        <v>0.30321525519668624</v>
      </c>
      <c r="K234" s="143">
        <v>0.18952189746469891</v>
      </c>
      <c r="L234" s="143">
        <v>4.2084283245741913E-2</v>
      </c>
      <c r="M234" s="89">
        <v>1.6833713298296762E-2</v>
      </c>
    </row>
    <row r="235" spans="1:13" x14ac:dyDescent="0.3">
      <c r="A235" s="134" t="s">
        <v>1120</v>
      </c>
      <c r="B235" s="143">
        <v>0</v>
      </c>
      <c r="C235" s="143">
        <v>0</v>
      </c>
      <c r="D235" s="143">
        <v>0</v>
      </c>
      <c r="E235" s="143">
        <v>0</v>
      </c>
      <c r="F235" s="143">
        <v>0</v>
      </c>
      <c r="G235" s="143">
        <v>1.0381811336111969E-2</v>
      </c>
      <c r="H235" s="143">
        <v>3.6057237318996876E-2</v>
      </c>
      <c r="I235" s="143">
        <v>0.1852152811032359</v>
      </c>
      <c r="J235" s="143">
        <v>0.36622742578220602</v>
      </c>
      <c r="K235" s="143">
        <v>0.3086685924390169</v>
      </c>
      <c r="L235" s="143">
        <v>7.0566935656581398E-2</v>
      </c>
      <c r="M235" s="89">
        <v>2.2883070068887245E-2</v>
      </c>
    </row>
    <row r="238" spans="1:13" x14ac:dyDescent="0.3">
      <c r="A238" s="138" t="s">
        <v>1749</v>
      </c>
      <c r="B238" s="144"/>
      <c r="C238" s="145"/>
    </row>
    <row r="239" spans="1:13" x14ac:dyDescent="0.3">
      <c r="A239" s="134" t="s">
        <v>1750</v>
      </c>
      <c r="B239" s="146" t="s">
        <v>1751</v>
      </c>
      <c r="C239" s="147" t="s">
        <v>1752</v>
      </c>
    </row>
    <row r="240" spans="1:13" x14ac:dyDescent="0.3">
      <c r="A240" s="34">
        <v>1</v>
      </c>
      <c r="B240" s="116">
        <v>4314.139720564991</v>
      </c>
      <c r="C240" s="123">
        <v>2.0916131754265415E-2</v>
      </c>
    </row>
    <row r="241" spans="1:38" x14ac:dyDescent="0.3">
      <c r="A241" s="34">
        <v>2</v>
      </c>
      <c r="B241" s="116">
        <v>4385.7033268875093</v>
      </c>
      <c r="C241" s="123">
        <v>2.1263091731365123E-2</v>
      </c>
    </row>
    <row r="242" spans="1:38" x14ac:dyDescent="0.3">
      <c r="A242" s="34">
        <v>3</v>
      </c>
      <c r="B242" s="116">
        <v>5254.2215157446581</v>
      </c>
      <c r="C242" s="123">
        <v>2.547390594827997E-2</v>
      </c>
    </row>
    <row r="243" spans="1:38" x14ac:dyDescent="0.3">
      <c r="A243" s="34">
        <v>4</v>
      </c>
      <c r="B243" s="116">
        <v>6053.3620883961394</v>
      </c>
      <c r="C243" s="123">
        <v>2.9348358467302337E-2</v>
      </c>
    </row>
    <row r="244" spans="1:38" x14ac:dyDescent="0.3">
      <c r="A244" s="34">
        <v>5</v>
      </c>
      <c r="B244" s="116">
        <v>7558.3847231271902</v>
      </c>
      <c r="C244" s="123">
        <v>3.6645120686460073E-2</v>
      </c>
    </row>
    <row r="245" spans="1:38" x14ac:dyDescent="0.3">
      <c r="A245" s="34">
        <v>6</v>
      </c>
      <c r="B245" s="116">
        <v>5840.4003208818212</v>
      </c>
      <c r="C245" s="123">
        <v>2.8315861451334721E-2</v>
      </c>
    </row>
    <row r="246" spans="1:38" x14ac:dyDescent="0.3">
      <c r="A246" s="34">
        <v>7</v>
      </c>
      <c r="B246" s="116">
        <v>19759.002793420037</v>
      </c>
      <c r="C246" s="123">
        <v>9.5797060950531157E-2</v>
      </c>
    </row>
    <row r="247" spans="1:38" x14ac:dyDescent="0.3">
      <c r="A247" s="34">
        <v>8</v>
      </c>
      <c r="B247" s="116">
        <v>38136.073593203517</v>
      </c>
      <c r="C247" s="123">
        <v>0.18489413684574485</v>
      </c>
    </row>
    <row r="248" spans="1:38" x14ac:dyDescent="0.3">
      <c r="A248" s="34">
        <v>9</v>
      </c>
      <c r="B248" s="116">
        <v>54533.291138748689</v>
      </c>
      <c r="C248" s="123">
        <v>0.26439234154020469</v>
      </c>
    </row>
    <row r="249" spans="1:38" x14ac:dyDescent="0.3">
      <c r="A249" s="34">
        <v>10</v>
      </c>
      <c r="B249" s="116">
        <v>39196.476153270916</v>
      </c>
      <c r="C249" s="123">
        <v>0.19003525908460117</v>
      </c>
    </row>
    <row r="250" spans="1:38" x14ac:dyDescent="0.3">
      <c r="A250" s="34">
        <v>11</v>
      </c>
      <c r="B250" s="116">
        <v>11689.027001916331</v>
      </c>
      <c r="C250" s="123">
        <v>5.6671606551312412E-2</v>
      </c>
    </row>
    <row r="251" spans="1:38" x14ac:dyDescent="0.3">
      <c r="A251" s="34">
        <v>12</v>
      </c>
      <c r="B251" s="116">
        <v>8993.388346591677</v>
      </c>
      <c r="C251" s="123">
        <v>4.360241154868108E-2</v>
      </c>
    </row>
    <row r="252" spans="1:38" x14ac:dyDescent="0.3">
      <c r="A252" s="148"/>
      <c r="B252" s="149">
        <f>SUM(B240:B251)</f>
        <v>205713.4707227535</v>
      </c>
      <c r="C252" s="148"/>
    </row>
    <row r="255" spans="1:38" x14ac:dyDescent="0.3">
      <c r="A255" s="156" t="s">
        <v>3</v>
      </c>
      <c r="B255" s="156" t="s">
        <v>1389</v>
      </c>
      <c r="C255" s="156" t="s">
        <v>1391</v>
      </c>
      <c r="D255" s="134" t="s">
        <v>1318</v>
      </c>
      <c r="E255" s="134" t="s">
        <v>1392</v>
      </c>
      <c r="F255" s="134" t="s">
        <v>1393</v>
      </c>
      <c r="G255" s="134" t="s">
        <v>1394</v>
      </c>
      <c r="H255" s="134" t="s">
        <v>1395</v>
      </c>
      <c r="I255" s="134" t="s">
        <v>1322</v>
      </c>
      <c r="J255" s="134" t="s">
        <v>1397</v>
      </c>
      <c r="K255" s="134" t="s">
        <v>1398</v>
      </c>
      <c r="L255" s="134" t="s">
        <v>1321</v>
      </c>
      <c r="M255" s="134" t="s">
        <v>1427</v>
      </c>
      <c r="N255" s="134" t="s">
        <v>1399</v>
      </c>
      <c r="O255" s="134" t="s">
        <v>1400</v>
      </c>
      <c r="P255" s="134" t="s">
        <v>1445</v>
      </c>
      <c r="Q255" s="134" t="s">
        <v>1401</v>
      </c>
      <c r="R255" s="134" t="s">
        <v>1441</v>
      </c>
      <c r="S255" s="134" t="s">
        <v>1440</v>
      </c>
      <c r="T255" s="134" t="s">
        <v>1426</v>
      </c>
      <c r="U255" s="134" t="s">
        <v>1322</v>
      </c>
      <c r="V255" s="134" t="s">
        <v>1428</v>
      </c>
      <c r="W255" s="156" t="s">
        <v>1402</v>
      </c>
      <c r="X255" s="156" t="s">
        <v>1403</v>
      </c>
      <c r="Y255" s="150"/>
      <c r="Z255" s="150"/>
      <c r="AA255" s="150"/>
      <c r="AB255" s="150" t="s">
        <v>1407</v>
      </c>
      <c r="AC255" s="151" t="s">
        <v>1408</v>
      </c>
      <c r="AD255" s="151" t="s">
        <v>1410</v>
      </c>
      <c r="AE255" s="151" t="s">
        <v>1411</v>
      </c>
      <c r="AF255" s="151" t="s">
        <v>71</v>
      </c>
      <c r="AG255" s="151" t="s">
        <v>1419</v>
      </c>
      <c r="AH255" s="151" t="s">
        <v>1420</v>
      </c>
      <c r="AI255" s="151" t="s">
        <v>1421</v>
      </c>
      <c r="AJ255" s="151" t="s">
        <v>1422</v>
      </c>
      <c r="AK255" s="151" t="s">
        <v>1423</v>
      </c>
      <c r="AL255" s="151" t="s">
        <v>1416</v>
      </c>
    </row>
    <row r="256" spans="1:38" x14ac:dyDescent="0.3">
      <c r="A256" s="34" t="s">
        <v>668</v>
      </c>
      <c r="B256" s="137"/>
      <c r="C256" s="152">
        <v>46395</v>
      </c>
      <c r="D256" s="153">
        <v>192</v>
      </c>
      <c r="E256" s="34"/>
      <c r="F256" s="34" t="s">
        <v>1325</v>
      </c>
      <c r="G256" s="34">
        <v>0</v>
      </c>
      <c r="H256" s="137">
        <v>600000000</v>
      </c>
      <c r="I256" s="137">
        <v>18120000</v>
      </c>
      <c r="J256" s="137">
        <v>250000</v>
      </c>
      <c r="K256" s="137">
        <v>250000</v>
      </c>
      <c r="L256" s="137">
        <v>250000</v>
      </c>
      <c r="M256" s="137"/>
      <c r="N256" s="34">
        <v>0</v>
      </c>
      <c r="O256" s="34">
        <v>102.85</v>
      </c>
      <c r="P256" s="154">
        <v>9.06E-2</v>
      </c>
      <c r="Q256" s="155">
        <v>1.25E-3</v>
      </c>
      <c r="R256" s="155">
        <v>5.2493049999999999E-2</v>
      </c>
      <c r="S256" s="155">
        <v>0</v>
      </c>
      <c r="T256" s="34">
        <v>7.6703099999999996E-2</v>
      </c>
      <c r="U256" s="155">
        <v>22650</v>
      </c>
      <c r="V256" s="137">
        <v>224999.99775000001</v>
      </c>
      <c r="W256" s="137">
        <v>257125</v>
      </c>
      <c r="X256" s="137">
        <v>5261.3498553676882</v>
      </c>
      <c r="Y256" s="137">
        <v>34138.576508037724</v>
      </c>
      <c r="Z256" s="137">
        <v>249999.99750000006</v>
      </c>
      <c r="AA256" s="137">
        <v>249999.99750000008</v>
      </c>
      <c r="AB256" s="137">
        <v>8.3333333333333329E-2</v>
      </c>
      <c r="AC256" s="155">
        <v>0</v>
      </c>
      <c r="AD256" s="34">
        <v>0</v>
      </c>
      <c r="AE256" s="34">
        <v>0</v>
      </c>
      <c r="AF256" s="34">
        <v>0</v>
      </c>
      <c r="AG256" s="34">
        <v>0</v>
      </c>
      <c r="AH256" s="34">
        <v>0.23228917683742553</v>
      </c>
      <c r="AI256" s="155">
        <v>97850.36988474158</v>
      </c>
      <c r="AJ256" s="137">
        <v>17388.650144632313</v>
      </c>
      <c r="AK256" s="137">
        <v>0.17770653463154495</v>
      </c>
      <c r="AL256" s="155" t="s">
        <v>671</v>
      </c>
    </row>
    <row r="257" spans="1:86" x14ac:dyDescent="0.3">
      <c r="A257" s="34" t="s">
        <v>963</v>
      </c>
      <c r="B257" s="137"/>
      <c r="C257" s="152">
        <v>46395</v>
      </c>
      <c r="D257" s="153">
        <v>192</v>
      </c>
      <c r="E257" s="34"/>
      <c r="F257" s="34" t="s">
        <v>1325</v>
      </c>
      <c r="G257" s="34">
        <v>0</v>
      </c>
      <c r="H257" s="137">
        <v>400000000</v>
      </c>
      <c r="I257" s="137">
        <v>20017500</v>
      </c>
      <c r="J257" s="137">
        <v>249999.45</v>
      </c>
      <c r="K257" s="137">
        <v>249999.45</v>
      </c>
      <c r="L257" s="137">
        <v>250000</v>
      </c>
      <c r="M257" s="137"/>
      <c r="N257" s="34">
        <v>0</v>
      </c>
      <c r="O257" s="34">
        <v>102.3</v>
      </c>
      <c r="P257" s="154">
        <v>7.85E-2</v>
      </c>
      <c r="Q257" s="155">
        <v>9.8039000000000004E-4</v>
      </c>
      <c r="R257" s="155">
        <v>4.0195000000000002E-2</v>
      </c>
      <c r="S257" s="155">
        <v>0</v>
      </c>
      <c r="T257" s="34">
        <v>6.7969870000000002E-2</v>
      </c>
      <c r="U257" s="155">
        <v>19624.956825000001</v>
      </c>
      <c r="V257" s="137">
        <v>0</v>
      </c>
      <c r="W257" s="137">
        <v>255749.43734999999</v>
      </c>
      <c r="X257" s="137">
        <v>407.35961204826805</v>
      </c>
      <c r="Y257" s="137">
        <v>9001.9858960103265</v>
      </c>
      <c r="Z257" s="137">
        <v>0</v>
      </c>
      <c r="AA257" s="137">
        <v>97412.904708811286</v>
      </c>
      <c r="AB257" s="137">
        <v>8.3333150000000009E-2</v>
      </c>
      <c r="AC257" s="155">
        <v>0</v>
      </c>
      <c r="AD257" s="34">
        <v>0</v>
      </c>
      <c r="AE257" s="34">
        <v>0</v>
      </c>
      <c r="AF257" s="34">
        <v>0</v>
      </c>
      <c r="AG257" s="34">
        <v>0</v>
      </c>
      <c r="AH257" s="34">
        <v>2.0757223349879551E-2</v>
      </c>
      <c r="AI257" s="155">
        <v>12499.972499999996</v>
      </c>
      <c r="AJ257" s="137">
        <v>19217.597212951732</v>
      </c>
      <c r="AK257" s="137">
        <v>1.5374111593406896</v>
      </c>
      <c r="AL257" s="155" t="s">
        <v>966</v>
      </c>
    </row>
    <row r="258" spans="1:86" x14ac:dyDescent="0.3">
      <c r="A258" s="34" t="s">
        <v>1114</v>
      </c>
      <c r="B258" s="137"/>
      <c r="C258" s="152">
        <v>46849</v>
      </c>
      <c r="D258" s="153">
        <v>646</v>
      </c>
      <c r="E258" s="34"/>
      <c r="F258" s="34" t="s">
        <v>1325</v>
      </c>
      <c r="G258" s="34">
        <v>0</v>
      </c>
      <c r="H258" s="137">
        <v>300000000</v>
      </c>
      <c r="I258" s="137">
        <v>17920000</v>
      </c>
      <c r="J258" s="137">
        <v>250000</v>
      </c>
      <c r="K258" s="137">
        <v>250000</v>
      </c>
      <c r="L258" s="137">
        <v>250000</v>
      </c>
      <c r="M258" s="137"/>
      <c r="N258" s="34">
        <v>0</v>
      </c>
      <c r="O258" s="34">
        <v>100.65</v>
      </c>
      <c r="P258" s="154">
        <v>8.9599999999999999E-2</v>
      </c>
      <c r="Q258" s="155">
        <v>1.25E-3</v>
      </c>
      <c r="R258" s="155">
        <v>5.1341879999999999E-2</v>
      </c>
      <c r="S258" s="155">
        <v>0</v>
      </c>
      <c r="T258" s="34">
        <v>9.0424110000000002E-2</v>
      </c>
      <c r="U258" s="155">
        <v>22400</v>
      </c>
      <c r="V258" s="137">
        <v>148388.0105570812</v>
      </c>
      <c r="W258" s="137">
        <v>251625</v>
      </c>
      <c r="X258" s="137">
        <v>2970.2306110109025</v>
      </c>
      <c r="Y258" s="137">
        <v>25886.925799512053</v>
      </c>
      <c r="Z258" s="137">
        <v>212102.31331062448</v>
      </c>
      <c r="AA258" s="137">
        <v>250000.00125</v>
      </c>
      <c r="AB258" s="137">
        <v>8.3333333333333329E-2</v>
      </c>
      <c r="AC258" s="155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v>0.13259958084870099</v>
      </c>
      <c r="AI258" s="155">
        <v>69713.471430225472</v>
      </c>
      <c r="AJ258" s="137">
        <v>19429.769388989098</v>
      </c>
      <c r="AK258" s="137">
        <v>0.27870896385407923</v>
      </c>
      <c r="AL258" s="155" t="s">
        <v>1117</v>
      </c>
    </row>
    <row r="259" spans="1:86" x14ac:dyDescent="0.3">
      <c r="A259" s="34" t="s">
        <v>895</v>
      </c>
      <c r="B259" s="137"/>
      <c r="C259" s="152">
        <v>46762</v>
      </c>
      <c r="D259" s="153">
        <v>559</v>
      </c>
      <c r="E259" s="34"/>
      <c r="F259" s="34" t="s">
        <v>1325</v>
      </c>
      <c r="G259" s="34">
        <v>0</v>
      </c>
      <c r="H259" s="137">
        <v>100000000</v>
      </c>
      <c r="I259" s="137">
        <v>7310000</v>
      </c>
      <c r="J259" s="137">
        <v>250000</v>
      </c>
      <c r="K259" s="137">
        <v>250000</v>
      </c>
      <c r="L259" s="137">
        <v>250000</v>
      </c>
      <c r="M259" s="137"/>
      <c r="N259" s="34">
        <v>0</v>
      </c>
      <c r="O259" s="34">
        <v>101.6</v>
      </c>
      <c r="P259" s="154">
        <v>7.3099999999999998E-2</v>
      </c>
      <c r="Q259" s="155">
        <v>2.5000000000000001E-3</v>
      </c>
      <c r="R259" s="155">
        <v>3.4997439999999998E-2</v>
      </c>
      <c r="S259" s="155">
        <v>0</v>
      </c>
      <c r="T259" s="34">
        <v>6.9968119999999995E-2</v>
      </c>
      <c r="U259" s="155">
        <v>18275</v>
      </c>
      <c r="V259" s="137">
        <v>15625</v>
      </c>
      <c r="W259" s="137">
        <v>254000</v>
      </c>
      <c r="X259" s="137">
        <v>2306.25</v>
      </c>
      <c r="Y259" s="137">
        <v>22853.282055047777</v>
      </c>
      <c r="Z259" s="137">
        <v>62500</v>
      </c>
      <c r="AA259" s="137">
        <v>250000</v>
      </c>
      <c r="AB259" s="137">
        <v>8.3333333333333329E-2</v>
      </c>
      <c r="AC259" s="155">
        <v>0</v>
      </c>
      <c r="AD259" s="34">
        <v>0</v>
      </c>
      <c r="AE259" s="34">
        <v>0</v>
      </c>
      <c r="AF259" s="34">
        <v>0</v>
      </c>
      <c r="AG259" s="34">
        <v>0</v>
      </c>
      <c r="AH259" s="34">
        <v>0.12619699042407662</v>
      </c>
      <c r="AI259" s="155">
        <v>11562.5</v>
      </c>
      <c r="AJ259" s="137">
        <v>15968.75</v>
      </c>
      <c r="AK259" s="137">
        <v>1.3810810810810812</v>
      </c>
      <c r="AL259" s="155" t="s">
        <v>898</v>
      </c>
    </row>
    <row r="260" spans="1:86" x14ac:dyDescent="0.3">
      <c r="A260" s="34" t="s">
        <v>1120</v>
      </c>
      <c r="B260" s="137"/>
      <c r="C260" s="152">
        <v>46850</v>
      </c>
      <c r="D260" s="153">
        <v>647</v>
      </c>
      <c r="E260" s="34"/>
      <c r="F260" s="34" t="s">
        <v>1325</v>
      </c>
      <c r="G260" s="34">
        <v>5000000</v>
      </c>
      <c r="H260" s="137">
        <v>5000000</v>
      </c>
      <c r="I260" s="137">
        <v>3142943.6999999997</v>
      </c>
      <c r="J260" s="137">
        <v>249999.9</v>
      </c>
      <c r="K260" s="137">
        <v>249999.9</v>
      </c>
      <c r="L260" s="137">
        <v>250000</v>
      </c>
      <c r="M260" s="137"/>
      <c r="N260" s="34">
        <v>0</v>
      </c>
      <c r="O260" s="34">
        <v>100.2</v>
      </c>
      <c r="P260" s="154">
        <v>0.10476479</v>
      </c>
      <c r="Q260" s="155">
        <v>8.3333299999999999E-3</v>
      </c>
      <c r="R260" s="155">
        <v>6.6102750000000002E-2</v>
      </c>
      <c r="S260" s="155">
        <v>0</v>
      </c>
      <c r="T260" s="34">
        <v>0.10367698</v>
      </c>
      <c r="U260" s="155">
        <v>26191.187023521001</v>
      </c>
      <c r="V260" s="137">
        <v>199999.91999999998</v>
      </c>
      <c r="W260" s="137">
        <v>250499.89980000001</v>
      </c>
      <c r="X260" s="137">
        <v>7224.1725552252992</v>
      </c>
      <c r="Y260" s="137">
        <v>40913.053250054203</v>
      </c>
      <c r="Z260" s="137">
        <v>249999.9</v>
      </c>
      <c r="AA260" s="137">
        <v>249999.90000000005</v>
      </c>
      <c r="AB260" s="137">
        <v>8.3333299999999999E-2</v>
      </c>
      <c r="AC260" s="155">
        <v>0</v>
      </c>
      <c r="AD260" s="34">
        <v>0</v>
      </c>
      <c r="AE260" s="34">
        <v>0</v>
      </c>
      <c r="AF260" s="34">
        <v>0</v>
      </c>
      <c r="AG260" s="34">
        <v>0</v>
      </c>
      <c r="AH260" s="34">
        <v>0.2758245568915082</v>
      </c>
      <c r="AI260" s="155">
        <v>179458.69550349936</v>
      </c>
      <c r="AJ260" s="137">
        <v>18967.014468295703</v>
      </c>
      <c r="AK260" s="137">
        <v>0.10569013897644126</v>
      </c>
      <c r="AL260" s="155" t="s">
        <v>1121</v>
      </c>
    </row>
    <row r="261" spans="1:86" x14ac:dyDescent="0.3">
      <c r="A261" s="34" t="s">
        <v>711</v>
      </c>
      <c r="B261" s="137"/>
      <c r="C261" s="152">
        <v>47212</v>
      </c>
      <c r="D261" s="153">
        <v>1009</v>
      </c>
      <c r="E261" s="34"/>
      <c r="F261" s="34" t="s">
        <v>1325</v>
      </c>
      <c r="G261" s="34">
        <v>0</v>
      </c>
      <c r="H261" s="137">
        <v>150000000</v>
      </c>
      <c r="I261" s="137">
        <v>9324720</v>
      </c>
      <c r="J261" s="137">
        <v>250000.5</v>
      </c>
      <c r="K261" s="137">
        <v>250000.5</v>
      </c>
      <c r="L261" s="137">
        <v>250000</v>
      </c>
      <c r="M261" s="137"/>
      <c r="N261" s="34">
        <v>0</v>
      </c>
      <c r="O261" s="34">
        <v>101</v>
      </c>
      <c r="P261" s="154">
        <v>6.2164799999999999E-2</v>
      </c>
      <c r="Q261" s="155">
        <v>1.6666700000000001E-3</v>
      </c>
      <c r="R261" s="155">
        <v>2.3430280000000001E-2</v>
      </c>
      <c r="S261" s="155">
        <v>0</v>
      </c>
      <c r="T261" s="34">
        <v>5.6722120000000001E-2</v>
      </c>
      <c r="U261" s="155">
        <v>15541.2310824</v>
      </c>
      <c r="V261" s="137">
        <v>25000.05</v>
      </c>
      <c r="W261" s="137">
        <v>252500.505</v>
      </c>
      <c r="X261" s="137">
        <v>1971.5092803013679</v>
      </c>
      <c r="Y261" s="137">
        <v>22005.247728234022</v>
      </c>
      <c r="Z261" s="137">
        <v>0</v>
      </c>
      <c r="AA261" s="137">
        <v>250000.5</v>
      </c>
      <c r="AB261" s="137">
        <v>8.3333500000000005E-2</v>
      </c>
      <c r="AC261" s="155">
        <v>0</v>
      </c>
      <c r="AD261" s="34">
        <v>0</v>
      </c>
      <c r="AE261" s="34">
        <v>0</v>
      </c>
      <c r="AF261" s="34">
        <v>0</v>
      </c>
      <c r="AG261" s="34">
        <v>0</v>
      </c>
      <c r="AH261" s="34">
        <v>0.12685669943702502</v>
      </c>
      <c r="AI261" s="155">
        <v>10000.02</v>
      </c>
      <c r="AJ261" s="137">
        <v>13569.721802098631</v>
      </c>
      <c r="AK261" s="137">
        <v>1.3569694662709304</v>
      </c>
      <c r="AL261" s="155" t="s">
        <v>714</v>
      </c>
    </row>
    <row r="262" spans="1:86" x14ac:dyDescent="0.3">
      <c r="A262" s="34" t="s">
        <v>418</v>
      </c>
      <c r="B262" s="137"/>
      <c r="C262" s="152">
        <v>46484</v>
      </c>
      <c r="D262" s="153">
        <v>281</v>
      </c>
      <c r="E262" s="34"/>
      <c r="F262" s="34" t="s">
        <v>1325</v>
      </c>
      <c r="G262" s="34">
        <v>0</v>
      </c>
      <c r="H262" s="137">
        <v>750000000</v>
      </c>
      <c r="I262" s="137">
        <v>9300000</v>
      </c>
      <c r="J262" s="137">
        <v>250000</v>
      </c>
      <c r="K262" s="137">
        <v>250000</v>
      </c>
      <c r="L262" s="137">
        <v>250000</v>
      </c>
      <c r="M262" s="137"/>
      <c r="N262" s="34">
        <v>0</v>
      </c>
      <c r="O262" s="34">
        <v>102.6</v>
      </c>
      <c r="P262" s="154">
        <v>9.2999999999999999E-2</v>
      </c>
      <c r="Q262" s="155">
        <v>2.5000000000000001E-3</v>
      </c>
      <c r="R262" s="155">
        <v>5.4591849999999997E-2</v>
      </c>
      <c r="S262" s="155">
        <v>0</v>
      </c>
      <c r="T262" s="34">
        <v>8.2214540000000003E-2</v>
      </c>
      <c r="U262" s="155">
        <v>23250</v>
      </c>
      <c r="V262" s="137">
        <v>99999.997499999998</v>
      </c>
      <c r="W262" s="137">
        <v>256500</v>
      </c>
      <c r="X262" s="137">
        <v>2599.5734973763851</v>
      </c>
      <c r="Y262" s="137">
        <v>24816.248146518767</v>
      </c>
      <c r="Z262" s="137">
        <v>179115.24229819802</v>
      </c>
      <c r="AA262" s="137">
        <v>249999.99375000005</v>
      </c>
      <c r="AB262" s="137">
        <v>8.3333333333333329E-2</v>
      </c>
      <c r="AC262" s="155">
        <v>0</v>
      </c>
      <c r="AD262" s="34">
        <v>0</v>
      </c>
      <c r="AE262" s="34">
        <v>0</v>
      </c>
      <c r="AF262" s="34">
        <v>0</v>
      </c>
      <c r="AG262" s="34">
        <v>0</v>
      </c>
      <c r="AH262" s="34">
        <v>0.11180961279038215</v>
      </c>
      <c r="AI262" s="155">
        <v>75546.320064679894</v>
      </c>
      <c r="AJ262" s="137">
        <v>20650.426502623613</v>
      </c>
      <c r="AK262" s="137">
        <v>0.2733478809416991</v>
      </c>
      <c r="AL262" s="155" t="s">
        <v>419</v>
      </c>
    </row>
    <row r="263" spans="1:86" x14ac:dyDescent="0.3">
      <c r="A263" s="34" t="s">
        <v>856</v>
      </c>
      <c r="B263" s="137"/>
      <c r="C263" s="152">
        <v>46119</v>
      </c>
      <c r="D263" s="153">
        <v>-84</v>
      </c>
      <c r="E263" s="34"/>
      <c r="F263" s="34" t="s">
        <v>1325</v>
      </c>
      <c r="G263" s="34">
        <v>0</v>
      </c>
      <c r="H263" s="137">
        <v>100000000</v>
      </c>
      <c r="I263" s="137">
        <v>7992000.0000000019</v>
      </c>
      <c r="J263" s="137">
        <v>249999.60000000003</v>
      </c>
      <c r="K263" s="137">
        <v>249999.60000000003</v>
      </c>
      <c r="L263" s="137">
        <v>250000</v>
      </c>
      <c r="M263" s="137"/>
      <c r="N263" s="34">
        <v>0</v>
      </c>
      <c r="O263" s="34">
        <v>101</v>
      </c>
      <c r="P263" s="154">
        <v>6.6600000000000006E-2</v>
      </c>
      <c r="Q263" s="155">
        <v>2.08333E-3</v>
      </c>
      <c r="R263" s="155">
        <v>2.8000799999999999E-2</v>
      </c>
      <c r="S263" s="155">
        <v>0</v>
      </c>
      <c r="T263" s="34">
        <v>5.962858E-2</v>
      </c>
      <c r="U263" s="155">
        <v>16649.973360000004</v>
      </c>
      <c r="V263" s="137">
        <v>0</v>
      </c>
      <c r="W263" s="137">
        <v>252499.59600000005</v>
      </c>
      <c r="X263" s="137">
        <v>3783.1094999501311</v>
      </c>
      <c r="Y263" s="137">
        <v>30259.525223829885</v>
      </c>
      <c r="Z263" s="137">
        <v>249999.6</v>
      </c>
      <c r="AA263" s="137">
        <v>249999.60000000003</v>
      </c>
      <c r="AB263" s="137">
        <v>8.333320000000001E-2</v>
      </c>
      <c r="AC263" s="155">
        <v>0</v>
      </c>
      <c r="AD263" s="34">
        <v>0</v>
      </c>
      <c r="AE263" s="34">
        <v>0</v>
      </c>
      <c r="AF263" s="34">
        <v>0</v>
      </c>
      <c r="AG263" s="34">
        <v>0</v>
      </c>
      <c r="AH263" s="34">
        <v>0.22721414732342432</v>
      </c>
      <c r="AI263" s="155">
        <v>27499.956000000006</v>
      </c>
      <c r="AJ263" s="137">
        <v>12866.863860049873</v>
      </c>
      <c r="AK263" s="137">
        <v>0.46788670716599945</v>
      </c>
      <c r="AL263" s="155" t="s">
        <v>858</v>
      </c>
    </row>
    <row r="264" spans="1:86" x14ac:dyDescent="0.3">
      <c r="A264" s="34" t="s">
        <v>1028</v>
      </c>
      <c r="B264" s="137"/>
      <c r="C264" s="152">
        <v>46363</v>
      </c>
      <c r="D264" s="153">
        <v>160</v>
      </c>
      <c r="E264" s="34"/>
      <c r="F264" s="34" t="s">
        <v>1325</v>
      </c>
      <c r="G264" s="34">
        <v>0</v>
      </c>
      <c r="H264" s="137">
        <v>1000000000</v>
      </c>
      <c r="I264" s="137">
        <v>27960000</v>
      </c>
      <c r="J264" s="137">
        <v>249999</v>
      </c>
      <c r="K264" s="137">
        <v>249999</v>
      </c>
      <c r="L264" s="137">
        <v>250000</v>
      </c>
      <c r="M264" s="137"/>
      <c r="N264" s="34">
        <v>0</v>
      </c>
      <c r="O264" s="34">
        <v>103.95</v>
      </c>
      <c r="P264" s="154">
        <v>9.3200000000000005E-2</v>
      </c>
      <c r="Q264" s="155">
        <v>8.3332999999999996E-4</v>
      </c>
      <c r="R264" s="155">
        <v>5.500062E-2</v>
      </c>
      <c r="S264" s="155">
        <v>0</v>
      </c>
      <c r="T264" s="34">
        <v>7.1253140000000006E-2</v>
      </c>
      <c r="U264" s="155">
        <v>23299.906800000001</v>
      </c>
      <c r="V264" s="137">
        <v>49999.799999999988</v>
      </c>
      <c r="W264" s="137">
        <v>259873.96050000002</v>
      </c>
      <c r="X264" s="137">
        <v>2019.6864694769979</v>
      </c>
      <c r="Y264" s="137">
        <v>22128.200213811611</v>
      </c>
      <c r="Z264" s="137">
        <v>0</v>
      </c>
      <c r="AA264" s="137">
        <v>249999</v>
      </c>
      <c r="AB264" s="137">
        <v>8.3333000000000004E-2</v>
      </c>
      <c r="AC264" s="155">
        <v>0</v>
      </c>
      <c r="AD264" s="34">
        <v>0</v>
      </c>
      <c r="AE264" s="34">
        <v>0</v>
      </c>
      <c r="AF264" s="34">
        <v>0</v>
      </c>
      <c r="AG264" s="34">
        <v>0</v>
      </c>
      <c r="AH264" s="34">
        <v>8.6682169453012478E-2</v>
      </c>
      <c r="AI264" s="155">
        <v>49999.8</v>
      </c>
      <c r="AJ264" s="137">
        <v>21280.220330523003</v>
      </c>
      <c r="AK264" s="137">
        <v>0.42560610903489615</v>
      </c>
      <c r="AL264" s="155" t="s">
        <v>1029</v>
      </c>
    </row>
    <row r="265" spans="1:86" x14ac:dyDescent="0.3">
      <c r="A265" s="34" t="s">
        <v>625</v>
      </c>
      <c r="B265" s="137"/>
      <c r="C265" s="152">
        <v>46820</v>
      </c>
      <c r="D265" s="153">
        <v>617</v>
      </c>
      <c r="E265" s="34"/>
      <c r="F265" s="34" t="s">
        <v>1325</v>
      </c>
      <c r="G265" s="34">
        <v>0</v>
      </c>
      <c r="H265" s="137">
        <v>300000000</v>
      </c>
      <c r="I265" s="137">
        <v>22052142</v>
      </c>
      <c r="J265" s="137">
        <v>249999</v>
      </c>
      <c r="K265" s="137">
        <v>249999</v>
      </c>
      <c r="L265" s="137">
        <v>250000</v>
      </c>
      <c r="M265" s="137"/>
      <c r="N265" s="34">
        <v>0</v>
      </c>
      <c r="O265" s="34">
        <v>100.25</v>
      </c>
      <c r="P265" s="154">
        <v>7.3507139999999999E-2</v>
      </c>
      <c r="Q265" s="155">
        <v>8.3332999999999996E-4</v>
      </c>
      <c r="R265" s="155">
        <v>3.496664E-2</v>
      </c>
      <c r="S265" s="155">
        <v>0</v>
      </c>
      <c r="T265" s="34">
        <v>7.558753E-2</v>
      </c>
      <c r="U265" s="155">
        <v>18376.711492859999</v>
      </c>
      <c r="V265" s="137">
        <v>49999.8</v>
      </c>
      <c r="W265" s="137">
        <v>250623.9975</v>
      </c>
      <c r="X265" s="137">
        <v>2315.9785326221795</v>
      </c>
      <c r="Y265" s="137">
        <v>23132.702715101099</v>
      </c>
      <c r="Z265" s="137">
        <v>101536.98720045778</v>
      </c>
      <c r="AA265" s="137">
        <v>249999</v>
      </c>
      <c r="AB265" s="137">
        <v>8.3333000000000004E-2</v>
      </c>
      <c r="AC265" s="155">
        <v>0</v>
      </c>
      <c r="AD265" s="34">
        <v>0</v>
      </c>
      <c r="AE265" s="34">
        <v>0</v>
      </c>
      <c r="AF265" s="34">
        <v>0</v>
      </c>
      <c r="AG265" s="34">
        <v>0</v>
      </c>
      <c r="AH265" s="34">
        <v>0.12602790948326195</v>
      </c>
      <c r="AI265" s="155">
        <v>53605.933006554893</v>
      </c>
      <c r="AJ265" s="137">
        <v>16060.732960237819</v>
      </c>
      <c r="AK265" s="137">
        <v>0.29960737663634968</v>
      </c>
      <c r="AL265" s="155" t="s">
        <v>626</v>
      </c>
    </row>
    <row r="268" spans="1:86" x14ac:dyDescent="0.3">
      <c r="A268" s="134" t="s">
        <v>1753</v>
      </c>
      <c r="B268" s="134" t="s">
        <v>1585</v>
      </c>
      <c r="C268" s="134" t="s">
        <v>1315</v>
      </c>
      <c r="D268" s="134" t="s">
        <v>14</v>
      </c>
      <c r="E268" s="134" t="s">
        <v>13</v>
      </c>
      <c r="F268" s="134" t="s">
        <v>1316</v>
      </c>
      <c r="G268" s="134" t="s">
        <v>1442</v>
      </c>
      <c r="H268" s="134" t="s">
        <v>1572</v>
      </c>
      <c r="I268" s="134" t="s">
        <v>1754</v>
      </c>
      <c r="J268" s="134" t="s">
        <v>1317</v>
      </c>
      <c r="K268" s="134" t="s">
        <v>1755</v>
      </c>
      <c r="L268" s="134" t="s">
        <v>1323</v>
      </c>
      <c r="M268" s="134" t="s">
        <v>1324</v>
      </c>
      <c r="N268" s="134" t="s">
        <v>1320</v>
      </c>
      <c r="O268" s="134" t="s">
        <v>1756</v>
      </c>
      <c r="P268" s="134" t="s">
        <v>1389</v>
      </c>
      <c r="Q268" s="134" t="s">
        <v>1757</v>
      </c>
      <c r="R268" s="134" t="s">
        <v>1758</v>
      </c>
      <c r="S268" s="134" t="s">
        <v>1318</v>
      </c>
      <c r="T268" s="134" t="s">
        <v>1392</v>
      </c>
      <c r="U268" s="134" t="s">
        <v>1759</v>
      </c>
      <c r="V268" s="134" t="s">
        <v>1760</v>
      </c>
      <c r="W268" s="134" t="s">
        <v>1761</v>
      </c>
      <c r="X268" s="134" t="s">
        <v>1762</v>
      </c>
      <c r="Y268" s="156" t="s">
        <v>1763</v>
      </c>
      <c r="Z268" s="156" t="s">
        <v>1764</v>
      </c>
      <c r="AA268" s="156" t="s">
        <v>1765</v>
      </c>
      <c r="AB268" s="156" t="s">
        <v>1766</v>
      </c>
      <c r="AC268" s="134" t="s">
        <v>1767</v>
      </c>
      <c r="AD268" s="157" t="s">
        <v>1768</v>
      </c>
      <c r="AE268" s="156" t="s">
        <v>1769</v>
      </c>
      <c r="AF268" s="156" t="s">
        <v>1770</v>
      </c>
      <c r="AG268" s="156" t="s">
        <v>1321</v>
      </c>
      <c r="AH268" s="156" t="s">
        <v>1427</v>
      </c>
      <c r="AI268" s="156" t="s">
        <v>1771</v>
      </c>
      <c r="AJ268" s="158" t="s">
        <v>1772</v>
      </c>
      <c r="AK268" s="159" t="s">
        <v>1773</v>
      </c>
      <c r="AL268" s="160" t="s">
        <v>1774</v>
      </c>
      <c r="AM268" s="160" t="s">
        <v>1319</v>
      </c>
      <c r="AN268" s="156" t="s">
        <v>1573</v>
      </c>
      <c r="AO268" s="156" t="s">
        <v>1775</v>
      </c>
      <c r="AP268" s="160" t="s">
        <v>1448</v>
      </c>
      <c r="AQ268" s="134" t="s">
        <v>1576</v>
      </c>
      <c r="AR268" s="161" t="s">
        <v>1776</v>
      </c>
      <c r="AS268" s="162" t="s">
        <v>1777</v>
      </c>
      <c r="AT268" s="156" t="s">
        <v>1778</v>
      </c>
      <c r="AU268" s="156" t="s">
        <v>1426</v>
      </c>
      <c r="AV268" s="157" t="s">
        <v>1779</v>
      </c>
      <c r="AW268" s="156" t="s">
        <v>1322</v>
      </c>
      <c r="AX268" s="156" t="s">
        <v>1780</v>
      </c>
      <c r="AY268" s="156" t="s">
        <v>1781</v>
      </c>
      <c r="AZ268" s="156" t="s">
        <v>1782</v>
      </c>
      <c r="BA268" s="156" t="s">
        <v>1783</v>
      </c>
      <c r="BB268" s="163" t="s">
        <v>1784</v>
      </c>
      <c r="BC268" s="163" t="s">
        <v>1785</v>
      </c>
      <c r="BD268" s="156" t="s">
        <v>1786</v>
      </c>
      <c r="BE268" s="163" t="s">
        <v>1787</v>
      </c>
      <c r="BF268" s="163" t="s">
        <v>1788</v>
      </c>
      <c r="BG268" s="156" t="s">
        <v>1789</v>
      </c>
      <c r="BH268" s="163" t="s">
        <v>1790</v>
      </c>
      <c r="BI268" s="163" t="s">
        <v>1791</v>
      </c>
      <c r="BJ268" s="156" t="s">
        <v>1792</v>
      </c>
      <c r="BK268" s="156" t="s">
        <v>1718</v>
      </c>
      <c r="BL268" s="134" t="s">
        <v>1793</v>
      </c>
      <c r="BM268" s="134" t="s">
        <v>1712</v>
      </c>
      <c r="BN268" s="134" t="s">
        <v>1794</v>
      </c>
      <c r="BO268" s="134" t="s">
        <v>1795</v>
      </c>
      <c r="BP268" s="134" t="s">
        <v>1686</v>
      </c>
      <c r="BQ268" s="156" t="s">
        <v>1796</v>
      </c>
      <c r="BR268" s="156" t="s">
        <v>1797</v>
      </c>
      <c r="BS268" s="134" t="s">
        <v>1798</v>
      </c>
      <c r="BT268" s="134" t="s">
        <v>1799</v>
      </c>
      <c r="BU268" s="156" t="s">
        <v>1800</v>
      </c>
      <c r="BV268" s="156" t="s">
        <v>1422</v>
      </c>
      <c r="BW268" s="156" t="s">
        <v>1801</v>
      </c>
      <c r="BX268" s="142" t="s">
        <v>1802</v>
      </c>
      <c r="BY268" s="142" t="s">
        <v>1582</v>
      </c>
      <c r="BZ268" s="134" t="s">
        <v>1803</v>
      </c>
      <c r="CA268" s="134" t="s">
        <v>1804</v>
      </c>
      <c r="CB268" s="134" t="s">
        <v>1434</v>
      </c>
      <c r="CC268" s="134" t="s">
        <v>1435</v>
      </c>
      <c r="CD268" s="134" t="s">
        <v>1436</v>
      </c>
      <c r="CE268" s="134" t="s">
        <v>1437</v>
      </c>
      <c r="CF268" s="134" t="s">
        <v>1438</v>
      </c>
      <c r="CG268" s="134" t="s">
        <v>1439</v>
      </c>
      <c r="CH268" s="134" t="s">
        <v>1433</v>
      </c>
    </row>
    <row r="269" spans="1:86" x14ac:dyDescent="0.3">
      <c r="A269" s="34">
        <v>1</v>
      </c>
      <c r="B269" s="34" t="s">
        <v>418</v>
      </c>
      <c r="C269" s="34" t="s">
        <v>1344</v>
      </c>
      <c r="D269" s="34" t="s">
        <v>133</v>
      </c>
      <c r="E269" s="34" t="s">
        <v>1336</v>
      </c>
      <c r="F269" s="34" t="s">
        <v>1805</v>
      </c>
      <c r="G269" s="34"/>
      <c r="H269" s="34" t="s">
        <v>1456</v>
      </c>
      <c r="I269" s="34" t="s">
        <v>419</v>
      </c>
      <c r="J269" s="34" t="s">
        <v>1806</v>
      </c>
      <c r="K269" s="34"/>
      <c r="L269" s="34">
        <v>1.24E-2</v>
      </c>
      <c r="M269" s="34">
        <v>9.1999999999999998E-3</v>
      </c>
      <c r="N269" s="153">
        <v>1</v>
      </c>
      <c r="O269" s="34">
        <v>0</v>
      </c>
      <c r="P269" s="34"/>
      <c r="Q269" s="153">
        <v>45016</v>
      </c>
      <c r="R269" s="153">
        <v>46484</v>
      </c>
      <c r="S269" s="153">
        <v>281</v>
      </c>
      <c r="T269" s="34"/>
      <c r="U269" s="153" t="s">
        <v>1325</v>
      </c>
      <c r="V269" s="153" t="s">
        <v>1807</v>
      </c>
      <c r="W269" s="153">
        <v>1</v>
      </c>
      <c r="X269" s="166"/>
      <c r="Y269" s="137"/>
      <c r="Z269" s="137"/>
      <c r="AA269" s="137"/>
      <c r="AB269" s="137">
        <v>0</v>
      </c>
      <c r="AC269" s="137">
        <v>750000000</v>
      </c>
      <c r="AD269" s="137">
        <v>9300000</v>
      </c>
      <c r="AE269" s="137">
        <v>250000</v>
      </c>
      <c r="AF269" s="137">
        <v>250000</v>
      </c>
      <c r="AG269" s="137">
        <v>250000</v>
      </c>
      <c r="AH269" s="153"/>
      <c r="AI269" s="167">
        <v>0</v>
      </c>
      <c r="AJ269" s="153"/>
      <c r="AK269" s="153"/>
      <c r="AL269" s="154">
        <v>102.6</v>
      </c>
      <c r="AM269" s="154">
        <v>9.2999999999999999E-2</v>
      </c>
      <c r="AN269" s="168" t="s">
        <v>1326</v>
      </c>
      <c r="AO269" s="168">
        <v>45756</v>
      </c>
      <c r="AP269" s="154">
        <v>0</v>
      </c>
      <c r="AQ269" s="168"/>
      <c r="AR269" s="155">
        <v>2.5000000000000001E-3</v>
      </c>
      <c r="AS269" s="152">
        <v>5.4591849999999997E-2</v>
      </c>
      <c r="AT269" s="154">
        <v>0</v>
      </c>
      <c r="AU269" s="137">
        <v>8.2214540000000003E-2</v>
      </c>
      <c r="AV269" s="137">
        <v>0</v>
      </c>
      <c r="AW269" s="137">
        <v>23250</v>
      </c>
      <c r="AX269" s="137">
        <v>99999.997499999998</v>
      </c>
      <c r="AY269" s="137">
        <v>256500</v>
      </c>
      <c r="AZ269" s="137">
        <v>2599.5734973763851</v>
      </c>
      <c r="BA269" s="137">
        <v>24816.248146518767</v>
      </c>
      <c r="BB269" s="137">
        <v>0</v>
      </c>
      <c r="BC269" s="137">
        <v>0</v>
      </c>
      <c r="BD269" s="137">
        <v>0</v>
      </c>
      <c r="BE269" s="137">
        <v>0</v>
      </c>
      <c r="BF269" s="137">
        <v>0</v>
      </c>
      <c r="BG269" s="137">
        <v>0</v>
      </c>
      <c r="BH269" s="137">
        <v>179115.24229819802</v>
      </c>
      <c r="BI269" s="137">
        <v>249999.99375000005</v>
      </c>
      <c r="BJ269" s="137">
        <v>0.98829999999999996</v>
      </c>
      <c r="BK269" s="137">
        <v>8.3333333333333329E-2</v>
      </c>
      <c r="BL269" s="113">
        <v>0</v>
      </c>
      <c r="BM269" s="113" t="s">
        <v>1663</v>
      </c>
      <c r="BN269" s="168">
        <v>0</v>
      </c>
      <c r="BO269" s="152">
        <v>0</v>
      </c>
      <c r="BP269" s="152">
        <v>0</v>
      </c>
      <c r="BQ269" s="137">
        <v>250000</v>
      </c>
      <c r="BR269" s="137">
        <v>0</v>
      </c>
      <c r="BS269" s="166" t="s">
        <v>1806</v>
      </c>
      <c r="BT269" s="168">
        <v>0.11180961279038215</v>
      </c>
      <c r="BU269" s="137">
        <v>75546.320064679894</v>
      </c>
      <c r="BV269" s="137">
        <v>20650.426502623613</v>
      </c>
      <c r="BW269" s="137">
        <v>0.2733478809416991</v>
      </c>
      <c r="BX269" s="89">
        <v>0.88819038720961774</v>
      </c>
      <c r="BY269" s="89">
        <v>0</v>
      </c>
      <c r="BZ269" s="153">
        <v>0</v>
      </c>
      <c r="CA269" s="153">
        <v>0</v>
      </c>
      <c r="CB269" s="153">
        <v>45756</v>
      </c>
      <c r="CC269" s="153">
        <v>45756</v>
      </c>
      <c r="CD269" s="153"/>
      <c r="CE269" s="153"/>
      <c r="CF269" s="153"/>
      <c r="CG269" s="34" t="s">
        <v>139</v>
      </c>
      <c r="CH269" s="34" t="s">
        <v>1333</v>
      </c>
    </row>
    <row r="270" spans="1:86" x14ac:dyDescent="0.3">
      <c r="A270" s="34">
        <v>2</v>
      </c>
      <c r="B270" s="34" t="s">
        <v>625</v>
      </c>
      <c r="C270" s="34" t="s">
        <v>1341</v>
      </c>
      <c r="D270" s="34" t="s">
        <v>159</v>
      </c>
      <c r="E270" s="34" t="s">
        <v>1336</v>
      </c>
      <c r="F270" s="34"/>
      <c r="G270" s="34"/>
      <c r="H270" s="34" t="s">
        <v>1456</v>
      </c>
      <c r="I270" s="34" t="s">
        <v>626</v>
      </c>
      <c r="J270" s="34" t="s">
        <v>1806</v>
      </c>
      <c r="K270" s="34"/>
      <c r="L270" s="34">
        <v>1.11E-2</v>
      </c>
      <c r="M270" s="34">
        <v>0</v>
      </c>
      <c r="N270" s="153">
        <v>1</v>
      </c>
      <c r="O270" s="34">
        <v>0</v>
      </c>
      <c r="P270" s="34"/>
      <c r="Q270" s="153">
        <v>45693</v>
      </c>
      <c r="R270" s="153">
        <v>46820</v>
      </c>
      <c r="S270" s="153">
        <v>617</v>
      </c>
      <c r="T270" s="34"/>
      <c r="U270" s="153" t="s">
        <v>1325</v>
      </c>
      <c r="V270" s="153" t="s">
        <v>1807</v>
      </c>
      <c r="W270" s="153">
        <v>1</v>
      </c>
      <c r="X270" s="166"/>
      <c r="Y270" s="137"/>
      <c r="Z270" s="137"/>
      <c r="AA270" s="137"/>
      <c r="AB270" s="137">
        <v>0</v>
      </c>
      <c r="AC270" s="137">
        <v>300000000</v>
      </c>
      <c r="AD270" s="137">
        <v>22052142</v>
      </c>
      <c r="AE270" s="137">
        <v>249999</v>
      </c>
      <c r="AF270" s="137">
        <v>249999</v>
      </c>
      <c r="AG270" s="137">
        <v>250000</v>
      </c>
      <c r="AH270" s="153"/>
      <c r="AI270" s="167">
        <v>0</v>
      </c>
      <c r="AJ270" s="153"/>
      <c r="AK270" s="153"/>
      <c r="AL270" s="154">
        <v>100.25</v>
      </c>
      <c r="AM270" s="154">
        <v>7.3507139999999999E-2</v>
      </c>
      <c r="AN270" s="168" t="s">
        <v>1326</v>
      </c>
      <c r="AO270" s="168">
        <v>45755</v>
      </c>
      <c r="AP270" s="154">
        <v>0</v>
      </c>
      <c r="AQ270" s="168"/>
      <c r="AR270" s="155">
        <v>8.3332999999999996E-4</v>
      </c>
      <c r="AS270" s="152">
        <v>3.496664E-2</v>
      </c>
      <c r="AT270" s="154">
        <v>0</v>
      </c>
      <c r="AU270" s="137">
        <v>7.558753E-2</v>
      </c>
      <c r="AV270" s="137">
        <v>0</v>
      </c>
      <c r="AW270" s="137">
        <v>18376.711492859999</v>
      </c>
      <c r="AX270" s="137">
        <v>49999.8</v>
      </c>
      <c r="AY270" s="137">
        <v>250623.9975</v>
      </c>
      <c r="AZ270" s="137">
        <v>2315.9785326221795</v>
      </c>
      <c r="BA270" s="137">
        <v>23132.702715101099</v>
      </c>
      <c r="BB270" s="137">
        <v>0</v>
      </c>
      <c r="BC270" s="137">
        <v>0</v>
      </c>
      <c r="BD270" s="137">
        <v>0</v>
      </c>
      <c r="BE270" s="137">
        <v>0</v>
      </c>
      <c r="BF270" s="137">
        <v>0</v>
      </c>
      <c r="BG270" s="137">
        <v>0</v>
      </c>
      <c r="BH270" s="137">
        <v>101536.98720045778</v>
      </c>
      <c r="BI270" s="137">
        <v>249999</v>
      </c>
      <c r="BJ270" s="137">
        <v>0.98939999999999995</v>
      </c>
      <c r="BK270" s="137">
        <v>8.3333000000000004E-2</v>
      </c>
      <c r="BL270" s="113">
        <v>0</v>
      </c>
      <c r="BM270" s="113" t="s">
        <v>1663</v>
      </c>
      <c r="BN270" s="168">
        <v>0</v>
      </c>
      <c r="BO270" s="152">
        <v>0</v>
      </c>
      <c r="BP270" s="152">
        <v>0</v>
      </c>
      <c r="BQ270" s="137">
        <v>249999</v>
      </c>
      <c r="BR270" s="137">
        <v>0</v>
      </c>
      <c r="BS270" s="166" t="s">
        <v>1806</v>
      </c>
      <c r="BT270" s="168">
        <v>0.12602790948326195</v>
      </c>
      <c r="BU270" s="137">
        <v>53605.933006554893</v>
      </c>
      <c r="BV270" s="137">
        <v>16060.732960237819</v>
      </c>
      <c r="BW270" s="137">
        <v>0.29960737663634968</v>
      </c>
      <c r="BX270" s="89">
        <v>0.87397209051673808</v>
      </c>
      <c r="BY270" s="89">
        <v>0</v>
      </c>
      <c r="BZ270" s="153">
        <v>0</v>
      </c>
      <c r="CA270" s="153">
        <v>0</v>
      </c>
      <c r="CB270" s="153">
        <v>45755</v>
      </c>
      <c r="CC270" s="153">
        <v>45755</v>
      </c>
      <c r="CD270" s="153"/>
      <c r="CE270" s="153"/>
      <c r="CF270" s="153"/>
      <c r="CG270" s="34" t="s">
        <v>139</v>
      </c>
      <c r="CH270" s="34" t="s">
        <v>1333</v>
      </c>
    </row>
    <row r="271" spans="1:86" x14ac:dyDescent="0.3">
      <c r="A271" s="34">
        <v>3</v>
      </c>
      <c r="B271" s="34" t="s">
        <v>668</v>
      </c>
      <c r="C271" s="34" t="s">
        <v>1335</v>
      </c>
      <c r="D271" s="34" t="s">
        <v>133</v>
      </c>
      <c r="E271" s="34" t="s">
        <v>1336</v>
      </c>
      <c r="F271" s="34" t="s">
        <v>1805</v>
      </c>
      <c r="G271" s="34"/>
      <c r="H271" s="34" t="s">
        <v>1456</v>
      </c>
      <c r="I271" s="34" t="s">
        <v>671</v>
      </c>
      <c r="J271" s="34" t="s">
        <v>1806</v>
      </c>
      <c r="K271" s="34"/>
      <c r="L271" s="34">
        <v>2.8000000000000001E-2</v>
      </c>
      <c r="M271" s="34">
        <v>1.6E-2</v>
      </c>
      <c r="N271" s="153">
        <v>1</v>
      </c>
      <c r="O271" s="34">
        <v>0</v>
      </c>
      <c r="P271" s="34"/>
      <c r="Q271" s="153">
        <v>45252</v>
      </c>
      <c r="R271" s="153">
        <v>46395</v>
      </c>
      <c r="S271" s="153">
        <v>192</v>
      </c>
      <c r="T271" s="34"/>
      <c r="U271" s="153" t="s">
        <v>1325</v>
      </c>
      <c r="V271" s="153" t="s">
        <v>1807</v>
      </c>
      <c r="W271" s="153">
        <v>1</v>
      </c>
      <c r="X271" s="166"/>
      <c r="Y271" s="137"/>
      <c r="Z271" s="137"/>
      <c r="AA271" s="137"/>
      <c r="AB271" s="137">
        <v>0</v>
      </c>
      <c r="AC271" s="137">
        <v>600000000</v>
      </c>
      <c r="AD271" s="137">
        <v>18120000</v>
      </c>
      <c r="AE271" s="137">
        <v>250000</v>
      </c>
      <c r="AF271" s="137">
        <v>250000</v>
      </c>
      <c r="AG271" s="137">
        <v>250000</v>
      </c>
      <c r="AH271" s="153"/>
      <c r="AI271" s="167">
        <v>0</v>
      </c>
      <c r="AJ271" s="153"/>
      <c r="AK271" s="153"/>
      <c r="AL271" s="154">
        <v>102.85</v>
      </c>
      <c r="AM271" s="154">
        <v>9.06E-2</v>
      </c>
      <c r="AN271" s="168" t="s">
        <v>1326</v>
      </c>
      <c r="AO271" s="168">
        <v>45751</v>
      </c>
      <c r="AP271" s="154">
        <v>0</v>
      </c>
      <c r="AQ271" s="168"/>
      <c r="AR271" s="155">
        <v>1.25E-3</v>
      </c>
      <c r="AS271" s="152">
        <v>5.2493049999999999E-2</v>
      </c>
      <c r="AT271" s="154">
        <v>0</v>
      </c>
      <c r="AU271" s="137">
        <v>7.6703099999999996E-2</v>
      </c>
      <c r="AV271" s="137">
        <v>0</v>
      </c>
      <c r="AW271" s="137">
        <v>22650</v>
      </c>
      <c r="AX271" s="137">
        <v>224999.99775000001</v>
      </c>
      <c r="AY271" s="137">
        <v>257125</v>
      </c>
      <c r="AZ271" s="137">
        <v>5261.3498553676882</v>
      </c>
      <c r="BA271" s="137">
        <v>34138.576508037724</v>
      </c>
      <c r="BB271" s="137">
        <v>0</v>
      </c>
      <c r="BC271" s="137">
        <v>0</v>
      </c>
      <c r="BD271" s="137">
        <v>0</v>
      </c>
      <c r="BE271" s="137">
        <v>0</v>
      </c>
      <c r="BF271" s="137">
        <v>135707.53001740572</v>
      </c>
      <c r="BG271" s="137">
        <v>249999.99749999997</v>
      </c>
      <c r="BH271" s="137">
        <v>249999.99750000006</v>
      </c>
      <c r="BI271" s="137">
        <v>249999.99750000008</v>
      </c>
      <c r="BJ271" s="137">
        <v>0.97360000000000002</v>
      </c>
      <c r="BK271" s="137">
        <v>8.3333333333333329E-2</v>
      </c>
      <c r="BL271" s="113">
        <v>0</v>
      </c>
      <c r="BM271" s="113" t="s">
        <v>1663</v>
      </c>
      <c r="BN271" s="168">
        <v>0</v>
      </c>
      <c r="BO271" s="152">
        <v>0</v>
      </c>
      <c r="BP271" s="152">
        <v>0</v>
      </c>
      <c r="BQ271" s="137">
        <v>250000</v>
      </c>
      <c r="BR271" s="137">
        <v>0</v>
      </c>
      <c r="BS271" s="166" t="s">
        <v>1806</v>
      </c>
      <c r="BT271" s="168">
        <v>0.23228917683742553</v>
      </c>
      <c r="BU271" s="137">
        <v>97850.36988474158</v>
      </c>
      <c r="BV271" s="137">
        <v>17388.650144632313</v>
      </c>
      <c r="BW271" s="137">
        <v>0.17770653463154495</v>
      </c>
      <c r="BX271" s="89">
        <v>0.76771082316257455</v>
      </c>
      <c r="BY271" s="89">
        <v>0</v>
      </c>
      <c r="BZ271" s="153">
        <v>0</v>
      </c>
      <c r="CA271" s="153">
        <v>0</v>
      </c>
      <c r="CB271" s="153">
        <v>45751</v>
      </c>
      <c r="CC271" s="153">
        <v>45751</v>
      </c>
      <c r="CD271" s="153"/>
      <c r="CE271" s="153"/>
      <c r="CF271" s="153"/>
      <c r="CG271" s="34" t="s">
        <v>139</v>
      </c>
      <c r="CH271" s="34" t="s">
        <v>1333</v>
      </c>
    </row>
    <row r="272" spans="1:86" x14ac:dyDescent="0.3">
      <c r="A272" s="34">
        <v>4</v>
      </c>
      <c r="B272" s="34" t="s">
        <v>711</v>
      </c>
      <c r="C272" s="34" t="s">
        <v>1327</v>
      </c>
      <c r="D272" s="34" t="s">
        <v>150</v>
      </c>
      <c r="E272" s="34" t="s">
        <v>1328</v>
      </c>
      <c r="F272" s="34" t="s">
        <v>1805</v>
      </c>
      <c r="G272" s="34"/>
      <c r="H272" s="34" t="s">
        <v>1456</v>
      </c>
      <c r="I272" s="34" t="s">
        <v>714</v>
      </c>
      <c r="J272" s="34" t="s">
        <v>1806</v>
      </c>
      <c r="K272" s="34"/>
      <c r="L272" s="34">
        <v>8.0999999999999996E-3</v>
      </c>
      <c r="M272" s="34">
        <v>7.7000000000000002E-3</v>
      </c>
      <c r="N272" s="153">
        <v>1</v>
      </c>
      <c r="O272" s="34">
        <v>0</v>
      </c>
      <c r="P272" s="34"/>
      <c r="Q272" s="153">
        <v>45405</v>
      </c>
      <c r="R272" s="153">
        <v>47212</v>
      </c>
      <c r="S272" s="153">
        <v>1009</v>
      </c>
      <c r="T272" s="34"/>
      <c r="U272" s="153" t="s">
        <v>1325</v>
      </c>
      <c r="V272" s="153" t="s">
        <v>1807</v>
      </c>
      <c r="W272" s="153">
        <v>1</v>
      </c>
      <c r="X272" s="169"/>
      <c r="Y272" s="170"/>
      <c r="Z272" s="170"/>
      <c r="AA272" s="170"/>
      <c r="AB272" s="170">
        <v>0</v>
      </c>
      <c r="AC272" s="170">
        <v>150000000</v>
      </c>
      <c r="AD272" s="170">
        <v>9324720</v>
      </c>
      <c r="AE272" s="170">
        <v>250000.5</v>
      </c>
      <c r="AF272" s="170">
        <v>250000.5</v>
      </c>
      <c r="AG272" s="170">
        <v>250000</v>
      </c>
      <c r="AH272" s="153"/>
      <c r="AI272" s="171">
        <v>0</v>
      </c>
      <c r="AJ272" s="153"/>
      <c r="AK272" s="153"/>
      <c r="AL272" s="172">
        <v>101</v>
      </c>
      <c r="AM272" s="172">
        <v>6.2164799999999999E-2</v>
      </c>
      <c r="AN272" s="173" t="s">
        <v>1326</v>
      </c>
      <c r="AO272" s="173">
        <v>45749</v>
      </c>
      <c r="AP272" s="172">
        <v>0</v>
      </c>
      <c r="AQ272" s="173"/>
      <c r="AR272" s="174">
        <v>1.6666700000000001E-3</v>
      </c>
      <c r="AS272" s="175">
        <v>2.3430280000000001E-2</v>
      </c>
      <c r="AT272" s="134">
        <v>0</v>
      </c>
      <c r="AU272" s="134">
        <v>5.6722120000000001E-2</v>
      </c>
      <c r="AV272" s="170">
        <v>0</v>
      </c>
      <c r="AW272" s="170">
        <v>15541.2310824</v>
      </c>
      <c r="AX272" s="170">
        <v>25000.05</v>
      </c>
      <c r="AY272" s="170">
        <v>252500.505</v>
      </c>
      <c r="AZ272" s="170">
        <v>1971.5092803013679</v>
      </c>
      <c r="BA272" s="170">
        <v>22005.247728234022</v>
      </c>
      <c r="BB272" s="170">
        <v>0</v>
      </c>
      <c r="BC272" s="170">
        <v>0</v>
      </c>
      <c r="BD272" s="170">
        <v>0</v>
      </c>
      <c r="BE272" s="170">
        <v>0</v>
      </c>
      <c r="BF272" s="170">
        <v>0</v>
      </c>
      <c r="BG272" s="170">
        <v>0</v>
      </c>
      <c r="BH272" s="170">
        <v>0</v>
      </c>
      <c r="BI272" s="170">
        <v>250000.5</v>
      </c>
      <c r="BJ272" s="170">
        <v>0.9919</v>
      </c>
      <c r="BK272" s="170">
        <v>8.3333500000000005E-2</v>
      </c>
      <c r="BL272" s="176">
        <v>0</v>
      </c>
      <c r="BM272" s="176" t="s">
        <v>1663</v>
      </c>
      <c r="BN272" s="173">
        <v>0</v>
      </c>
      <c r="BO272" s="175">
        <v>0</v>
      </c>
      <c r="BP272" s="175">
        <v>0</v>
      </c>
      <c r="BQ272" s="170">
        <v>250000.5</v>
      </c>
      <c r="BR272" s="170">
        <v>0</v>
      </c>
      <c r="BS272" s="169" t="s">
        <v>1806</v>
      </c>
      <c r="BT272" s="173">
        <v>0.12685669943702502</v>
      </c>
      <c r="BU272" s="170">
        <v>10000.02</v>
      </c>
      <c r="BV272" s="170">
        <v>13569.721802098631</v>
      </c>
      <c r="BW272" s="170">
        <v>1.3569694662709304</v>
      </c>
      <c r="BX272" s="177">
        <v>0.87314330056297496</v>
      </c>
      <c r="BY272" s="177">
        <v>0</v>
      </c>
      <c r="BZ272" s="153">
        <v>0</v>
      </c>
      <c r="CA272" s="153">
        <v>0</v>
      </c>
      <c r="CB272" s="153">
        <v>45749</v>
      </c>
      <c r="CC272" s="153">
        <v>45749</v>
      </c>
      <c r="CD272" s="153"/>
      <c r="CE272" s="153"/>
      <c r="CF272" s="153"/>
      <c r="CG272" s="34" t="s">
        <v>139</v>
      </c>
      <c r="CH272" s="34" t="s">
        <v>1329</v>
      </c>
    </row>
    <row r="273" spans="1:86" x14ac:dyDescent="0.3">
      <c r="A273" s="34">
        <v>5</v>
      </c>
      <c r="B273" s="34" t="s">
        <v>856</v>
      </c>
      <c r="C273" s="34" t="s">
        <v>1337</v>
      </c>
      <c r="D273" s="34" t="s">
        <v>167</v>
      </c>
      <c r="E273" s="34" t="s">
        <v>1338</v>
      </c>
      <c r="F273" s="34" t="s">
        <v>1805</v>
      </c>
      <c r="G273" s="34"/>
      <c r="H273" s="34" t="s">
        <v>1456</v>
      </c>
      <c r="I273" s="34" t="s">
        <v>858</v>
      </c>
      <c r="J273" s="34" t="s">
        <v>1806</v>
      </c>
      <c r="K273" s="34"/>
      <c r="L273" s="34">
        <v>1.5900000000000001E-2</v>
      </c>
      <c r="M273" s="34">
        <v>0</v>
      </c>
      <c r="N273" s="153">
        <v>1</v>
      </c>
      <c r="O273" s="34">
        <v>0</v>
      </c>
      <c r="P273" s="34"/>
      <c r="Q273" s="153">
        <v>44650</v>
      </c>
      <c r="R273" s="153">
        <v>46119</v>
      </c>
      <c r="S273" s="153">
        <v>-84</v>
      </c>
      <c r="T273" s="34"/>
      <c r="U273" s="153" t="s">
        <v>1325</v>
      </c>
      <c r="V273" s="153" t="s">
        <v>1807</v>
      </c>
      <c r="W273" s="153">
        <v>1</v>
      </c>
      <c r="X273" s="169"/>
      <c r="Y273" s="170"/>
      <c r="Z273" s="170"/>
      <c r="AA273" s="170"/>
      <c r="AB273" s="170">
        <v>0</v>
      </c>
      <c r="AC273" s="170">
        <v>100000000</v>
      </c>
      <c r="AD273" s="170">
        <v>7992000.0000000019</v>
      </c>
      <c r="AE273" s="170">
        <v>249999.60000000003</v>
      </c>
      <c r="AF273" s="170">
        <v>249999.60000000003</v>
      </c>
      <c r="AG273" s="170">
        <v>250000</v>
      </c>
      <c r="AH273" s="153"/>
      <c r="AI273" s="171">
        <v>0</v>
      </c>
      <c r="AJ273" s="153"/>
      <c r="AK273" s="153"/>
      <c r="AL273" s="172">
        <v>101</v>
      </c>
      <c r="AM273" s="172">
        <v>6.6600000000000006E-2</v>
      </c>
      <c r="AN273" s="173" t="s">
        <v>1326</v>
      </c>
      <c r="AO273" s="173">
        <v>45751</v>
      </c>
      <c r="AP273" s="172">
        <v>0</v>
      </c>
      <c r="AQ273" s="173"/>
      <c r="AR273" s="174">
        <v>2.08333E-3</v>
      </c>
      <c r="AS273" s="175">
        <v>2.8000799999999999E-2</v>
      </c>
      <c r="AT273" s="34">
        <v>0</v>
      </c>
      <c r="AU273" s="34">
        <v>5.962858E-2</v>
      </c>
      <c r="AV273" s="170">
        <v>0</v>
      </c>
      <c r="AW273" s="170">
        <v>16649.973360000004</v>
      </c>
      <c r="AX273" s="170">
        <v>0</v>
      </c>
      <c r="AY273" s="170">
        <v>252499.59600000005</v>
      </c>
      <c r="AZ273" s="170">
        <v>3783.1094999501311</v>
      </c>
      <c r="BA273" s="170">
        <v>30259.525223829885</v>
      </c>
      <c r="BB273" s="170">
        <v>0</v>
      </c>
      <c r="BC273" s="170">
        <v>0</v>
      </c>
      <c r="BD273" s="170">
        <v>0</v>
      </c>
      <c r="BE273" s="170">
        <v>0</v>
      </c>
      <c r="BF273" s="170">
        <v>0</v>
      </c>
      <c r="BG273" s="170">
        <v>249999.59999999998</v>
      </c>
      <c r="BH273" s="170">
        <v>249999.6</v>
      </c>
      <c r="BI273" s="170">
        <v>249999.60000000003</v>
      </c>
      <c r="BJ273" s="170">
        <v>0.98429999999999995</v>
      </c>
      <c r="BK273" s="170">
        <v>8.333320000000001E-2</v>
      </c>
      <c r="BL273" s="176">
        <v>0</v>
      </c>
      <c r="BM273" s="176" t="s">
        <v>1663</v>
      </c>
      <c r="BN273" s="173">
        <v>0</v>
      </c>
      <c r="BO273" s="175">
        <v>0</v>
      </c>
      <c r="BP273" s="175">
        <v>0</v>
      </c>
      <c r="BQ273" s="170">
        <v>249999.60000000003</v>
      </c>
      <c r="BR273" s="170">
        <v>0</v>
      </c>
      <c r="BS273" s="169" t="s">
        <v>1806</v>
      </c>
      <c r="BT273" s="173">
        <v>0.22721414732342432</v>
      </c>
      <c r="BU273" s="170">
        <v>27499.956000000006</v>
      </c>
      <c r="BV273" s="170">
        <v>12866.863860049873</v>
      </c>
      <c r="BW273" s="170">
        <v>0.46788670716599945</v>
      </c>
      <c r="BX273" s="177">
        <v>0.77278585267657562</v>
      </c>
      <c r="BY273" s="177">
        <v>0</v>
      </c>
      <c r="BZ273" s="153">
        <v>0</v>
      </c>
      <c r="CA273" s="153">
        <v>0</v>
      </c>
      <c r="CB273" s="153">
        <v>45751</v>
      </c>
      <c r="CC273" s="153">
        <v>45751</v>
      </c>
      <c r="CD273" s="153"/>
      <c r="CE273" s="153"/>
      <c r="CF273" s="153"/>
      <c r="CG273" s="34" t="s">
        <v>139</v>
      </c>
      <c r="CH273" s="34" t="s">
        <v>1333</v>
      </c>
    </row>
    <row r="274" spans="1:86" x14ac:dyDescent="0.3">
      <c r="A274" s="34">
        <v>6</v>
      </c>
      <c r="B274" s="34" t="s">
        <v>895</v>
      </c>
      <c r="C274" s="34" t="s">
        <v>1345</v>
      </c>
      <c r="D274" s="34" t="s">
        <v>150</v>
      </c>
      <c r="E274" s="34" t="s">
        <v>1336</v>
      </c>
      <c r="F274" s="34"/>
      <c r="G274" s="34"/>
      <c r="H274" s="34" t="s">
        <v>1456</v>
      </c>
      <c r="I274" s="34" t="s">
        <v>898</v>
      </c>
      <c r="J274" s="34" t="s">
        <v>1806</v>
      </c>
      <c r="K274" s="34"/>
      <c r="L274" s="34">
        <v>1.1299999999999999E-2</v>
      </c>
      <c r="M274" s="34">
        <v>0</v>
      </c>
      <c r="N274" s="153">
        <v>1</v>
      </c>
      <c r="O274" s="34">
        <v>0</v>
      </c>
      <c r="P274" s="34"/>
      <c r="Q274" s="153">
        <v>45630</v>
      </c>
      <c r="R274" s="153">
        <v>46762</v>
      </c>
      <c r="S274" s="153">
        <v>559</v>
      </c>
      <c r="T274" s="34"/>
      <c r="U274" s="153" t="s">
        <v>1325</v>
      </c>
      <c r="V274" s="153" t="s">
        <v>1807</v>
      </c>
      <c r="W274" s="153">
        <v>1</v>
      </c>
      <c r="X274" s="169"/>
      <c r="Y274" s="170"/>
      <c r="Z274" s="170"/>
      <c r="AA274" s="170"/>
      <c r="AB274" s="170">
        <v>0</v>
      </c>
      <c r="AC274" s="170">
        <v>100000000</v>
      </c>
      <c r="AD274" s="170">
        <v>7310000</v>
      </c>
      <c r="AE274" s="170">
        <v>250000</v>
      </c>
      <c r="AF274" s="170">
        <v>250000</v>
      </c>
      <c r="AG274" s="170">
        <v>250000</v>
      </c>
      <c r="AH274" s="153"/>
      <c r="AI274" s="171">
        <v>0</v>
      </c>
      <c r="AJ274" s="153"/>
      <c r="AK274" s="153"/>
      <c r="AL274" s="172">
        <v>101.6</v>
      </c>
      <c r="AM274" s="172">
        <v>7.3099999999999998E-2</v>
      </c>
      <c r="AN274" s="173" t="s">
        <v>1326</v>
      </c>
      <c r="AO274" s="173">
        <v>45756</v>
      </c>
      <c r="AP274" s="172">
        <v>0</v>
      </c>
      <c r="AQ274" s="173"/>
      <c r="AR274" s="174">
        <v>2.5000000000000001E-3</v>
      </c>
      <c r="AS274" s="175">
        <v>3.4997439999999998E-2</v>
      </c>
      <c r="AT274" s="34">
        <v>0</v>
      </c>
      <c r="AU274" s="34">
        <v>6.9968119999999995E-2</v>
      </c>
      <c r="AV274" s="170">
        <v>0</v>
      </c>
      <c r="AW274" s="170">
        <v>18275</v>
      </c>
      <c r="AX274" s="170">
        <v>15625</v>
      </c>
      <c r="AY274" s="170">
        <v>254000</v>
      </c>
      <c r="AZ274" s="170">
        <v>2306.25</v>
      </c>
      <c r="BA274" s="170">
        <v>22853.282055047777</v>
      </c>
      <c r="BB274" s="170">
        <v>0</v>
      </c>
      <c r="BC274" s="170">
        <v>0</v>
      </c>
      <c r="BD274" s="170">
        <v>0</v>
      </c>
      <c r="BE274" s="170">
        <v>0</v>
      </c>
      <c r="BF274" s="170">
        <v>0</v>
      </c>
      <c r="BG274" s="170">
        <v>0</v>
      </c>
      <c r="BH274" s="170">
        <v>62500</v>
      </c>
      <c r="BI274" s="170">
        <v>250000</v>
      </c>
      <c r="BJ274" s="170">
        <v>0.98870000000000002</v>
      </c>
      <c r="BK274" s="170">
        <v>8.3333333333333329E-2</v>
      </c>
      <c r="BL274" s="176">
        <v>0</v>
      </c>
      <c r="BM274" s="176" t="s">
        <v>1663</v>
      </c>
      <c r="BN274" s="173">
        <v>0</v>
      </c>
      <c r="BO274" s="175">
        <v>0</v>
      </c>
      <c r="BP274" s="175">
        <v>0</v>
      </c>
      <c r="BQ274" s="170">
        <v>250000</v>
      </c>
      <c r="BR274" s="170">
        <v>0</v>
      </c>
      <c r="BS274" s="169" t="s">
        <v>1806</v>
      </c>
      <c r="BT274" s="173">
        <v>0.12619699042407662</v>
      </c>
      <c r="BU274" s="170">
        <v>11562.5</v>
      </c>
      <c r="BV274" s="170">
        <v>15968.75</v>
      </c>
      <c r="BW274" s="170">
        <v>1.3810810810810812</v>
      </c>
      <c r="BX274" s="177">
        <v>0.87380300957592338</v>
      </c>
      <c r="BY274" s="177">
        <v>0</v>
      </c>
      <c r="BZ274" s="153">
        <v>0</v>
      </c>
      <c r="CA274" s="153">
        <v>0</v>
      </c>
      <c r="CB274" s="153">
        <v>45756</v>
      </c>
      <c r="CC274" s="153">
        <v>45756</v>
      </c>
      <c r="CD274" s="153"/>
      <c r="CE274" s="153"/>
      <c r="CF274" s="153"/>
      <c r="CG274" s="34" t="s">
        <v>1347</v>
      </c>
      <c r="CH274" s="34" t="s">
        <v>1333</v>
      </c>
    </row>
    <row r="275" spans="1:86" x14ac:dyDescent="0.3">
      <c r="A275" s="34">
        <v>7</v>
      </c>
      <c r="B275" s="34" t="s">
        <v>963</v>
      </c>
      <c r="C275" s="34" t="s">
        <v>1343</v>
      </c>
      <c r="D275" s="34" t="s">
        <v>150</v>
      </c>
      <c r="E275" s="34" t="s">
        <v>1336</v>
      </c>
      <c r="F275" s="34" t="s">
        <v>1805</v>
      </c>
      <c r="G275" s="34"/>
      <c r="H275" s="34" t="s">
        <v>1456</v>
      </c>
      <c r="I275" s="34" t="s">
        <v>966</v>
      </c>
      <c r="J275" s="34" t="s">
        <v>1806</v>
      </c>
      <c r="K275" s="34"/>
      <c r="L275" s="34">
        <v>2.5000000000000001E-3</v>
      </c>
      <c r="M275" s="34">
        <v>8.0000000000000004E-4</v>
      </c>
      <c r="N275" s="153">
        <v>1</v>
      </c>
      <c r="O275" s="34">
        <v>0</v>
      </c>
      <c r="P275" s="34"/>
      <c r="Q275" s="153">
        <v>45300</v>
      </c>
      <c r="R275" s="153">
        <v>46395</v>
      </c>
      <c r="S275" s="153">
        <v>192</v>
      </c>
      <c r="T275" s="34"/>
      <c r="U275" s="153" t="s">
        <v>1325</v>
      </c>
      <c r="V275" s="153" t="s">
        <v>1807</v>
      </c>
      <c r="W275" s="153">
        <v>1</v>
      </c>
      <c r="X275" s="169"/>
      <c r="Y275" s="170"/>
      <c r="Z275" s="170"/>
      <c r="AA275" s="170"/>
      <c r="AB275" s="170">
        <v>0</v>
      </c>
      <c r="AC275" s="170">
        <v>400000000</v>
      </c>
      <c r="AD275" s="170">
        <v>20017500</v>
      </c>
      <c r="AE275" s="170">
        <v>249999.45</v>
      </c>
      <c r="AF275" s="170">
        <v>249999.45</v>
      </c>
      <c r="AG275" s="170">
        <v>250000</v>
      </c>
      <c r="AH275" s="153"/>
      <c r="AI275" s="171">
        <v>0</v>
      </c>
      <c r="AJ275" s="153"/>
      <c r="AK275" s="153"/>
      <c r="AL275" s="172">
        <v>102.3</v>
      </c>
      <c r="AM275" s="172">
        <v>7.85E-2</v>
      </c>
      <c r="AN275" s="173" t="s">
        <v>1326</v>
      </c>
      <c r="AO275" s="173">
        <v>45756</v>
      </c>
      <c r="AP275" s="172">
        <v>0</v>
      </c>
      <c r="AQ275" s="173"/>
      <c r="AR275" s="174">
        <v>9.8039000000000004E-4</v>
      </c>
      <c r="AS275" s="175">
        <v>4.0195000000000002E-2</v>
      </c>
      <c r="AT275" s="34">
        <v>0</v>
      </c>
      <c r="AU275" s="34">
        <v>6.7969870000000002E-2</v>
      </c>
      <c r="AV275" s="170">
        <v>0</v>
      </c>
      <c r="AW275" s="170">
        <v>19624.956825000001</v>
      </c>
      <c r="AX275" s="170">
        <v>0</v>
      </c>
      <c r="AY275" s="170">
        <v>255749.43734999999</v>
      </c>
      <c r="AZ275" s="170">
        <v>407.35961204826805</v>
      </c>
      <c r="BA275" s="170">
        <v>9001.9858960103265</v>
      </c>
      <c r="BB275" s="170">
        <v>0</v>
      </c>
      <c r="BC275" s="170">
        <v>0</v>
      </c>
      <c r="BD275" s="170">
        <v>0</v>
      </c>
      <c r="BE275" s="170">
        <v>0</v>
      </c>
      <c r="BF275" s="170">
        <v>0</v>
      </c>
      <c r="BG275" s="170">
        <v>0</v>
      </c>
      <c r="BH275" s="170">
        <v>0</v>
      </c>
      <c r="BI275" s="170">
        <v>97412.904708811286</v>
      </c>
      <c r="BJ275" s="170">
        <v>0.99760000000000004</v>
      </c>
      <c r="BK275" s="170">
        <v>8.3333150000000009E-2</v>
      </c>
      <c r="BL275" s="176">
        <v>0</v>
      </c>
      <c r="BM275" s="176" t="s">
        <v>1663</v>
      </c>
      <c r="BN275" s="173">
        <v>0</v>
      </c>
      <c r="BO275" s="175">
        <v>0</v>
      </c>
      <c r="BP275" s="175">
        <v>0</v>
      </c>
      <c r="BQ275" s="170">
        <v>249999.45</v>
      </c>
      <c r="BR275" s="170">
        <v>0</v>
      </c>
      <c r="BS275" s="169" t="s">
        <v>1806</v>
      </c>
      <c r="BT275" s="173">
        <v>2.0757223349879551E-2</v>
      </c>
      <c r="BU275" s="170">
        <v>12499.972499999996</v>
      </c>
      <c r="BV275" s="170">
        <v>19217.597212951732</v>
      </c>
      <c r="BW275" s="170">
        <v>1.5374111593406896</v>
      </c>
      <c r="BX275" s="177">
        <v>0.97924277665012038</v>
      </c>
      <c r="BY275" s="177">
        <v>0</v>
      </c>
      <c r="BZ275" s="153">
        <v>0</v>
      </c>
      <c r="CA275" s="153">
        <v>0</v>
      </c>
      <c r="CB275" s="153">
        <v>45756</v>
      </c>
      <c r="CC275" s="153">
        <v>45756</v>
      </c>
      <c r="CD275" s="153"/>
      <c r="CE275" s="153"/>
      <c r="CF275" s="153"/>
      <c r="CG275" s="34" t="s">
        <v>139</v>
      </c>
      <c r="CH275" s="34" t="s">
        <v>1333</v>
      </c>
    </row>
    <row r="276" spans="1:86" x14ac:dyDescent="0.3">
      <c r="A276" s="34">
        <v>8</v>
      </c>
      <c r="B276" s="34" t="s">
        <v>1028</v>
      </c>
      <c r="C276" s="34" t="s">
        <v>1339</v>
      </c>
      <c r="D276" s="34" t="s">
        <v>528</v>
      </c>
      <c r="E276" s="34" t="s">
        <v>1340</v>
      </c>
      <c r="F276" s="34" t="s">
        <v>1808</v>
      </c>
      <c r="G276" s="34"/>
      <c r="H276" s="34" t="s">
        <v>1456</v>
      </c>
      <c r="I276" s="34" t="s">
        <v>1029</v>
      </c>
      <c r="J276" s="34" t="s">
        <v>1806</v>
      </c>
      <c r="K276" s="34"/>
      <c r="L276" s="34">
        <v>8.5000000000000006E-3</v>
      </c>
      <c r="M276" s="34">
        <v>7.7000000000000002E-3</v>
      </c>
      <c r="N276" s="153">
        <v>1</v>
      </c>
      <c r="O276" s="34">
        <v>0</v>
      </c>
      <c r="P276" s="34"/>
      <c r="Q276" s="153">
        <v>45267</v>
      </c>
      <c r="R276" s="153">
        <v>46363</v>
      </c>
      <c r="S276" s="153">
        <v>160</v>
      </c>
      <c r="T276" s="34"/>
      <c r="U276" s="153" t="s">
        <v>1325</v>
      </c>
      <c r="V276" s="153" t="s">
        <v>1807</v>
      </c>
      <c r="W276" s="153">
        <v>1</v>
      </c>
      <c r="X276" s="169"/>
      <c r="Y276" s="170"/>
      <c r="Z276" s="170"/>
      <c r="AA276" s="170"/>
      <c r="AB276" s="170">
        <v>0</v>
      </c>
      <c r="AC276" s="170">
        <v>1000000000</v>
      </c>
      <c r="AD276" s="170">
        <v>27960000</v>
      </c>
      <c r="AE276" s="170">
        <v>249999</v>
      </c>
      <c r="AF276" s="170">
        <v>249999</v>
      </c>
      <c r="AG276" s="170">
        <v>250000</v>
      </c>
      <c r="AH276" s="153"/>
      <c r="AI276" s="171">
        <v>0</v>
      </c>
      <c r="AJ276" s="153"/>
      <c r="AK276" s="153"/>
      <c r="AL276" s="172">
        <v>103.95</v>
      </c>
      <c r="AM276" s="172">
        <v>9.3200000000000005E-2</v>
      </c>
      <c r="AN276" s="173" t="s">
        <v>1326</v>
      </c>
      <c r="AO276" s="173">
        <v>45751</v>
      </c>
      <c r="AP276" s="172">
        <v>0</v>
      </c>
      <c r="AQ276" s="173"/>
      <c r="AR276" s="174">
        <v>8.3332999999999996E-4</v>
      </c>
      <c r="AS276" s="175">
        <v>5.500062E-2</v>
      </c>
      <c r="AT276" s="34">
        <v>0</v>
      </c>
      <c r="AU276" s="34">
        <v>7.1253140000000006E-2</v>
      </c>
      <c r="AV276" s="170">
        <v>0</v>
      </c>
      <c r="AW276" s="170">
        <v>23299.906800000001</v>
      </c>
      <c r="AX276" s="170">
        <v>49999.799999999988</v>
      </c>
      <c r="AY276" s="170">
        <v>259873.96050000002</v>
      </c>
      <c r="AZ276" s="170">
        <v>2019.6864694769979</v>
      </c>
      <c r="BA276" s="170">
        <v>22128.200213811611</v>
      </c>
      <c r="BB276" s="170">
        <v>0</v>
      </c>
      <c r="BC276" s="170">
        <v>0</v>
      </c>
      <c r="BD276" s="170">
        <v>0</v>
      </c>
      <c r="BE276" s="170">
        <v>0</v>
      </c>
      <c r="BF276" s="170">
        <v>0</v>
      </c>
      <c r="BG276" s="170">
        <v>0</v>
      </c>
      <c r="BH276" s="170">
        <v>0</v>
      </c>
      <c r="BI276" s="170">
        <v>249999</v>
      </c>
      <c r="BJ276" s="170">
        <v>0.99150000000000005</v>
      </c>
      <c r="BK276" s="170">
        <v>8.3333000000000004E-2</v>
      </c>
      <c r="BL276" s="176">
        <v>0</v>
      </c>
      <c r="BM276" s="176" t="s">
        <v>1663</v>
      </c>
      <c r="BN276" s="173">
        <v>0</v>
      </c>
      <c r="BO276" s="175">
        <v>0</v>
      </c>
      <c r="BP276" s="175">
        <v>0</v>
      </c>
      <c r="BQ276" s="170">
        <v>249999</v>
      </c>
      <c r="BR276" s="170">
        <v>0</v>
      </c>
      <c r="BS276" s="169" t="s">
        <v>1806</v>
      </c>
      <c r="BT276" s="173">
        <v>8.6682169453012478E-2</v>
      </c>
      <c r="BU276" s="170">
        <v>49999.8</v>
      </c>
      <c r="BV276" s="170">
        <v>21280.220330523003</v>
      </c>
      <c r="BW276" s="170">
        <v>0.42560610903489615</v>
      </c>
      <c r="BX276" s="177">
        <v>0.91331783054698756</v>
      </c>
      <c r="BY276" s="177">
        <v>0</v>
      </c>
      <c r="BZ276" s="153">
        <v>0</v>
      </c>
      <c r="CA276" s="153">
        <v>0</v>
      </c>
      <c r="CB276" s="153">
        <v>45751</v>
      </c>
      <c r="CC276" s="153">
        <v>45751</v>
      </c>
      <c r="CD276" s="153"/>
      <c r="CE276" s="153"/>
      <c r="CF276" s="153"/>
      <c r="CG276" s="34" t="s">
        <v>139</v>
      </c>
      <c r="CH276" s="34" t="s">
        <v>1329</v>
      </c>
    </row>
    <row r="277" spans="1:86" x14ac:dyDescent="0.3">
      <c r="A277" s="34">
        <v>9</v>
      </c>
      <c r="B277" s="34" t="s">
        <v>1114</v>
      </c>
      <c r="C277" s="34" t="s">
        <v>1342</v>
      </c>
      <c r="D277" s="34" t="s">
        <v>150</v>
      </c>
      <c r="E277" s="34" t="s">
        <v>1336</v>
      </c>
      <c r="F277" s="34" t="s">
        <v>1805</v>
      </c>
      <c r="G277" s="34"/>
      <c r="H277" s="34" t="s">
        <v>1456</v>
      </c>
      <c r="I277" s="34" t="s">
        <v>1117</v>
      </c>
      <c r="J277" s="34" t="s">
        <v>1806</v>
      </c>
      <c r="K277" s="34"/>
      <c r="L277" s="34">
        <v>1.4999999999999999E-2</v>
      </c>
      <c r="M277" s="34">
        <v>9.1999999999999998E-3</v>
      </c>
      <c r="N277" s="153">
        <v>1</v>
      </c>
      <c r="O277" s="34">
        <v>0</v>
      </c>
      <c r="P277" s="34"/>
      <c r="Q277" s="153">
        <v>45649</v>
      </c>
      <c r="R277" s="153">
        <v>46849</v>
      </c>
      <c r="S277" s="153">
        <v>646</v>
      </c>
      <c r="T277" s="34"/>
      <c r="U277" s="153" t="s">
        <v>1325</v>
      </c>
      <c r="V277" s="153" t="s">
        <v>1807</v>
      </c>
      <c r="W277" s="153">
        <v>1</v>
      </c>
      <c r="X277" s="169"/>
      <c r="Y277" s="170"/>
      <c r="Z277" s="170"/>
      <c r="AA277" s="170"/>
      <c r="AB277" s="170">
        <v>0</v>
      </c>
      <c r="AC277" s="170">
        <v>300000000</v>
      </c>
      <c r="AD277" s="170">
        <v>17920000</v>
      </c>
      <c r="AE277" s="170">
        <v>250000</v>
      </c>
      <c r="AF277" s="170">
        <v>250000</v>
      </c>
      <c r="AG277" s="170">
        <v>250000</v>
      </c>
      <c r="AH277" s="153"/>
      <c r="AI277" s="171">
        <v>0</v>
      </c>
      <c r="AJ277" s="153"/>
      <c r="AK277" s="153"/>
      <c r="AL277" s="172">
        <v>100.65</v>
      </c>
      <c r="AM277" s="172">
        <v>8.9599999999999999E-2</v>
      </c>
      <c r="AN277" s="173" t="s">
        <v>1326</v>
      </c>
      <c r="AO277" s="173">
        <v>45755</v>
      </c>
      <c r="AP277" s="172">
        <v>0</v>
      </c>
      <c r="AQ277" s="173"/>
      <c r="AR277" s="174">
        <v>1.25E-3</v>
      </c>
      <c r="AS277" s="175">
        <v>5.1341879999999999E-2</v>
      </c>
      <c r="AT277" s="172">
        <v>0</v>
      </c>
      <c r="AU277" s="170">
        <v>9.0424110000000002E-2</v>
      </c>
      <c r="AV277" s="170">
        <v>0</v>
      </c>
      <c r="AW277" s="170">
        <v>22400</v>
      </c>
      <c r="AX277" s="170">
        <v>148388.0105570812</v>
      </c>
      <c r="AY277" s="170">
        <v>251625</v>
      </c>
      <c r="AZ277" s="170">
        <v>2970.2306110109025</v>
      </c>
      <c r="BA277" s="170">
        <v>25886.925799512053</v>
      </c>
      <c r="BB277" s="170">
        <v>0</v>
      </c>
      <c r="BC277" s="170">
        <v>0</v>
      </c>
      <c r="BD277" s="170">
        <v>0</v>
      </c>
      <c r="BE277" s="170">
        <v>0</v>
      </c>
      <c r="BF277" s="170">
        <v>0</v>
      </c>
      <c r="BG277" s="170">
        <v>75931.153607653789</v>
      </c>
      <c r="BH277" s="170">
        <v>212102.31331062448</v>
      </c>
      <c r="BI277" s="170">
        <v>250000.00125</v>
      </c>
      <c r="BJ277" s="170">
        <v>0.98550000000000004</v>
      </c>
      <c r="BK277" s="170">
        <v>8.3333333333333329E-2</v>
      </c>
      <c r="BL277" s="176">
        <v>0</v>
      </c>
      <c r="BM277" s="176" t="s">
        <v>1663</v>
      </c>
      <c r="BN277" s="173">
        <v>0</v>
      </c>
      <c r="BO277" s="175">
        <v>0</v>
      </c>
      <c r="BP277" s="175">
        <v>0</v>
      </c>
      <c r="BQ277" s="170">
        <v>250000</v>
      </c>
      <c r="BR277" s="170">
        <v>0</v>
      </c>
      <c r="BS277" s="169" t="s">
        <v>1806</v>
      </c>
      <c r="BT277" s="173">
        <v>0.13259958084870099</v>
      </c>
      <c r="BU277" s="170">
        <v>69713.471430225472</v>
      </c>
      <c r="BV277" s="170">
        <v>19429.769388989098</v>
      </c>
      <c r="BW277" s="170">
        <v>0.27870896385407923</v>
      </c>
      <c r="BX277" s="177">
        <v>0.86740041915129906</v>
      </c>
      <c r="BY277" s="177">
        <v>0</v>
      </c>
      <c r="BZ277" s="153">
        <v>0</v>
      </c>
      <c r="CA277" s="153">
        <v>0</v>
      </c>
      <c r="CB277" s="153">
        <v>45755</v>
      </c>
      <c r="CC277" s="153">
        <v>45755</v>
      </c>
      <c r="CD277" s="153"/>
      <c r="CE277" s="153"/>
      <c r="CF277" s="153"/>
      <c r="CG277" s="34" t="s">
        <v>139</v>
      </c>
      <c r="CH277" s="34" t="s">
        <v>1333</v>
      </c>
    </row>
    <row r="278" spans="1:86" x14ac:dyDescent="0.3">
      <c r="A278" s="34">
        <v>10</v>
      </c>
      <c r="B278" s="34" t="s">
        <v>1120</v>
      </c>
      <c r="C278" s="34" t="s">
        <v>1331</v>
      </c>
      <c r="D278" s="34" t="s">
        <v>159</v>
      </c>
      <c r="E278" s="34" t="s">
        <v>1332</v>
      </c>
      <c r="F278" s="34" t="s">
        <v>1805</v>
      </c>
      <c r="G278" s="34"/>
      <c r="H278" s="34" t="s">
        <v>1456</v>
      </c>
      <c r="I278" s="34" t="s">
        <v>1121</v>
      </c>
      <c r="J278" s="34" t="s">
        <v>1806</v>
      </c>
      <c r="K278" s="34"/>
      <c r="L278" s="34">
        <v>3.3399999999999999E-2</v>
      </c>
      <c r="M278" s="34">
        <v>3.1300000000000001E-2</v>
      </c>
      <c r="N278" s="153">
        <v>1</v>
      </c>
      <c r="O278" s="34">
        <v>0</v>
      </c>
      <c r="P278" s="34"/>
      <c r="Q278" s="153">
        <v>45686</v>
      </c>
      <c r="R278" s="153">
        <v>46850</v>
      </c>
      <c r="S278" s="153">
        <v>647</v>
      </c>
      <c r="T278" s="34"/>
      <c r="U278" s="153" t="s">
        <v>1325</v>
      </c>
      <c r="V278" s="153" t="s">
        <v>1809</v>
      </c>
      <c r="W278" s="153">
        <v>1</v>
      </c>
      <c r="X278" s="166"/>
      <c r="Y278" s="137"/>
      <c r="Z278" s="137"/>
      <c r="AA278" s="137"/>
      <c r="AB278" s="137">
        <v>5000000</v>
      </c>
      <c r="AC278" s="137">
        <v>5000000</v>
      </c>
      <c r="AD278" s="137">
        <v>3142943.6999999997</v>
      </c>
      <c r="AE278" s="137">
        <v>249999.9</v>
      </c>
      <c r="AF278" s="137">
        <v>249999.9</v>
      </c>
      <c r="AG278" s="137">
        <v>250000</v>
      </c>
      <c r="AH278" s="153"/>
      <c r="AI278" s="167">
        <v>0</v>
      </c>
      <c r="AJ278" s="153"/>
      <c r="AK278" s="153"/>
      <c r="AL278" s="154">
        <v>100.2</v>
      </c>
      <c r="AM278" s="154">
        <v>0.10476479</v>
      </c>
      <c r="AN278" s="168" t="s">
        <v>1326</v>
      </c>
      <c r="AO278" s="168">
        <v>45751</v>
      </c>
      <c r="AP278" s="154">
        <v>0</v>
      </c>
      <c r="AQ278" s="168"/>
      <c r="AR278" s="155">
        <v>8.3333299999999999E-3</v>
      </c>
      <c r="AS278" s="152">
        <v>6.6102750000000002E-2</v>
      </c>
      <c r="AT278" s="154">
        <v>0</v>
      </c>
      <c r="AU278" s="137">
        <v>0.10367698</v>
      </c>
      <c r="AV278" s="137">
        <v>0</v>
      </c>
      <c r="AW278" s="137">
        <v>26191.187023521001</v>
      </c>
      <c r="AX278" s="137">
        <v>199999.91999999998</v>
      </c>
      <c r="AY278" s="137">
        <v>250499.89980000001</v>
      </c>
      <c r="AZ278" s="137">
        <v>7224.1725552252992</v>
      </c>
      <c r="BA278" s="137">
        <v>40913.053250054203</v>
      </c>
      <c r="BB278" s="137">
        <v>0</v>
      </c>
      <c r="BC278" s="137">
        <v>0</v>
      </c>
      <c r="BD278" s="137">
        <v>0</v>
      </c>
      <c r="BE278" s="137">
        <v>0</v>
      </c>
      <c r="BF278" s="137">
        <v>249999.89999999994</v>
      </c>
      <c r="BG278" s="137">
        <v>249999.9</v>
      </c>
      <c r="BH278" s="137">
        <v>249999.9</v>
      </c>
      <c r="BI278" s="137">
        <v>249999.90000000005</v>
      </c>
      <c r="BJ278" s="137">
        <v>0.96840000000000004</v>
      </c>
      <c r="BK278" s="137">
        <v>8.3333299999999999E-2</v>
      </c>
      <c r="BL278" s="113">
        <v>0</v>
      </c>
      <c r="BM278" s="113" t="s">
        <v>1663</v>
      </c>
      <c r="BN278" s="168">
        <v>0</v>
      </c>
      <c r="BO278" s="152">
        <v>0</v>
      </c>
      <c r="BP278" s="152">
        <v>0</v>
      </c>
      <c r="BQ278" s="137">
        <v>249999.9</v>
      </c>
      <c r="BR278" s="137">
        <v>0</v>
      </c>
      <c r="BS278" s="166" t="s">
        <v>1806</v>
      </c>
      <c r="BT278" s="168">
        <v>0.2758245568915082</v>
      </c>
      <c r="BU278" s="137">
        <v>179458.69550349936</v>
      </c>
      <c r="BV278" s="137">
        <v>18967.014468295703</v>
      </c>
      <c r="BW278" s="137">
        <v>0.10569013897644126</v>
      </c>
      <c r="BX278" s="89">
        <v>0.72417544310849191</v>
      </c>
      <c r="BY278" s="89">
        <v>0</v>
      </c>
      <c r="BZ278" s="153">
        <v>0</v>
      </c>
      <c r="CA278" s="153">
        <v>0</v>
      </c>
      <c r="CB278" s="153">
        <v>45751</v>
      </c>
      <c r="CC278" s="153">
        <v>45751</v>
      </c>
      <c r="CD278" s="153"/>
      <c r="CE278" s="153"/>
      <c r="CF278" s="153"/>
      <c r="CG278" s="34" t="s">
        <v>1334</v>
      </c>
      <c r="CH278" s="34" t="s">
        <v>1333</v>
      </c>
    </row>
  </sheetData>
  <mergeCells count="2">
    <mergeCell ref="A114:A115"/>
    <mergeCell ref="B114:B1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25AF-41FC-455B-B523-BA4889C68E8F}">
  <sheetPr codeName="Sheet4"/>
  <dimension ref="A1:CH300"/>
  <sheetViews>
    <sheetView workbookViewId="0">
      <selection activeCell="E9" sqref="E9"/>
    </sheetView>
  </sheetViews>
  <sheetFormatPr defaultColWidth="29.33203125" defaultRowHeight="14.4" x14ac:dyDescent="0.3"/>
  <sheetData>
    <row r="1" spans="1:19" x14ac:dyDescent="0.3">
      <c r="A1" s="34" t="s">
        <v>1432</v>
      </c>
      <c r="B1" s="34" t="s">
        <v>1584</v>
      </c>
      <c r="C1" s="34" t="s">
        <v>1585</v>
      </c>
      <c r="D1" s="34" t="s">
        <v>1586</v>
      </c>
      <c r="E1" s="34" t="s">
        <v>1408</v>
      </c>
      <c r="F1" s="34" t="s">
        <v>1409</v>
      </c>
      <c r="G1" s="34" t="s">
        <v>1444</v>
      </c>
      <c r="H1" s="34" t="s">
        <v>1587</v>
      </c>
      <c r="I1" s="34" t="s">
        <v>1588</v>
      </c>
      <c r="J1" s="34" t="s">
        <v>1589</v>
      </c>
      <c r="K1" s="34" t="s">
        <v>1590</v>
      </c>
      <c r="L1" s="34" t="s">
        <v>76</v>
      </c>
      <c r="M1" s="34" t="s">
        <v>1591</v>
      </c>
      <c r="N1" s="34" t="s">
        <v>1592</v>
      </c>
      <c r="O1" s="34" t="s">
        <v>1593</v>
      </c>
      <c r="P1" s="34" t="s">
        <v>1594</v>
      </c>
      <c r="Q1" s="34" t="s">
        <v>1595</v>
      </c>
      <c r="R1" s="34" t="s">
        <v>1596</v>
      </c>
      <c r="S1" s="34" t="s">
        <v>1429</v>
      </c>
    </row>
    <row r="2" spans="1:19" x14ac:dyDescent="0.3">
      <c r="A2" s="34">
        <v>106</v>
      </c>
      <c r="B2" s="34">
        <v>1</v>
      </c>
      <c r="C2" s="34" t="s">
        <v>1810</v>
      </c>
      <c r="D2" s="34">
        <v>4000000</v>
      </c>
      <c r="E2" s="34" t="s">
        <v>123</v>
      </c>
      <c r="F2" s="34" t="s">
        <v>123</v>
      </c>
      <c r="G2" s="34" t="s">
        <v>1330</v>
      </c>
      <c r="H2" s="34" t="s">
        <v>123</v>
      </c>
      <c r="I2" s="34" t="s">
        <v>123</v>
      </c>
      <c r="J2" s="35">
        <v>46203</v>
      </c>
      <c r="K2" s="34" t="s">
        <v>1811</v>
      </c>
      <c r="L2" s="35">
        <v>46203.64094247685</v>
      </c>
      <c r="M2" s="34">
        <v>1</v>
      </c>
      <c r="N2" s="34">
        <v>0</v>
      </c>
      <c r="O2" s="34" t="s">
        <v>1599</v>
      </c>
      <c r="P2" s="34" t="s">
        <v>1600</v>
      </c>
      <c r="Q2" s="34">
        <v>3830344</v>
      </c>
      <c r="R2" s="34" t="s">
        <v>123</v>
      </c>
      <c r="S2" s="34">
        <v>106</v>
      </c>
    </row>
    <row r="4" spans="1:19" x14ac:dyDescent="0.3">
      <c r="A4" s="34" t="s">
        <v>1601</v>
      </c>
      <c r="B4" s="34" t="s">
        <v>1602</v>
      </c>
      <c r="C4" s="34" t="s">
        <v>1603</v>
      </c>
      <c r="D4" s="34" t="s">
        <v>1604</v>
      </c>
      <c r="E4" s="34" t="s">
        <v>1605</v>
      </c>
      <c r="F4" s="34" t="s">
        <v>63</v>
      </c>
      <c r="G4" s="34" t="s">
        <v>71</v>
      </c>
      <c r="H4" s="34" t="s">
        <v>1606</v>
      </c>
      <c r="I4" s="34" t="s">
        <v>67</v>
      </c>
      <c r="J4" s="34" t="s">
        <v>1607</v>
      </c>
      <c r="K4" s="34" t="s">
        <v>1608</v>
      </c>
      <c r="L4" s="34" t="s">
        <v>1429</v>
      </c>
      <c r="M4" s="34" t="s">
        <v>1609</v>
      </c>
      <c r="N4" s="34" t="s">
        <v>1610</v>
      </c>
      <c r="O4" s="34" t="s">
        <v>1611</v>
      </c>
      <c r="P4" s="34" t="s">
        <v>1612</v>
      </c>
    </row>
    <row r="5" spans="1:19" x14ac:dyDescent="0.3">
      <c r="A5" s="34">
        <v>89</v>
      </c>
      <c r="B5" s="34">
        <v>1</v>
      </c>
      <c r="C5" s="34">
        <v>1.2E-2</v>
      </c>
      <c r="D5" s="34">
        <v>0</v>
      </c>
      <c r="E5" s="34" t="s">
        <v>1613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3.8E-3</v>
      </c>
      <c r="L5" s="34">
        <v>106</v>
      </c>
      <c r="M5" s="34">
        <v>3.8699999999999998E-2</v>
      </c>
      <c r="N5" s="34">
        <v>0</v>
      </c>
      <c r="O5" s="34">
        <v>0</v>
      </c>
      <c r="P5" s="34">
        <v>0</v>
      </c>
    </row>
    <row r="8" spans="1:19" x14ac:dyDescent="0.3">
      <c r="A8" s="34" t="s">
        <v>1432</v>
      </c>
      <c r="B8" s="34" t="s">
        <v>1584</v>
      </c>
      <c r="C8" s="34" t="s">
        <v>1614</v>
      </c>
      <c r="D8" s="34" t="s">
        <v>1615</v>
      </c>
      <c r="E8" s="34" t="s">
        <v>1616</v>
      </c>
      <c r="F8" s="34" t="s">
        <v>1617</v>
      </c>
      <c r="G8" s="34" t="s">
        <v>1618</v>
      </c>
      <c r="H8" s="34" t="s">
        <v>1619</v>
      </c>
      <c r="I8" s="34" t="s">
        <v>1429</v>
      </c>
    </row>
    <row r="9" spans="1:19" x14ac:dyDescent="0.3">
      <c r="A9" s="34">
        <v>5576</v>
      </c>
      <c r="B9" s="34">
        <v>1</v>
      </c>
      <c r="C9" s="34" t="s">
        <v>1620</v>
      </c>
      <c r="D9" s="34" t="s">
        <v>1621</v>
      </c>
      <c r="E9" s="34">
        <v>0</v>
      </c>
      <c r="F9" s="34">
        <v>0.15</v>
      </c>
      <c r="G9" s="34"/>
      <c r="H9" s="34">
        <v>0</v>
      </c>
      <c r="I9" s="34">
        <v>106</v>
      </c>
    </row>
    <row r="10" spans="1:19" x14ac:dyDescent="0.3">
      <c r="A10" s="34">
        <v>5577</v>
      </c>
      <c r="B10" s="34">
        <v>1</v>
      </c>
      <c r="C10" s="34" t="s">
        <v>1620</v>
      </c>
      <c r="D10" s="34" t="s">
        <v>1622</v>
      </c>
      <c r="E10" s="34">
        <v>0</v>
      </c>
      <c r="F10" s="34">
        <v>0.3</v>
      </c>
      <c r="G10" s="34"/>
      <c r="H10" s="34">
        <v>0</v>
      </c>
      <c r="I10" s="34">
        <v>106</v>
      </c>
    </row>
    <row r="11" spans="1:19" x14ac:dyDescent="0.3">
      <c r="A11" s="34">
        <v>5578</v>
      </c>
      <c r="B11" s="34">
        <v>1</v>
      </c>
      <c r="C11" s="34" t="s">
        <v>1315</v>
      </c>
      <c r="D11" s="34" t="s">
        <v>1344</v>
      </c>
      <c r="E11" s="34">
        <v>0</v>
      </c>
      <c r="F11" s="34">
        <v>0.3</v>
      </c>
      <c r="G11" s="34"/>
      <c r="H11" s="34">
        <v>0</v>
      </c>
      <c r="I11" s="34">
        <v>106</v>
      </c>
    </row>
    <row r="12" spans="1:19" x14ac:dyDescent="0.3">
      <c r="A12" s="34">
        <v>5579</v>
      </c>
      <c r="B12" s="34">
        <v>1</v>
      </c>
      <c r="C12" s="34" t="s">
        <v>1315</v>
      </c>
      <c r="D12" s="34" t="s">
        <v>1342</v>
      </c>
      <c r="E12" s="34">
        <v>0</v>
      </c>
      <c r="F12" s="34">
        <v>0.3</v>
      </c>
      <c r="G12" s="34"/>
      <c r="H12" s="34">
        <v>0</v>
      </c>
      <c r="I12" s="34">
        <v>106</v>
      </c>
    </row>
    <row r="13" spans="1:19" x14ac:dyDescent="0.3">
      <c r="A13" s="34">
        <v>5580</v>
      </c>
      <c r="B13" s="34">
        <v>1</v>
      </c>
      <c r="C13" s="34" t="s">
        <v>1315</v>
      </c>
      <c r="D13" s="34" t="s">
        <v>1339</v>
      </c>
      <c r="E13" s="34">
        <v>0</v>
      </c>
      <c r="F13" s="34">
        <v>0.3</v>
      </c>
      <c r="G13" s="34"/>
      <c r="H13" s="34">
        <v>0</v>
      </c>
      <c r="I13" s="34">
        <v>106</v>
      </c>
    </row>
    <row r="14" spans="1:19" x14ac:dyDescent="0.3">
      <c r="A14" s="34">
        <v>5581</v>
      </c>
      <c r="B14" s="34">
        <v>1</v>
      </c>
      <c r="C14" s="34" t="s">
        <v>1315</v>
      </c>
      <c r="D14" s="34" t="s">
        <v>1341</v>
      </c>
      <c r="E14" s="34">
        <v>0</v>
      </c>
      <c r="F14" s="34">
        <v>0.3</v>
      </c>
      <c r="G14" s="34"/>
      <c r="H14" s="34">
        <v>0</v>
      </c>
      <c r="I14" s="34">
        <v>106</v>
      </c>
    </row>
    <row r="15" spans="1:19" x14ac:dyDescent="0.3">
      <c r="A15" s="34">
        <v>5582</v>
      </c>
      <c r="B15" s="34">
        <v>1</v>
      </c>
      <c r="C15" s="34" t="s">
        <v>1315</v>
      </c>
      <c r="D15" s="34" t="s">
        <v>1331</v>
      </c>
      <c r="E15" s="34">
        <v>0</v>
      </c>
      <c r="F15" s="34">
        <v>0.3</v>
      </c>
      <c r="G15" s="34"/>
      <c r="H15" s="34">
        <v>0</v>
      </c>
      <c r="I15" s="34">
        <v>106</v>
      </c>
    </row>
    <row r="16" spans="1:19" x14ac:dyDescent="0.3">
      <c r="A16" s="34">
        <v>5583</v>
      </c>
      <c r="B16" s="34">
        <v>1</v>
      </c>
      <c r="C16" s="34" t="s">
        <v>1315</v>
      </c>
      <c r="D16" s="34" t="s">
        <v>1337</v>
      </c>
      <c r="E16" s="34">
        <v>0</v>
      </c>
      <c r="F16" s="34">
        <v>0.3</v>
      </c>
      <c r="G16" s="34"/>
      <c r="H16" s="34">
        <v>0</v>
      </c>
      <c r="I16" s="34">
        <v>106</v>
      </c>
    </row>
    <row r="17" spans="1:9" x14ac:dyDescent="0.3">
      <c r="A17" s="34">
        <v>5584</v>
      </c>
      <c r="B17" s="34">
        <v>1</v>
      </c>
      <c r="C17" s="34" t="s">
        <v>1315</v>
      </c>
      <c r="D17" s="34" t="s">
        <v>1335</v>
      </c>
      <c r="E17" s="34">
        <v>0</v>
      </c>
      <c r="F17" s="34">
        <v>0.3</v>
      </c>
      <c r="G17" s="34"/>
      <c r="H17" s="34">
        <v>0</v>
      </c>
      <c r="I17" s="34">
        <v>106</v>
      </c>
    </row>
    <row r="18" spans="1:9" x14ac:dyDescent="0.3">
      <c r="A18" s="34">
        <v>5585</v>
      </c>
      <c r="B18" s="34">
        <v>1</v>
      </c>
      <c r="C18" s="34" t="s">
        <v>1315</v>
      </c>
      <c r="D18" s="34" t="s">
        <v>1345</v>
      </c>
      <c r="E18" s="34">
        <v>0</v>
      </c>
      <c r="F18" s="34">
        <v>0.3</v>
      </c>
      <c r="G18" s="34"/>
      <c r="H18" s="34">
        <v>0</v>
      </c>
      <c r="I18" s="34">
        <v>106</v>
      </c>
    </row>
    <row r="19" spans="1:9" x14ac:dyDescent="0.3">
      <c r="A19" s="34">
        <v>5586</v>
      </c>
      <c r="B19" s="34">
        <v>1</v>
      </c>
      <c r="C19" s="34" t="s">
        <v>1315</v>
      </c>
      <c r="D19" s="34" t="s">
        <v>1343</v>
      </c>
      <c r="E19" s="34">
        <v>0</v>
      </c>
      <c r="F19" s="34">
        <v>0.3</v>
      </c>
      <c r="G19" s="34"/>
      <c r="H19" s="34">
        <v>0</v>
      </c>
      <c r="I19" s="34">
        <v>106</v>
      </c>
    </row>
    <row r="20" spans="1:9" x14ac:dyDescent="0.3">
      <c r="A20" s="34">
        <v>5587</v>
      </c>
      <c r="B20" s="34">
        <v>1</v>
      </c>
      <c r="C20" s="34" t="s">
        <v>1315</v>
      </c>
      <c r="D20" s="34" t="s">
        <v>1327</v>
      </c>
      <c r="E20" s="34">
        <v>0</v>
      </c>
      <c r="F20" s="34">
        <v>0.3</v>
      </c>
      <c r="G20" s="34"/>
      <c r="H20" s="34">
        <v>0</v>
      </c>
      <c r="I20" s="34">
        <v>106</v>
      </c>
    </row>
    <row r="21" spans="1:9" x14ac:dyDescent="0.3">
      <c r="A21" s="34">
        <v>5588</v>
      </c>
      <c r="B21" s="34">
        <v>1</v>
      </c>
      <c r="C21" s="34" t="s">
        <v>1315</v>
      </c>
      <c r="D21" s="34" t="s">
        <v>1348</v>
      </c>
      <c r="E21" s="34">
        <v>0</v>
      </c>
      <c r="F21" s="34">
        <v>0.3</v>
      </c>
      <c r="G21" s="34"/>
      <c r="H21" s="34">
        <v>0</v>
      </c>
      <c r="I21" s="34">
        <v>106</v>
      </c>
    </row>
    <row r="22" spans="1:9" x14ac:dyDescent="0.3">
      <c r="A22" s="34">
        <v>5589</v>
      </c>
      <c r="B22" s="34">
        <v>1</v>
      </c>
      <c r="C22" s="34" t="s">
        <v>1315</v>
      </c>
      <c r="D22" s="34" t="s">
        <v>1351</v>
      </c>
      <c r="E22" s="34">
        <v>0</v>
      </c>
      <c r="F22" s="34">
        <v>0.3</v>
      </c>
      <c r="G22" s="34"/>
      <c r="H22" s="34">
        <v>0</v>
      </c>
      <c r="I22" s="34">
        <v>106</v>
      </c>
    </row>
    <row r="23" spans="1:9" x14ac:dyDescent="0.3">
      <c r="A23" s="34">
        <v>5590</v>
      </c>
      <c r="B23" s="34">
        <v>1</v>
      </c>
      <c r="C23" s="34" t="s">
        <v>1315</v>
      </c>
      <c r="D23" s="34" t="s">
        <v>1352</v>
      </c>
      <c r="E23" s="34">
        <v>0</v>
      </c>
      <c r="F23" s="34">
        <v>0.3</v>
      </c>
      <c r="G23" s="34"/>
      <c r="H23" s="34">
        <v>0</v>
      </c>
      <c r="I23" s="34">
        <v>106</v>
      </c>
    </row>
    <row r="24" spans="1:9" x14ac:dyDescent="0.3">
      <c r="A24" s="34">
        <v>5591</v>
      </c>
      <c r="B24" s="34">
        <v>1</v>
      </c>
      <c r="C24" s="34" t="s">
        <v>1315</v>
      </c>
      <c r="D24" s="34" t="s">
        <v>1353</v>
      </c>
      <c r="E24" s="34">
        <v>0</v>
      </c>
      <c r="F24" s="34">
        <v>0.3</v>
      </c>
      <c r="G24" s="34"/>
      <c r="H24" s="34">
        <v>0</v>
      </c>
      <c r="I24" s="34">
        <v>106</v>
      </c>
    </row>
    <row r="25" spans="1:9" x14ac:dyDescent="0.3">
      <c r="A25" s="34">
        <v>5592</v>
      </c>
      <c r="B25" s="34">
        <v>1</v>
      </c>
      <c r="C25" s="34" t="s">
        <v>1315</v>
      </c>
      <c r="D25" s="34" t="s">
        <v>1354</v>
      </c>
      <c r="E25" s="34">
        <v>0</v>
      </c>
      <c r="F25" s="34">
        <v>0.3</v>
      </c>
      <c r="G25" s="34"/>
      <c r="H25" s="34">
        <v>0</v>
      </c>
      <c r="I25" s="34">
        <v>106</v>
      </c>
    </row>
    <row r="26" spans="1:9" x14ac:dyDescent="0.3">
      <c r="A26" s="34">
        <v>5593</v>
      </c>
      <c r="B26" s="34">
        <v>1</v>
      </c>
      <c r="C26" s="34" t="s">
        <v>1630</v>
      </c>
      <c r="D26" s="34" t="s">
        <v>130</v>
      </c>
      <c r="E26" s="34">
        <v>0</v>
      </c>
      <c r="F26" s="34">
        <v>0.05</v>
      </c>
      <c r="G26" s="34"/>
      <c r="H26" s="34">
        <v>0</v>
      </c>
      <c r="I26" s="34">
        <v>106</v>
      </c>
    </row>
    <row r="27" spans="1:9" x14ac:dyDescent="0.3">
      <c r="A27" s="34">
        <v>5594</v>
      </c>
      <c r="B27" s="34">
        <v>1</v>
      </c>
      <c r="C27" s="34" t="s">
        <v>1630</v>
      </c>
      <c r="D27" s="34" t="s">
        <v>1624</v>
      </c>
      <c r="E27" s="34">
        <v>0</v>
      </c>
      <c r="F27" s="34">
        <v>2.5000000000000001E-2</v>
      </c>
      <c r="G27" s="34"/>
      <c r="H27" s="34">
        <v>0</v>
      </c>
      <c r="I27" s="34">
        <v>106</v>
      </c>
    </row>
    <row r="28" spans="1:9" x14ac:dyDescent="0.3">
      <c r="A28" s="34">
        <v>5595</v>
      </c>
      <c r="B28" s="34">
        <v>1</v>
      </c>
      <c r="C28" s="34" t="s">
        <v>1630</v>
      </c>
      <c r="D28" s="34" t="s">
        <v>1625</v>
      </c>
      <c r="E28" s="34">
        <v>0</v>
      </c>
      <c r="F28" s="34">
        <v>0.4</v>
      </c>
      <c r="G28" s="34"/>
      <c r="H28" s="34">
        <v>0</v>
      </c>
      <c r="I28" s="34">
        <v>106</v>
      </c>
    </row>
    <row r="29" spans="1:9" x14ac:dyDescent="0.3">
      <c r="A29" s="34">
        <v>5596</v>
      </c>
      <c r="B29" s="34">
        <v>1</v>
      </c>
      <c r="C29" s="34" t="s">
        <v>1630</v>
      </c>
      <c r="D29" s="34" t="s">
        <v>1627</v>
      </c>
      <c r="E29" s="34">
        <v>0</v>
      </c>
      <c r="F29" s="34">
        <v>0.4</v>
      </c>
      <c r="G29" s="34"/>
      <c r="H29" s="34">
        <v>0</v>
      </c>
      <c r="I29" s="34">
        <v>106</v>
      </c>
    </row>
    <row r="30" spans="1:9" x14ac:dyDescent="0.3">
      <c r="A30" s="34">
        <v>5597</v>
      </c>
      <c r="B30" s="34">
        <v>1</v>
      </c>
      <c r="C30" s="34" t="s">
        <v>1630</v>
      </c>
      <c r="D30" s="34" t="s">
        <v>1626</v>
      </c>
      <c r="E30" s="34">
        <v>0</v>
      </c>
      <c r="F30" s="34">
        <v>0.05</v>
      </c>
      <c r="G30" s="34"/>
      <c r="H30" s="34">
        <v>0</v>
      </c>
      <c r="I30" s="34">
        <v>106</v>
      </c>
    </row>
    <row r="31" spans="1:9" x14ac:dyDescent="0.3">
      <c r="A31" s="34">
        <v>5598</v>
      </c>
      <c r="B31" s="34">
        <v>1</v>
      </c>
      <c r="C31" s="34" t="s">
        <v>1630</v>
      </c>
      <c r="D31" s="34" t="s">
        <v>1629</v>
      </c>
      <c r="E31" s="34">
        <v>0</v>
      </c>
      <c r="F31" s="34">
        <v>0.1</v>
      </c>
      <c r="G31" s="34"/>
      <c r="H31" s="34">
        <v>0</v>
      </c>
      <c r="I31" s="34">
        <v>106</v>
      </c>
    </row>
    <row r="32" spans="1:9" x14ac:dyDescent="0.3">
      <c r="A32" s="34">
        <v>5599</v>
      </c>
      <c r="B32" s="34">
        <v>1</v>
      </c>
      <c r="C32" s="34" t="s">
        <v>1630</v>
      </c>
      <c r="D32" s="34" t="s">
        <v>1623</v>
      </c>
      <c r="E32" s="34">
        <v>0</v>
      </c>
      <c r="F32" s="34">
        <v>0.1</v>
      </c>
      <c r="G32" s="34"/>
      <c r="H32" s="34">
        <v>0</v>
      </c>
      <c r="I32" s="34">
        <v>106</v>
      </c>
    </row>
    <row r="33" spans="1:9" x14ac:dyDescent="0.3">
      <c r="A33" s="34">
        <v>5600</v>
      </c>
      <c r="B33" s="34">
        <v>1</v>
      </c>
      <c r="C33" s="34" t="s">
        <v>1630</v>
      </c>
      <c r="D33" s="34" t="s">
        <v>1631</v>
      </c>
      <c r="E33" s="34">
        <v>0</v>
      </c>
      <c r="F33" s="34">
        <v>0</v>
      </c>
      <c r="G33" s="34"/>
      <c r="H33" s="34">
        <v>0</v>
      </c>
      <c r="I33" s="34">
        <v>106</v>
      </c>
    </row>
    <row r="34" spans="1:9" x14ac:dyDescent="0.3">
      <c r="A34" s="34">
        <v>5601</v>
      </c>
      <c r="B34" s="34">
        <v>1</v>
      </c>
      <c r="C34" s="34" t="s">
        <v>1632</v>
      </c>
      <c r="D34" s="34" t="s">
        <v>1633</v>
      </c>
      <c r="E34" s="34">
        <v>0</v>
      </c>
      <c r="F34" s="34">
        <v>0.35</v>
      </c>
      <c r="G34" s="34" t="s">
        <v>1634</v>
      </c>
      <c r="H34" s="34">
        <v>100</v>
      </c>
      <c r="I34" s="34">
        <v>106</v>
      </c>
    </row>
    <row r="35" spans="1:9" x14ac:dyDescent="0.3">
      <c r="A35" s="34">
        <v>5602</v>
      </c>
      <c r="B35" s="34">
        <v>1</v>
      </c>
      <c r="C35" s="34" t="s">
        <v>1632</v>
      </c>
      <c r="D35" s="34" t="s">
        <v>1635</v>
      </c>
      <c r="E35" s="34">
        <v>0</v>
      </c>
      <c r="F35" s="34">
        <v>0.3</v>
      </c>
      <c r="G35" s="34" t="s">
        <v>1634</v>
      </c>
      <c r="H35" s="34">
        <v>100</v>
      </c>
      <c r="I35" s="34">
        <v>106</v>
      </c>
    </row>
    <row r="36" spans="1:9" x14ac:dyDescent="0.3">
      <c r="A36" s="34">
        <v>5603</v>
      </c>
      <c r="B36" s="34">
        <v>1</v>
      </c>
      <c r="C36" s="34" t="s">
        <v>1632</v>
      </c>
      <c r="D36" s="34" t="s">
        <v>1636</v>
      </c>
      <c r="E36" s="34">
        <v>0</v>
      </c>
      <c r="F36" s="34">
        <v>0.3</v>
      </c>
      <c r="G36" s="34" t="s">
        <v>1634</v>
      </c>
      <c r="H36" s="34">
        <v>100</v>
      </c>
      <c r="I36" s="34">
        <v>106</v>
      </c>
    </row>
    <row r="37" spans="1:9" x14ac:dyDescent="0.3">
      <c r="A37" s="34">
        <v>5604</v>
      </c>
      <c r="B37" s="34">
        <v>1</v>
      </c>
      <c r="C37" s="34" t="s">
        <v>1632</v>
      </c>
      <c r="D37" s="34" t="s">
        <v>1637</v>
      </c>
      <c r="E37" s="34">
        <v>0</v>
      </c>
      <c r="F37" s="34">
        <v>0.3</v>
      </c>
      <c r="G37" s="34" t="s">
        <v>1634</v>
      </c>
      <c r="H37" s="34">
        <v>100</v>
      </c>
      <c r="I37" s="34">
        <v>106</v>
      </c>
    </row>
    <row r="38" spans="1:9" x14ac:dyDescent="0.3">
      <c r="A38" s="34">
        <v>5605</v>
      </c>
      <c r="B38" s="34">
        <v>1</v>
      </c>
      <c r="C38" s="34" t="s">
        <v>1632</v>
      </c>
      <c r="D38" s="34" t="s">
        <v>1638</v>
      </c>
      <c r="E38" s="34">
        <v>0</v>
      </c>
      <c r="F38" s="34">
        <v>0.3</v>
      </c>
      <c r="G38" s="34" t="s">
        <v>1634</v>
      </c>
      <c r="H38" s="34">
        <v>100</v>
      </c>
      <c r="I38" s="34">
        <v>106</v>
      </c>
    </row>
    <row r="39" spans="1:9" x14ac:dyDescent="0.3">
      <c r="A39" s="34">
        <v>5606</v>
      </c>
      <c r="B39" s="34">
        <v>1</v>
      </c>
      <c r="C39" s="34" t="s">
        <v>1632</v>
      </c>
      <c r="D39" s="34" t="s">
        <v>1639</v>
      </c>
      <c r="E39" s="34">
        <v>0</v>
      </c>
      <c r="F39" s="34">
        <v>0.3</v>
      </c>
      <c r="G39" s="34" t="s">
        <v>1634</v>
      </c>
      <c r="H39" s="34">
        <v>100</v>
      </c>
      <c r="I39" s="34">
        <v>106</v>
      </c>
    </row>
    <row r="40" spans="1:9" x14ac:dyDescent="0.3">
      <c r="A40" s="34">
        <v>5607</v>
      </c>
      <c r="B40" s="34">
        <v>1</v>
      </c>
      <c r="C40" s="34" t="s">
        <v>1632</v>
      </c>
      <c r="D40" s="34" t="s">
        <v>1640</v>
      </c>
      <c r="E40" s="34">
        <v>0</v>
      </c>
      <c r="F40" s="34">
        <v>0.2</v>
      </c>
      <c r="G40" s="34" t="s">
        <v>1634</v>
      </c>
      <c r="H40" s="34">
        <v>100</v>
      </c>
      <c r="I40" s="34">
        <v>106</v>
      </c>
    </row>
    <row r="41" spans="1:9" x14ac:dyDescent="0.3">
      <c r="A41" s="34">
        <v>5608</v>
      </c>
      <c r="B41" s="34">
        <v>1</v>
      </c>
      <c r="C41" s="34" t="s">
        <v>1632</v>
      </c>
      <c r="D41" s="34" t="s">
        <v>1641</v>
      </c>
      <c r="E41" s="34">
        <v>0</v>
      </c>
      <c r="F41" s="34">
        <v>0.2</v>
      </c>
      <c r="G41" s="34" t="s">
        <v>1634</v>
      </c>
      <c r="H41" s="34">
        <v>100</v>
      </c>
      <c r="I41" s="34">
        <v>106</v>
      </c>
    </row>
    <row r="42" spans="1:9" x14ac:dyDescent="0.3">
      <c r="A42" s="34">
        <v>5609</v>
      </c>
      <c r="B42" s="34">
        <v>1</v>
      </c>
      <c r="C42" s="34" t="s">
        <v>1632</v>
      </c>
      <c r="D42" s="34" t="s">
        <v>1642</v>
      </c>
      <c r="E42" s="34">
        <v>0</v>
      </c>
      <c r="F42" s="34">
        <v>0.3</v>
      </c>
      <c r="G42" s="34" t="s">
        <v>1634</v>
      </c>
      <c r="H42" s="34">
        <v>100</v>
      </c>
      <c r="I42" s="34">
        <v>106</v>
      </c>
    </row>
    <row r="43" spans="1:9" x14ac:dyDescent="0.3">
      <c r="A43" s="34">
        <v>5610</v>
      </c>
      <c r="B43" s="34">
        <v>1</v>
      </c>
      <c r="C43" s="34" t="s">
        <v>1632</v>
      </c>
      <c r="D43" s="34" t="s">
        <v>1643</v>
      </c>
      <c r="E43" s="34">
        <v>0</v>
      </c>
      <c r="F43" s="34">
        <v>0.2</v>
      </c>
      <c r="G43" s="34" t="s">
        <v>1634</v>
      </c>
      <c r="H43" s="34">
        <v>100</v>
      </c>
      <c r="I43" s="34">
        <v>106</v>
      </c>
    </row>
    <row r="44" spans="1:9" x14ac:dyDescent="0.3">
      <c r="A44" s="34">
        <v>5611</v>
      </c>
      <c r="B44" s="34">
        <v>1</v>
      </c>
      <c r="C44" s="34" t="s">
        <v>1632</v>
      </c>
      <c r="D44" s="34" t="s">
        <v>1644</v>
      </c>
      <c r="E44" s="34">
        <v>0</v>
      </c>
      <c r="F44" s="34">
        <v>0.15</v>
      </c>
      <c r="G44" s="34" t="s">
        <v>1634</v>
      </c>
      <c r="H44" s="34">
        <v>100</v>
      </c>
      <c r="I44" s="34">
        <v>106</v>
      </c>
    </row>
    <row r="45" spans="1:9" x14ac:dyDescent="0.3">
      <c r="A45" s="34">
        <v>5612</v>
      </c>
      <c r="B45" s="34">
        <v>1</v>
      </c>
      <c r="C45" s="34" t="s">
        <v>1632</v>
      </c>
      <c r="D45" s="34" t="s">
        <v>1645</v>
      </c>
      <c r="E45" s="34">
        <v>0</v>
      </c>
      <c r="F45" s="34">
        <v>0.15</v>
      </c>
      <c r="G45" s="34" t="s">
        <v>1634</v>
      </c>
      <c r="H45" s="34">
        <v>100</v>
      </c>
      <c r="I45" s="34">
        <v>106</v>
      </c>
    </row>
    <row r="46" spans="1:9" x14ac:dyDescent="0.3">
      <c r="A46" s="34">
        <v>5613</v>
      </c>
      <c r="B46" s="34">
        <v>1</v>
      </c>
      <c r="C46" s="34" t="s">
        <v>1632</v>
      </c>
      <c r="D46" s="34" t="s">
        <v>1646</v>
      </c>
      <c r="E46" s="34">
        <v>0</v>
      </c>
      <c r="F46" s="34">
        <v>0.15</v>
      </c>
      <c r="G46" s="34" t="s">
        <v>1634</v>
      </c>
      <c r="H46" s="34">
        <v>100</v>
      </c>
      <c r="I46" s="34">
        <v>106</v>
      </c>
    </row>
    <row r="47" spans="1:9" x14ac:dyDescent="0.3">
      <c r="A47" s="34">
        <v>5614</v>
      </c>
      <c r="B47" s="34">
        <v>1</v>
      </c>
      <c r="C47" s="34" t="s">
        <v>1632</v>
      </c>
      <c r="D47" s="34" t="s">
        <v>1647</v>
      </c>
      <c r="E47" s="34">
        <v>0</v>
      </c>
      <c r="F47" s="34">
        <v>0.15</v>
      </c>
      <c r="G47" s="34" t="s">
        <v>1634</v>
      </c>
      <c r="H47" s="34">
        <v>100</v>
      </c>
      <c r="I47" s="34">
        <v>106</v>
      </c>
    </row>
    <row r="48" spans="1:9" x14ac:dyDescent="0.3">
      <c r="A48" s="34">
        <v>5615</v>
      </c>
      <c r="B48" s="34">
        <v>1</v>
      </c>
      <c r="C48" s="34" t="s">
        <v>1632</v>
      </c>
      <c r="D48" s="34" t="s">
        <v>1633</v>
      </c>
      <c r="E48" s="34">
        <v>0</v>
      </c>
      <c r="F48" s="34">
        <v>0.5</v>
      </c>
      <c r="G48" s="34" t="s">
        <v>1648</v>
      </c>
      <c r="H48" s="34">
        <v>500</v>
      </c>
      <c r="I48" s="34">
        <v>106</v>
      </c>
    </row>
    <row r="49" spans="1:9" x14ac:dyDescent="0.3">
      <c r="A49" s="34">
        <v>5616</v>
      </c>
      <c r="B49" s="34">
        <v>1</v>
      </c>
      <c r="C49" s="34" t="s">
        <v>1632</v>
      </c>
      <c r="D49" s="34" t="s">
        <v>1635</v>
      </c>
      <c r="E49" s="34">
        <v>0</v>
      </c>
      <c r="F49" s="34">
        <v>0.5</v>
      </c>
      <c r="G49" s="34" t="s">
        <v>1648</v>
      </c>
      <c r="H49" s="34">
        <v>500</v>
      </c>
      <c r="I49" s="34">
        <v>106</v>
      </c>
    </row>
    <row r="50" spans="1:9" x14ac:dyDescent="0.3">
      <c r="A50" s="34">
        <v>5617</v>
      </c>
      <c r="B50" s="34">
        <v>1</v>
      </c>
      <c r="C50" s="34" t="s">
        <v>1632</v>
      </c>
      <c r="D50" s="34" t="s">
        <v>1636</v>
      </c>
      <c r="E50" s="34">
        <v>0</v>
      </c>
      <c r="F50" s="34">
        <v>0.5</v>
      </c>
      <c r="G50" s="34" t="s">
        <v>1648</v>
      </c>
      <c r="H50" s="34">
        <v>500</v>
      </c>
      <c r="I50" s="34">
        <v>106</v>
      </c>
    </row>
    <row r="51" spans="1:9" x14ac:dyDescent="0.3">
      <c r="A51" s="34">
        <v>5618</v>
      </c>
      <c r="B51" s="34">
        <v>1</v>
      </c>
      <c r="C51" s="34" t="s">
        <v>1632</v>
      </c>
      <c r="D51" s="34" t="s">
        <v>1637</v>
      </c>
      <c r="E51" s="34">
        <v>0</v>
      </c>
      <c r="F51" s="34">
        <v>0.5</v>
      </c>
      <c r="G51" s="34" t="s">
        <v>1648</v>
      </c>
      <c r="H51" s="34">
        <v>500</v>
      </c>
      <c r="I51" s="34">
        <v>106</v>
      </c>
    </row>
    <row r="52" spans="1:9" x14ac:dyDescent="0.3">
      <c r="A52" s="34">
        <v>5619</v>
      </c>
      <c r="B52" s="34">
        <v>1</v>
      </c>
      <c r="C52" s="34" t="s">
        <v>1632</v>
      </c>
      <c r="D52" s="34" t="s">
        <v>1638</v>
      </c>
      <c r="E52" s="34">
        <v>0</v>
      </c>
      <c r="F52" s="34">
        <v>0.5</v>
      </c>
      <c r="G52" s="34" t="s">
        <v>1648</v>
      </c>
      <c r="H52" s="34">
        <v>500</v>
      </c>
      <c r="I52" s="34">
        <v>106</v>
      </c>
    </row>
    <row r="53" spans="1:9" x14ac:dyDescent="0.3">
      <c r="A53" s="34">
        <v>5620</v>
      </c>
      <c r="B53" s="34">
        <v>1</v>
      </c>
      <c r="C53" s="34" t="s">
        <v>1632</v>
      </c>
      <c r="D53" s="34" t="s">
        <v>1639</v>
      </c>
      <c r="E53" s="34">
        <v>0</v>
      </c>
      <c r="F53" s="34">
        <v>0.5</v>
      </c>
      <c r="G53" s="34" t="s">
        <v>1648</v>
      </c>
      <c r="H53" s="34">
        <v>500</v>
      </c>
      <c r="I53" s="34">
        <v>106</v>
      </c>
    </row>
    <row r="54" spans="1:9" x14ac:dyDescent="0.3">
      <c r="A54" s="34">
        <v>5621</v>
      </c>
      <c r="B54" s="34">
        <v>1</v>
      </c>
      <c r="C54" s="34" t="s">
        <v>1632</v>
      </c>
      <c r="D54" s="34" t="s">
        <v>1640</v>
      </c>
      <c r="E54" s="34">
        <v>0</v>
      </c>
      <c r="F54" s="34">
        <v>0.35</v>
      </c>
      <c r="G54" s="34" t="s">
        <v>1648</v>
      </c>
      <c r="H54" s="34">
        <v>500</v>
      </c>
      <c r="I54" s="34">
        <v>106</v>
      </c>
    </row>
    <row r="55" spans="1:9" x14ac:dyDescent="0.3">
      <c r="A55" s="34">
        <v>5622</v>
      </c>
      <c r="B55" s="34">
        <v>1</v>
      </c>
      <c r="C55" s="34" t="s">
        <v>1632</v>
      </c>
      <c r="D55" s="34" t="s">
        <v>1641</v>
      </c>
      <c r="E55" s="34">
        <v>0</v>
      </c>
      <c r="F55" s="34">
        <v>0.3</v>
      </c>
      <c r="G55" s="34" t="s">
        <v>1648</v>
      </c>
      <c r="H55" s="34">
        <v>500</v>
      </c>
      <c r="I55" s="34">
        <v>106</v>
      </c>
    </row>
    <row r="56" spans="1:9" x14ac:dyDescent="0.3">
      <c r="A56" s="34">
        <v>5623</v>
      </c>
      <c r="B56" s="34">
        <v>1</v>
      </c>
      <c r="C56" s="34" t="s">
        <v>1632</v>
      </c>
      <c r="D56" s="34" t="s">
        <v>1642</v>
      </c>
      <c r="E56" s="34">
        <v>0</v>
      </c>
      <c r="F56" s="34">
        <v>0.5</v>
      </c>
      <c r="G56" s="34" t="s">
        <v>1648</v>
      </c>
      <c r="H56" s="34">
        <v>500</v>
      </c>
      <c r="I56" s="34">
        <v>106</v>
      </c>
    </row>
    <row r="57" spans="1:9" x14ac:dyDescent="0.3">
      <c r="A57" s="34">
        <v>5624</v>
      </c>
      <c r="B57" s="34">
        <v>1</v>
      </c>
      <c r="C57" s="34" t="s">
        <v>1632</v>
      </c>
      <c r="D57" s="34" t="s">
        <v>1643</v>
      </c>
      <c r="E57" s="34">
        <v>0</v>
      </c>
      <c r="F57" s="34">
        <v>0.3</v>
      </c>
      <c r="G57" s="34" t="s">
        <v>1648</v>
      </c>
      <c r="H57" s="34">
        <v>500</v>
      </c>
      <c r="I57" s="34">
        <v>106</v>
      </c>
    </row>
    <row r="58" spans="1:9" x14ac:dyDescent="0.3">
      <c r="A58" s="34">
        <v>5625</v>
      </c>
      <c r="B58" s="34">
        <v>1</v>
      </c>
      <c r="C58" s="34" t="s">
        <v>1632</v>
      </c>
      <c r="D58" s="34" t="s">
        <v>1644</v>
      </c>
      <c r="E58" s="34">
        <v>0</v>
      </c>
      <c r="F58" s="34">
        <v>0.25</v>
      </c>
      <c r="G58" s="34" t="s">
        <v>1648</v>
      </c>
      <c r="H58" s="34">
        <v>500</v>
      </c>
      <c r="I58" s="34">
        <v>106</v>
      </c>
    </row>
    <row r="59" spans="1:9" x14ac:dyDescent="0.3">
      <c r="A59" s="34">
        <v>5626</v>
      </c>
      <c r="B59" s="34">
        <v>1</v>
      </c>
      <c r="C59" s="34" t="s">
        <v>1632</v>
      </c>
      <c r="D59" s="34" t="s">
        <v>1645</v>
      </c>
      <c r="E59" s="34">
        <v>0</v>
      </c>
      <c r="F59" s="34">
        <v>0.25</v>
      </c>
      <c r="G59" s="34" t="s">
        <v>1648</v>
      </c>
      <c r="H59" s="34">
        <v>500</v>
      </c>
      <c r="I59" s="34">
        <v>106</v>
      </c>
    </row>
    <row r="60" spans="1:9" x14ac:dyDescent="0.3">
      <c r="A60" s="34">
        <v>5627</v>
      </c>
      <c r="B60" s="34">
        <v>1</v>
      </c>
      <c r="C60" s="34" t="s">
        <v>1632</v>
      </c>
      <c r="D60" s="34" t="s">
        <v>1646</v>
      </c>
      <c r="E60" s="34">
        <v>0</v>
      </c>
      <c r="F60" s="34">
        <v>0.25</v>
      </c>
      <c r="G60" s="34" t="s">
        <v>1648</v>
      </c>
      <c r="H60" s="34">
        <v>500</v>
      </c>
      <c r="I60" s="34">
        <v>106</v>
      </c>
    </row>
    <row r="61" spans="1:9" x14ac:dyDescent="0.3">
      <c r="A61" s="34">
        <v>5628</v>
      </c>
      <c r="B61" s="34">
        <v>1</v>
      </c>
      <c r="C61" s="34" t="s">
        <v>1632</v>
      </c>
      <c r="D61" s="34" t="s">
        <v>1647</v>
      </c>
      <c r="E61" s="34">
        <v>0</v>
      </c>
      <c r="F61" s="34">
        <v>0.25</v>
      </c>
      <c r="G61" s="34" t="s">
        <v>1648</v>
      </c>
      <c r="H61" s="34">
        <v>500</v>
      </c>
      <c r="I61" s="34">
        <v>106</v>
      </c>
    </row>
    <row r="62" spans="1:9" x14ac:dyDescent="0.3">
      <c r="A62" s="34">
        <v>5629</v>
      </c>
      <c r="B62" s="34">
        <v>1</v>
      </c>
      <c r="C62" s="34" t="s">
        <v>1632</v>
      </c>
      <c r="D62" s="34" t="s">
        <v>1649</v>
      </c>
      <c r="E62" s="34">
        <v>0</v>
      </c>
      <c r="F62" s="34">
        <v>0.4</v>
      </c>
      <c r="G62" s="34" t="s">
        <v>1634</v>
      </c>
      <c r="H62" s="34">
        <v>100</v>
      </c>
      <c r="I62" s="34">
        <v>106</v>
      </c>
    </row>
    <row r="63" spans="1:9" x14ac:dyDescent="0.3">
      <c r="A63" s="34">
        <v>5630</v>
      </c>
      <c r="B63" s="34">
        <v>1</v>
      </c>
      <c r="C63" s="34" t="s">
        <v>1632</v>
      </c>
      <c r="D63" s="34" t="s">
        <v>1649</v>
      </c>
      <c r="E63" s="34">
        <v>0</v>
      </c>
      <c r="F63" s="34">
        <v>0.65</v>
      </c>
      <c r="G63" s="34" t="s">
        <v>1648</v>
      </c>
      <c r="H63" s="34">
        <v>500</v>
      </c>
      <c r="I63" s="34">
        <v>106</v>
      </c>
    </row>
    <row r="64" spans="1:9" x14ac:dyDescent="0.3">
      <c r="A64" s="34">
        <v>5631</v>
      </c>
      <c r="B64" s="34">
        <v>1</v>
      </c>
      <c r="C64" s="34" t="s">
        <v>1632</v>
      </c>
      <c r="D64" s="34" t="s">
        <v>1650</v>
      </c>
      <c r="E64" s="34">
        <v>0</v>
      </c>
      <c r="F64" s="34">
        <v>0.65</v>
      </c>
      <c r="G64" s="34" t="s">
        <v>1648</v>
      </c>
      <c r="H64" s="34">
        <v>500</v>
      </c>
      <c r="I64" s="34">
        <v>106</v>
      </c>
    </row>
    <row r="65" spans="1:9" x14ac:dyDescent="0.3">
      <c r="A65" s="34">
        <v>5632</v>
      </c>
      <c r="B65" s="34">
        <v>1</v>
      </c>
      <c r="C65" s="34" t="s">
        <v>1632</v>
      </c>
      <c r="D65" s="34" t="s">
        <v>1650</v>
      </c>
      <c r="E65" s="34">
        <v>0</v>
      </c>
      <c r="F65" s="34">
        <v>0.4</v>
      </c>
      <c r="G65" s="34" t="s">
        <v>1634</v>
      </c>
      <c r="H65" s="34">
        <v>100</v>
      </c>
      <c r="I65" s="34">
        <v>106</v>
      </c>
    </row>
    <row r="66" spans="1:9" x14ac:dyDescent="0.3">
      <c r="A66" s="34">
        <v>5633</v>
      </c>
      <c r="B66" s="34">
        <v>1</v>
      </c>
      <c r="C66" s="34" t="s">
        <v>1632</v>
      </c>
      <c r="D66" s="34" t="s">
        <v>1651</v>
      </c>
      <c r="E66" s="34">
        <v>0</v>
      </c>
      <c r="F66" s="34">
        <v>0.4</v>
      </c>
      <c r="G66" s="34" t="s">
        <v>1634</v>
      </c>
      <c r="H66" s="34">
        <v>100</v>
      </c>
      <c r="I66" s="34">
        <v>106</v>
      </c>
    </row>
    <row r="67" spans="1:9" x14ac:dyDescent="0.3">
      <c r="A67" s="34">
        <v>5634</v>
      </c>
      <c r="B67" s="34">
        <v>1</v>
      </c>
      <c r="C67" s="34" t="s">
        <v>1632</v>
      </c>
      <c r="D67" s="34" t="s">
        <v>1651</v>
      </c>
      <c r="E67" s="34">
        <v>0</v>
      </c>
      <c r="F67" s="34">
        <v>0.65</v>
      </c>
      <c r="G67" s="34" t="s">
        <v>1648</v>
      </c>
      <c r="H67" s="34">
        <v>500</v>
      </c>
      <c r="I67" s="34">
        <v>106</v>
      </c>
    </row>
    <row r="68" spans="1:9" x14ac:dyDescent="0.3">
      <c r="A68" s="34">
        <v>5635</v>
      </c>
      <c r="B68" s="34">
        <v>1</v>
      </c>
      <c r="C68" s="34" t="s">
        <v>1632</v>
      </c>
      <c r="D68" s="34" t="s">
        <v>1652</v>
      </c>
      <c r="E68" s="34">
        <v>0</v>
      </c>
      <c r="F68" s="34">
        <v>0.65</v>
      </c>
      <c r="G68" s="34" t="s">
        <v>1648</v>
      </c>
      <c r="H68" s="34">
        <v>500</v>
      </c>
      <c r="I68" s="34">
        <v>106</v>
      </c>
    </row>
    <row r="69" spans="1:9" x14ac:dyDescent="0.3">
      <c r="A69" s="34">
        <v>5636</v>
      </c>
      <c r="B69" s="34">
        <v>1</v>
      </c>
      <c r="C69" s="34" t="s">
        <v>1632</v>
      </c>
      <c r="D69" s="34" t="s">
        <v>1652</v>
      </c>
      <c r="E69" s="34">
        <v>0</v>
      </c>
      <c r="F69" s="34">
        <v>0.4</v>
      </c>
      <c r="G69" s="34" t="s">
        <v>1634</v>
      </c>
      <c r="H69" s="34">
        <v>100</v>
      </c>
      <c r="I69" s="34">
        <v>106</v>
      </c>
    </row>
    <row r="70" spans="1:9" x14ac:dyDescent="0.3">
      <c r="A70" s="34">
        <v>5637</v>
      </c>
      <c r="B70" s="34">
        <v>1</v>
      </c>
      <c r="C70" s="34" t="s">
        <v>1632</v>
      </c>
      <c r="D70" s="34" t="s">
        <v>1653</v>
      </c>
      <c r="E70" s="34">
        <v>0</v>
      </c>
      <c r="F70" s="34">
        <v>0.3</v>
      </c>
      <c r="G70" s="34" t="s">
        <v>1634</v>
      </c>
      <c r="H70" s="34">
        <v>100</v>
      </c>
      <c r="I70" s="34">
        <v>106</v>
      </c>
    </row>
    <row r="71" spans="1:9" x14ac:dyDescent="0.3">
      <c r="A71" s="34">
        <v>5638</v>
      </c>
      <c r="B71" s="34">
        <v>1</v>
      </c>
      <c r="C71" s="34" t="s">
        <v>1632</v>
      </c>
      <c r="D71" s="34" t="s">
        <v>1653</v>
      </c>
      <c r="E71" s="34">
        <v>0</v>
      </c>
      <c r="F71" s="34">
        <v>0.45</v>
      </c>
      <c r="G71" s="34" t="s">
        <v>1648</v>
      </c>
      <c r="H71" s="34">
        <v>500</v>
      </c>
      <c r="I71" s="34">
        <v>106</v>
      </c>
    </row>
    <row r="72" spans="1:9" x14ac:dyDescent="0.3">
      <c r="A72" s="34">
        <v>5639</v>
      </c>
      <c r="B72" s="34">
        <v>1</v>
      </c>
      <c r="C72" s="34" t="s">
        <v>1632</v>
      </c>
      <c r="D72" s="34" t="s">
        <v>1654</v>
      </c>
      <c r="E72" s="34">
        <v>0</v>
      </c>
      <c r="F72" s="34">
        <v>0.45</v>
      </c>
      <c r="G72" s="34" t="s">
        <v>1648</v>
      </c>
      <c r="H72" s="34">
        <v>500</v>
      </c>
      <c r="I72" s="34">
        <v>106</v>
      </c>
    </row>
    <row r="73" spans="1:9" x14ac:dyDescent="0.3">
      <c r="A73" s="34">
        <v>5640</v>
      </c>
      <c r="B73" s="34">
        <v>1</v>
      </c>
      <c r="C73" s="34" t="s">
        <v>1632</v>
      </c>
      <c r="D73" s="34" t="s">
        <v>1654</v>
      </c>
      <c r="E73" s="34">
        <v>0</v>
      </c>
      <c r="F73" s="34">
        <v>0.3</v>
      </c>
      <c r="G73" s="34" t="s">
        <v>1634</v>
      </c>
      <c r="H73" s="34">
        <v>100</v>
      </c>
      <c r="I73" s="34">
        <v>106</v>
      </c>
    </row>
    <row r="74" spans="1:9" x14ac:dyDescent="0.3">
      <c r="A74" s="34">
        <v>5641</v>
      </c>
      <c r="B74" s="34">
        <v>1</v>
      </c>
      <c r="C74" s="34" t="s">
        <v>1632</v>
      </c>
      <c r="D74" s="34" t="s">
        <v>1655</v>
      </c>
      <c r="E74" s="34">
        <v>0</v>
      </c>
      <c r="F74" s="34">
        <v>0.3</v>
      </c>
      <c r="G74" s="34" t="s">
        <v>1634</v>
      </c>
      <c r="H74" s="34">
        <v>100</v>
      </c>
      <c r="I74" s="34">
        <v>106</v>
      </c>
    </row>
    <row r="75" spans="1:9" x14ac:dyDescent="0.3">
      <c r="A75" s="34">
        <v>5642</v>
      </c>
      <c r="B75" s="34">
        <v>1</v>
      </c>
      <c r="C75" s="34" t="s">
        <v>1632</v>
      </c>
      <c r="D75" s="34" t="s">
        <v>1655</v>
      </c>
      <c r="E75" s="34">
        <v>0</v>
      </c>
      <c r="F75" s="34">
        <v>0.45</v>
      </c>
      <c r="G75" s="34" t="s">
        <v>1648</v>
      </c>
      <c r="H75" s="34">
        <v>500</v>
      </c>
      <c r="I75" s="34">
        <v>106</v>
      </c>
    </row>
    <row r="76" spans="1:9" x14ac:dyDescent="0.3">
      <c r="A76" s="34">
        <v>5643</v>
      </c>
      <c r="B76" s="34">
        <v>1</v>
      </c>
      <c r="C76" s="34" t="s">
        <v>1632</v>
      </c>
      <c r="D76" s="34" t="s">
        <v>1656</v>
      </c>
      <c r="E76" s="34">
        <v>0</v>
      </c>
      <c r="F76" s="34">
        <v>0.3</v>
      </c>
      <c r="G76" s="34" t="s">
        <v>1634</v>
      </c>
      <c r="H76" s="34">
        <v>100</v>
      </c>
      <c r="I76" s="34">
        <v>106</v>
      </c>
    </row>
    <row r="77" spans="1:9" x14ac:dyDescent="0.3">
      <c r="A77" s="34">
        <v>5644</v>
      </c>
      <c r="B77" s="34">
        <v>1</v>
      </c>
      <c r="C77" s="34" t="s">
        <v>1632</v>
      </c>
      <c r="D77" s="34" t="s">
        <v>1657</v>
      </c>
      <c r="E77" s="34">
        <v>0</v>
      </c>
      <c r="F77" s="34">
        <v>0.2</v>
      </c>
      <c r="G77" s="34" t="s">
        <v>1634</v>
      </c>
      <c r="H77" s="34">
        <v>100</v>
      </c>
      <c r="I77" s="34">
        <v>106</v>
      </c>
    </row>
    <row r="78" spans="1:9" x14ac:dyDescent="0.3">
      <c r="A78" s="34">
        <v>5645</v>
      </c>
      <c r="B78" s="34">
        <v>1</v>
      </c>
      <c r="C78" s="34" t="s">
        <v>1632</v>
      </c>
      <c r="D78" s="34" t="s">
        <v>1658</v>
      </c>
      <c r="E78" s="34">
        <v>0</v>
      </c>
      <c r="F78" s="34">
        <v>0.2</v>
      </c>
      <c r="G78" s="34" t="s">
        <v>1634</v>
      </c>
      <c r="H78" s="34">
        <v>100</v>
      </c>
      <c r="I78" s="34">
        <v>106</v>
      </c>
    </row>
    <row r="79" spans="1:9" x14ac:dyDescent="0.3">
      <c r="A79" s="34">
        <v>5646</v>
      </c>
      <c r="B79" s="34">
        <v>1</v>
      </c>
      <c r="C79" s="34" t="s">
        <v>1632</v>
      </c>
      <c r="D79" s="34" t="s">
        <v>1659</v>
      </c>
      <c r="E79" s="34">
        <v>0</v>
      </c>
      <c r="F79" s="34">
        <v>0.2</v>
      </c>
      <c r="G79" s="34" t="s">
        <v>1634</v>
      </c>
      <c r="H79" s="34">
        <v>100</v>
      </c>
      <c r="I79" s="34">
        <v>106</v>
      </c>
    </row>
    <row r="80" spans="1:9" x14ac:dyDescent="0.3">
      <c r="A80" s="34">
        <v>5647</v>
      </c>
      <c r="B80" s="34">
        <v>1</v>
      </c>
      <c r="C80" s="34" t="s">
        <v>1632</v>
      </c>
      <c r="D80" s="34" t="s">
        <v>1660</v>
      </c>
      <c r="E80" s="34">
        <v>0</v>
      </c>
      <c r="F80" s="34">
        <v>0.2</v>
      </c>
      <c r="G80" s="34" t="s">
        <v>1634</v>
      </c>
      <c r="H80" s="34">
        <v>100</v>
      </c>
      <c r="I80" s="34">
        <v>106</v>
      </c>
    </row>
    <row r="81" spans="1:81" x14ac:dyDescent="0.3">
      <c r="A81" s="34">
        <v>5648</v>
      </c>
      <c r="B81" s="34">
        <v>1</v>
      </c>
      <c r="C81" s="34" t="s">
        <v>1632</v>
      </c>
      <c r="D81" s="34" t="s">
        <v>1656</v>
      </c>
      <c r="E81" s="34">
        <v>0</v>
      </c>
      <c r="F81" s="34">
        <v>0.45</v>
      </c>
      <c r="G81" s="34" t="s">
        <v>1648</v>
      </c>
      <c r="H81" s="34">
        <v>500</v>
      </c>
      <c r="I81" s="34">
        <v>106</v>
      </c>
    </row>
    <row r="82" spans="1:81" x14ac:dyDescent="0.3">
      <c r="A82" s="34">
        <v>5649</v>
      </c>
      <c r="B82" s="34">
        <v>1</v>
      </c>
      <c r="C82" s="34" t="s">
        <v>1632</v>
      </c>
      <c r="D82" s="34" t="s">
        <v>1657</v>
      </c>
      <c r="E82" s="34">
        <v>0</v>
      </c>
      <c r="F82" s="34">
        <v>0.35</v>
      </c>
      <c r="G82" s="34" t="s">
        <v>1648</v>
      </c>
      <c r="H82" s="34">
        <v>500</v>
      </c>
      <c r="I82" s="34">
        <v>106</v>
      </c>
    </row>
    <row r="83" spans="1:81" x14ac:dyDescent="0.3">
      <c r="A83" s="34">
        <v>5650</v>
      </c>
      <c r="B83" s="34">
        <v>1</v>
      </c>
      <c r="C83" s="34" t="s">
        <v>1632</v>
      </c>
      <c r="D83" s="34" t="s">
        <v>1658</v>
      </c>
      <c r="E83" s="34">
        <v>0</v>
      </c>
      <c r="F83" s="34">
        <v>0.35</v>
      </c>
      <c r="G83" s="34" t="s">
        <v>1648</v>
      </c>
      <c r="H83" s="34">
        <v>500</v>
      </c>
      <c r="I83" s="34">
        <v>106</v>
      </c>
    </row>
    <row r="84" spans="1:81" x14ac:dyDescent="0.3">
      <c r="A84" s="34">
        <v>5651</v>
      </c>
      <c r="B84" s="34">
        <v>1</v>
      </c>
      <c r="C84" s="34" t="s">
        <v>1632</v>
      </c>
      <c r="D84" s="34" t="s">
        <v>1659</v>
      </c>
      <c r="E84" s="34">
        <v>0</v>
      </c>
      <c r="F84" s="34">
        <v>0.35</v>
      </c>
      <c r="G84" s="34" t="s">
        <v>1648</v>
      </c>
      <c r="H84" s="34">
        <v>500</v>
      </c>
      <c r="I84" s="34">
        <v>106</v>
      </c>
    </row>
    <row r="85" spans="1:81" x14ac:dyDescent="0.3">
      <c r="A85" s="34">
        <v>5652</v>
      </c>
      <c r="B85" s="34">
        <v>1</v>
      </c>
      <c r="C85" s="34" t="s">
        <v>1632</v>
      </c>
      <c r="D85" s="34" t="s">
        <v>1660</v>
      </c>
      <c r="E85" s="34">
        <v>0</v>
      </c>
      <c r="F85" s="34">
        <v>0.35</v>
      </c>
      <c r="G85" s="34" t="s">
        <v>1648</v>
      </c>
      <c r="H85" s="34">
        <v>500</v>
      </c>
      <c r="I85" s="34">
        <v>106</v>
      </c>
    </row>
    <row r="86" spans="1:81" x14ac:dyDescent="0.3">
      <c r="A86" s="34">
        <v>5653</v>
      </c>
      <c r="B86" s="34">
        <v>1</v>
      </c>
      <c r="C86" s="34" t="s">
        <v>1632</v>
      </c>
      <c r="D86" s="34" t="s">
        <v>1661</v>
      </c>
      <c r="E86" s="34">
        <v>0</v>
      </c>
      <c r="F86" s="34">
        <v>0.45</v>
      </c>
      <c r="G86" s="34" t="s">
        <v>1634</v>
      </c>
      <c r="H86" s="34">
        <v>100</v>
      </c>
      <c r="I86" s="34">
        <v>106</v>
      </c>
    </row>
    <row r="87" spans="1:81" x14ac:dyDescent="0.3">
      <c r="A87" s="34">
        <v>5654</v>
      </c>
      <c r="B87" s="34">
        <v>1</v>
      </c>
      <c r="C87" s="34" t="s">
        <v>1632</v>
      </c>
      <c r="D87" s="34" t="s">
        <v>1661</v>
      </c>
      <c r="E87" s="34">
        <v>0</v>
      </c>
      <c r="F87" s="34">
        <v>0.45</v>
      </c>
      <c r="G87" s="34" t="s">
        <v>1648</v>
      </c>
      <c r="H87" s="34">
        <v>500</v>
      </c>
      <c r="I87" s="34">
        <v>106</v>
      </c>
    </row>
    <row r="88" spans="1:81" x14ac:dyDescent="0.3">
      <c r="A88" s="34">
        <v>5655</v>
      </c>
      <c r="B88" s="34">
        <v>1</v>
      </c>
      <c r="C88" s="34" t="s">
        <v>1662</v>
      </c>
      <c r="D88" s="34" t="s">
        <v>130</v>
      </c>
      <c r="E88" s="34">
        <v>0</v>
      </c>
      <c r="F88" s="34">
        <v>0.5</v>
      </c>
      <c r="G88" s="34"/>
      <c r="H88" s="34">
        <v>0</v>
      </c>
      <c r="I88" s="34">
        <v>106</v>
      </c>
    </row>
    <row r="89" spans="1:81" x14ac:dyDescent="0.3">
      <c r="A89" s="34">
        <v>5656</v>
      </c>
      <c r="B89" s="34">
        <v>1</v>
      </c>
      <c r="C89" s="34" t="s">
        <v>1662</v>
      </c>
      <c r="D89" s="34" t="s">
        <v>1624</v>
      </c>
      <c r="E89" s="34">
        <v>0</v>
      </c>
      <c r="F89" s="34">
        <v>0.3</v>
      </c>
      <c r="G89" s="34"/>
      <c r="H89" s="34">
        <v>0</v>
      </c>
      <c r="I89" s="34">
        <v>106</v>
      </c>
    </row>
    <row r="90" spans="1:81" x14ac:dyDescent="0.3">
      <c r="A90" s="34">
        <v>5657</v>
      </c>
      <c r="B90" s="34">
        <v>1</v>
      </c>
      <c r="C90" s="34" t="s">
        <v>1662</v>
      </c>
      <c r="D90" s="34" t="s">
        <v>1625</v>
      </c>
      <c r="E90" s="34">
        <v>0</v>
      </c>
      <c r="F90" s="34">
        <v>0.7</v>
      </c>
      <c r="G90" s="34"/>
      <c r="H90" s="34">
        <v>0</v>
      </c>
      <c r="I90" s="34">
        <v>106</v>
      </c>
    </row>
    <row r="91" spans="1:81" x14ac:dyDescent="0.3">
      <c r="A91" s="34">
        <v>5658</v>
      </c>
      <c r="B91" s="34">
        <v>1</v>
      </c>
      <c r="C91" s="34" t="s">
        <v>1662</v>
      </c>
      <c r="D91" s="34" t="s">
        <v>1627</v>
      </c>
      <c r="E91" s="34">
        <v>0</v>
      </c>
      <c r="F91" s="34">
        <v>0.7</v>
      </c>
      <c r="G91" s="34"/>
      <c r="H91" s="34">
        <v>0</v>
      </c>
      <c r="I91" s="34">
        <v>106</v>
      </c>
    </row>
    <row r="92" spans="1:81" x14ac:dyDescent="0.3">
      <c r="A92" s="34">
        <v>5659</v>
      </c>
      <c r="B92" s="34">
        <v>1</v>
      </c>
      <c r="C92" s="34" t="s">
        <v>1662</v>
      </c>
      <c r="D92" s="34" t="s">
        <v>1626</v>
      </c>
      <c r="E92" s="34">
        <v>0</v>
      </c>
      <c r="F92" s="34">
        <v>0.3</v>
      </c>
      <c r="G92" s="34"/>
      <c r="H92" s="34">
        <v>0</v>
      </c>
      <c r="I92" s="34">
        <v>106</v>
      </c>
    </row>
    <row r="93" spans="1:81" x14ac:dyDescent="0.3">
      <c r="A93" s="34">
        <v>5660</v>
      </c>
      <c r="B93" s="34">
        <v>1</v>
      </c>
      <c r="C93" s="34" t="s">
        <v>1662</v>
      </c>
      <c r="D93" s="34" t="s">
        <v>1629</v>
      </c>
      <c r="E93" s="34">
        <v>0</v>
      </c>
      <c r="F93" s="34">
        <v>0.75</v>
      </c>
      <c r="G93" s="34"/>
      <c r="H93" s="34">
        <v>0</v>
      </c>
      <c r="I93" s="34">
        <v>106</v>
      </c>
    </row>
    <row r="94" spans="1:81" x14ac:dyDescent="0.3">
      <c r="A94" s="34">
        <v>5661</v>
      </c>
      <c r="B94" s="34">
        <v>1</v>
      </c>
      <c r="C94" s="34" t="s">
        <v>1662</v>
      </c>
      <c r="D94" s="34" t="s">
        <v>1623</v>
      </c>
      <c r="E94" s="34">
        <v>0</v>
      </c>
      <c r="F94" s="34">
        <v>0.15</v>
      </c>
      <c r="G94" s="34"/>
      <c r="H94" s="34">
        <v>0</v>
      </c>
      <c r="I94" s="34">
        <v>106</v>
      </c>
    </row>
    <row r="96" spans="1:81" x14ac:dyDescent="0.3">
      <c r="A96" s="134" t="s">
        <v>2</v>
      </c>
      <c r="B96" s="134" t="s">
        <v>3</v>
      </c>
      <c r="C96" s="134" t="s">
        <v>1315</v>
      </c>
      <c r="D96" s="134" t="s">
        <v>1389</v>
      </c>
      <c r="E96" s="134" t="s">
        <v>1390</v>
      </c>
      <c r="F96" s="134" t="s">
        <v>1391</v>
      </c>
      <c r="G96" s="134" t="s">
        <v>1392</v>
      </c>
      <c r="H96" s="134" t="s">
        <v>1393</v>
      </c>
      <c r="I96" s="134" t="s">
        <v>1394</v>
      </c>
      <c r="J96" s="134" t="s">
        <v>1395</v>
      </c>
      <c r="K96" s="134" t="s">
        <v>1396</v>
      </c>
      <c r="L96" s="134" t="s">
        <v>1397</v>
      </c>
      <c r="M96" s="134" t="s">
        <v>1398</v>
      </c>
      <c r="N96" s="134" t="s">
        <v>1399</v>
      </c>
      <c r="O96" s="134" t="s">
        <v>1400</v>
      </c>
      <c r="P96" s="134" t="s">
        <v>1401</v>
      </c>
      <c r="Q96" s="134" t="s">
        <v>1322</v>
      </c>
      <c r="R96" s="134" t="s">
        <v>1402</v>
      </c>
      <c r="S96" s="134" t="s">
        <v>1403</v>
      </c>
      <c r="T96" s="134" t="s">
        <v>1404</v>
      </c>
      <c r="U96" s="134" t="s">
        <v>1405</v>
      </c>
      <c r="V96" s="134" t="s">
        <v>1406</v>
      </c>
      <c r="W96" s="134" t="s">
        <v>1407</v>
      </c>
      <c r="X96" s="134" t="s">
        <v>1408</v>
      </c>
      <c r="Y96" s="134" t="s">
        <v>1409</v>
      </c>
      <c r="Z96" s="134" t="s">
        <v>1410</v>
      </c>
      <c r="AA96" s="134" t="s">
        <v>1411</v>
      </c>
      <c r="AB96" s="134" t="s">
        <v>1412</v>
      </c>
      <c r="AC96" s="134" t="s">
        <v>1413</v>
      </c>
      <c r="AD96" s="134" t="s">
        <v>1414</v>
      </c>
      <c r="AE96" s="134" t="s">
        <v>1415</v>
      </c>
      <c r="AF96" s="134" t="s">
        <v>1416</v>
      </c>
      <c r="AG96" s="134" t="s">
        <v>1417</v>
      </c>
      <c r="AH96" s="134" t="s">
        <v>1418</v>
      </c>
      <c r="AI96" s="134" t="s">
        <v>71</v>
      </c>
      <c r="AJ96" s="134" t="s">
        <v>1419</v>
      </c>
      <c r="AK96" s="134" t="s">
        <v>1420</v>
      </c>
      <c r="AL96" s="134" t="s">
        <v>1421</v>
      </c>
      <c r="AM96" s="134" t="s">
        <v>1422</v>
      </c>
      <c r="AN96" s="134" t="s">
        <v>1423</v>
      </c>
      <c r="AO96" s="134" t="s">
        <v>1424</v>
      </c>
      <c r="AP96" s="134" t="s">
        <v>1425</v>
      </c>
      <c r="AQ96" s="134" t="s">
        <v>1318</v>
      </c>
      <c r="AR96" s="134" t="s">
        <v>1426</v>
      </c>
      <c r="AS96" s="134" t="s">
        <v>1427</v>
      </c>
      <c r="AT96" s="134" t="s">
        <v>1428</v>
      </c>
      <c r="AU96" s="134" t="s">
        <v>1429</v>
      </c>
      <c r="AV96" s="134" t="s">
        <v>1430</v>
      </c>
      <c r="AW96" s="134" t="s">
        <v>1431</v>
      </c>
      <c r="AX96" s="134" t="s">
        <v>1432</v>
      </c>
      <c r="AY96" s="134" t="s">
        <v>1433</v>
      </c>
      <c r="AZ96" s="134" t="s">
        <v>1434</v>
      </c>
      <c r="BA96" s="134" t="s">
        <v>1435</v>
      </c>
      <c r="BB96" s="134" t="s">
        <v>1436</v>
      </c>
      <c r="BC96" s="134" t="s">
        <v>1437</v>
      </c>
      <c r="BD96" s="134" t="s">
        <v>1438</v>
      </c>
      <c r="BE96" s="134" t="s">
        <v>1439</v>
      </c>
      <c r="BF96" s="134" t="s">
        <v>0</v>
      </c>
      <c r="BG96" s="134" t="s">
        <v>1440</v>
      </c>
      <c r="BH96" s="134" t="s">
        <v>1441</v>
      </c>
      <c r="BI96" s="134" t="s">
        <v>14</v>
      </c>
      <c r="BJ96" s="134" t="s">
        <v>13</v>
      </c>
      <c r="BK96" s="134" t="s">
        <v>1316</v>
      </c>
      <c r="BL96" s="134" t="s">
        <v>35</v>
      </c>
      <c r="BM96" s="134" t="s">
        <v>1442</v>
      </c>
      <c r="BN96" s="134" t="s">
        <v>1443</v>
      </c>
      <c r="BO96" s="134" t="s">
        <v>1444</v>
      </c>
      <c r="BP96" s="134" t="s">
        <v>1445</v>
      </c>
      <c r="BQ96" s="134" t="s">
        <v>1446</v>
      </c>
      <c r="BR96" s="134" t="s">
        <v>1447</v>
      </c>
      <c r="BS96" s="134" t="s">
        <v>1448</v>
      </c>
      <c r="BT96" s="134" t="s">
        <v>1449</v>
      </c>
      <c r="BU96" s="134" t="s">
        <v>1450</v>
      </c>
      <c r="BV96" s="134" t="s">
        <v>1321</v>
      </c>
      <c r="BW96" s="134" t="s">
        <v>1451</v>
      </c>
      <c r="BX96" s="134" t="s">
        <v>1452</v>
      </c>
      <c r="BY96" s="134" t="s">
        <v>1317</v>
      </c>
      <c r="BZ96" s="134" t="s">
        <v>1320</v>
      </c>
      <c r="CA96" s="134" t="s">
        <v>1453</v>
      </c>
      <c r="CB96" s="134" t="s">
        <v>1323</v>
      </c>
      <c r="CC96" s="134" t="s">
        <v>1324</v>
      </c>
    </row>
    <row r="97" spans="1:81" x14ac:dyDescent="0.3">
      <c r="A97" s="34" t="s">
        <v>1563</v>
      </c>
      <c r="B97" s="34" t="s">
        <v>711</v>
      </c>
      <c r="C97" s="34" t="s">
        <v>1327</v>
      </c>
      <c r="D97" s="34"/>
      <c r="E97" s="153">
        <v>45405</v>
      </c>
      <c r="F97" s="153">
        <v>47212</v>
      </c>
      <c r="G97" s="34"/>
      <c r="H97" s="34" t="s">
        <v>1325</v>
      </c>
      <c r="I97" s="34">
        <v>0</v>
      </c>
      <c r="J97" s="34">
        <v>150000000</v>
      </c>
      <c r="K97" s="34" t="s">
        <v>123</v>
      </c>
      <c r="L97" s="34" t="s">
        <v>123</v>
      </c>
      <c r="M97" s="34" t="s">
        <v>123</v>
      </c>
      <c r="N97" s="34" t="s">
        <v>123</v>
      </c>
      <c r="O97" s="34">
        <v>101</v>
      </c>
      <c r="P97" s="34">
        <v>1.6666700000000001E-3</v>
      </c>
      <c r="Q97" s="34" t="s">
        <v>123</v>
      </c>
      <c r="R97" s="34" t="s">
        <v>123</v>
      </c>
      <c r="S97" s="34" t="s">
        <v>123</v>
      </c>
      <c r="T97" s="34" t="s">
        <v>123</v>
      </c>
      <c r="U97" s="34" t="s">
        <v>123</v>
      </c>
      <c r="V97" s="34" t="s">
        <v>123</v>
      </c>
      <c r="W97" s="34" t="s">
        <v>123</v>
      </c>
      <c r="X97" s="34" t="s">
        <v>123</v>
      </c>
      <c r="Y97" s="34" t="s">
        <v>123</v>
      </c>
      <c r="Z97" s="34">
        <v>0</v>
      </c>
      <c r="AA97" s="34" t="s">
        <v>123</v>
      </c>
      <c r="AB97" s="34">
        <v>0</v>
      </c>
      <c r="AC97" s="34">
        <v>1</v>
      </c>
      <c r="AD97" s="34" t="s">
        <v>123</v>
      </c>
      <c r="AE97" s="34" t="s">
        <v>123</v>
      </c>
      <c r="AF97" s="34" t="s">
        <v>714</v>
      </c>
      <c r="AG97" s="34" t="s">
        <v>123</v>
      </c>
      <c r="AH97" s="34" t="s">
        <v>123</v>
      </c>
      <c r="AI97" s="34" t="s">
        <v>123</v>
      </c>
      <c r="AJ97" s="34" t="s">
        <v>123</v>
      </c>
      <c r="AK97" s="34" t="s">
        <v>123</v>
      </c>
      <c r="AL97" s="34" t="s">
        <v>123</v>
      </c>
      <c r="AM97" s="34" t="s">
        <v>123</v>
      </c>
      <c r="AN97" s="34" t="s">
        <v>123</v>
      </c>
      <c r="AO97" s="34" t="s">
        <v>123</v>
      </c>
      <c r="AP97" s="34">
        <v>0</v>
      </c>
      <c r="AQ97" s="34" t="s">
        <v>123</v>
      </c>
      <c r="AR97" s="34">
        <v>5.6722120000000001E-2</v>
      </c>
      <c r="AS97" s="34"/>
      <c r="AT97" s="34" t="s">
        <v>123</v>
      </c>
      <c r="AU97" s="34">
        <v>106</v>
      </c>
      <c r="AV97" s="34" t="s">
        <v>1564</v>
      </c>
      <c r="AW97" s="34">
        <v>0</v>
      </c>
      <c r="AX97" s="34">
        <v>1367</v>
      </c>
      <c r="AY97" s="34" t="s">
        <v>1329</v>
      </c>
      <c r="AZ97" s="35">
        <v>45749</v>
      </c>
      <c r="BA97" s="35">
        <v>45749</v>
      </c>
      <c r="BB97" s="34" t="s">
        <v>123</v>
      </c>
      <c r="BC97" s="34" t="s">
        <v>123</v>
      </c>
      <c r="BD97" s="34" t="s">
        <v>123</v>
      </c>
      <c r="BE97" s="34" t="s">
        <v>139</v>
      </c>
      <c r="BF97" s="34">
        <v>151</v>
      </c>
      <c r="BG97" s="34">
        <v>0</v>
      </c>
      <c r="BH97" s="34">
        <v>2.3430280000000001E-2</v>
      </c>
      <c r="BI97" s="34" t="s">
        <v>150</v>
      </c>
      <c r="BJ97" s="34" t="s">
        <v>1328</v>
      </c>
      <c r="BK97" s="34">
        <v>2025</v>
      </c>
      <c r="BL97" s="34" t="s">
        <v>1456</v>
      </c>
      <c r="BM97" s="34"/>
      <c r="BN97" s="34">
        <v>0</v>
      </c>
      <c r="BO97" s="34" t="s">
        <v>1330</v>
      </c>
      <c r="BP97" s="34">
        <v>6.2164799999999999E-2</v>
      </c>
      <c r="BQ97" s="34" t="s">
        <v>1326</v>
      </c>
      <c r="BR97" s="35">
        <v>45749</v>
      </c>
      <c r="BS97" s="34">
        <v>0</v>
      </c>
      <c r="BT97" s="34" t="s">
        <v>123</v>
      </c>
      <c r="BU97" s="34">
        <v>0</v>
      </c>
      <c r="BV97" s="34">
        <v>250000</v>
      </c>
      <c r="BW97" s="34">
        <v>0</v>
      </c>
      <c r="BX97" s="34">
        <v>151</v>
      </c>
      <c r="BY97" s="34">
        <v>0</v>
      </c>
      <c r="BZ97" s="34">
        <v>1</v>
      </c>
      <c r="CA97" s="34" t="s">
        <v>123</v>
      </c>
      <c r="CB97" s="34" t="s">
        <v>123</v>
      </c>
      <c r="CC97" s="34" t="s">
        <v>123</v>
      </c>
    </row>
    <row r="98" spans="1:81" x14ac:dyDescent="0.3">
      <c r="A98" s="34" t="s">
        <v>1565</v>
      </c>
      <c r="B98" s="34" t="s">
        <v>1120</v>
      </c>
      <c r="C98" s="34" t="s">
        <v>1331</v>
      </c>
      <c r="D98" s="34"/>
      <c r="E98" s="153">
        <v>45686</v>
      </c>
      <c r="F98" s="153">
        <v>46850</v>
      </c>
      <c r="G98" s="34"/>
      <c r="H98" s="34" t="s">
        <v>1325</v>
      </c>
      <c r="I98" s="34">
        <v>5000000</v>
      </c>
      <c r="J98" s="34">
        <v>5000000</v>
      </c>
      <c r="K98" s="34" t="s">
        <v>123</v>
      </c>
      <c r="L98" s="34" t="s">
        <v>123</v>
      </c>
      <c r="M98" s="34" t="s">
        <v>123</v>
      </c>
      <c r="N98" s="34" t="s">
        <v>123</v>
      </c>
      <c r="O98" s="34">
        <v>100.2</v>
      </c>
      <c r="P98" s="34">
        <v>8.3333299999999999E-3</v>
      </c>
      <c r="Q98" s="34" t="s">
        <v>123</v>
      </c>
      <c r="R98" s="34" t="s">
        <v>123</v>
      </c>
      <c r="S98" s="34" t="s">
        <v>123</v>
      </c>
      <c r="T98" s="34" t="s">
        <v>123</v>
      </c>
      <c r="U98" s="34" t="s">
        <v>123</v>
      </c>
      <c r="V98" s="34" t="s">
        <v>123</v>
      </c>
      <c r="W98" s="34" t="s">
        <v>123</v>
      </c>
      <c r="X98" s="34" t="s">
        <v>123</v>
      </c>
      <c r="Y98" s="34" t="s">
        <v>123</v>
      </c>
      <c r="Z98" s="34">
        <v>0</v>
      </c>
      <c r="AA98" s="34" t="s">
        <v>123</v>
      </c>
      <c r="AB98" s="34">
        <v>0</v>
      </c>
      <c r="AC98" s="34">
        <v>1</v>
      </c>
      <c r="AD98" s="34" t="s">
        <v>123</v>
      </c>
      <c r="AE98" s="34" t="s">
        <v>123</v>
      </c>
      <c r="AF98" s="34" t="s">
        <v>1121</v>
      </c>
      <c r="AG98" s="34" t="s">
        <v>123</v>
      </c>
      <c r="AH98" s="34" t="s">
        <v>123</v>
      </c>
      <c r="AI98" s="34" t="s">
        <v>123</v>
      </c>
      <c r="AJ98" s="34" t="s">
        <v>123</v>
      </c>
      <c r="AK98" s="34" t="s">
        <v>123</v>
      </c>
      <c r="AL98" s="34" t="s">
        <v>123</v>
      </c>
      <c r="AM98" s="34" t="s">
        <v>123</v>
      </c>
      <c r="AN98" s="34" t="s">
        <v>123</v>
      </c>
      <c r="AO98" s="34" t="s">
        <v>123</v>
      </c>
      <c r="AP98" s="34">
        <v>0</v>
      </c>
      <c r="AQ98" s="34" t="s">
        <v>123</v>
      </c>
      <c r="AR98" s="34">
        <v>0.10367698</v>
      </c>
      <c r="AS98" s="34"/>
      <c r="AT98" s="34" t="s">
        <v>123</v>
      </c>
      <c r="AU98" s="34">
        <v>106</v>
      </c>
      <c r="AV98" s="34" t="s">
        <v>1566</v>
      </c>
      <c r="AW98" s="34">
        <v>0</v>
      </c>
      <c r="AX98" s="34">
        <v>1368</v>
      </c>
      <c r="AY98" s="34" t="s">
        <v>1333</v>
      </c>
      <c r="AZ98" s="35">
        <v>45751</v>
      </c>
      <c r="BA98" s="35">
        <v>45751</v>
      </c>
      <c r="BB98" s="34" t="s">
        <v>123</v>
      </c>
      <c r="BC98" s="34" t="s">
        <v>123</v>
      </c>
      <c r="BD98" s="34" t="s">
        <v>123</v>
      </c>
      <c r="BE98" s="34" t="s">
        <v>1334</v>
      </c>
      <c r="BF98" s="34">
        <v>268</v>
      </c>
      <c r="BG98" s="34">
        <v>0</v>
      </c>
      <c r="BH98" s="34">
        <v>6.6102750000000002E-2</v>
      </c>
      <c r="BI98" s="34" t="s">
        <v>159</v>
      </c>
      <c r="BJ98" s="34" t="s">
        <v>1332</v>
      </c>
      <c r="BK98" s="34">
        <v>2025</v>
      </c>
      <c r="BL98" s="34" t="s">
        <v>1456</v>
      </c>
      <c r="BM98" s="34"/>
      <c r="BN98" s="34">
        <v>0</v>
      </c>
      <c r="BO98" s="34" t="s">
        <v>1330</v>
      </c>
      <c r="BP98" s="34">
        <v>0.10476479</v>
      </c>
      <c r="BQ98" s="34" t="s">
        <v>1326</v>
      </c>
      <c r="BR98" s="35">
        <v>45751</v>
      </c>
      <c r="BS98" s="34">
        <v>0</v>
      </c>
      <c r="BT98" s="34" t="s">
        <v>123</v>
      </c>
      <c r="BU98" s="34">
        <v>0</v>
      </c>
      <c r="BV98" s="34">
        <v>250000</v>
      </c>
      <c r="BW98" s="34">
        <v>0</v>
      </c>
      <c r="BX98" s="34">
        <v>268</v>
      </c>
      <c r="BY98" s="34">
        <v>0</v>
      </c>
      <c r="BZ98" s="34">
        <v>1</v>
      </c>
      <c r="CA98" s="34" t="s">
        <v>123</v>
      </c>
      <c r="CB98" s="34" t="s">
        <v>123</v>
      </c>
      <c r="CC98" s="34" t="s">
        <v>123</v>
      </c>
    </row>
    <row r="99" spans="1:81" x14ac:dyDescent="0.3">
      <c r="A99" s="34" t="s">
        <v>1567</v>
      </c>
      <c r="B99" s="34" t="s">
        <v>668</v>
      </c>
      <c r="C99" s="34" t="s">
        <v>1335</v>
      </c>
      <c r="D99" s="34"/>
      <c r="E99" s="153">
        <v>45252</v>
      </c>
      <c r="F99" s="153">
        <v>46395</v>
      </c>
      <c r="G99" s="34"/>
      <c r="H99" s="34" t="s">
        <v>1325</v>
      </c>
      <c r="I99" s="34">
        <v>0</v>
      </c>
      <c r="J99" s="34">
        <v>600000000</v>
      </c>
      <c r="K99" s="34" t="s">
        <v>123</v>
      </c>
      <c r="L99" s="34" t="s">
        <v>123</v>
      </c>
      <c r="M99" s="34" t="s">
        <v>123</v>
      </c>
      <c r="N99" s="34" t="s">
        <v>123</v>
      </c>
      <c r="O99" s="34">
        <v>102.85</v>
      </c>
      <c r="P99" s="34">
        <v>1.25E-3</v>
      </c>
      <c r="Q99" s="34" t="s">
        <v>123</v>
      </c>
      <c r="R99" s="34" t="s">
        <v>123</v>
      </c>
      <c r="S99" s="34" t="s">
        <v>123</v>
      </c>
      <c r="T99" s="34" t="s">
        <v>123</v>
      </c>
      <c r="U99" s="34" t="s">
        <v>123</v>
      </c>
      <c r="V99" s="34" t="s">
        <v>123</v>
      </c>
      <c r="W99" s="34" t="s">
        <v>123</v>
      </c>
      <c r="X99" s="34" t="s">
        <v>123</v>
      </c>
      <c r="Y99" s="34" t="s">
        <v>123</v>
      </c>
      <c r="Z99" s="34">
        <v>0</v>
      </c>
      <c r="AA99" s="34" t="s">
        <v>123</v>
      </c>
      <c r="AB99" s="34">
        <v>0</v>
      </c>
      <c r="AC99" s="34">
        <v>1</v>
      </c>
      <c r="AD99" s="34" t="s">
        <v>123</v>
      </c>
      <c r="AE99" s="34" t="s">
        <v>123</v>
      </c>
      <c r="AF99" s="34" t="s">
        <v>671</v>
      </c>
      <c r="AG99" s="34" t="s">
        <v>123</v>
      </c>
      <c r="AH99" s="34" t="s">
        <v>123</v>
      </c>
      <c r="AI99" s="34" t="s">
        <v>123</v>
      </c>
      <c r="AJ99" s="34" t="s">
        <v>123</v>
      </c>
      <c r="AK99" s="34" t="s">
        <v>123</v>
      </c>
      <c r="AL99" s="34" t="s">
        <v>123</v>
      </c>
      <c r="AM99" s="34" t="s">
        <v>123</v>
      </c>
      <c r="AN99" s="34" t="s">
        <v>123</v>
      </c>
      <c r="AO99" s="34" t="s">
        <v>123</v>
      </c>
      <c r="AP99" s="34">
        <v>0</v>
      </c>
      <c r="AQ99" s="34" t="s">
        <v>123</v>
      </c>
      <c r="AR99" s="34">
        <v>7.6703099999999996E-2</v>
      </c>
      <c r="AS99" s="34"/>
      <c r="AT99" s="34" t="s">
        <v>123</v>
      </c>
      <c r="AU99" s="34">
        <v>106</v>
      </c>
      <c r="AV99" s="34" t="s">
        <v>1568</v>
      </c>
      <c r="AW99" s="34">
        <v>0</v>
      </c>
      <c r="AX99" s="34">
        <v>1369</v>
      </c>
      <c r="AY99" s="34" t="s">
        <v>1333</v>
      </c>
      <c r="AZ99" s="35">
        <v>45751</v>
      </c>
      <c r="BA99" s="35">
        <v>45751</v>
      </c>
      <c r="BB99" s="34" t="s">
        <v>123</v>
      </c>
      <c r="BC99" s="34" t="s">
        <v>123</v>
      </c>
      <c r="BD99" s="34" t="s">
        <v>123</v>
      </c>
      <c r="BE99" s="34" t="s">
        <v>139</v>
      </c>
      <c r="BF99" s="34">
        <v>138</v>
      </c>
      <c r="BG99" s="34">
        <v>0</v>
      </c>
      <c r="BH99" s="34">
        <v>5.2493049999999999E-2</v>
      </c>
      <c r="BI99" s="34" t="s">
        <v>133</v>
      </c>
      <c r="BJ99" s="34" t="s">
        <v>1336</v>
      </c>
      <c r="BK99" s="34">
        <v>2025</v>
      </c>
      <c r="BL99" s="34" t="s">
        <v>1456</v>
      </c>
      <c r="BM99" s="34"/>
      <c r="BN99" s="34">
        <v>0</v>
      </c>
      <c r="BO99" s="34" t="s">
        <v>1330</v>
      </c>
      <c r="BP99" s="34">
        <v>9.06E-2</v>
      </c>
      <c r="BQ99" s="34" t="s">
        <v>1326</v>
      </c>
      <c r="BR99" s="35">
        <v>45751</v>
      </c>
      <c r="BS99" s="34">
        <v>0</v>
      </c>
      <c r="BT99" s="34" t="s">
        <v>123</v>
      </c>
      <c r="BU99" s="34">
        <v>0</v>
      </c>
      <c r="BV99" s="34">
        <v>250000</v>
      </c>
      <c r="BW99" s="34">
        <v>0</v>
      </c>
      <c r="BX99" s="34">
        <v>138</v>
      </c>
      <c r="BY99" s="34">
        <v>0</v>
      </c>
      <c r="BZ99" s="34">
        <v>1</v>
      </c>
      <c r="CA99" s="34" t="s">
        <v>123</v>
      </c>
      <c r="CB99" s="34" t="s">
        <v>123</v>
      </c>
      <c r="CC99" s="34" t="s">
        <v>123</v>
      </c>
    </row>
    <row r="100" spans="1:81" x14ac:dyDescent="0.3">
      <c r="A100" s="34" t="s">
        <v>1569</v>
      </c>
      <c r="B100" s="34" t="s">
        <v>856</v>
      </c>
      <c r="C100" s="34" t="s">
        <v>1337</v>
      </c>
      <c r="D100" s="34"/>
      <c r="E100" s="153">
        <v>44650</v>
      </c>
      <c r="F100" s="153">
        <v>46119</v>
      </c>
      <c r="G100" s="34"/>
      <c r="H100" s="34" t="s">
        <v>1325</v>
      </c>
      <c r="I100" s="34">
        <v>0</v>
      </c>
      <c r="J100" s="34">
        <v>100000000</v>
      </c>
      <c r="K100" s="34" t="s">
        <v>123</v>
      </c>
      <c r="L100" s="34" t="s">
        <v>123</v>
      </c>
      <c r="M100" s="34" t="s">
        <v>123</v>
      </c>
      <c r="N100" s="34" t="s">
        <v>123</v>
      </c>
      <c r="O100" s="34">
        <v>101</v>
      </c>
      <c r="P100" s="34">
        <v>2.08333E-3</v>
      </c>
      <c r="Q100" s="34" t="s">
        <v>123</v>
      </c>
      <c r="R100" s="34" t="s">
        <v>123</v>
      </c>
      <c r="S100" s="34" t="s">
        <v>123</v>
      </c>
      <c r="T100" s="34" t="s">
        <v>123</v>
      </c>
      <c r="U100" s="34" t="s">
        <v>123</v>
      </c>
      <c r="V100" s="34" t="s">
        <v>123</v>
      </c>
      <c r="W100" s="34" t="s">
        <v>123</v>
      </c>
      <c r="X100" s="34" t="s">
        <v>123</v>
      </c>
      <c r="Y100" s="34" t="s">
        <v>123</v>
      </c>
      <c r="Z100" s="34">
        <v>0</v>
      </c>
      <c r="AA100" s="34" t="s">
        <v>123</v>
      </c>
      <c r="AB100" s="34">
        <v>0</v>
      </c>
      <c r="AC100" s="34">
        <v>1</v>
      </c>
      <c r="AD100" s="34" t="s">
        <v>123</v>
      </c>
      <c r="AE100" s="34" t="s">
        <v>123</v>
      </c>
      <c r="AF100" s="34" t="s">
        <v>858</v>
      </c>
      <c r="AG100" s="34" t="s">
        <v>123</v>
      </c>
      <c r="AH100" s="34" t="s">
        <v>123</v>
      </c>
      <c r="AI100" s="34" t="s">
        <v>123</v>
      </c>
      <c r="AJ100" s="34" t="s">
        <v>123</v>
      </c>
      <c r="AK100" s="34" t="s">
        <v>123</v>
      </c>
      <c r="AL100" s="34" t="s">
        <v>123</v>
      </c>
      <c r="AM100" s="34" t="s">
        <v>123</v>
      </c>
      <c r="AN100" s="34" t="s">
        <v>123</v>
      </c>
      <c r="AO100" s="34" t="s">
        <v>123</v>
      </c>
      <c r="AP100" s="34">
        <v>0</v>
      </c>
      <c r="AQ100" s="34" t="s">
        <v>123</v>
      </c>
      <c r="AR100" s="34">
        <v>5.962858E-2</v>
      </c>
      <c r="AS100" s="34"/>
      <c r="AT100" s="34" t="s">
        <v>123</v>
      </c>
      <c r="AU100" s="34">
        <v>106</v>
      </c>
      <c r="AV100" s="34" t="s">
        <v>1570</v>
      </c>
      <c r="AW100" s="34">
        <v>0</v>
      </c>
      <c r="AX100" s="34">
        <v>1370</v>
      </c>
      <c r="AY100" s="34" t="s">
        <v>1333</v>
      </c>
      <c r="AZ100" s="35">
        <v>45751</v>
      </c>
      <c r="BA100" s="35">
        <v>45751</v>
      </c>
      <c r="BB100" s="34" t="s">
        <v>123</v>
      </c>
      <c r="BC100" s="34" t="s">
        <v>123</v>
      </c>
      <c r="BD100" s="34" t="s">
        <v>123</v>
      </c>
      <c r="BE100" s="34" t="s">
        <v>139</v>
      </c>
      <c r="BF100" s="34">
        <v>196</v>
      </c>
      <c r="BG100" s="34">
        <v>0</v>
      </c>
      <c r="BH100" s="34">
        <v>2.8000799999999999E-2</v>
      </c>
      <c r="BI100" s="34" t="s">
        <v>167</v>
      </c>
      <c r="BJ100" s="34" t="s">
        <v>1338</v>
      </c>
      <c r="BK100" s="34">
        <v>2025</v>
      </c>
      <c r="BL100" s="34" t="s">
        <v>1456</v>
      </c>
      <c r="BM100" s="34"/>
      <c r="BN100" s="34">
        <v>0</v>
      </c>
      <c r="BO100" s="34" t="s">
        <v>1330</v>
      </c>
      <c r="BP100" s="34">
        <v>6.6600000000000006E-2</v>
      </c>
      <c r="BQ100" s="34" t="s">
        <v>1326</v>
      </c>
      <c r="BR100" s="35">
        <v>45751</v>
      </c>
      <c r="BS100" s="34">
        <v>0</v>
      </c>
      <c r="BT100" s="34" t="s">
        <v>123</v>
      </c>
      <c r="BU100" s="34">
        <v>0</v>
      </c>
      <c r="BV100" s="34">
        <v>250000</v>
      </c>
      <c r="BW100" s="34">
        <v>0</v>
      </c>
      <c r="BX100" s="34">
        <v>196</v>
      </c>
      <c r="BY100" s="34">
        <v>0</v>
      </c>
      <c r="BZ100" s="34">
        <v>1</v>
      </c>
      <c r="CA100" s="34" t="s">
        <v>123</v>
      </c>
      <c r="CB100" s="34" t="s">
        <v>123</v>
      </c>
      <c r="CC100" s="34" t="s">
        <v>123</v>
      </c>
    </row>
    <row r="101" spans="1:81" x14ac:dyDescent="0.3">
      <c r="A101" s="34" t="s">
        <v>1454</v>
      </c>
      <c r="B101" s="34" t="s">
        <v>1028</v>
      </c>
      <c r="C101" s="34" t="s">
        <v>1339</v>
      </c>
      <c r="D101" s="34"/>
      <c r="E101" s="153">
        <v>45267</v>
      </c>
      <c r="F101" s="153">
        <v>46363</v>
      </c>
      <c r="G101" s="34"/>
      <c r="H101" s="34" t="s">
        <v>1325</v>
      </c>
      <c r="I101" s="34">
        <v>0</v>
      </c>
      <c r="J101" s="34">
        <v>1000000000</v>
      </c>
      <c r="K101" s="34" t="s">
        <v>123</v>
      </c>
      <c r="L101" s="34" t="s">
        <v>123</v>
      </c>
      <c r="M101" s="34" t="s">
        <v>123</v>
      </c>
      <c r="N101" s="34" t="s">
        <v>123</v>
      </c>
      <c r="O101" s="34">
        <v>103.95</v>
      </c>
      <c r="P101" s="34">
        <v>8.3332999999999996E-4</v>
      </c>
      <c r="Q101" s="34" t="s">
        <v>123</v>
      </c>
      <c r="R101" s="34" t="s">
        <v>123</v>
      </c>
      <c r="S101" s="34" t="s">
        <v>123</v>
      </c>
      <c r="T101" s="34" t="s">
        <v>123</v>
      </c>
      <c r="U101" s="34" t="s">
        <v>123</v>
      </c>
      <c r="V101" s="34" t="s">
        <v>123</v>
      </c>
      <c r="W101" s="34" t="s">
        <v>123</v>
      </c>
      <c r="X101" s="34" t="s">
        <v>123</v>
      </c>
      <c r="Y101" s="34" t="s">
        <v>123</v>
      </c>
      <c r="Z101" s="34">
        <v>0</v>
      </c>
      <c r="AA101" s="34" t="s">
        <v>123</v>
      </c>
      <c r="AB101" s="34">
        <v>0</v>
      </c>
      <c r="AC101" s="34">
        <v>1</v>
      </c>
      <c r="AD101" s="34" t="s">
        <v>123</v>
      </c>
      <c r="AE101" s="34" t="s">
        <v>123</v>
      </c>
      <c r="AF101" s="34" t="s">
        <v>1029</v>
      </c>
      <c r="AG101" s="34" t="s">
        <v>123</v>
      </c>
      <c r="AH101" s="34" t="s">
        <v>123</v>
      </c>
      <c r="AI101" s="34" t="s">
        <v>123</v>
      </c>
      <c r="AJ101" s="34" t="s">
        <v>123</v>
      </c>
      <c r="AK101" s="34" t="s">
        <v>123</v>
      </c>
      <c r="AL101" s="34" t="s">
        <v>123</v>
      </c>
      <c r="AM101" s="34" t="s">
        <v>123</v>
      </c>
      <c r="AN101" s="34" t="s">
        <v>123</v>
      </c>
      <c r="AO101" s="34" t="s">
        <v>123</v>
      </c>
      <c r="AP101" s="34">
        <v>0</v>
      </c>
      <c r="AQ101" s="34" t="s">
        <v>123</v>
      </c>
      <c r="AR101" s="34">
        <v>7.1253140000000006E-2</v>
      </c>
      <c r="AS101" s="34"/>
      <c r="AT101" s="34" t="s">
        <v>123</v>
      </c>
      <c r="AU101" s="34">
        <v>106</v>
      </c>
      <c r="AV101" s="34" t="s">
        <v>1455</v>
      </c>
      <c r="AW101" s="34">
        <v>0</v>
      </c>
      <c r="AX101" s="34">
        <v>1371</v>
      </c>
      <c r="AY101" s="34" t="s">
        <v>1329</v>
      </c>
      <c r="AZ101" s="35">
        <v>45751</v>
      </c>
      <c r="BA101" s="35">
        <v>45751</v>
      </c>
      <c r="BB101" s="34" t="s">
        <v>123</v>
      </c>
      <c r="BC101" s="34" t="s">
        <v>123</v>
      </c>
      <c r="BD101" s="34" t="s">
        <v>123</v>
      </c>
      <c r="BE101" s="34" t="s">
        <v>139</v>
      </c>
      <c r="BF101" s="34">
        <v>243</v>
      </c>
      <c r="BG101" s="34">
        <v>0</v>
      </c>
      <c r="BH101" s="34">
        <v>5.500062E-2</v>
      </c>
      <c r="BI101" s="34" t="s">
        <v>528</v>
      </c>
      <c r="BJ101" s="34" t="s">
        <v>1340</v>
      </c>
      <c r="BK101" s="34">
        <v>2024</v>
      </c>
      <c r="BL101" s="34" t="s">
        <v>1456</v>
      </c>
      <c r="BM101" s="34"/>
      <c r="BN101" s="34">
        <v>0</v>
      </c>
      <c r="BO101" s="34" t="s">
        <v>1330</v>
      </c>
      <c r="BP101" s="34">
        <v>9.3200000000000005E-2</v>
      </c>
      <c r="BQ101" s="34" t="s">
        <v>1326</v>
      </c>
      <c r="BR101" s="35">
        <v>45751</v>
      </c>
      <c r="BS101" s="34">
        <v>0</v>
      </c>
      <c r="BT101" s="34" t="s">
        <v>123</v>
      </c>
      <c r="BU101" s="34">
        <v>0</v>
      </c>
      <c r="BV101" s="34">
        <v>250000</v>
      </c>
      <c r="BW101" s="34">
        <v>0</v>
      </c>
      <c r="BX101" s="34">
        <v>243</v>
      </c>
      <c r="BY101" s="34">
        <v>0</v>
      </c>
      <c r="BZ101" s="34">
        <v>1</v>
      </c>
      <c r="CA101" s="34" t="s">
        <v>123</v>
      </c>
      <c r="CB101" s="34" t="s">
        <v>123</v>
      </c>
      <c r="CC101" s="34" t="s">
        <v>123</v>
      </c>
    </row>
    <row r="102" spans="1:81" x14ac:dyDescent="0.3">
      <c r="A102" s="34" t="s">
        <v>1457</v>
      </c>
      <c r="B102" s="34" t="s">
        <v>625</v>
      </c>
      <c r="C102" s="34" t="s">
        <v>1341</v>
      </c>
      <c r="D102" s="34"/>
      <c r="E102" s="153">
        <v>45693</v>
      </c>
      <c r="F102" s="153">
        <v>46820</v>
      </c>
      <c r="G102" s="34"/>
      <c r="H102" s="34" t="s">
        <v>1325</v>
      </c>
      <c r="I102" s="34">
        <v>0</v>
      </c>
      <c r="J102" s="34">
        <v>300000000</v>
      </c>
      <c r="K102" s="34" t="s">
        <v>123</v>
      </c>
      <c r="L102" s="34" t="s">
        <v>123</v>
      </c>
      <c r="M102" s="34" t="s">
        <v>123</v>
      </c>
      <c r="N102" s="34" t="s">
        <v>123</v>
      </c>
      <c r="O102" s="34">
        <v>100.25</v>
      </c>
      <c r="P102" s="34">
        <v>8.3332999999999996E-4</v>
      </c>
      <c r="Q102" s="34" t="s">
        <v>123</v>
      </c>
      <c r="R102" s="34" t="s">
        <v>123</v>
      </c>
      <c r="S102" s="34" t="s">
        <v>123</v>
      </c>
      <c r="T102" s="34" t="s">
        <v>123</v>
      </c>
      <c r="U102" s="34" t="s">
        <v>123</v>
      </c>
      <c r="V102" s="34" t="s">
        <v>123</v>
      </c>
      <c r="W102" s="34" t="s">
        <v>123</v>
      </c>
      <c r="X102" s="34" t="s">
        <v>123</v>
      </c>
      <c r="Y102" s="34" t="s">
        <v>123</v>
      </c>
      <c r="Z102" s="34">
        <v>0</v>
      </c>
      <c r="AA102" s="34" t="s">
        <v>123</v>
      </c>
      <c r="AB102" s="34">
        <v>0</v>
      </c>
      <c r="AC102" s="34">
        <v>1</v>
      </c>
      <c r="AD102" s="34" t="s">
        <v>123</v>
      </c>
      <c r="AE102" s="34" t="s">
        <v>123</v>
      </c>
      <c r="AF102" s="34" t="s">
        <v>626</v>
      </c>
      <c r="AG102" s="34" t="s">
        <v>123</v>
      </c>
      <c r="AH102" s="34" t="s">
        <v>123</v>
      </c>
      <c r="AI102" s="34" t="s">
        <v>123</v>
      </c>
      <c r="AJ102" s="34" t="s">
        <v>123</v>
      </c>
      <c r="AK102" s="34" t="s">
        <v>123</v>
      </c>
      <c r="AL102" s="34" t="s">
        <v>123</v>
      </c>
      <c r="AM102" s="34" t="s">
        <v>123</v>
      </c>
      <c r="AN102" s="34" t="s">
        <v>123</v>
      </c>
      <c r="AO102" s="34" t="s">
        <v>123</v>
      </c>
      <c r="AP102" s="34">
        <v>0</v>
      </c>
      <c r="AQ102" s="34" t="s">
        <v>123</v>
      </c>
      <c r="AR102" s="34">
        <v>7.558753E-2</v>
      </c>
      <c r="AS102" s="34"/>
      <c r="AT102" s="34" t="s">
        <v>123</v>
      </c>
      <c r="AU102" s="34">
        <v>106</v>
      </c>
      <c r="AV102" s="34" t="s">
        <v>1458</v>
      </c>
      <c r="AW102" s="34">
        <v>0</v>
      </c>
      <c r="AX102" s="34">
        <v>1372</v>
      </c>
      <c r="AY102" s="34" t="s">
        <v>1333</v>
      </c>
      <c r="AZ102" s="35">
        <v>45755</v>
      </c>
      <c r="BA102" s="35">
        <v>45755</v>
      </c>
      <c r="BB102" s="34" t="s">
        <v>123</v>
      </c>
      <c r="BC102" s="34" t="s">
        <v>123</v>
      </c>
      <c r="BD102" s="34" t="s">
        <v>123</v>
      </c>
      <c r="BE102" s="34" t="s">
        <v>139</v>
      </c>
      <c r="BF102" s="34">
        <v>127</v>
      </c>
      <c r="BG102" s="34">
        <v>0</v>
      </c>
      <c r="BH102" s="34">
        <v>3.496664E-2</v>
      </c>
      <c r="BI102" s="34" t="s">
        <v>159</v>
      </c>
      <c r="BJ102" s="34" t="s">
        <v>1336</v>
      </c>
      <c r="BK102" s="34"/>
      <c r="BL102" s="34" t="s">
        <v>1456</v>
      </c>
      <c r="BM102" s="34"/>
      <c r="BN102" s="34">
        <v>0</v>
      </c>
      <c r="BO102" s="34" t="s">
        <v>1330</v>
      </c>
      <c r="BP102" s="34">
        <v>7.3507139999999999E-2</v>
      </c>
      <c r="BQ102" s="34" t="s">
        <v>1326</v>
      </c>
      <c r="BR102" s="35">
        <v>45755</v>
      </c>
      <c r="BS102" s="34">
        <v>0</v>
      </c>
      <c r="BT102" s="34" t="s">
        <v>123</v>
      </c>
      <c r="BU102" s="34">
        <v>0</v>
      </c>
      <c r="BV102" s="34">
        <v>250000</v>
      </c>
      <c r="BW102" s="34">
        <v>0</v>
      </c>
      <c r="BX102" s="34">
        <v>127</v>
      </c>
      <c r="BY102" s="34">
        <v>0</v>
      </c>
      <c r="BZ102" s="34">
        <v>1</v>
      </c>
      <c r="CA102" s="34" t="s">
        <v>123</v>
      </c>
      <c r="CB102" s="34" t="s">
        <v>123</v>
      </c>
      <c r="CC102" s="34" t="s">
        <v>123</v>
      </c>
    </row>
    <row r="103" spans="1:81" x14ac:dyDescent="0.3">
      <c r="A103" s="34" t="s">
        <v>1549</v>
      </c>
      <c r="B103" s="34" t="s">
        <v>1114</v>
      </c>
      <c r="C103" s="34" t="s">
        <v>1342</v>
      </c>
      <c r="D103" s="34"/>
      <c r="E103" s="153">
        <v>45649</v>
      </c>
      <c r="F103" s="153">
        <v>46849</v>
      </c>
      <c r="G103" s="34"/>
      <c r="H103" s="34" t="s">
        <v>1325</v>
      </c>
      <c r="I103" s="34">
        <v>0</v>
      </c>
      <c r="J103" s="34">
        <v>300000000</v>
      </c>
      <c r="K103" s="34" t="s">
        <v>123</v>
      </c>
      <c r="L103" s="34" t="s">
        <v>123</v>
      </c>
      <c r="M103" s="34" t="s">
        <v>123</v>
      </c>
      <c r="N103" s="34" t="s">
        <v>123</v>
      </c>
      <c r="O103" s="34">
        <v>100.65</v>
      </c>
      <c r="P103" s="34">
        <v>1.25E-3</v>
      </c>
      <c r="Q103" s="34" t="s">
        <v>123</v>
      </c>
      <c r="R103" s="34" t="s">
        <v>123</v>
      </c>
      <c r="S103" s="34" t="s">
        <v>123</v>
      </c>
      <c r="T103" s="34" t="s">
        <v>123</v>
      </c>
      <c r="U103" s="34" t="s">
        <v>123</v>
      </c>
      <c r="V103" s="34" t="s">
        <v>123</v>
      </c>
      <c r="W103" s="34" t="s">
        <v>123</v>
      </c>
      <c r="X103" s="34" t="s">
        <v>123</v>
      </c>
      <c r="Y103" s="34" t="s">
        <v>123</v>
      </c>
      <c r="Z103" s="34">
        <v>0</v>
      </c>
      <c r="AA103" s="34" t="s">
        <v>123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1117</v>
      </c>
      <c r="AG103" s="34" t="s">
        <v>123</v>
      </c>
      <c r="AH103" s="34" t="s">
        <v>123</v>
      </c>
      <c r="AI103" s="34" t="s">
        <v>123</v>
      </c>
      <c r="AJ103" s="34" t="s">
        <v>123</v>
      </c>
      <c r="AK103" s="34" t="s">
        <v>123</v>
      </c>
      <c r="AL103" s="34" t="s">
        <v>123</v>
      </c>
      <c r="AM103" s="34" t="s">
        <v>123</v>
      </c>
      <c r="AN103" s="34" t="s">
        <v>123</v>
      </c>
      <c r="AO103" s="34" t="s">
        <v>123</v>
      </c>
      <c r="AP103" s="34">
        <v>0</v>
      </c>
      <c r="AQ103" s="34" t="s">
        <v>123</v>
      </c>
      <c r="AR103" s="34">
        <v>9.0424110000000002E-2</v>
      </c>
      <c r="AS103" s="34"/>
      <c r="AT103" s="34" t="s">
        <v>123</v>
      </c>
      <c r="AU103" s="34">
        <v>106</v>
      </c>
      <c r="AV103" s="34" t="s">
        <v>1550</v>
      </c>
      <c r="AW103" s="34">
        <v>0</v>
      </c>
      <c r="AX103" s="34">
        <v>1373</v>
      </c>
      <c r="AY103" s="34" t="s">
        <v>1333</v>
      </c>
      <c r="AZ103" s="35">
        <v>45755</v>
      </c>
      <c r="BA103" s="35">
        <v>45755</v>
      </c>
      <c r="BB103" s="34" t="s">
        <v>123</v>
      </c>
      <c r="BC103" s="34" t="s">
        <v>123</v>
      </c>
      <c r="BD103" s="34" t="s">
        <v>123</v>
      </c>
      <c r="BE103" s="34" t="s">
        <v>139</v>
      </c>
      <c r="BF103" s="34">
        <v>266</v>
      </c>
      <c r="BG103" s="34">
        <v>0</v>
      </c>
      <c r="BH103" s="34">
        <v>5.1341879999999999E-2</v>
      </c>
      <c r="BI103" s="34" t="s">
        <v>150</v>
      </c>
      <c r="BJ103" s="34" t="s">
        <v>1336</v>
      </c>
      <c r="BK103" s="34">
        <v>2025</v>
      </c>
      <c r="BL103" s="34" t="s">
        <v>1456</v>
      </c>
      <c r="BM103" s="34"/>
      <c r="BN103" s="34">
        <v>0</v>
      </c>
      <c r="BO103" s="34" t="s">
        <v>1330</v>
      </c>
      <c r="BP103" s="34">
        <v>8.9599999999999999E-2</v>
      </c>
      <c r="BQ103" s="34" t="s">
        <v>1326</v>
      </c>
      <c r="BR103" s="35">
        <v>45755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266</v>
      </c>
      <c r="BY103" s="34">
        <v>0</v>
      </c>
      <c r="BZ103" s="34">
        <v>1</v>
      </c>
      <c r="CA103" s="34" t="s">
        <v>123</v>
      </c>
      <c r="CB103" s="34" t="s">
        <v>123</v>
      </c>
      <c r="CC103" s="34" t="s">
        <v>123</v>
      </c>
    </row>
    <row r="104" spans="1:81" x14ac:dyDescent="0.3">
      <c r="A104" s="34" t="s">
        <v>1551</v>
      </c>
      <c r="B104" s="34" t="s">
        <v>963</v>
      </c>
      <c r="C104" s="34" t="s">
        <v>1343</v>
      </c>
      <c r="D104" s="34"/>
      <c r="E104" s="153">
        <v>45300</v>
      </c>
      <c r="F104" s="153">
        <v>46395</v>
      </c>
      <c r="G104" s="34"/>
      <c r="H104" s="34" t="s">
        <v>1325</v>
      </c>
      <c r="I104" s="34">
        <v>0</v>
      </c>
      <c r="J104" s="34">
        <v>400000000</v>
      </c>
      <c r="K104" s="34" t="s">
        <v>123</v>
      </c>
      <c r="L104" s="34" t="s">
        <v>123</v>
      </c>
      <c r="M104" s="34" t="s">
        <v>123</v>
      </c>
      <c r="N104" s="34" t="s">
        <v>123</v>
      </c>
      <c r="O104" s="34">
        <v>102.3</v>
      </c>
      <c r="P104" s="34">
        <v>9.8039000000000004E-4</v>
      </c>
      <c r="Q104" s="34" t="s">
        <v>123</v>
      </c>
      <c r="R104" s="34" t="s">
        <v>123</v>
      </c>
      <c r="S104" s="34" t="s">
        <v>123</v>
      </c>
      <c r="T104" s="34" t="s">
        <v>123</v>
      </c>
      <c r="U104" s="34" t="s">
        <v>123</v>
      </c>
      <c r="V104" s="34" t="s">
        <v>123</v>
      </c>
      <c r="W104" s="34" t="s">
        <v>123</v>
      </c>
      <c r="X104" s="34" t="s">
        <v>123</v>
      </c>
      <c r="Y104" s="34" t="s">
        <v>123</v>
      </c>
      <c r="Z104" s="34">
        <v>0</v>
      </c>
      <c r="AA104" s="34" t="s">
        <v>123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966</v>
      </c>
      <c r="AG104" s="34" t="s">
        <v>123</v>
      </c>
      <c r="AH104" s="34" t="s">
        <v>123</v>
      </c>
      <c r="AI104" s="34" t="s">
        <v>123</v>
      </c>
      <c r="AJ104" s="34" t="s">
        <v>123</v>
      </c>
      <c r="AK104" s="34" t="s">
        <v>123</v>
      </c>
      <c r="AL104" s="34" t="s">
        <v>123</v>
      </c>
      <c r="AM104" s="34" t="s">
        <v>123</v>
      </c>
      <c r="AN104" s="34" t="s">
        <v>123</v>
      </c>
      <c r="AO104" s="34" t="s">
        <v>123</v>
      </c>
      <c r="AP104" s="34">
        <v>0</v>
      </c>
      <c r="AQ104" s="34" t="s">
        <v>123</v>
      </c>
      <c r="AR104" s="34">
        <v>6.7969870000000002E-2</v>
      </c>
      <c r="AS104" s="34"/>
      <c r="AT104" s="34" t="s">
        <v>123</v>
      </c>
      <c r="AU104" s="34">
        <v>106</v>
      </c>
      <c r="AV104" s="34" t="s">
        <v>1552</v>
      </c>
      <c r="AW104" s="34">
        <v>0</v>
      </c>
      <c r="AX104" s="34">
        <v>1374</v>
      </c>
      <c r="AY104" s="34" t="s">
        <v>1333</v>
      </c>
      <c r="AZ104" s="35">
        <v>45756</v>
      </c>
      <c r="BA104" s="35">
        <v>45756</v>
      </c>
      <c r="BB104" s="34" t="s">
        <v>123</v>
      </c>
      <c r="BC104" s="34" t="s">
        <v>123</v>
      </c>
      <c r="BD104" s="34" t="s">
        <v>123</v>
      </c>
      <c r="BE104" s="34" t="s">
        <v>139</v>
      </c>
      <c r="BF104" s="34">
        <v>226</v>
      </c>
      <c r="BG104" s="34">
        <v>0</v>
      </c>
      <c r="BH104" s="34">
        <v>4.0195000000000002E-2</v>
      </c>
      <c r="BI104" s="34" t="s">
        <v>150</v>
      </c>
      <c r="BJ104" s="34" t="s">
        <v>1336</v>
      </c>
      <c r="BK104" s="34">
        <v>2025</v>
      </c>
      <c r="BL104" s="34" t="s">
        <v>1456</v>
      </c>
      <c r="BM104" s="34"/>
      <c r="BN104" s="34">
        <v>0</v>
      </c>
      <c r="BO104" s="34" t="s">
        <v>1330</v>
      </c>
      <c r="BP104" s="34">
        <v>7.85E-2</v>
      </c>
      <c r="BQ104" s="34" t="s">
        <v>1326</v>
      </c>
      <c r="BR104" s="35">
        <v>45756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226</v>
      </c>
      <c r="BY104" s="34">
        <v>0</v>
      </c>
      <c r="BZ104" s="34">
        <v>1</v>
      </c>
      <c r="CA104" s="34" t="s">
        <v>123</v>
      </c>
      <c r="CB104" s="34" t="s">
        <v>123</v>
      </c>
      <c r="CC104" s="34" t="s">
        <v>123</v>
      </c>
    </row>
    <row r="105" spans="1:81" x14ac:dyDescent="0.3">
      <c r="A105" s="34" t="s">
        <v>1459</v>
      </c>
      <c r="B105" s="34" t="s">
        <v>418</v>
      </c>
      <c r="C105" s="34" t="s">
        <v>1344</v>
      </c>
      <c r="D105" s="34"/>
      <c r="E105" s="153">
        <v>45016</v>
      </c>
      <c r="F105" s="153">
        <v>46484</v>
      </c>
      <c r="G105" s="34"/>
      <c r="H105" s="34" t="s">
        <v>1325</v>
      </c>
      <c r="I105" s="34">
        <v>0</v>
      </c>
      <c r="J105" s="34">
        <v>750000000</v>
      </c>
      <c r="K105" s="34" t="s">
        <v>123</v>
      </c>
      <c r="L105" s="34" t="s">
        <v>123</v>
      </c>
      <c r="M105" s="34" t="s">
        <v>123</v>
      </c>
      <c r="N105" s="34" t="s">
        <v>123</v>
      </c>
      <c r="O105" s="34">
        <v>102.6</v>
      </c>
      <c r="P105" s="34">
        <v>2.5000000000000001E-3</v>
      </c>
      <c r="Q105" s="34" t="s">
        <v>123</v>
      </c>
      <c r="R105" s="34" t="s">
        <v>123</v>
      </c>
      <c r="S105" s="34" t="s">
        <v>123</v>
      </c>
      <c r="T105" s="34" t="s">
        <v>123</v>
      </c>
      <c r="U105" s="34" t="s">
        <v>123</v>
      </c>
      <c r="V105" s="34" t="s">
        <v>123</v>
      </c>
      <c r="W105" s="34" t="s">
        <v>123</v>
      </c>
      <c r="X105" s="34" t="s">
        <v>123</v>
      </c>
      <c r="Y105" s="34" t="s">
        <v>123</v>
      </c>
      <c r="Z105" s="34">
        <v>0</v>
      </c>
      <c r="AA105" s="34" t="s">
        <v>123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419</v>
      </c>
      <c r="AG105" s="34" t="s">
        <v>123</v>
      </c>
      <c r="AH105" s="34" t="s">
        <v>123</v>
      </c>
      <c r="AI105" s="34" t="s">
        <v>123</v>
      </c>
      <c r="AJ105" s="34" t="s">
        <v>123</v>
      </c>
      <c r="AK105" s="34" t="s">
        <v>123</v>
      </c>
      <c r="AL105" s="34" t="s">
        <v>123</v>
      </c>
      <c r="AM105" s="34" t="s">
        <v>123</v>
      </c>
      <c r="AN105" s="34" t="s">
        <v>123</v>
      </c>
      <c r="AO105" s="34" t="s">
        <v>123</v>
      </c>
      <c r="AP105" s="34">
        <v>0</v>
      </c>
      <c r="AQ105" s="34" t="s">
        <v>123</v>
      </c>
      <c r="AR105" s="34">
        <v>8.2214540000000003E-2</v>
      </c>
      <c r="AS105" s="34"/>
      <c r="AT105" s="34" t="s">
        <v>123</v>
      </c>
      <c r="AU105" s="34">
        <v>106</v>
      </c>
      <c r="AV105" s="34" t="s">
        <v>1460</v>
      </c>
      <c r="AW105" s="34">
        <v>0</v>
      </c>
      <c r="AX105" s="34">
        <v>1375</v>
      </c>
      <c r="AY105" s="34" t="s">
        <v>1333</v>
      </c>
      <c r="AZ105" s="35">
        <v>45756</v>
      </c>
      <c r="BA105" s="35">
        <v>45756</v>
      </c>
      <c r="BB105" s="34" t="s">
        <v>123</v>
      </c>
      <c r="BC105" s="34" t="s">
        <v>123</v>
      </c>
      <c r="BD105" s="34" t="s">
        <v>123</v>
      </c>
      <c r="BE105" s="34" t="s">
        <v>139</v>
      </c>
      <c r="BF105" s="34">
        <v>65</v>
      </c>
      <c r="BG105" s="34">
        <v>0</v>
      </c>
      <c r="BH105" s="34">
        <v>5.4591849999999997E-2</v>
      </c>
      <c r="BI105" s="34" t="s">
        <v>133</v>
      </c>
      <c r="BJ105" s="34" t="s">
        <v>1336</v>
      </c>
      <c r="BK105" s="34">
        <v>2025</v>
      </c>
      <c r="BL105" s="34" t="s">
        <v>1456</v>
      </c>
      <c r="BM105" s="34"/>
      <c r="BN105" s="34">
        <v>0</v>
      </c>
      <c r="BO105" s="34" t="s">
        <v>1330</v>
      </c>
      <c r="BP105" s="34">
        <v>9.2999999999999999E-2</v>
      </c>
      <c r="BQ105" s="34" t="s">
        <v>1326</v>
      </c>
      <c r="BR105" s="35">
        <v>45756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65</v>
      </c>
      <c r="BY105" s="34">
        <v>0</v>
      </c>
      <c r="BZ105" s="34">
        <v>1</v>
      </c>
      <c r="CA105" s="34" t="s">
        <v>123</v>
      </c>
      <c r="CB105" s="34" t="s">
        <v>123</v>
      </c>
      <c r="CC105" s="34" t="s">
        <v>123</v>
      </c>
    </row>
    <row r="106" spans="1:81" x14ac:dyDescent="0.3">
      <c r="A106" s="34" t="s">
        <v>1461</v>
      </c>
      <c r="B106" s="34" t="s">
        <v>895</v>
      </c>
      <c r="C106" s="34" t="s">
        <v>1345</v>
      </c>
      <c r="D106" s="34"/>
      <c r="E106" s="153">
        <v>45630</v>
      </c>
      <c r="F106" s="153">
        <v>46762</v>
      </c>
      <c r="G106" s="34"/>
      <c r="H106" s="34" t="s">
        <v>1325</v>
      </c>
      <c r="I106" s="34">
        <v>0</v>
      </c>
      <c r="J106" s="34">
        <v>100000000</v>
      </c>
      <c r="K106" s="34" t="s">
        <v>123</v>
      </c>
      <c r="L106" s="34" t="s">
        <v>123</v>
      </c>
      <c r="M106" s="34" t="s">
        <v>123</v>
      </c>
      <c r="N106" s="34" t="s">
        <v>123</v>
      </c>
      <c r="O106" s="34">
        <v>101.6</v>
      </c>
      <c r="P106" s="34">
        <v>2.5000000000000001E-3</v>
      </c>
      <c r="Q106" s="34" t="s">
        <v>123</v>
      </c>
      <c r="R106" s="34" t="s">
        <v>123</v>
      </c>
      <c r="S106" s="34" t="s">
        <v>123</v>
      </c>
      <c r="T106" s="34" t="s">
        <v>123</v>
      </c>
      <c r="U106" s="34" t="s">
        <v>123</v>
      </c>
      <c r="V106" s="34" t="s">
        <v>123</v>
      </c>
      <c r="W106" s="34" t="s">
        <v>123</v>
      </c>
      <c r="X106" s="34" t="s">
        <v>123</v>
      </c>
      <c r="Y106" s="34" t="s">
        <v>123</v>
      </c>
      <c r="Z106" s="34">
        <v>0</v>
      </c>
      <c r="AA106" s="34" t="s">
        <v>123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1346</v>
      </c>
      <c r="AG106" s="34" t="s">
        <v>123</v>
      </c>
      <c r="AH106" s="34" t="s">
        <v>123</v>
      </c>
      <c r="AI106" s="34" t="s">
        <v>123</v>
      </c>
      <c r="AJ106" s="34" t="s">
        <v>123</v>
      </c>
      <c r="AK106" s="34" t="s">
        <v>123</v>
      </c>
      <c r="AL106" s="34" t="s">
        <v>123</v>
      </c>
      <c r="AM106" s="34" t="s">
        <v>123</v>
      </c>
      <c r="AN106" s="34" t="s">
        <v>123</v>
      </c>
      <c r="AO106" s="34" t="s">
        <v>123</v>
      </c>
      <c r="AP106" s="34">
        <v>0</v>
      </c>
      <c r="AQ106" s="34" t="s">
        <v>123</v>
      </c>
      <c r="AR106" s="34">
        <v>6.9968119999999995E-2</v>
      </c>
      <c r="AS106" s="34"/>
      <c r="AT106" s="34" t="s">
        <v>123</v>
      </c>
      <c r="AU106" s="34">
        <v>106</v>
      </c>
      <c r="AV106" s="34" t="s">
        <v>1462</v>
      </c>
      <c r="AW106" s="34">
        <v>0</v>
      </c>
      <c r="AX106" s="34">
        <v>1376</v>
      </c>
      <c r="AY106" s="34" t="s">
        <v>1333</v>
      </c>
      <c r="AZ106" s="35">
        <v>45756</v>
      </c>
      <c r="BA106" s="35">
        <v>45756</v>
      </c>
      <c r="BB106" s="34" t="s">
        <v>123</v>
      </c>
      <c r="BC106" s="34" t="s">
        <v>123</v>
      </c>
      <c r="BD106" s="34" t="s">
        <v>123</v>
      </c>
      <c r="BE106" s="34" t="s">
        <v>1347</v>
      </c>
      <c r="BF106" s="34">
        <v>208</v>
      </c>
      <c r="BG106" s="34">
        <v>0</v>
      </c>
      <c r="BH106" s="34">
        <v>3.4997439999999998E-2</v>
      </c>
      <c r="BI106" s="34" t="s">
        <v>150</v>
      </c>
      <c r="BJ106" s="34" t="s">
        <v>1336</v>
      </c>
      <c r="BK106" s="34"/>
      <c r="BL106" s="34" t="s">
        <v>1456</v>
      </c>
      <c r="BM106" s="34"/>
      <c r="BN106" s="34">
        <v>0</v>
      </c>
      <c r="BO106" s="34" t="s">
        <v>1330</v>
      </c>
      <c r="BP106" s="34">
        <v>7.3099999999999998E-2</v>
      </c>
      <c r="BQ106" s="34" t="s">
        <v>1326</v>
      </c>
      <c r="BR106" s="35">
        <v>45756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208</v>
      </c>
      <c r="BY106" s="34">
        <v>0</v>
      </c>
      <c r="BZ106" s="34">
        <v>1</v>
      </c>
      <c r="CA106" s="34" t="s">
        <v>123</v>
      </c>
      <c r="CB106" s="34" t="s">
        <v>123</v>
      </c>
      <c r="CC106" s="34" t="s">
        <v>123</v>
      </c>
    </row>
    <row r="107" spans="1:81" s="2" customFormat="1" x14ac:dyDescent="0.3">
      <c r="A107" s="134" t="s">
        <v>1463</v>
      </c>
      <c r="B107" s="134" t="s">
        <v>373</v>
      </c>
      <c r="C107" s="134" t="s">
        <v>1348</v>
      </c>
      <c r="D107" s="134"/>
      <c r="E107" s="193">
        <v>45715</v>
      </c>
      <c r="F107" s="193">
        <v>46575</v>
      </c>
      <c r="G107" s="134"/>
      <c r="H107" s="134" t="s">
        <v>1325</v>
      </c>
      <c r="I107" s="134">
        <v>200000000</v>
      </c>
      <c r="J107" s="134">
        <v>200000000</v>
      </c>
      <c r="K107" s="134" t="s">
        <v>123</v>
      </c>
      <c r="L107" s="134" t="s">
        <v>123</v>
      </c>
      <c r="M107" s="134" t="s">
        <v>123</v>
      </c>
      <c r="N107" s="134" t="s">
        <v>123</v>
      </c>
      <c r="O107" s="134">
        <v>100.1</v>
      </c>
      <c r="P107" s="134">
        <v>1.6666700000000001E-3</v>
      </c>
      <c r="Q107" s="134" t="s">
        <v>123</v>
      </c>
      <c r="R107" s="134" t="s">
        <v>123</v>
      </c>
      <c r="S107" s="134" t="s">
        <v>123</v>
      </c>
      <c r="T107" s="134" t="s">
        <v>123</v>
      </c>
      <c r="U107" s="134" t="s">
        <v>123</v>
      </c>
      <c r="V107" s="134" t="s">
        <v>123</v>
      </c>
      <c r="W107" s="134" t="s">
        <v>123</v>
      </c>
      <c r="X107" s="134" t="s">
        <v>123</v>
      </c>
      <c r="Y107" s="134" t="s">
        <v>123</v>
      </c>
      <c r="Z107" s="134">
        <v>0</v>
      </c>
      <c r="AA107" s="134" t="s">
        <v>123</v>
      </c>
      <c r="AB107" s="134">
        <v>0</v>
      </c>
      <c r="AC107" s="134">
        <v>1</v>
      </c>
      <c r="AD107" s="134" t="s">
        <v>123</v>
      </c>
      <c r="AE107" s="134" t="s">
        <v>123</v>
      </c>
      <c r="AF107" s="134" t="s">
        <v>375</v>
      </c>
      <c r="AG107" s="134" t="s">
        <v>123</v>
      </c>
      <c r="AH107" s="134" t="s">
        <v>123</v>
      </c>
      <c r="AI107" s="134" t="s">
        <v>123</v>
      </c>
      <c r="AJ107" s="134" t="s">
        <v>123</v>
      </c>
      <c r="AK107" s="134" t="s">
        <v>123</v>
      </c>
      <c r="AL107" s="134" t="s">
        <v>123</v>
      </c>
      <c r="AM107" s="134" t="s">
        <v>123</v>
      </c>
      <c r="AN107" s="134" t="s">
        <v>123</v>
      </c>
      <c r="AO107" s="134" t="s">
        <v>123</v>
      </c>
      <c r="AP107" s="134">
        <v>0</v>
      </c>
      <c r="AQ107" s="134" t="s">
        <v>123</v>
      </c>
      <c r="AR107" s="134">
        <v>0.13305328999999999</v>
      </c>
      <c r="AS107" s="134"/>
      <c r="AT107" s="134" t="s">
        <v>123</v>
      </c>
      <c r="AU107" s="134">
        <v>106</v>
      </c>
      <c r="AV107" s="134" t="s">
        <v>1464</v>
      </c>
      <c r="AW107" s="134">
        <v>0</v>
      </c>
      <c r="AX107" s="134">
        <v>1377</v>
      </c>
      <c r="AY107" s="134" t="s">
        <v>1350</v>
      </c>
      <c r="AZ107" s="194">
        <v>45758</v>
      </c>
      <c r="BA107" s="194">
        <v>45758</v>
      </c>
      <c r="BB107" s="134" t="s">
        <v>123</v>
      </c>
      <c r="BC107" s="134" t="s">
        <v>123</v>
      </c>
      <c r="BD107" s="134" t="s">
        <v>123</v>
      </c>
      <c r="BE107" s="134" t="s">
        <v>139</v>
      </c>
      <c r="BF107" s="134">
        <v>58</v>
      </c>
      <c r="BG107" s="134">
        <v>0</v>
      </c>
      <c r="BH107" s="134">
        <v>9.4942250000000006E-2</v>
      </c>
      <c r="BI107" s="134" t="s">
        <v>159</v>
      </c>
      <c r="BJ107" s="134" t="s">
        <v>1349</v>
      </c>
      <c r="BK107" s="134"/>
      <c r="BL107" s="134" t="s">
        <v>1456</v>
      </c>
      <c r="BM107" s="134"/>
      <c r="BN107" s="134">
        <v>0</v>
      </c>
      <c r="BO107" s="134" t="s">
        <v>1330</v>
      </c>
      <c r="BP107" s="134">
        <v>0.13366479000000001</v>
      </c>
      <c r="BQ107" s="134" t="s">
        <v>1326</v>
      </c>
      <c r="BR107" s="193">
        <v>45758</v>
      </c>
      <c r="BS107" s="134">
        <v>0</v>
      </c>
      <c r="BT107" s="134" t="s">
        <v>123</v>
      </c>
      <c r="BU107" s="134">
        <v>0</v>
      </c>
      <c r="BV107" s="134">
        <v>250000</v>
      </c>
      <c r="BW107" s="134">
        <v>0</v>
      </c>
      <c r="BX107" s="134">
        <v>58</v>
      </c>
      <c r="BY107" s="134">
        <v>0</v>
      </c>
      <c r="BZ107" s="134">
        <v>1</v>
      </c>
      <c r="CA107" s="134" t="s">
        <v>123</v>
      </c>
      <c r="CB107" s="134" t="s">
        <v>123</v>
      </c>
      <c r="CC107" s="134" t="s">
        <v>123</v>
      </c>
    </row>
    <row r="108" spans="1:81" s="2" customFormat="1" x14ac:dyDescent="0.3">
      <c r="A108" s="134" t="s">
        <v>1553</v>
      </c>
      <c r="B108" s="134" t="s">
        <v>695</v>
      </c>
      <c r="C108" s="134" t="s">
        <v>1351</v>
      </c>
      <c r="D108" s="134"/>
      <c r="E108" s="193">
        <v>45391</v>
      </c>
      <c r="F108" s="193">
        <v>46545</v>
      </c>
      <c r="G108" s="134"/>
      <c r="H108" s="134" t="s">
        <v>1325</v>
      </c>
      <c r="I108" s="134">
        <v>0</v>
      </c>
      <c r="J108" s="134">
        <v>300000000</v>
      </c>
      <c r="K108" s="134" t="s">
        <v>123</v>
      </c>
      <c r="L108" s="134" t="s">
        <v>123</v>
      </c>
      <c r="M108" s="134" t="s">
        <v>123</v>
      </c>
      <c r="N108" s="134" t="s">
        <v>123</v>
      </c>
      <c r="O108" s="134">
        <v>102.6</v>
      </c>
      <c r="P108" s="134">
        <v>1.1904800000000001E-3</v>
      </c>
      <c r="Q108" s="134" t="s">
        <v>123</v>
      </c>
      <c r="R108" s="134" t="s">
        <v>123</v>
      </c>
      <c r="S108" s="134" t="s">
        <v>123</v>
      </c>
      <c r="T108" s="134" t="s">
        <v>123</v>
      </c>
      <c r="U108" s="134" t="s">
        <v>123</v>
      </c>
      <c r="V108" s="134" t="s">
        <v>123</v>
      </c>
      <c r="W108" s="134" t="s">
        <v>123</v>
      </c>
      <c r="X108" s="134" t="s">
        <v>123</v>
      </c>
      <c r="Y108" s="134" t="s">
        <v>123</v>
      </c>
      <c r="Z108" s="134">
        <v>0</v>
      </c>
      <c r="AA108" s="134" t="s">
        <v>123</v>
      </c>
      <c r="AB108" s="134">
        <v>0</v>
      </c>
      <c r="AC108" s="134">
        <v>1</v>
      </c>
      <c r="AD108" s="134" t="s">
        <v>123</v>
      </c>
      <c r="AE108" s="134" t="s">
        <v>123</v>
      </c>
      <c r="AF108" s="134" t="s">
        <v>697</v>
      </c>
      <c r="AG108" s="134" t="s">
        <v>123</v>
      </c>
      <c r="AH108" s="134" t="s">
        <v>123</v>
      </c>
      <c r="AI108" s="134" t="s">
        <v>123</v>
      </c>
      <c r="AJ108" s="134" t="s">
        <v>123</v>
      </c>
      <c r="AK108" s="134" t="s">
        <v>123</v>
      </c>
      <c r="AL108" s="134" t="s">
        <v>123</v>
      </c>
      <c r="AM108" s="134" t="s">
        <v>123</v>
      </c>
      <c r="AN108" s="134" t="s">
        <v>123</v>
      </c>
      <c r="AO108" s="134" t="s">
        <v>123</v>
      </c>
      <c r="AP108" s="134">
        <v>0</v>
      </c>
      <c r="AQ108" s="134" t="s">
        <v>123</v>
      </c>
      <c r="AR108" s="134">
        <v>0.11921872999999999</v>
      </c>
      <c r="AS108" s="134"/>
      <c r="AT108" s="134" t="s">
        <v>123</v>
      </c>
      <c r="AU108" s="134">
        <v>106</v>
      </c>
      <c r="AV108" s="134" t="s">
        <v>1554</v>
      </c>
      <c r="AW108" s="134">
        <v>0</v>
      </c>
      <c r="AX108" s="134">
        <v>1378</v>
      </c>
      <c r="AY108" s="134" t="s">
        <v>1333</v>
      </c>
      <c r="AZ108" s="194">
        <v>45761</v>
      </c>
      <c r="BA108" s="194">
        <v>45761</v>
      </c>
      <c r="BB108" s="134" t="s">
        <v>123</v>
      </c>
      <c r="BC108" s="134" t="s">
        <v>123</v>
      </c>
      <c r="BD108" s="134" t="s">
        <v>123</v>
      </c>
      <c r="BE108" s="134" t="s">
        <v>139</v>
      </c>
      <c r="BF108" s="134">
        <v>146</v>
      </c>
      <c r="BG108" s="134">
        <v>0</v>
      </c>
      <c r="BH108" s="134">
        <v>9.1247229999999999E-2</v>
      </c>
      <c r="BI108" s="134" t="s">
        <v>150</v>
      </c>
      <c r="BJ108" s="134" t="s">
        <v>1336</v>
      </c>
      <c r="BK108" s="134">
        <v>2025</v>
      </c>
      <c r="BL108" s="134" t="s">
        <v>1456</v>
      </c>
      <c r="BM108" s="134"/>
      <c r="BN108" s="134">
        <v>0</v>
      </c>
      <c r="BO108" s="134" t="s">
        <v>1330</v>
      </c>
      <c r="BP108" s="134">
        <v>0.12966</v>
      </c>
      <c r="BQ108" s="134" t="s">
        <v>1326</v>
      </c>
      <c r="BR108" s="193">
        <v>45761</v>
      </c>
      <c r="BS108" s="134">
        <v>0</v>
      </c>
      <c r="BT108" s="134" t="s">
        <v>123</v>
      </c>
      <c r="BU108" s="134">
        <v>0</v>
      </c>
      <c r="BV108" s="134">
        <v>250000</v>
      </c>
      <c r="BW108" s="134">
        <v>0</v>
      </c>
      <c r="BX108" s="134">
        <v>146</v>
      </c>
      <c r="BY108" s="134">
        <v>0</v>
      </c>
      <c r="BZ108" s="134">
        <v>1</v>
      </c>
      <c r="CA108" s="134" t="s">
        <v>123</v>
      </c>
      <c r="CB108" s="134" t="s">
        <v>123</v>
      </c>
      <c r="CC108" s="134" t="s">
        <v>123</v>
      </c>
    </row>
    <row r="109" spans="1:81" s="2" customFormat="1" x14ac:dyDescent="0.3">
      <c r="A109" s="134" t="s">
        <v>1465</v>
      </c>
      <c r="B109" s="134" t="s">
        <v>538</v>
      </c>
      <c r="C109" s="134" t="s">
        <v>1352</v>
      </c>
      <c r="D109" s="134"/>
      <c r="E109" s="193">
        <v>45379</v>
      </c>
      <c r="F109" s="193">
        <v>46484</v>
      </c>
      <c r="G109" s="134"/>
      <c r="H109" s="134" t="s">
        <v>1325</v>
      </c>
      <c r="I109" s="134">
        <v>0</v>
      </c>
      <c r="J109" s="134">
        <v>250000000</v>
      </c>
      <c r="K109" s="134" t="s">
        <v>123</v>
      </c>
      <c r="L109" s="134" t="s">
        <v>123</v>
      </c>
      <c r="M109" s="134" t="s">
        <v>123</v>
      </c>
      <c r="N109" s="134" t="s">
        <v>123</v>
      </c>
      <c r="O109" s="134">
        <v>103.85</v>
      </c>
      <c r="P109" s="134">
        <v>2.5000000000000001E-3</v>
      </c>
      <c r="Q109" s="134" t="s">
        <v>123</v>
      </c>
      <c r="R109" s="134" t="s">
        <v>123</v>
      </c>
      <c r="S109" s="134" t="s">
        <v>123</v>
      </c>
      <c r="T109" s="134" t="s">
        <v>123</v>
      </c>
      <c r="U109" s="134" t="s">
        <v>123</v>
      </c>
      <c r="V109" s="134" t="s">
        <v>123</v>
      </c>
      <c r="W109" s="134" t="s">
        <v>123</v>
      </c>
      <c r="X109" s="134" t="s">
        <v>123</v>
      </c>
      <c r="Y109" s="134" t="s">
        <v>123</v>
      </c>
      <c r="Z109" s="134">
        <v>0</v>
      </c>
      <c r="AA109" s="134" t="s">
        <v>123</v>
      </c>
      <c r="AB109" s="134">
        <v>0</v>
      </c>
      <c r="AC109" s="134">
        <v>1</v>
      </c>
      <c r="AD109" s="134" t="s">
        <v>123</v>
      </c>
      <c r="AE109" s="134" t="s">
        <v>123</v>
      </c>
      <c r="AF109" s="134" t="s">
        <v>541</v>
      </c>
      <c r="AG109" s="134" t="s">
        <v>123</v>
      </c>
      <c r="AH109" s="134" t="s">
        <v>123</v>
      </c>
      <c r="AI109" s="134" t="s">
        <v>123</v>
      </c>
      <c r="AJ109" s="134" t="s">
        <v>123</v>
      </c>
      <c r="AK109" s="134" t="s">
        <v>123</v>
      </c>
      <c r="AL109" s="134" t="s">
        <v>123</v>
      </c>
      <c r="AM109" s="134" t="s">
        <v>123</v>
      </c>
      <c r="AN109" s="134" t="s">
        <v>123</v>
      </c>
      <c r="AO109" s="134" t="s">
        <v>123</v>
      </c>
      <c r="AP109" s="134">
        <v>0</v>
      </c>
      <c r="AQ109" s="134" t="s">
        <v>123</v>
      </c>
      <c r="AR109" s="134">
        <v>7.5250440000000002E-2</v>
      </c>
      <c r="AS109" s="134"/>
      <c r="AT109" s="134" t="s">
        <v>123</v>
      </c>
      <c r="AU109" s="134">
        <v>106</v>
      </c>
      <c r="AV109" s="134" t="s">
        <v>1466</v>
      </c>
      <c r="AW109" s="134">
        <v>0</v>
      </c>
      <c r="AX109" s="134">
        <v>1379</v>
      </c>
      <c r="AY109" s="134" t="s">
        <v>1333</v>
      </c>
      <c r="AZ109" s="194">
        <v>45763</v>
      </c>
      <c r="BA109" s="194">
        <v>45763</v>
      </c>
      <c r="BB109" s="134" t="s">
        <v>123</v>
      </c>
      <c r="BC109" s="134" t="s">
        <v>123</v>
      </c>
      <c r="BD109" s="134" t="s">
        <v>123</v>
      </c>
      <c r="BE109" s="134" t="s">
        <v>139</v>
      </c>
      <c r="BF109" s="134">
        <v>104</v>
      </c>
      <c r="BG109" s="134">
        <v>0</v>
      </c>
      <c r="BH109" s="134">
        <v>5.4388600000000002E-2</v>
      </c>
      <c r="BI109" s="134" t="s">
        <v>150</v>
      </c>
      <c r="BJ109" s="134" t="s">
        <v>1336</v>
      </c>
      <c r="BK109" s="134">
        <v>2025</v>
      </c>
      <c r="BL109" s="134" t="s">
        <v>1456</v>
      </c>
      <c r="BM109" s="134"/>
      <c r="BN109" s="134">
        <v>0</v>
      </c>
      <c r="BO109" s="134" t="s">
        <v>1330</v>
      </c>
      <c r="BP109" s="134">
        <v>9.3007140000000002E-2</v>
      </c>
      <c r="BQ109" s="134" t="s">
        <v>1326</v>
      </c>
      <c r="BR109" s="193">
        <v>45763</v>
      </c>
      <c r="BS109" s="134">
        <v>0</v>
      </c>
      <c r="BT109" s="134" t="s">
        <v>123</v>
      </c>
      <c r="BU109" s="134">
        <v>0</v>
      </c>
      <c r="BV109" s="134">
        <v>250000</v>
      </c>
      <c r="BW109" s="134">
        <v>0</v>
      </c>
      <c r="BX109" s="134">
        <v>104</v>
      </c>
      <c r="BY109" s="134">
        <v>0</v>
      </c>
      <c r="BZ109" s="134">
        <v>1</v>
      </c>
      <c r="CA109" s="134" t="s">
        <v>123</v>
      </c>
      <c r="CB109" s="134" t="s">
        <v>123</v>
      </c>
      <c r="CC109" s="134" t="s">
        <v>123</v>
      </c>
    </row>
    <row r="110" spans="1:81" s="2" customFormat="1" x14ac:dyDescent="0.3">
      <c r="A110" s="134" t="s">
        <v>1467</v>
      </c>
      <c r="B110" s="134" t="s">
        <v>1000</v>
      </c>
      <c r="C110" s="134" t="s">
        <v>1353</v>
      </c>
      <c r="D110" s="134"/>
      <c r="E110" s="193">
        <v>45104</v>
      </c>
      <c r="F110" s="193">
        <v>46332</v>
      </c>
      <c r="G110" s="134"/>
      <c r="H110" s="134" t="s">
        <v>1325</v>
      </c>
      <c r="I110" s="134">
        <v>0</v>
      </c>
      <c r="J110" s="134">
        <v>150000000</v>
      </c>
      <c r="K110" s="134" t="s">
        <v>123</v>
      </c>
      <c r="L110" s="134" t="s">
        <v>123</v>
      </c>
      <c r="M110" s="134" t="s">
        <v>123</v>
      </c>
      <c r="N110" s="134" t="s">
        <v>123</v>
      </c>
      <c r="O110" s="134">
        <v>102.4</v>
      </c>
      <c r="P110" s="134">
        <v>1.6666700000000001E-3</v>
      </c>
      <c r="Q110" s="134" t="s">
        <v>123</v>
      </c>
      <c r="R110" s="134" t="s">
        <v>123</v>
      </c>
      <c r="S110" s="134" t="s">
        <v>123</v>
      </c>
      <c r="T110" s="134" t="s">
        <v>123</v>
      </c>
      <c r="U110" s="134" t="s">
        <v>123</v>
      </c>
      <c r="V110" s="134" t="s">
        <v>123</v>
      </c>
      <c r="W110" s="134" t="s">
        <v>123</v>
      </c>
      <c r="X110" s="134" t="s">
        <v>123</v>
      </c>
      <c r="Y110" s="134" t="s">
        <v>123</v>
      </c>
      <c r="Z110" s="134">
        <v>0</v>
      </c>
      <c r="AA110" s="134" t="s">
        <v>123</v>
      </c>
      <c r="AB110" s="134">
        <v>0</v>
      </c>
      <c r="AC110" s="134">
        <v>1</v>
      </c>
      <c r="AD110" s="134" t="s">
        <v>123</v>
      </c>
      <c r="AE110" s="134" t="s">
        <v>123</v>
      </c>
      <c r="AF110" s="134" t="s">
        <v>1003</v>
      </c>
      <c r="AG110" s="134" t="s">
        <v>123</v>
      </c>
      <c r="AH110" s="134" t="s">
        <v>123</v>
      </c>
      <c r="AI110" s="134" t="s">
        <v>123</v>
      </c>
      <c r="AJ110" s="134" t="s">
        <v>123</v>
      </c>
      <c r="AK110" s="134" t="s">
        <v>123</v>
      </c>
      <c r="AL110" s="134" t="s">
        <v>123</v>
      </c>
      <c r="AM110" s="134" t="s">
        <v>123</v>
      </c>
      <c r="AN110" s="134" t="s">
        <v>123</v>
      </c>
      <c r="AO110" s="134" t="s">
        <v>123</v>
      </c>
      <c r="AP110" s="134">
        <v>0</v>
      </c>
      <c r="AQ110" s="134" t="s">
        <v>123</v>
      </c>
      <c r="AR110" s="134">
        <v>6.8990380000000004E-2</v>
      </c>
      <c r="AS110" s="134"/>
      <c r="AT110" s="134" t="s">
        <v>123</v>
      </c>
      <c r="AU110" s="134">
        <v>106</v>
      </c>
      <c r="AV110" s="134" t="s">
        <v>1468</v>
      </c>
      <c r="AW110" s="134">
        <v>0</v>
      </c>
      <c r="AX110" s="134">
        <v>1380</v>
      </c>
      <c r="AY110" s="134" t="s">
        <v>1333</v>
      </c>
      <c r="AZ110" s="194">
        <v>45763</v>
      </c>
      <c r="BA110" s="194">
        <v>45763</v>
      </c>
      <c r="BB110" s="134" t="s">
        <v>123</v>
      </c>
      <c r="BC110" s="134" t="s">
        <v>123</v>
      </c>
      <c r="BD110" s="134" t="s">
        <v>123</v>
      </c>
      <c r="BE110" s="134" t="s">
        <v>1347</v>
      </c>
      <c r="BF110" s="134">
        <v>236</v>
      </c>
      <c r="BG110" s="134">
        <v>0</v>
      </c>
      <c r="BH110" s="134">
        <v>4.3428769999999998E-2</v>
      </c>
      <c r="BI110" s="134" t="s">
        <v>133</v>
      </c>
      <c r="BJ110" s="134" t="s">
        <v>1336</v>
      </c>
      <c r="BK110" s="134"/>
      <c r="BL110" s="134" t="s">
        <v>1456</v>
      </c>
      <c r="BM110" s="134"/>
      <c r="BN110" s="134">
        <v>0</v>
      </c>
      <c r="BO110" s="134" t="s">
        <v>1330</v>
      </c>
      <c r="BP110" s="134">
        <v>8.1708199999999995E-2</v>
      </c>
      <c r="BQ110" s="134" t="s">
        <v>1326</v>
      </c>
      <c r="BR110" s="193">
        <v>45763</v>
      </c>
      <c r="BS110" s="134">
        <v>0</v>
      </c>
      <c r="BT110" s="134" t="s">
        <v>123</v>
      </c>
      <c r="BU110" s="134">
        <v>0</v>
      </c>
      <c r="BV110" s="134">
        <v>250000</v>
      </c>
      <c r="BW110" s="134">
        <v>0</v>
      </c>
      <c r="BX110" s="134">
        <v>236</v>
      </c>
      <c r="BY110" s="134">
        <v>0</v>
      </c>
      <c r="BZ110" s="134">
        <v>1</v>
      </c>
      <c r="CA110" s="134" t="s">
        <v>123</v>
      </c>
      <c r="CB110" s="134" t="s">
        <v>123</v>
      </c>
      <c r="CC110" s="134" t="s">
        <v>123</v>
      </c>
    </row>
    <row r="111" spans="1:81" s="2" customFormat="1" x14ac:dyDescent="0.3">
      <c r="A111" s="134" t="s">
        <v>1469</v>
      </c>
      <c r="B111" s="134" t="s">
        <v>1061</v>
      </c>
      <c r="C111" s="134" t="s">
        <v>1354</v>
      </c>
      <c r="D111" s="134"/>
      <c r="E111" s="193">
        <v>45287</v>
      </c>
      <c r="F111" s="193">
        <v>46395</v>
      </c>
      <c r="G111" s="134"/>
      <c r="H111" s="134" t="s">
        <v>1325</v>
      </c>
      <c r="I111" s="134">
        <v>0</v>
      </c>
      <c r="J111" s="134">
        <v>301000000</v>
      </c>
      <c r="K111" s="134" t="s">
        <v>123</v>
      </c>
      <c r="L111" s="134" t="s">
        <v>123</v>
      </c>
      <c r="M111" s="134" t="s">
        <v>123</v>
      </c>
      <c r="N111" s="134" t="s">
        <v>123</v>
      </c>
      <c r="O111" s="134">
        <v>103.1</v>
      </c>
      <c r="P111" s="134">
        <v>1.25E-3</v>
      </c>
      <c r="Q111" s="134" t="s">
        <v>123</v>
      </c>
      <c r="R111" s="134" t="s">
        <v>123</v>
      </c>
      <c r="S111" s="134" t="s">
        <v>123</v>
      </c>
      <c r="T111" s="134" t="s">
        <v>123</v>
      </c>
      <c r="U111" s="134" t="s">
        <v>123</v>
      </c>
      <c r="V111" s="134" t="s">
        <v>123</v>
      </c>
      <c r="W111" s="134" t="s">
        <v>123</v>
      </c>
      <c r="X111" s="134" t="s">
        <v>123</v>
      </c>
      <c r="Y111" s="134" t="s">
        <v>123</v>
      </c>
      <c r="Z111" s="134">
        <v>0</v>
      </c>
      <c r="AA111" s="134" t="s">
        <v>123</v>
      </c>
      <c r="AB111" s="134">
        <v>0</v>
      </c>
      <c r="AC111" s="134">
        <v>1</v>
      </c>
      <c r="AD111" s="134" t="s">
        <v>123</v>
      </c>
      <c r="AE111" s="134" t="s">
        <v>123</v>
      </c>
      <c r="AF111" s="134" t="s">
        <v>1355</v>
      </c>
      <c r="AG111" s="134" t="s">
        <v>123</v>
      </c>
      <c r="AH111" s="134" t="s">
        <v>123</v>
      </c>
      <c r="AI111" s="134" t="s">
        <v>123</v>
      </c>
      <c r="AJ111" s="134" t="s">
        <v>123</v>
      </c>
      <c r="AK111" s="134" t="s">
        <v>123</v>
      </c>
      <c r="AL111" s="134" t="s">
        <v>123</v>
      </c>
      <c r="AM111" s="134" t="s">
        <v>123</v>
      </c>
      <c r="AN111" s="134" t="s">
        <v>123</v>
      </c>
      <c r="AO111" s="134" t="s">
        <v>123</v>
      </c>
      <c r="AP111" s="134">
        <v>0</v>
      </c>
      <c r="AQ111" s="134" t="s">
        <v>123</v>
      </c>
      <c r="AR111" s="134">
        <v>8.4681469999999995E-2</v>
      </c>
      <c r="AS111" s="134"/>
      <c r="AT111" s="134" t="s">
        <v>123</v>
      </c>
      <c r="AU111" s="134">
        <v>106</v>
      </c>
      <c r="AV111" s="134" t="s">
        <v>1470</v>
      </c>
      <c r="AW111" s="134">
        <v>0</v>
      </c>
      <c r="AX111" s="134">
        <v>1381</v>
      </c>
      <c r="AY111" s="134" t="s">
        <v>1333</v>
      </c>
      <c r="AZ111" s="194">
        <v>45770</v>
      </c>
      <c r="BA111" s="194">
        <v>45770</v>
      </c>
      <c r="BB111" s="134" t="s">
        <v>123</v>
      </c>
      <c r="BC111" s="134" t="s">
        <v>123</v>
      </c>
      <c r="BD111" s="134" t="s">
        <v>123</v>
      </c>
      <c r="BE111" s="134" t="s">
        <v>139</v>
      </c>
      <c r="BF111" s="134">
        <v>254</v>
      </c>
      <c r="BG111" s="134">
        <v>0</v>
      </c>
      <c r="BH111" s="134">
        <v>6.2344139999999999E-2</v>
      </c>
      <c r="BI111" s="134" t="s">
        <v>133</v>
      </c>
      <c r="BJ111" s="134" t="s">
        <v>1336</v>
      </c>
      <c r="BK111" s="134">
        <v>2025</v>
      </c>
      <c r="BL111" s="134" t="s">
        <v>1456</v>
      </c>
      <c r="BM111" s="134"/>
      <c r="BN111" s="134">
        <v>0</v>
      </c>
      <c r="BO111" s="134" t="s">
        <v>1330</v>
      </c>
      <c r="BP111" s="134">
        <v>0.1009</v>
      </c>
      <c r="BQ111" s="134" t="s">
        <v>1326</v>
      </c>
      <c r="BR111" s="193">
        <v>45770</v>
      </c>
      <c r="BS111" s="134">
        <v>0</v>
      </c>
      <c r="BT111" s="134" t="s">
        <v>123</v>
      </c>
      <c r="BU111" s="134">
        <v>0</v>
      </c>
      <c r="BV111" s="134">
        <v>250000</v>
      </c>
      <c r="BW111" s="134">
        <v>0</v>
      </c>
      <c r="BX111" s="134">
        <v>254</v>
      </c>
      <c r="BY111" s="134">
        <v>0</v>
      </c>
      <c r="BZ111" s="134">
        <v>1</v>
      </c>
      <c r="CA111" s="134" t="s">
        <v>123</v>
      </c>
      <c r="CB111" s="134" t="s">
        <v>123</v>
      </c>
      <c r="CC111" s="134" t="s">
        <v>123</v>
      </c>
    </row>
    <row r="114" spans="1:12" x14ac:dyDescent="0.3">
      <c r="A114" t="s">
        <v>1664</v>
      </c>
      <c r="B114" t="s">
        <v>1665</v>
      </c>
      <c r="C114">
        <v>3830340</v>
      </c>
    </row>
    <row r="115" spans="1:12" x14ac:dyDescent="0.3">
      <c r="B115" t="s">
        <v>1666</v>
      </c>
      <c r="C115">
        <v>4000000</v>
      </c>
    </row>
    <row r="116" spans="1:12" ht="15" thickBot="1" x14ac:dyDescent="0.35"/>
    <row r="117" spans="1:12" ht="16.8" x14ac:dyDescent="0.3">
      <c r="A117" s="189" t="s">
        <v>1667</v>
      </c>
      <c r="B117" s="191" t="s">
        <v>1668</v>
      </c>
      <c r="C117" s="46">
        <v>0.1</v>
      </c>
      <c r="D117" s="46">
        <v>0.5</v>
      </c>
      <c r="E117" s="46">
        <v>0.8</v>
      </c>
      <c r="F117" s="46">
        <v>0.9</v>
      </c>
      <c r="G117" s="46">
        <v>0.96</v>
      </c>
      <c r="H117" s="47">
        <v>0.98</v>
      </c>
      <c r="I117" s="46">
        <v>0.99</v>
      </c>
      <c r="J117" s="48">
        <v>0.996</v>
      </c>
      <c r="K117" s="49">
        <v>0.998</v>
      </c>
      <c r="L117" s="49">
        <v>0.999</v>
      </c>
    </row>
    <row r="118" spans="1:12" ht="17.399999999999999" thickBot="1" x14ac:dyDescent="0.35">
      <c r="A118" s="190"/>
      <c r="B118" s="192"/>
      <c r="C118" s="50" t="s">
        <v>1669</v>
      </c>
      <c r="D118" s="51" t="s">
        <v>1670</v>
      </c>
      <c r="E118" s="51" t="s">
        <v>1671</v>
      </c>
      <c r="F118" s="51" t="s">
        <v>1672</v>
      </c>
      <c r="G118" s="51" t="s">
        <v>1673</v>
      </c>
      <c r="H118" s="51" t="s">
        <v>1674</v>
      </c>
      <c r="I118" s="51" t="s">
        <v>1675</v>
      </c>
      <c r="J118" s="51" t="s">
        <v>1676</v>
      </c>
      <c r="K118" s="51" t="s">
        <v>1677</v>
      </c>
      <c r="L118" s="51" t="s">
        <v>1678</v>
      </c>
    </row>
    <row r="119" spans="1:12" ht="16.8" x14ac:dyDescent="0.45">
      <c r="A119" s="52" t="s">
        <v>1679</v>
      </c>
      <c r="B119" s="53">
        <v>340994</v>
      </c>
      <c r="C119" s="53">
        <v>340994</v>
      </c>
      <c r="D119" s="53">
        <v>340994</v>
      </c>
      <c r="E119" s="53">
        <v>340994</v>
      </c>
      <c r="F119" s="53">
        <v>340994</v>
      </c>
      <c r="G119" s="53">
        <v>340994</v>
      </c>
      <c r="H119" s="53">
        <v>340994</v>
      </c>
      <c r="I119" s="53">
        <v>340994</v>
      </c>
      <c r="J119" s="53">
        <v>340994</v>
      </c>
      <c r="K119" s="54">
        <v>340994</v>
      </c>
      <c r="L119" s="54">
        <v>340994</v>
      </c>
    </row>
    <row r="120" spans="1:12" ht="16.8" x14ac:dyDescent="0.45">
      <c r="A120" s="52" t="s">
        <v>1680</v>
      </c>
      <c r="B120" s="55">
        <v>0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6">
        <v>0</v>
      </c>
      <c r="L120" s="56">
        <v>0</v>
      </c>
    </row>
    <row r="121" spans="1:12" ht="16.8" x14ac:dyDescent="0.45">
      <c r="A121" s="57" t="s">
        <v>1681</v>
      </c>
      <c r="B121" s="55">
        <v>0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6">
        <v>0</v>
      </c>
      <c r="L121" s="56">
        <v>0</v>
      </c>
    </row>
    <row r="122" spans="1:12" ht="16.8" x14ac:dyDescent="0.45">
      <c r="A122" s="58" t="s">
        <v>1682</v>
      </c>
      <c r="B122" s="59">
        <v>340994</v>
      </c>
      <c r="C122" s="59">
        <v>340994</v>
      </c>
      <c r="D122" s="59">
        <v>340994</v>
      </c>
      <c r="E122" s="59">
        <v>340994</v>
      </c>
      <c r="F122" s="59">
        <v>340994</v>
      </c>
      <c r="G122" s="59">
        <v>340994</v>
      </c>
      <c r="H122" s="59">
        <v>340994</v>
      </c>
      <c r="I122" s="59">
        <v>340994</v>
      </c>
      <c r="J122" s="59">
        <v>340994</v>
      </c>
      <c r="K122" s="60">
        <v>340994</v>
      </c>
      <c r="L122" s="60">
        <v>340994</v>
      </c>
    </row>
    <row r="123" spans="1:12" ht="16.8" x14ac:dyDescent="0.45">
      <c r="A123" s="52" t="s">
        <v>1683</v>
      </c>
      <c r="B123" s="61">
        <v>46580.800000000003</v>
      </c>
      <c r="C123" s="61">
        <v>0</v>
      </c>
      <c r="D123" s="61">
        <v>0</v>
      </c>
      <c r="E123" s="61">
        <v>0</v>
      </c>
      <c r="F123" s="61">
        <v>249999.6</v>
      </c>
      <c r="G123" s="61">
        <v>341623.4575957912</v>
      </c>
      <c r="H123" s="61">
        <v>516016.47766935325</v>
      </c>
      <c r="I123" s="61">
        <v>749999.99603749998</v>
      </c>
      <c r="J123" s="61">
        <v>999998.4</v>
      </c>
      <c r="K123" s="62">
        <v>1179116.1433356979</v>
      </c>
      <c r="L123" s="62">
        <v>1250000.3922875</v>
      </c>
    </row>
    <row r="124" spans="1:12" ht="16.8" x14ac:dyDescent="0.45">
      <c r="A124" s="57" t="s">
        <v>1684</v>
      </c>
      <c r="B124" s="55">
        <v>0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6">
        <v>0</v>
      </c>
      <c r="L124" s="56">
        <v>0</v>
      </c>
    </row>
    <row r="125" spans="1:12" ht="16.8" x14ac:dyDescent="0.45">
      <c r="A125" s="57" t="s">
        <v>1685</v>
      </c>
      <c r="B125" s="55">
        <v>0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6">
        <v>0</v>
      </c>
      <c r="L125" s="56">
        <v>0</v>
      </c>
    </row>
    <row r="126" spans="1:12" ht="16.8" x14ac:dyDescent="0.45">
      <c r="A126" s="57" t="s">
        <v>1686</v>
      </c>
      <c r="B126" s="55">
        <v>0</v>
      </c>
      <c r="C126" s="55">
        <v>0</v>
      </c>
      <c r="D126" s="55">
        <v>0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6">
        <v>0</v>
      </c>
      <c r="L126" s="56">
        <v>0</v>
      </c>
    </row>
    <row r="127" spans="1:12" ht="16.8" x14ac:dyDescent="0.45">
      <c r="A127" s="58" t="s">
        <v>1687</v>
      </c>
      <c r="B127" s="59">
        <v>294413.2</v>
      </c>
      <c r="C127" s="59">
        <v>340994</v>
      </c>
      <c r="D127" s="59">
        <v>340994</v>
      </c>
      <c r="E127" s="59">
        <v>340994</v>
      </c>
      <c r="F127" s="59">
        <v>90994.4</v>
      </c>
      <c r="G127" s="59">
        <v>-629.45759579120204</v>
      </c>
      <c r="H127" s="59">
        <v>-175022.47766935325</v>
      </c>
      <c r="I127" s="59">
        <v>-409005.99603749998</v>
      </c>
      <c r="J127" s="59">
        <v>-659004.4</v>
      </c>
      <c r="K127" s="60">
        <v>-838122.14333569794</v>
      </c>
      <c r="L127" s="60">
        <v>-909006.39228749997</v>
      </c>
    </row>
    <row r="128" spans="1:12" ht="16.8" x14ac:dyDescent="0.45">
      <c r="A128" s="52" t="s">
        <v>1688</v>
      </c>
      <c r="B128" s="63">
        <v>7.3603299999999997E-2</v>
      </c>
      <c r="C128" s="63">
        <v>8.5248500000000005E-2</v>
      </c>
      <c r="D128" s="63">
        <v>8.5248500000000005E-2</v>
      </c>
      <c r="E128" s="63">
        <v>8.5248500000000005E-2</v>
      </c>
      <c r="F128" s="63">
        <v>2.2748599999999997E-2</v>
      </c>
      <c r="G128" s="63">
        <v>-1.573643989478005E-4</v>
      </c>
      <c r="H128" s="63">
        <v>-4.3755619417338312E-2</v>
      </c>
      <c r="I128" s="63">
        <v>-0.102251499009375</v>
      </c>
      <c r="J128" s="63">
        <v>-0.16475110000000001</v>
      </c>
      <c r="K128" s="64">
        <v>-0.20953053583392448</v>
      </c>
      <c r="L128" s="64">
        <v>-0.22725159807187501</v>
      </c>
    </row>
    <row r="129" spans="1:12" ht="16.8" x14ac:dyDescent="0.45">
      <c r="A129" s="52" t="s">
        <v>1689</v>
      </c>
      <c r="B129" s="65">
        <v>6565.69</v>
      </c>
      <c r="C129" s="65">
        <v>6565.69</v>
      </c>
      <c r="D129" s="65">
        <v>6565.69</v>
      </c>
      <c r="E129" s="65">
        <v>6565.69</v>
      </c>
      <c r="F129" s="65">
        <v>6565.69</v>
      </c>
      <c r="G129" s="65">
        <v>6565.69</v>
      </c>
      <c r="H129" s="65">
        <v>6565.69</v>
      </c>
      <c r="I129" s="65">
        <v>6565.69</v>
      </c>
      <c r="J129" s="65">
        <v>6565.69</v>
      </c>
      <c r="K129" s="66">
        <v>6565.69</v>
      </c>
      <c r="L129" s="66">
        <v>6565.69</v>
      </c>
    </row>
    <row r="130" spans="1:12" ht="17.399999999999999" thickBot="1" x14ac:dyDescent="0.5">
      <c r="A130" s="67" t="s">
        <v>1690</v>
      </c>
      <c r="B130" s="68">
        <v>15200</v>
      </c>
      <c r="C130" s="68">
        <v>15200</v>
      </c>
      <c r="D130" s="68">
        <v>15200</v>
      </c>
      <c r="E130" s="68">
        <v>15200</v>
      </c>
      <c r="F130" s="68">
        <v>15200</v>
      </c>
      <c r="G130" s="68">
        <v>15200</v>
      </c>
      <c r="H130" s="68">
        <v>15200</v>
      </c>
      <c r="I130" s="68">
        <v>15200</v>
      </c>
      <c r="J130" s="68">
        <v>15200</v>
      </c>
      <c r="K130" s="69">
        <v>15200</v>
      </c>
      <c r="L130" s="69">
        <v>15200</v>
      </c>
    </row>
    <row r="131" spans="1:12" ht="17.399999999999999" thickTop="1" x14ac:dyDescent="0.45">
      <c r="A131" s="70" t="s">
        <v>1691</v>
      </c>
      <c r="B131" s="59">
        <v>48000</v>
      </c>
      <c r="C131" s="59">
        <v>48000</v>
      </c>
      <c r="D131" s="59">
        <v>48000</v>
      </c>
      <c r="E131" s="59">
        <v>48000</v>
      </c>
      <c r="F131" s="59">
        <v>48000</v>
      </c>
      <c r="G131" s="59">
        <v>48000</v>
      </c>
      <c r="H131" s="59">
        <v>48000</v>
      </c>
      <c r="I131" s="59">
        <v>48000</v>
      </c>
      <c r="J131" s="59">
        <v>48000</v>
      </c>
      <c r="K131" s="60">
        <v>48000</v>
      </c>
      <c r="L131" s="60">
        <v>48000</v>
      </c>
    </row>
    <row r="132" spans="1:12" ht="16.8" x14ac:dyDescent="0.45">
      <c r="A132" s="57" t="s">
        <v>1604</v>
      </c>
      <c r="B132" s="55">
        <v>0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6">
        <v>0</v>
      </c>
      <c r="L132" s="56">
        <v>0</v>
      </c>
    </row>
    <row r="133" spans="1:12" ht="16.8" x14ac:dyDescent="0.45">
      <c r="A133" s="52" t="s">
        <v>1692</v>
      </c>
      <c r="B133" s="61">
        <v>237778.89</v>
      </c>
      <c r="C133" s="61">
        <v>284359.69</v>
      </c>
      <c r="D133" s="61">
        <v>284359.69</v>
      </c>
      <c r="E133" s="61">
        <v>284359.69</v>
      </c>
      <c r="F133" s="61">
        <v>34360.089999999997</v>
      </c>
      <c r="G133" s="61">
        <v>-57263.7675957912</v>
      </c>
      <c r="H133" s="61">
        <v>-231656.78766935325</v>
      </c>
      <c r="I133" s="61">
        <v>-465640.30603749998</v>
      </c>
      <c r="J133" s="61">
        <v>-715638.71000000008</v>
      </c>
      <c r="K133" s="62">
        <v>-894756.453335698</v>
      </c>
      <c r="L133" s="62">
        <v>-965640.70228750003</v>
      </c>
    </row>
    <row r="134" spans="1:12" ht="17.399999999999999" thickBot="1" x14ac:dyDescent="0.5">
      <c r="A134" s="71" t="s">
        <v>1693</v>
      </c>
      <c r="B134" s="72">
        <v>5.9444722500000005E-2</v>
      </c>
      <c r="C134" s="72">
        <v>7.10899225E-2</v>
      </c>
      <c r="D134" s="72">
        <v>7.10899225E-2</v>
      </c>
      <c r="E134" s="72">
        <v>7.10899225E-2</v>
      </c>
      <c r="F134" s="72">
        <v>8.590022499999999E-3</v>
      </c>
      <c r="G134" s="72">
        <v>-1.43159418989478E-2</v>
      </c>
      <c r="H134" s="72">
        <v>-5.7914196917338311E-2</v>
      </c>
      <c r="I134" s="72">
        <v>-0.11641007650937499</v>
      </c>
      <c r="J134" s="72">
        <v>-0.17890967750000003</v>
      </c>
      <c r="K134" s="73">
        <v>-0.22368911333392449</v>
      </c>
      <c r="L134" s="73">
        <v>-0.241410175571875</v>
      </c>
    </row>
    <row r="135" spans="1:12" ht="15" thickTop="1" x14ac:dyDescent="0.3"/>
    <row r="137" spans="1:12" ht="16.8" x14ac:dyDescent="0.45">
      <c r="A137" s="74" t="s">
        <v>1694</v>
      </c>
    </row>
    <row r="138" spans="1:12" ht="15" thickBot="1" x14ac:dyDescent="0.35">
      <c r="A138" s="75"/>
    </row>
    <row r="139" spans="1:12" ht="15" thickBot="1" x14ac:dyDescent="0.35">
      <c r="A139" s="76" t="s">
        <v>1695</v>
      </c>
      <c r="B139" s="77" t="s">
        <v>1330</v>
      </c>
      <c r="C139" s="78" t="s">
        <v>1696</v>
      </c>
    </row>
    <row r="140" spans="1:12" x14ac:dyDescent="0.3">
      <c r="A140" s="79" t="s">
        <v>1697</v>
      </c>
      <c r="B140" s="80">
        <v>294413.2</v>
      </c>
      <c r="C140" s="81">
        <v>7.3603299999999997E-2</v>
      </c>
    </row>
    <row r="141" spans="1:12" x14ac:dyDescent="0.3">
      <c r="A141" s="82" t="s">
        <v>1698</v>
      </c>
      <c r="B141" s="83">
        <v>237778.89</v>
      </c>
      <c r="C141" s="84">
        <v>5.9444722500000005E-2</v>
      </c>
    </row>
    <row r="142" spans="1:12" x14ac:dyDescent="0.3">
      <c r="A142" s="82" t="s">
        <v>1699</v>
      </c>
      <c r="B142" s="85">
        <v>146086</v>
      </c>
      <c r="C142" s="84">
        <v>3.6521499999999998E-2</v>
      </c>
    </row>
    <row r="143" spans="1:12" x14ac:dyDescent="0.3">
      <c r="A143" s="82" t="s">
        <v>1700</v>
      </c>
      <c r="B143" s="86">
        <v>1.6276637733937545</v>
      </c>
      <c r="C143" s="87">
        <v>1.6276637733937545</v>
      </c>
    </row>
    <row r="144" spans="1:12" x14ac:dyDescent="0.3">
      <c r="A144" s="88" t="s">
        <v>1701</v>
      </c>
      <c r="B144" s="89">
        <v>0.61437750003795544</v>
      </c>
      <c r="C144" s="90"/>
    </row>
    <row r="145" spans="1:9" x14ac:dyDescent="0.3">
      <c r="A145" s="88" t="s">
        <v>1702</v>
      </c>
      <c r="B145" s="91">
        <v>284359.69</v>
      </c>
      <c r="C145" s="92">
        <v>7.10899225E-2</v>
      </c>
    </row>
    <row r="146" spans="1:9" x14ac:dyDescent="0.3">
      <c r="A146" s="93" t="s">
        <v>1703</v>
      </c>
      <c r="B146" s="94">
        <v>4.1000000000000002E-2</v>
      </c>
      <c r="C146" s="95"/>
    </row>
    <row r="147" spans="1:9" x14ac:dyDescent="0.3">
      <c r="A147" s="82" t="s">
        <v>1704</v>
      </c>
      <c r="B147" s="96">
        <v>-465640.30603749998</v>
      </c>
      <c r="C147" s="97">
        <v>-0.11641007650937499</v>
      </c>
    </row>
    <row r="148" spans="1:9" x14ac:dyDescent="0.3">
      <c r="A148" s="82" t="s">
        <v>1705</v>
      </c>
      <c r="B148" s="96">
        <v>-715638.71000000008</v>
      </c>
      <c r="C148" s="98">
        <v>-0.17890967750000003</v>
      </c>
    </row>
    <row r="149" spans="1:9" x14ac:dyDescent="0.3">
      <c r="A149" s="82" t="s">
        <v>1706</v>
      </c>
      <c r="B149" s="85">
        <v>-688810.64872878778</v>
      </c>
      <c r="C149" s="92">
        <v>-0.17220266218219696</v>
      </c>
    </row>
    <row r="150" spans="1:9" x14ac:dyDescent="0.3">
      <c r="A150" s="82" t="s">
        <v>1707</v>
      </c>
      <c r="B150" s="99">
        <v>0.51064928640617013</v>
      </c>
      <c r="C150" s="84"/>
    </row>
    <row r="151" spans="1:9" x14ac:dyDescent="0.3">
      <c r="A151" s="82" t="s">
        <v>1708</v>
      </c>
      <c r="B151" s="85">
        <v>3750000</v>
      </c>
      <c r="C151" s="84"/>
    </row>
    <row r="152" spans="1:9" x14ac:dyDescent="0.3">
      <c r="A152" s="82" t="s">
        <v>1709</v>
      </c>
      <c r="B152" s="85">
        <v>3750000</v>
      </c>
      <c r="C152" s="84"/>
    </row>
    <row r="153" spans="1:9" x14ac:dyDescent="0.3">
      <c r="A153" s="82" t="s">
        <v>1710</v>
      </c>
      <c r="B153" s="34"/>
      <c r="C153" s="100">
        <v>0.9375</v>
      </c>
    </row>
    <row r="154" spans="1:9" ht="15" thickBot="1" x14ac:dyDescent="0.35">
      <c r="A154" s="101" t="s">
        <v>1426</v>
      </c>
      <c r="B154" s="102"/>
      <c r="C154" s="103">
        <v>9.0931733333333334E-2</v>
      </c>
    </row>
    <row r="155" spans="1:9" x14ac:dyDescent="0.3">
      <c r="A155" s="104" t="s">
        <v>1665</v>
      </c>
      <c r="B155" s="105">
        <v>3830340</v>
      </c>
      <c r="C155" s="106"/>
    </row>
    <row r="156" spans="1:9" ht="15" thickBot="1" x14ac:dyDescent="0.35">
      <c r="A156" s="107" t="s">
        <v>1666</v>
      </c>
      <c r="B156" s="108">
        <v>4000000</v>
      </c>
      <c r="C156" s="109"/>
    </row>
    <row r="158" spans="1:9" ht="15" thickBot="1" x14ac:dyDescent="0.35"/>
    <row r="159" spans="1:9" x14ac:dyDescent="0.3">
      <c r="A159" s="115" t="s">
        <v>1393</v>
      </c>
      <c r="B159" s="110" t="s">
        <v>1717</v>
      </c>
      <c r="C159" s="110" t="s">
        <v>1718</v>
      </c>
      <c r="D159" s="110" t="s">
        <v>1711</v>
      </c>
      <c r="E159" s="110" t="s">
        <v>1712</v>
      </c>
      <c r="F159" s="110" t="s">
        <v>1713</v>
      </c>
      <c r="G159" s="110" t="s">
        <v>1714</v>
      </c>
      <c r="H159" s="110" t="s">
        <v>1715</v>
      </c>
      <c r="I159" s="111" t="s">
        <v>1716</v>
      </c>
    </row>
    <row r="160" spans="1:9" x14ac:dyDescent="0.3">
      <c r="A160" s="88" t="s">
        <v>1325</v>
      </c>
      <c r="B160" s="116">
        <v>3821124.2294500005</v>
      </c>
      <c r="C160" s="117">
        <v>0.95528105736250013</v>
      </c>
      <c r="D160" s="112">
        <v>0.05</v>
      </c>
      <c r="E160" s="112" t="s">
        <v>1663</v>
      </c>
      <c r="F160" s="113">
        <v>0.99999910681112059</v>
      </c>
      <c r="G160" s="113">
        <v>0.99759400717690871</v>
      </c>
      <c r="H160" s="113">
        <v>1.0000006173078588</v>
      </c>
      <c r="I160" s="114">
        <v>340994.21049827605</v>
      </c>
    </row>
    <row r="161" spans="1:9" ht="15" thickBot="1" x14ac:dyDescent="0.35"/>
    <row r="162" spans="1:9" x14ac:dyDescent="0.3">
      <c r="A162" s="118" t="s">
        <v>1632</v>
      </c>
      <c r="B162" s="118" t="s">
        <v>1719</v>
      </c>
      <c r="C162" s="118" t="s">
        <v>1720</v>
      </c>
      <c r="D162" s="118" t="s">
        <v>1721</v>
      </c>
      <c r="E162" s="118" t="s">
        <v>1722</v>
      </c>
      <c r="F162" s="118" t="s">
        <v>1723</v>
      </c>
      <c r="G162" s="118" t="s">
        <v>1724</v>
      </c>
      <c r="H162" s="118" t="s">
        <v>1725</v>
      </c>
      <c r="I162" s="118" t="s">
        <v>1725</v>
      </c>
    </row>
    <row r="163" spans="1:9" x14ac:dyDescent="0.3">
      <c r="A163" s="119" t="s">
        <v>1633</v>
      </c>
      <c r="B163" s="120">
        <v>500000.80125000002</v>
      </c>
      <c r="C163" s="120">
        <v>924825.95534058486</v>
      </c>
      <c r="D163" s="117">
        <v>0.1250002003125</v>
      </c>
      <c r="E163" s="117">
        <v>0.23120648883514622</v>
      </c>
      <c r="F163" s="117">
        <v>0.35</v>
      </c>
      <c r="G163" s="117">
        <v>0.5</v>
      </c>
      <c r="H163" s="112" t="s">
        <v>1571</v>
      </c>
      <c r="I163" s="121" t="s">
        <v>1571</v>
      </c>
    </row>
    <row r="164" spans="1:9" x14ac:dyDescent="0.3">
      <c r="A164" s="119" t="s">
        <v>1635</v>
      </c>
      <c r="B164" s="120">
        <v>383197.03597981401</v>
      </c>
      <c r="C164" s="120">
        <v>749096.50283622788</v>
      </c>
      <c r="D164" s="117">
        <v>9.5799258994953507E-2</v>
      </c>
      <c r="E164" s="117">
        <v>0.18727412570905697</v>
      </c>
      <c r="F164" s="117">
        <v>0.3</v>
      </c>
      <c r="G164" s="117">
        <v>0.5</v>
      </c>
      <c r="H164" s="112" t="s">
        <v>1571</v>
      </c>
      <c r="I164" s="121" t="s">
        <v>1571</v>
      </c>
    </row>
    <row r="165" spans="1:9" x14ac:dyDescent="0.3">
      <c r="A165" s="119" t="s">
        <v>1639</v>
      </c>
      <c r="B165" s="120">
        <v>90478.46921743064</v>
      </c>
      <c r="C165" s="120">
        <v>499999.99478750001</v>
      </c>
      <c r="D165" s="117">
        <v>2.2619617304357659E-2</v>
      </c>
      <c r="E165" s="117">
        <v>0.124999998696875</v>
      </c>
      <c r="F165" s="117">
        <v>0.3</v>
      </c>
      <c r="G165" s="117">
        <v>0.5</v>
      </c>
      <c r="H165" s="112" t="s">
        <v>1571</v>
      </c>
      <c r="I165" s="121" t="s">
        <v>1571</v>
      </c>
    </row>
    <row r="166" spans="1:9" x14ac:dyDescent="0.3">
      <c r="A166" s="122" t="s">
        <v>1651</v>
      </c>
      <c r="B166" s="120">
        <v>12797.484205814064</v>
      </c>
      <c r="C166" s="120">
        <v>250000.5</v>
      </c>
      <c r="D166" s="117">
        <v>3.1993710514535158E-3</v>
      </c>
      <c r="E166" s="117">
        <v>6.2500125000000004E-2</v>
      </c>
      <c r="F166" s="117">
        <v>0.4</v>
      </c>
      <c r="G166" s="117">
        <v>0.65</v>
      </c>
      <c r="H166" s="112" t="s">
        <v>1571</v>
      </c>
      <c r="I166" s="121" t="s">
        <v>1571</v>
      </c>
    </row>
    <row r="167" spans="1:9" x14ac:dyDescent="0.3">
      <c r="A167" s="119" t="s">
        <v>1649</v>
      </c>
      <c r="B167" s="120">
        <v>0</v>
      </c>
      <c r="C167" s="120">
        <v>249999.9</v>
      </c>
      <c r="D167" s="117">
        <v>0</v>
      </c>
      <c r="E167" s="117">
        <v>6.2499974999999999E-2</v>
      </c>
      <c r="F167" s="117">
        <v>0.4</v>
      </c>
      <c r="G167" s="117">
        <v>0.65</v>
      </c>
      <c r="H167" s="112" t="s">
        <v>1571</v>
      </c>
      <c r="I167" s="121" t="s">
        <v>1571</v>
      </c>
    </row>
    <row r="168" spans="1:9" x14ac:dyDescent="0.3">
      <c r="A168" s="119" t="s">
        <v>1650</v>
      </c>
      <c r="B168" s="120">
        <v>249999.99750000006</v>
      </c>
      <c r="C168" s="120">
        <v>499999.99478750001</v>
      </c>
      <c r="D168" s="117">
        <v>6.2499999375000011E-2</v>
      </c>
      <c r="E168" s="117">
        <v>0.124999998696875</v>
      </c>
      <c r="F168" s="117">
        <v>0.4</v>
      </c>
      <c r="G168" s="117">
        <v>0.65</v>
      </c>
      <c r="H168" s="112" t="s">
        <v>1571</v>
      </c>
      <c r="I168" s="121" t="s">
        <v>1571</v>
      </c>
    </row>
    <row r="169" spans="1:9" x14ac:dyDescent="0.3">
      <c r="A169" s="119" t="s">
        <v>1636</v>
      </c>
      <c r="B169" s="120">
        <v>39013.761465282805</v>
      </c>
      <c r="C169" s="120">
        <v>261564.83352664317</v>
      </c>
      <c r="D169" s="117">
        <v>9.7534403663207016E-3</v>
      </c>
      <c r="E169" s="117">
        <v>6.5391208381660793E-2</v>
      </c>
      <c r="F169" s="117">
        <v>0.3</v>
      </c>
      <c r="G169" s="117">
        <v>0.5</v>
      </c>
      <c r="H169" s="112" t="s">
        <v>1571</v>
      </c>
      <c r="I169" s="121" t="s">
        <v>1571</v>
      </c>
    </row>
    <row r="170" spans="1:9" x14ac:dyDescent="0.3">
      <c r="A170" s="119" t="s">
        <v>1640</v>
      </c>
      <c r="B170" s="120">
        <v>250000.5</v>
      </c>
      <c r="C170" s="120">
        <v>999998.00103749998</v>
      </c>
      <c r="D170" s="117">
        <v>6.2500125000000004E-2</v>
      </c>
      <c r="E170" s="117">
        <v>0.24999950025937501</v>
      </c>
      <c r="F170" s="117">
        <v>0.2</v>
      </c>
      <c r="G170" s="117">
        <v>0.35</v>
      </c>
      <c r="H170" s="112" t="s">
        <v>1571</v>
      </c>
      <c r="I170" s="121" t="s">
        <v>1571</v>
      </c>
    </row>
    <row r="171" spans="1:9" x14ac:dyDescent="0.3">
      <c r="A171" s="119" t="s">
        <v>1653</v>
      </c>
      <c r="B171" s="120">
        <v>0</v>
      </c>
      <c r="C171" s="120">
        <v>249999</v>
      </c>
      <c r="D171" s="117">
        <v>0</v>
      </c>
      <c r="E171" s="117">
        <v>6.249975E-2</v>
      </c>
      <c r="F171" s="117">
        <v>0.3</v>
      </c>
      <c r="G171" s="117">
        <v>0.45</v>
      </c>
      <c r="H171" s="112" t="s">
        <v>1571</v>
      </c>
      <c r="I171" s="121" t="s">
        <v>1571</v>
      </c>
    </row>
    <row r="172" spans="1:9" x14ac:dyDescent="0.3">
      <c r="A172" s="119" t="s">
        <v>1660</v>
      </c>
      <c r="B172" s="120">
        <v>0</v>
      </c>
      <c r="C172" s="120">
        <v>0</v>
      </c>
      <c r="D172" s="117">
        <v>0</v>
      </c>
      <c r="E172" s="117">
        <v>0</v>
      </c>
      <c r="F172" s="117">
        <v>0.2</v>
      </c>
      <c r="G172" s="117">
        <v>0.35</v>
      </c>
      <c r="H172" s="112" t="s">
        <v>1571</v>
      </c>
      <c r="I172" s="121" t="s">
        <v>1571</v>
      </c>
    </row>
    <row r="173" spans="1:9" x14ac:dyDescent="0.3">
      <c r="A173" s="119" t="s">
        <v>1638</v>
      </c>
      <c r="B173" s="120">
        <v>0</v>
      </c>
      <c r="C173" s="120">
        <v>0</v>
      </c>
      <c r="D173" s="117">
        <v>0</v>
      </c>
      <c r="E173" s="117">
        <v>0</v>
      </c>
      <c r="F173" s="117">
        <v>0.3</v>
      </c>
      <c r="G173" s="117">
        <v>0.5</v>
      </c>
      <c r="H173" s="112" t="s">
        <v>1571</v>
      </c>
      <c r="I173" s="121" t="s">
        <v>1571</v>
      </c>
    </row>
    <row r="174" spans="1:9" x14ac:dyDescent="0.3">
      <c r="A174" s="119" t="s">
        <v>1656</v>
      </c>
      <c r="B174" s="120">
        <v>0</v>
      </c>
      <c r="C174" s="120">
        <v>0</v>
      </c>
      <c r="D174" s="117">
        <v>0</v>
      </c>
      <c r="E174" s="117">
        <v>0</v>
      </c>
      <c r="F174" s="117">
        <v>0.3</v>
      </c>
      <c r="G174" s="117">
        <v>0.45</v>
      </c>
      <c r="H174" s="112" t="s">
        <v>1571</v>
      </c>
      <c r="I174" s="121" t="s">
        <v>1571</v>
      </c>
    </row>
    <row r="175" spans="1:9" x14ac:dyDescent="0.3">
      <c r="A175" s="119" t="s">
        <v>1641</v>
      </c>
      <c r="B175" s="120">
        <v>0</v>
      </c>
      <c r="C175" s="120">
        <v>250000.5</v>
      </c>
      <c r="D175" s="117">
        <v>0</v>
      </c>
      <c r="E175" s="117">
        <v>6.2500125000000004E-2</v>
      </c>
      <c r="F175" s="117">
        <v>0.2</v>
      </c>
      <c r="G175" s="117">
        <v>0.3</v>
      </c>
      <c r="H175" s="112" t="s">
        <v>1571</v>
      </c>
      <c r="I175" s="121" t="s">
        <v>1571</v>
      </c>
    </row>
    <row r="176" spans="1:9" x14ac:dyDescent="0.3">
      <c r="A176" s="119" t="s">
        <v>1637</v>
      </c>
      <c r="B176" s="120">
        <v>249999.6</v>
      </c>
      <c r="C176" s="120">
        <v>249999.60000000003</v>
      </c>
      <c r="D176" s="117">
        <v>6.2499900000000004E-2</v>
      </c>
      <c r="E176" s="117">
        <v>6.2499900000000011E-2</v>
      </c>
      <c r="F176" s="117">
        <v>0.3</v>
      </c>
      <c r="G176" s="117">
        <v>0.5</v>
      </c>
      <c r="H176" s="112" t="s">
        <v>1571</v>
      </c>
      <c r="I176" s="121" t="s">
        <v>1571</v>
      </c>
    </row>
    <row r="177" spans="1:9" x14ac:dyDescent="0.3">
      <c r="A177" s="119" t="s">
        <v>1659</v>
      </c>
      <c r="B177" s="120">
        <v>0</v>
      </c>
      <c r="C177" s="120">
        <v>0</v>
      </c>
      <c r="D177" s="117">
        <v>0</v>
      </c>
      <c r="E177" s="117">
        <v>0</v>
      </c>
      <c r="F177" s="117">
        <v>0.2</v>
      </c>
      <c r="G177" s="117">
        <v>0.35</v>
      </c>
      <c r="H177" s="112" t="s">
        <v>1571</v>
      </c>
      <c r="I177" s="121" t="s">
        <v>1571</v>
      </c>
    </row>
    <row r="178" spans="1:9" x14ac:dyDescent="0.3">
      <c r="A178" s="119" t="s">
        <v>1657</v>
      </c>
      <c r="B178" s="116">
        <v>0</v>
      </c>
      <c r="C178" s="116">
        <v>0</v>
      </c>
      <c r="D178" s="117">
        <v>0</v>
      </c>
      <c r="E178" s="117">
        <v>0</v>
      </c>
      <c r="F178" s="117">
        <v>0.2</v>
      </c>
      <c r="G178" s="117">
        <v>0.35</v>
      </c>
      <c r="H178" s="123" t="s">
        <v>1571</v>
      </c>
      <c r="I178" s="124" t="s">
        <v>1571</v>
      </c>
    </row>
    <row r="179" spans="1:9" x14ac:dyDescent="0.3">
      <c r="A179" s="119" t="s">
        <v>1658</v>
      </c>
      <c r="B179" s="116">
        <v>0</v>
      </c>
      <c r="C179" s="116">
        <v>0</v>
      </c>
      <c r="D179" s="117">
        <v>0</v>
      </c>
      <c r="E179" s="117">
        <v>0</v>
      </c>
      <c r="F179" s="117">
        <v>0.2</v>
      </c>
      <c r="G179" s="117">
        <v>0.35</v>
      </c>
      <c r="H179" s="112" t="s">
        <v>1571</v>
      </c>
      <c r="I179" s="124" t="s">
        <v>1571</v>
      </c>
    </row>
    <row r="180" spans="1:9" x14ac:dyDescent="0.3">
      <c r="A180" s="125" t="s">
        <v>1652</v>
      </c>
      <c r="B180" s="126">
        <v>0</v>
      </c>
      <c r="C180" s="126">
        <v>0</v>
      </c>
      <c r="D180" s="117">
        <v>0</v>
      </c>
      <c r="E180" s="117">
        <v>0</v>
      </c>
      <c r="F180" s="117">
        <v>0.4</v>
      </c>
      <c r="G180" s="117">
        <v>0.65</v>
      </c>
      <c r="H180" s="38" t="s">
        <v>1571</v>
      </c>
      <c r="I180" s="121" t="s">
        <v>1571</v>
      </c>
    </row>
    <row r="181" spans="1:9" x14ac:dyDescent="0.3">
      <c r="A181" s="125" t="s">
        <v>1654</v>
      </c>
      <c r="B181" s="116">
        <v>0</v>
      </c>
      <c r="C181" s="116">
        <v>0</v>
      </c>
      <c r="D181" s="117">
        <v>0</v>
      </c>
      <c r="E181" s="117">
        <v>0</v>
      </c>
      <c r="F181" s="117">
        <v>0.3</v>
      </c>
      <c r="G181" s="117">
        <v>0.45</v>
      </c>
      <c r="H181" s="42" t="s">
        <v>1571</v>
      </c>
      <c r="I181" s="124" t="s">
        <v>1571</v>
      </c>
    </row>
    <row r="182" spans="1:9" x14ac:dyDescent="0.3">
      <c r="A182" s="125" t="s">
        <v>1655</v>
      </c>
      <c r="B182" s="116">
        <v>62500</v>
      </c>
      <c r="C182" s="116">
        <v>250000</v>
      </c>
      <c r="D182" s="117">
        <v>1.5625E-2</v>
      </c>
      <c r="E182" s="117">
        <v>6.25E-2</v>
      </c>
      <c r="F182" s="117">
        <v>0.3</v>
      </c>
      <c r="G182" s="117">
        <v>0.45</v>
      </c>
      <c r="H182" s="42" t="s">
        <v>1571</v>
      </c>
      <c r="I182" s="124" t="s">
        <v>1571</v>
      </c>
    </row>
    <row r="183" spans="1:9" x14ac:dyDescent="0.3">
      <c r="A183" s="125" t="s">
        <v>1647</v>
      </c>
      <c r="B183" s="116">
        <v>0</v>
      </c>
      <c r="C183" s="116">
        <v>0</v>
      </c>
      <c r="D183" s="117">
        <v>0</v>
      </c>
      <c r="E183" s="117">
        <v>0</v>
      </c>
      <c r="F183" s="117">
        <v>0.15</v>
      </c>
      <c r="G183" s="117">
        <v>0.25</v>
      </c>
      <c r="H183" s="42" t="s">
        <v>1571</v>
      </c>
      <c r="I183" s="124" t="s">
        <v>1571</v>
      </c>
    </row>
    <row r="184" spans="1:9" x14ac:dyDescent="0.3">
      <c r="A184" s="125" t="s">
        <v>1642</v>
      </c>
      <c r="B184" s="116">
        <v>0</v>
      </c>
      <c r="C184" s="116">
        <v>0</v>
      </c>
      <c r="D184" s="117">
        <v>0</v>
      </c>
      <c r="E184" s="117">
        <v>0</v>
      </c>
      <c r="F184" s="117">
        <v>0.3</v>
      </c>
      <c r="G184" s="117">
        <v>0.5</v>
      </c>
      <c r="H184" s="42" t="s">
        <v>1571</v>
      </c>
      <c r="I184" s="124" t="s">
        <v>1571</v>
      </c>
    </row>
    <row r="185" spans="1:9" ht="15" thickBot="1" x14ac:dyDescent="0.35">
      <c r="A185" s="127" t="s">
        <v>1643</v>
      </c>
      <c r="B185" s="128">
        <v>0</v>
      </c>
      <c r="C185" s="128">
        <v>0</v>
      </c>
      <c r="D185" s="129">
        <v>0</v>
      </c>
      <c r="E185" s="129">
        <v>0</v>
      </c>
      <c r="F185" s="129">
        <v>0.2</v>
      </c>
      <c r="G185" s="129">
        <v>0.3</v>
      </c>
      <c r="H185" s="130" t="s">
        <v>1571</v>
      </c>
      <c r="I185" s="131" t="s">
        <v>1571</v>
      </c>
    </row>
    <row r="188" spans="1:9" x14ac:dyDescent="0.3">
      <c r="A188" s="132" t="s">
        <v>1315</v>
      </c>
      <c r="B188" s="132" t="s">
        <v>1717</v>
      </c>
      <c r="C188" s="132" t="s">
        <v>1718</v>
      </c>
      <c r="D188" s="132" t="s">
        <v>1711</v>
      </c>
      <c r="E188" s="132" t="s">
        <v>1712</v>
      </c>
    </row>
    <row r="189" spans="1:9" x14ac:dyDescent="0.3">
      <c r="A189" s="37" t="s">
        <v>1344</v>
      </c>
      <c r="B189" s="116">
        <v>250000</v>
      </c>
      <c r="C189" s="178">
        <v>6.25E-2</v>
      </c>
      <c r="D189" s="178">
        <v>0.3</v>
      </c>
      <c r="E189" s="112" t="s">
        <v>1726</v>
      </c>
    </row>
    <row r="190" spans="1:9" x14ac:dyDescent="0.3">
      <c r="A190" s="37" t="s">
        <v>1342</v>
      </c>
      <c r="B190" s="116">
        <v>250000</v>
      </c>
      <c r="C190" s="178">
        <v>6.25E-2</v>
      </c>
      <c r="D190" s="178">
        <v>0.3</v>
      </c>
      <c r="E190" s="112" t="s">
        <v>1726</v>
      </c>
    </row>
    <row r="191" spans="1:9" x14ac:dyDescent="0.3">
      <c r="A191" s="37" t="s">
        <v>1352</v>
      </c>
      <c r="B191" s="116">
        <v>250000</v>
      </c>
      <c r="C191" s="178">
        <v>6.25E-2</v>
      </c>
      <c r="D191" s="178">
        <v>0.3</v>
      </c>
      <c r="E191" s="112" t="s">
        <v>1726</v>
      </c>
    </row>
    <row r="192" spans="1:9" x14ac:dyDescent="0.3">
      <c r="A192" s="37" t="s">
        <v>1339</v>
      </c>
      <c r="B192" s="116">
        <v>249999</v>
      </c>
      <c r="C192" s="178">
        <v>6.249975E-2</v>
      </c>
      <c r="D192" s="178">
        <v>0.3</v>
      </c>
      <c r="E192" s="112" t="s">
        <v>1726</v>
      </c>
    </row>
    <row r="193" spans="1:9" x14ac:dyDescent="0.3">
      <c r="A193" s="37" t="s">
        <v>1341</v>
      </c>
      <c r="B193" s="116">
        <v>249999</v>
      </c>
      <c r="C193" s="178">
        <v>6.249975E-2</v>
      </c>
      <c r="D193" s="178">
        <v>0.3</v>
      </c>
      <c r="E193" s="112" t="s">
        <v>1726</v>
      </c>
    </row>
    <row r="194" spans="1:9" x14ac:dyDescent="0.3">
      <c r="A194" s="37" t="s">
        <v>1354</v>
      </c>
      <c r="B194" s="116">
        <v>250000</v>
      </c>
      <c r="C194" s="178">
        <v>6.25E-2</v>
      </c>
      <c r="D194" s="178">
        <v>0.3</v>
      </c>
      <c r="E194" s="112" t="s">
        <v>1726</v>
      </c>
    </row>
    <row r="195" spans="1:9" x14ac:dyDescent="0.3">
      <c r="A195" s="37" t="s">
        <v>1331</v>
      </c>
      <c r="B195" s="116">
        <v>249999.9</v>
      </c>
      <c r="C195" s="178">
        <v>6.2499974999999999E-2</v>
      </c>
      <c r="D195" s="178">
        <v>0.3</v>
      </c>
      <c r="E195" s="112" t="s">
        <v>1726</v>
      </c>
    </row>
    <row r="196" spans="1:9" x14ac:dyDescent="0.3">
      <c r="A196" s="112" t="s">
        <v>1337</v>
      </c>
      <c r="B196" s="116">
        <v>249999.60000000003</v>
      </c>
      <c r="C196" s="178">
        <v>6.2499900000000011E-2</v>
      </c>
      <c r="D196" s="178">
        <v>0.3</v>
      </c>
      <c r="E196" s="123" t="s">
        <v>1726</v>
      </c>
    </row>
    <row r="197" spans="1:9" x14ac:dyDescent="0.3">
      <c r="A197" s="34" t="s">
        <v>1335</v>
      </c>
      <c r="B197" s="137">
        <v>250000</v>
      </c>
      <c r="C197" s="178">
        <v>6.25E-2</v>
      </c>
      <c r="D197" s="178">
        <v>0.3</v>
      </c>
      <c r="E197" s="143" t="s">
        <v>1726</v>
      </c>
    </row>
    <row r="198" spans="1:9" x14ac:dyDescent="0.3">
      <c r="A198" s="34" t="s">
        <v>1353</v>
      </c>
      <c r="B198" s="137">
        <v>250000.5</v>
      </c>
      <c r="C198" s="178">
        <v>6.2500125000000004E-2</v>
      </c>
      <c r="D198" s="178">
        <v>0.3</v>
      </c>
      <c r="E198" s="143" t="s">
        <v>1726</v>
      </c>
    </row>
    <row r="199" spans="1:9" x14ac:dyDescent="0.3">
      <c r="A199" s="34" t="s">
        <v>1348</v>
      </c>
      <c r="B199" s="137">
        <v>250000.5</v>
      </c>
      <c r="C199" s="178">
        <v>6.2500125000000004E-2</v>
      </c>
      <c r="D199" s="178">
        <v>0.3</v>
      </c>
      <c r="E199" s="143" t="s">
        <v>1726</v>
      </c>
    </row>
    <row r="200" spans="1:9" x14ac:dyDescent="0.3">
      <c r="A200" s="34" t="s">
        <v>1351</v>
      </c>
      <c r="B200" s="137">
        <v>250000.80000000002</v>
      </c>
      <c r="C200" s="178">
        <v>6.2500200000000006E-2</v>
      </c>
      <c r="D200" s="178">
        <v>0.3</v>
      </c>
      <c r="E200" s="143" t="s">
        <v>1726</v>
      </c>
    </row>
    <row r="201" spans="1:9" x14ac:dyDescent="0.3">
      <c r="A201" s="34" t="s">
        <v>1345</v>
      </c>
      <c r="B201" s="137">
        <v>250000</v>
      </c>
      <c r="C201" s="178">
        <v>6.25E-2</v>
      </c>
      <c r="D201" s="178">
        <v>0.3</v>
      </c>
      <c r="E201" s="143" t="s">
        <v>1726</v>
      </c>
    </row>
    <row r="202" spans="1:9" x14ac:dyDescent="0.3">
      <c r="A202" s="34" t="s">
        <v>1343</v>
      </c>
      <c r="B202" s="137">
        <v>249999.45</v>
      </c>
      <c r="C202" s="178">
        <v>6.2499862500000003E-2</v>
      </c>
      <c r="D202" s="178">
        <v>0.3</v>
      </c>
      <c r="E202" s="143" t="s">
        <v>1726</v>
      </c>
    </row>
    <row r="203" spans="1:9" x14ac:dyDescent="0.3">
      <c r="A203" s="34" t="s">
        <v>1327</v>
      </c>
      <c r="B203" s="137">
        <v>250000.5</v>
      </c>
      <c r="C203" s="178">
        <v>6.2500125000000004E-2</v>
      </c>
      <c r="D203" s="178">
        <v>0.3</v>
      </c>
      <c r="E203" s="143" t="s">
        <v>1726</v>
      </c>
    </row>
    <row r="206" spans="1:9" x14ac:dyDescent="0.3">
      <c r="A206" s="134" t="s">
        <v>1432</v>
      </c>
      <c r="B206" s="135" t="s">
        <v>1727</v>
      </c>
      <c r="C206" s="136" t="s">
        <v>1728</v>
      </c>
      <c r="D206" s="136" t="s">
        <v>1729</v>
      </c>
      <c r="E206" s="136" t="s">
        <v>1730</v>
      </c>
      <c r="F206" s="136" t="s">
        <v>1731</v>
      </c>
      <c r="G206" s="136" t="s">
        <v>1732</v>
      </c>
      <c r="H206" s="136" t="s">
        <v>1733</v>
      </c>
      <c r="I206" s="136" t="s">
        <v>1734</v>
      </c>
    </row>
    <row r="207" spans="1:9" x14ac:dyDescent="0.3">
      <c r="A207" s="34">
        <v>1</v>
      </c>
      <c r="B207" s="34" t="s">
        <v>1661</v>
      </c>
      <c r="C207" s="137">
        <v>46499.124740183397</v>
      </c>
      <c r="D207" s="137">
        <v>81.633654364050017</v>
      </c>
      <c r="E207" s="137">
        <v>749999.99603749998</v>
      </c>
      <c r="F207" s="137">
        <v>973170.33872878749</v>
      </c>
      <c r="G207" s="137">
        <v>973170.33872878749</v>
      </c>
      <c r="H207" s="137">
        <v>750081.62969186401</v>
      </c>
      <c r="I207" s="137">
        <v>-417721.73199358798</v>
      </c>
    </row>
    <row r="208" spans="1:9" x14ac:dyDescent="0.3">
      <c r="A208" s="34">
        <v>2</v>
      </c>
      <c r="B208" s="34" t="s">
        <v>1633</v>
      </c>
      <c r="C208" s="137">
        <v>28661.65467227477</v>
      </c>
      <c r="D208" s="137">
        <v>17919.103722272677</v>
      </c>
      <c r="E208" s="137">
        <v>580872.26743327163</v>
      </c>
      <c r="F208" s="137">
        <v>786390.5488522735</v>
      </c>
      <c r="G208" s="137">
        <v>485250.79911942256</v>
      </c>
      <c r="H208" s="137">
        <v>598791.3711555443</v>
      </c>
      <c r="I208" s="137">
        <v>-266431.47345726826</v>
      </c>
    </row>
    <row r="209" spans="1:9" x14ac:dyDescent="0.3">
      <c r="A209" s="34">
        <v>3</v>
      </c>
      <c r="B209" s="34" t="s">
        <v>1635</v>
      </c>
      <c r="C209" s="137">
        <v>11657.112411659335</v>
      </c>
      <c r="D209" s="137">
        <v>34923.645982888112</v>
      </c>
      <c r="E209" s="137">
        <v>393313.95673614705</v>
      </c>
      <c r="F209" s="137">
        <v>600652.01755536068</v>
      </c>
      <c r="G209" s="137">
        <v>220489.19776657686</v>
      </c>
      <c r="H209" s="137">
        <v>428237.60271903517</v>
      </c>
      <c r="I209" s="137">
        <v>-95877.705020759138</v>
      </c>
    </row>
    <row r="210" spans="1:9" x14ac:dyDescent="0.3">
      <c r="A210" s="34">
        <v>4</v>
      </c>
      <c r="B210" s="34" t="s">
        <v>1639</v>
      </c>
      <c r="C210" s="137">
        <v>3286.4299130096174</v>
      </c>
      <c r="D210" s="137">
        <v>43294.328481537828</v>
      </c>
      <c r="E210" s="137">
        <v>90998.341564623188</v>
      </c>
      <c r="F210" s="137">
        <v>314532.21034924983</v>
      </c>
      <c r="G210" s="137">
        <v>19278.368144540123</v>
      </c>
      <c r="H210" s="137">
        <v>134292.67004616102</v>
      </c>
      <c r="I210" s="137">
        <v>198067.22765211502</v>
      </c>
    </row>
    <row r="211" spans="1:9" x14ac:dyDescent="0.3">
      <c r="A211" s="34">
        <v>5</v>
      </c>
      <c r="B211" s="34" t="s">
        <v>1651</v>
      </c>
      <c r="C211" s="137">
        <v>1879.4244694471322</v>
      </c>
      <c r="D211" s="137">
        <v>44701.333925100313</v>
      </c>
      <c r="E211" s="137">
        <v>12797.484205814064</v>
      </c>
      <c r="F211" s="137">
        <v>187454.52660086489</v>
      </c>
      <c r="G211" s="137">
        <v>12117.552147858261</v>
      </c>
      <c r="H211" s="137">
        <v>57498.818130914377</v>
      </c>
      <c r="I211" s="137">
        <v>274861.07956736168</v>
      </c>
    </row>
    <row r="212" spans="1:9" x14ac:dyDescent="0.3">
      <c r="A212" s="34">
        <v>6</v>
      </c>
      <c r="B212" s="34" t="s">
        <v>1649</v>
      </c>
      <c r="C212" s="137">
        <v>859.24446140926261</v>
      </c>
      <c r="D212" s="137">
        <v>45721.513933138187</v>
      </c>
      <c r="E212" s="137">
        <v>0</v>
      </c>
      <c r="F212" s="137">
        <v>85924.446140926259</v>
      </c>
      <c r="G212" s="137">
        <v>10353.435873561408</v>
      </c>
      <c r="H212" s="137">
        <v>45721.513933138187</v>
      </c>
      <c r="I212" s="137">
        <v>286638.38376513787</v>
      </c>
    </row>
    <row r="213" spans="1:9" x14ac:dyDescent="0.3">
      <c r="A213" s="34">
        <v>7</v>
      </c>
      <c r="B213" s="34" t="s">
        <v>1650</v>
      </c>
      <c r="C213" s="137">
        <v>6779.0637124879431</v>
      </c>
      <c r="D213" s="137">
        <v>39801.694682059504</v>
      </c>
      <c r="E213" s="137">
        <v>249999.99750000006</v>
      </c>
      <c r="F213" s="137">
        <v>377840.07435670239</v>
      </c>
      <c r="G213" s="137">
        <v>89507.688184409082</v>
      </c>
      <c r="H213" s="137">
        <v>289801.69218205957</v>
      </c>
      <c r="I213" s="137">
        <v>42558.205516216462</v>
      </c>
    </row>
    <row r="214" spans="1:9" x14ac:dyDescent="0.3">
      <c r="A214" s="34">
        <v>8</v>
      </c>
      <c r="B214" s="34" t="s">
        <v>1636</v>
      </c>
      <c r="C214" s="137">
        <v>2162.3370180458942</v>
      </c>
      <c r="D214" s="137">
        <v>44418.421376501552</v>
      </c>
      <c r="E214" s="137">
        <v>39013.761465282805</v>
      </c>
      <c r="F214" s="137">
        <v>211502.49689106244</v>
      </c>
      <c r="G214" s="137">
        <v>20374.867935547107</v>
      </c>
      <c r="H214" s="137">
        <v>83432.18284178435</v>
      </c>
      <c r="I214" s="137">
        <v>248927.71485649169</v>
      </c>
    </row>
    <row r="215" spans="1:9" x14ac:dyDescent="0.3">
      <c r="A215" s="34">
        <v>9</v>
      </c>
      <c r="B215" s="34" t="s">
        <v>1640</v>
      </c>
      <c r="C215" s="137">
        <v>7961.8395813456627</v>
      </c>
      <c r="D215" s="137">
        <v>38618.918813201788</v>
      </c>
      <c r="E215" s="137">
        <v>250000.5</v>
      </c>
      <c r="F215" s="137">
        <v>686807.25194265798</v>
      </c>
      <c r="G215" s="137">
        <v>427649.0624998291</v>
      </c>
      <c r="H215" s="137">
        <v>288619.41881320177</v>
      </c>
      <c r="I215" s="137">
        <v>43740.478885074263</v>
      </c>
    </row>
    <row r="216" spans="1:9" x14ac:dyDescent="0.3">
      <c r="A216" s="34">
        <v>10</v>
      </c>
      <c r="B216" s="34" t="s">
        <v>1653</v>
      </c>
      <c r="C216" s="137">
        <v>969.35783411931618</v>
      </c>
      <c r="D216" s="137">
        <v>45611.400560428134</v>
      </c>
      <c r="E216" s="137">
        <v>0</v>
      </c>
      <c r="F216" s="137">
        <v>96935.783411931625</v>
      </c>
      <c r="G216" s="137">
        <v>2499.9989999999998</v>
      </c>
      <c r="H216" s="137">
        <v>45611.400560428134</v>
      </c>
      <c r="I216" s="137">
        <v>286748.49713784788</v>
      </c>
    </row>
    <row r="217" spans="1:9" x14ac:dyDescent="0.3">
      <c r="A217" s="34">
        <v>11</v>
      </c>
      <c r="B217" s="34" t="s">
        <v>1660</v>
      </c>
      <c r="C217" s="137">
        <v>0</v>
      </c>
      <c r="D217" s="137">
        <v>46580.758394547447</v>
      </c>
      <c r="E217" s="137">
        <v>0</v>
      </c>
      <c r="F217" s="137">
        <v>0</v>
      </c>
      <c r="G217" s="137">
        <v>0</v>
      </c>
      <c r="H217" s="137">
        <v>46580.758394547447</v>
      </c>
      <c r="I217" s="137">
        <v>285779.13930372859</v>
      </c>
    </row>
    <row r="218" spans="1:9" x14ac:dyDescent="0.3">
      <c r="A218" s="34">
        <v>12</v>
      </c>
      <c r="B218" s="34" t="s">
        <v>1638</v>
      </c>
      <c r="C218" s="137">
        <v>0</v>
      </c>
      <c r="D218" s="137">
        <v>46580.758394547447</v>
      </c>
      <c r="E218" s="137">
        <v>0</v>
      </c>
      <c r="F218" s="137">
        <v>0</v>
      </c>
      <c r="G218" s="137">
        <v>0</v>
      </c>
      <c r="H218" s="137">
        <v>46580.758394547447</v>
      </c>
      <c r="I218" s="137">
        <v>285779.13930372859</v>
      </c>
    </row>
    <row r="219" spans="1:9" x14ac:dyDescent="0.3">
      <c r="A219" s="34">
        <v>13</v>
      </c>
      <c r="B219" s="34" t="s">
        <v>1656</v>
      </c>
      <c r="C219" s="137">
        <v>0</v>
      </c>
      <c r="D219" s="137">
        <v>46580.758394547447</v>
      </c>
      <c r="E219" s="137">
        <v>0</v>
      </c>
      <c r="F219" s="137">
        <v>0</v>
      </c>
      <c r="G219" s="137">
        <v>0</v>
      </c>
      <c r="H219" s="137">
        <v>46580.758394547447</v>
      </c>
      <c r="I219" s="137">
        <v>285779.13930372859</v>
      </c>
    </row>
    <row r="220" spans="1:9" x14ac:dyDescent="0.3">
      <c r="A220" s="34">
        <v>14</v>
      </c>
      <c r="B220" s="34" t="s">
        <v>1641</v>
      </c>
      <c r="C220" s="137">
        <v>1971.5092803013679</v>
      </c>
      <c r="D220" s="137">
        <v>44609.249114246079</v>
      </c>
      <c r="E220" s="137">
        <v>0</v>
      </c>
      <c r="F220" s="137">
        <v>197150.9280301368</v>
      </c>
      <c r="G220" s="137">
        <v>7500.0150000000003</v>
      </c>
      <c r="H220" s="137">
        <v>44609.249114246079</v>
      </c>
      <c r="I220" s="137">
        <v>287750.64858402999</v>
      </c>
    </row>
    <row r="221" spans="1:9" x14ac:dyDescent="0.3">
      <c r="A221" s="34">
        <v>15</v>
      </c>
      <c r="B221" s="34" t="s">
        <v>1637</v>
      </c>
      <c r="C221" s="137">
        <v>3733.109579950129</v>
      </c>
      <c r="D221" s="137">
        <v>42847.64881459732</v>
      </c>
      <c r="E221" s="137">
        <v>249999.6</v>
      </c>
      <c r="F221" s="137">
        <v>249999.6000000003</v>
      </c>
      <c r="G221" s="137">
        <v>7499.9880000000003</v>
      </c>
      <c r="H221" s="137">
        <v>292847.24881459732</v>
      </c>
      <c r="I221" s="137">
        <v>39512.648883678718</v>
      </c>
    </row>
    <row r="222" spans="1:9" x14ac:dyDescent="0.3">
      <c r="A222" s="34">
        <v>16</v>
      </c>
      <c r="B222" s="34" t="s">
        <v>1659</v>
      </c>
      <c r="C222" s="137">
        <v>0</v>
      </c>
      <c r="D222" s="137">
        <v>46580.758394547447</v>
      </c>
      <c r="E222" s="137">
        <v>0</v>
      </c>
      <c r="F222" s="137">
        <v>0</v>
      </c>
      <c r="G222" s="137">
        <v>0</v>
      </c>
      <c r="H222" s="137">
        <v>46580.758394547447</v>
      </c>
      <c r="I222" s="137">
        <v>285779.13930372859</v>
      </c>
    </row>
    <row r="223" spans="1:9" x14ac:dyDescent="0.3">
      <c r="A223" s="34">
        <v>17</v>
      </c>
      <c r="B223" s="34" t="s">
        <v>1657</v>
      </c>
      <c r="C223" s="137">
        <v>0</v>
      </c>
      <c r="D223" s="137">
        <v>46580.758394547447</v>
      </c>
      <c r="E223" s="137">
        <v>0</v>
      </c>
      <c r="F223" s="137">
        <v>0</v>
      </c>
      <c r="G223" s="137">
        <v>0</v>
      </c>
      <c r="H223" s="137">
        <v>46580.758394547447</v>
      </c>
      <c r="I223" s="137">
        <v>285779.13930372859</v>
      </c>
    </row>
    <row r="224" spans="1:9" x14ac:dyDescent="0.3">
      <c r="A224" s="34">
        <v>18</v>
      </c>
      <c r="B224" s="34" t="s">
        <v>1658</v>
      </c>
      <c r="C224" s="137">
        <v>153.18208328999415</v>
      </c>
      <c r="D224" s="137">
        <v>46427.57631125745</v>
      </c>
      <c r="E224" s="137">
        <v>0</v>
      </c>
      <c r="F224" s="137">
        <v>15318.208328999415</v>
      </c>
      <c r="G224" s="137">
        <v>0</v>
      </c>
      <c r="H224" s="137">
        <v>46427.57631125745</v>
      </c>
      <c r="I224" s="137">
        <v>285932.3213870186</v>
      </c>
    </row>
    <row r="225" spans="1:13" x14ac:dyDescent="0.3">
      <c r="A225" s="34">
        <v>19</v>
      </c>
      <c r="B225" s="34" t="s">
        <v>1652</v>
      </c>
      <c r="C225" s="137">
        <v>0</v>
      </c>
      <c r="D225" s="137">
        <v>46580.758394547447</v>
      </c>
      <c r="E225" s="137">
        <v>0</v>
      </c>
      <c r="F225" s="137">
        <v>0</v>
      </c>
      <c r="G225" s="137">
        <v>0</v>
      </c>
      <c r="H225" s="137">
        <v>46580.758394547447</v>
      </c>
      <c r="I225" s="137">
        <v>285779.13930372859</v>
      </c>
    </row>
    <row r="226" spans="1:13" x14ac:dyDescent="0.3">
      <c r="A226" s="34">
        <v>20</v>
      </c>
      <c r="B226" s="34" t="s">
        <v>1654</v>
      </c>
      <c r="C226" s="137">
        <v>0</v>
      </c>
      <c r="D226" s="137">
        <v>46580.758394547447</v>
      </c>
      <c r="E226" s="137">
        <v>0</v>
      </c>
      <c r="F226" s="137">
        <v>0</v>
      </c>
      <c r="G226" s="137">
        <v>0</v>
      </c>
      <c r="H226" s="137">
        <v>46580.758394547447</v>
      </c>
      <c r="I226" s="137">
        <v>285779.13930372859</v>
      </c>
    </row>
    <row r="227" spans="1:13" x14ac:dyDescent="0.3">
      <c r="A227" s="34">
        <v>21</v>
      </c>
      <c r="B227" s="34" t="s">
        <v>1655</v>
      </c>
      <c r="C227" s="137">
        <v>2306.25</v>
      </c>
      <c r="D227" s="137">
        <v>44274.508394547447</v>
      </c>
      <c r="E227" s="137">
        <v>62500</v>
      </c>
      <c r="F227" s="137">
        <v>222500</v>
      </c>
      <c r="G227" s="137">
        <v>6562.5</v>
      </c>
      <c r="H227" s="137">
        <v>106774.50839454745</v>
      </c>
      <c r="I227" s="137">
        <v>225585.38930372859</v>
      </c>
    </row>
    <row r="228" spans="1:13" x14ac:dyDescent="0.3">
      <c r="A228" s="34">
        <v>22</v>
      </c>
      <c r="B228" s="34" t="s">
        <v>1647</v>
      </c>
      <c r="C228" s="137">
        <v>0</v>
      </c>
      <c r="D228" s="137">
        <v>46580.758394547447</v>
      </c>
      <c r="E228" s="137">
        <v>0</v>
      </c>
      <c r="F228" s="137">
        <v>0</v>
      </c>
      <c r="G228" s="137">
        <v>0</v>
      </c>
      <c r="H228" s="137">
        <v>46580.758394547447</v>
      </c>
      <c r="I228" s="137">
        <v>285779.13930372859</v>
      </c>
    </row>
    <row r="229" spans="1:13" x14ac:dyDescent="0.3">
      <c r="A229" s="34">
        <v>23</v>
      </c>
      <c r="B229" s="34" t="s">
        <v>1642</v>
      </c>
      <c r="C229" s="137">
        <v>246.63203597893323</v>
      </c>
      <c r="D229" s="137">
        <v>46334.126358568516</v>
      </c>
      <c r="E229" s="137">
        <v>0</v>
      </c>
      <c r="F229" s="137">
        <v>24663.203597893324</v>
      </c>
      <c r="G229" s="137">
        <v>4391.4989459445987</v>
      </c>
      <c r="H229" s="137">
        <v>46334.126358568516</v>
      </c>
      <c r="I229" s="137">
        <v>286025.77133970754</v>
      </c>
    </row>
    <row r="230" spans="1:13" x14ac:dyDescent="0.3">
      <c r="A230" s="34">
        <v>24</v>
      </c>
      <c r="B230" s="34" t="s">
        <v>1643</v>
      </c>
      <c r="C230" s="137">
        <v>407.71612961045969</v>
      </c>
      <c r="D230" s="137">
        <v>46173.042264936987</v>
      </c>
      <c r="E230" s="137">
        <v>0</v>
      </c>
      <c r="F230" s="137">
        <v>40771.612961045968</v>
      </c>
      <c r="G230" s="137">
        <v>31816.476163591524</v>
      </c>
      <c r="H230" s="137">
        <v>46173.042264936987</v>
      </c>
      <c r="I230" s="137">
        <v>286186.85543333902</v>
      </c>
    </row>
    <row r="233" spans="1:13" x14ac:dyDescent="0.3">
      <c r="A233" s="134" t="s">
        <v>3</v>
      </c>
      <c r="B233" s="141" t="s">
        <v>1736</v>
      </c>
      <c r="C233" s="141" t="s">
        <v>1737</v>
      </c>
      <c r="D233" s="141" t="s">
        <v>1738</v>
      </c>
      <c r="E233" s="141" t="s">
        <v>1739</v>
      </c>
      <c r="F233" s="141" t="s">
        <v>1740</v>
      </c>
      <c r="G233" s="141" t="s">
        <v>1741</v>
      </c>
      <c r="H233" s="141" t="s">
        <v>1742</v>
      </c>
      <c r="I233" s="141" t="s">
        <v>1743</v>
      </c>
      <c r="J233" s="141" t="s">
        <v>1744</v>
      </c>
      <c r="K233" s="141" t="s">
        <v>1745</v>
      </c>
      <c r="L233" s="141" t="s">
        <v>1746</v>
      </c>
      <c r="M233" s="142" t="s">
        <v>1747</v>
      </c>
    </row>
    <row r="234" spans="1:13" x14ac:dyDescent="0.3">
      <c r="A234" s="134" t="s">
        <v>1748</v>
      </c>
      <c r="B234" s="143">
        <v>1.8951090509795588E-2</v>
      </c>
      <c r="C234" s="143">
        <v>2.0072390161271235E-2</v>
      </c>
      <c r="D234" s="143">
        <v>2.0398899897059994E-2</v>
      </c>
      <c r="E234" s="143">
        <v>3.0194042605155534E-2</v>
      </c>
      <c r="F234" s="143">
        <v>3.757332901142818E-2</v>
      </c>
      <c r="G234" s="143">
        <v>2.7340351107841051E-2</v>
      </c>
      <c r="H234" s="143">
        <v>9.4125991843117374E-2</v>
      </c>
      <c r="I234" s="143">
        <v>0.1881121301011727</v>
      </c>
      <c r="J234" s="143">
        <v>0.27279731424309578</v>
      </c>
      <c r="K234" s="143">
        <v>0.19303273435048965</v>
      </c>
      <c r="L234" s="143">
        <v>5.4662422643812901E-2</v>
      </c>
      <c r="M234" s="89">
        <v>4.0985893111665443E-2</v>
      </c>
    </row>
    <row r="235" spans="1:13" x14ac:dyDescent="0.3">
      <c r="A235" s="134" t="s">
        <v>373</v>
      </c>
      <c r="B235" s="143">
        <v>0</v>
      </c>
      <c r="C235" s="143">
        <v>0</v>
      </c>
      <c r="D235" s="143">
        <v>0</v>
      </c>
      <c r="E235" s="143">
        <v>0</v>
      </c>
      <c r="F235" s="143">
        <v>0</v>
      </c>
      <c r="G235" s="143">
        <v>5.4819306478374333E-3</v>
      </c>
      <c r="H235" s="143">
        <v>3.4157243342015836E-2</v>
      </c>
      <c r="I235" s="143">
        <v>0.16027457696472894</v>
      </c>
      <c r="J235" s="143">
        <v>0.43169154418002015</v>
      </c>
      <c r="K235" s="143">
        <v>0.32120038164391135</v>
      </c>
      <c r="L235" s="143">
        <v>4.7194575398971872E-2</v>
      </c>
      <c r="M235" s="89">
        <v>0</v>
      </c>
    </row>
    <row r="236" spans="1:13" x14ac:dyDescent="0.3">
      <c r="A236" s="134" t="s">
        <v>418</v>
      </c>
      <c r="B236" s="143">
        <v>9.2125361825374716E-3</v>
      </c>
      <c r="C236" s="143">
        <v>0</v>
      </c>
      <c r="D236" s="143">
        <v>1.9233949749381626E-2</v>
      </c>
      <c r="E236" s="143">
        <v>0</v>
      </c>
      <c r="F236" s="143">
        <v>0</v>
      </c>
      <c r="G236" s="143">
        <v>4.0765256499497547E-3</v>
      </c>
      <c r="H236" s="143">
        <v>0.16716078752946567</v>
      </c>
      <c r="I236" s="143">
        <v>0.22471629386534661</v>
      </c>
      <c r="J236" s="143">
        <v>0.35611373176918232</v>
      </c>
      <c r="K236" s="143">
        <v>0.16864073673426586</v>
      </c>
      <c r="L236" s="143">
        <v>1.9444030984041197E-2</v>
      </c>
      <c r="M236" s="89">
        <v>0</v>
      </c>
    </row>
    <row r="237" spans="1:13" x14ac:dyDescent="0.3">
      <c r="A237" s="134" t="s">
        <v>538</v>
      </c>
      <c r="B237" s="143">
        <v>4.8176636987198262E-2</v>
      </c>
      <c r="C237" s="143">
        <v>6.1353751309187965E-2</v>
      </c>
      <c r="D237" s="143">
        <v>4.4904507704114215E-2</v>
      </c>
      <c r="E237" s="143">
        <v>9.1901069863100232E-2</v>
      </c>
      <c r="F237" s="143">
        <v>0.13240248223293577</v>
      </c>
      <c r="G237" s="143">
        <v>4.5109511183203096E-2</v>
      </c>
      <c r="H237" s="143">
        <v>5.0862839715260739E-2</v>
      </c>
      <c r="I237" s="143">
        <v>0.11852107260909181</v>
      </c>
      <c r="J237" s="143">
        <v>0.13008821881123089</v>
      </c>
      <c r="K237" s="143">
        <v>0.10149987755724875</v>
      </c>
      <c r="L237" s="143">
        <v>6.5887900839373667E-2</v>
      </c>
      <c r="M237" s="89">
        <v>0.10929195082931117</v>
      </c>
    </row>
    <row r="238" spans="1:13" x14ac:dyDescent="0.3">
      <c r="A238" s="134" t="s">
        <v>625</v>
      </c>
      <c r="B238" s="143">
        <v>4.5812534075460744E-2</v>
      </c>
      <c r="C238" s="143">
        <v>8.8365987119138706E-2</v>
      </c>
      <c r="D238" s="143">
        <v>6.3362474244213512E-2</v>
      </c>
      <c r="E238" s="143">
        <v>8.641559410637624E-2</v>
      </c>
      <c r="F238" s="143">
        <v>0.11523574104142741</v>
      </c>
      <c r="G238" s="143">
        <v>5.5050758765482849E-2</v>
      </c>
      <c r="H238" s="143">
        <v>7.5561662881372033E-2</v>
      </c>
      <c r="I238" s="143">
        <v>9.2981530731386958E-2</v>
      </c>
      <c r="J238" s="143">
        <v>9.8228070762673883E-2</v>
      </c>
      <c r="K238" s="143">
        <v>9.2985816983488262E-2</v>
      </c>
      <c r="L238" s="143">
        <v>7.9982604019048262E-2</v>
      </c>
      <c r="M238" s="89">
        <v>0.10601659168163574</v>
      </c>
    </row>
    <row r="239" spans="1:13" x14ac:dyDescent="0.3">
      <c r="A239" s="134" t="s">
        <v>668</v>
      </c>
      <c r="B239" s="143">
        <v>0</v>
      </c>
      <c r="C239" s="143">
        <v>0</v>
      </c>
      <c r="D239" s="143">
        <v>0</v>
      </c>
      <c r="E239" s="143">
        <v>0</v>
      </c>
      <c r="F239" s="143">
        <v>0</v>
      </c>
      <c r="G239" s="143">
        <v>1.2844111929466615E-2</v>
      </c>
      <c r="H239" s="143">
        <v>0.14927831065365926</v>
      </c>
      <c r="I239" s="143">
        <v>0.27728413875629071</v>
      </c>
      <c r="J239" s="143">
        <v>0.32860553610692789</v>
      </c>
      <c r="K239" s="143">
        <v>0.21968485499684401</v>
      </c>
      <c r="L239" s="143">
        <v>1.2303020067228294E-2</v>
      </c>
      <c r="M239" s="89">
        <v>0</v>
      </c>
    </row>
    <row r="240" spans="1:13" x14ac:dyDescent="0.3">
      <c r="A240" s="134" t="s">
        <v>695</v>
      </c>
      <c r="B240" s="143">
        <v>0</v>
      </c>
      <c r="C240" s="143">
        <v>0</v>
      </c>
      <c r="D240" s="143">
        <v>0</v>
      </c>
      <c r="E240" s="143">
        <v>0</v>
      </c>
      <c r="F240" s="143">
        <v>0</v>
      </c>
      <c r="G240" s="143">
        <v>2.8890804664116584E-2</v>
      </c>
      <c r="H240" s="143">
        <v>0.12019187534366527</v>
      </c>
      <c r="I240" s="143">
        <v>0.3210049474149182</v>
      </c>
      <c r="J240" s="143">
        <v>0.3014573332767449</v>
      </c>
      <c r="K240" s="143">
        <v>0.20428271733016184</v>
      </c>
      <c r="L240" s="143">
        <v>2.4172593623600375E-2</v>
      </c>
      <c r="M240" s="89">
        <v>0</v>
      </c>
    </row>
    <row r="241" spans="1:13" x14ac:dyDescent="0.3">
      <c r="A241" s="134" t="s">
        <v>711</v>
      </c>
      <c r="B241" s="143">
        <v>8.1890927706282868E-2</v>
      </c>
      <c r="C241" s="143">
        <v>6.1007284919591821E-2</v>
      </c>
      <c r="D241" s="143">
        <v>3.8041983048526261E-2</v>
      </c>
      <c r="E241" s="143">
        <v>0.10144528812940336</v>
      </c>
      <c r="F241" s="143">
        <v>0.14170089737115671</v>
      </c>
      <c r="G241" s="143">
        <v>2.7135170086679067E-2</v>
      </c>
      <c r="H241" s="143">
        <v>0.13948727117792958</v>
      </c>
      <c r="I241" s="143">
        <v>7.3870339903825397E-2</v>
      </c>
      <c r="J241" s="143">
        <v>0.11412594914557878</v>
      </c>
      <c r="K241" s="143">
        <v>0.10144528812940336</v>
      </c>
      <c r="L241" s="143">
        <v>7.6083966097052522E-2</v>
      </c>
      <c r="M241" s="89">
        <v>4.3765269235124804E-2</v>
      </c>
    </row>
    <row r="242" spans="1:13" x14ac:dyDescent="0.3">
      <c r="A242" s="134" t="s">
        <v>856</v>
      </c>
      <c r="B242" s="143">
        <v>1.3216618073489799E-2</v>
      </c>
      <c r="C242" s="143">
        <v>6.6083090367449002E-3</v>
      </c>
      <c r="D242" s="143">
        <v>2.5158196307004468E-2</v>
      </c>
      <c r="E242" s="143">
        <v>4.625816325721431E-2</v>
      </c>
      <c r="F242" s="143">
        <v>3.3041545183724499E-2</v>
      </c>
      <c r="G242" s="143">
        <v>4.2062562708936581E-2</v>
      </c>
      <c r="H242" s="143">
        <v>7.6911864271459837E-2</v>
      </c>
      <c r="I242" s="143">
        <v>0.14538279880838778</v>
      </c>
      <c r="J242" s="143">
        <v>0.2621267870600123</v>
      </c>
      <c r="K242" s="143">
        <v>0.1802694864276192</v>
      </c>
      <c r="L242" s="143">
        <v>8.7004588065098379E-2</v>
      </c>
      <c r="M242" s="89">
        <v>8.1958948620730762E-2</v>
      </c>
    </row>
    <row r="243" spans="1:13" x14ac:dyDescent="0.3">
      <c r="A243" s="134" t="s">
        <v>895</v>
      </c>
      <c r="B243" s="143">
        <v>9.3495934959349589E-2</v>
      </c>
      <c r="C243" s="143">
        <v>5.0135501355013552E-2</v>
      </c>
      <c r="D243" s="143">
        <v>0.12330623306233063</v>
      </c>
      <c r="E243" s="143">
        <v>5.4200542005420058E-2</v>
      </c>
      <c r="F243" s="143">
        <v>7.7235772357723581E-2</v>
      </c>
      <c r="G243" s="143">
        <v>8.943089430894309E-2</v>
      </c>
      <c r="H243" s="143">
        <v>0.1043360433604336</v>
      </c>
      <c r="I243" s="143">
        <v>6.097560975609756E-2</v>
      </c>
      <c r="J243" s="143">
        <v>7.4525745257452577E-2</v>
      </c>
      <c r="K243" s="143">
        <v>7.9945799457994585E-2</v>
      </c>
      <c r="L243" s="143">
        <v>9.0785907859078585E-2</v>
      </c>
      <c r="M243" s="89">
        <v>0.1016260162601626</v>
      </c>
    </row>
    <row r="244" spans="1:13" x14ac:dyDescent="0.3">
      <c r="A244" s="134" t="s">
        <v>963</v>
      </c>
      <c r="B244" s="143">
        <v>0</v>
      </c>
      <c r="C244" s="143">
        <v>0</v>
      </c>
      <c r="D244" s="143">
        <v>0</v>
      </c>
      <c r="E244" s="143">
        <v>0</v>
      </c>
      <c r="F244" s="143">
        <v>0</v>
      </c>
      <c r="G244" s="143">
        <v>0</v>
      </c>
      <c r="H244" s="143">
        <v>0.18257463723928827</v>
      </c>
      <c r="I244" s="143">
        <v>0.44955123663210017</v>
      </c>
      <c r="J244" s="143">
        <v>0.31731221042748015</v>
      </c>
      <c r="K244" s="143">
        <v>5.0560963345151165E-2</v>
      </c>
      <c r="L244" s="143">
        <v>0</v>
      </c>
      <c r="M244" s="89">
        <v>0</v>
      </c>
    </row>
    <row r="245" spans="1:13" x14ac:dyDescent="0.3">
      <c r="A245" s="134" t="s">
        <v>1000</v>
      </c>
      <c r="B245" s="143">
        <v>5.1364336785009859E-2</v>
      </c>
      <c r="C245" s="143">
        <v>7.0625963079388551E-2</v>
      </c>
      <c r="D245" s="143">
        <v>3.5312981539694276E-2</v>
      </c>
      <c r="E245" s="143">
        <v>0.12841084196252464</v>
      </c>
      <c r="F245" s="143">
        <v>0.15890841692862426</v>
      </c>
      <c r="G245" s="143">
        <v>5.9390014407667648E-2</v>
      </c>
      <c r="H245" s="143">
        <v>5.1364336785009859E-2</v>
      </c>
      <c r="I245" s="143">
        <v>5.778487888313609E-2</v>
      </c>
      <c r="J245" s="143">
        <v>7.8651640702046346E-2</v>
      </c>
      <c r="K245" s="143">
        <v>5.2969472309541417E-2</v>
      </c>
      <c r="L245" s="143">
        <v>0.11556975776627218</v>
      </c>
      <c r="M245" s="89">
        <v>0.13964679063424557</v>
      </c>
    </row>
    <row r="246" spans="1:13" x14ac:dyDescent="0.3">
      <c r="A246" s="134" t="s">
        <v>1028</v>
      </c>
      <c r="B246" s="143">
        <v>4.3735347898384923E-2</v>
      </c>
      <c r="C246" s="143">
        <v>9.4374240213367072E-2</v>
      </c>
      <c r="D246" s="143">
        <v>6.1890438631671194E-2</v>
      </c>
      <c r="E246" s="143">
        <v>8.9384982769975169E-2</v>
      </c>
      <c r="F246" s="143">
        <v>0.13936094181496883</v>
      </c>
      <c r="G246" s="143">
        <v>5.5489542349181797E-2</v>
      </c>
      <c r="H246" s="143">
        <v>6.1890438631671194E-2</v>
      </c>
      <c r="I246" s="143">
        <v>7.4268526358005432E-2</v>
      </c>
      <c r="J246" s="143">
        <v>0.10530929808580219</v>
      </c>
      <c r="K246" s="143">
        <v>8.6647575183294967E-2</v>
      </c>
      <c r="L246" s="143">
        <v>6.189808734715168E-2</v>
      </c>
      <c r="M246" s="89">
        <v>0.12574883266459572</v>
      </c>
    </row>
    <row r="247" spans="1:13" x14ac:dyDescent="0.3">
      <c r="A247" s="134" t="s">
        <v>1061</v>
      </c>
      <c r="B247" s="143">
        <v>1.5830227966883187E-2</v>
      </c>
      <c r="C247" s="143">
        <v>1.0826294478235103E-2</v>
      </c>
      <c r="D247" s="143">
        <v>5.6708710995920075E-3</v>
      </c>
      <c r="E247" s="143">
        <v>2.7102224155545231E-2</v>
      </c>
      <c r="F247" s="143">
        <v>2.4754509219873645E-2</v>
      </c>
      <c r="G247" s="143">
        <v>1.6937075732515589E-2</v>
      </c>
      <c r="H247" s="143">
        <v>0.16154035304061701</v>
      </c>
      <c r="I247" s="143">
        <v>0.19111398508563199</v>
      </c>
      <c r="J247" s="143">
        <v>0.29687046097564374</v>
      </c>
      <c r="K247" s="143">
        <v>0.17433226590123932</v>
      </c>
      <c r="L247" s="143">
        <v>4.4602319850973432E-2</v>
      </c>
      <c r="M247" s="89">
        <v>3.041876042941748E-2</v>
      </c>
    </row>
    <row r="248" spans="1:13" x14ac:dyDescent="0.3">
      <c r="A248" s="134" t="s">
        <v>1114</v>
      </c>
      <c r="B248" s="143">
        <v>0</v>
      </c>
      <c r="C248" s="143">
        <v>0</v>
      </c>
      <c r="D248" s="143">
        <v>3.3018529063594091E-3</v>
      </c>
      <c r="E248" s="143">
        <v>8.416856649148383E-3</v>
      </c>
      <c r="F248" s="143">
        <v>0</v>
      </c>
      <c r="G248" s="143">
        <v>2.0936960691526809E-2</v>
      </c>
      <c r="H248" s="143">
        <v>9.9258793391909586E-2</v>
      </c>
      <c r="I248" s="143">
        <v>0.31643059286727898</v>
      </c>
      <c r="J248" s="143">
        <v>0.30321525519668613</v>
      </c>
      <c r="K248" s="143">
        <v>0.18952189746469894</v>
      </c>
      <c r="L248" s="143">
        <v>4.2084283245741913E-2</v>
      </c>
      <c r="M248" s="89">
        <v>1.6833713298296762E-2</v>
      </c>
    </row>
    <row r="249" spans="1:13" x14ac:dyDescent="0.3">
      <c r="A249" s="134" t="s">
        <v>1120</v>
      </c>
      <c r="B249" s="143">
        <v>0</v>
      </c>
      <c r="C249" s="143">
        <v>0</v>
      </c>
      <c r="D249" s="143">
        <v>0</v>
      </c>
      <c r="E249" s="143">
        <v>0</v>
      </c>
      <c r="F249" s="143">
        <v>0</v>
      </c>
      <c r="G249" s="143">
        <v>1.0381811336111969E-2</v>
      </c>
      <c r="H249" s="143">
        <v>3.6057237318996876E-2</v>
      </c>
      <c r="I249" s="143">
        <v>0.1852152811032359</v>
      </c>
      <c r="J249" s="143">
        <v>0.36622742578220591</v>
      </c>
      <c r="K249" s="143">
        <v>0.30866859243901684</v>
      </c>
      <c r="L249" s="143">
        <v>7.0566935656581398E-2</v>
      </c>
      <c r="M249" s="89">
        <v>2.2883070068887245E-2</v>
      </c>
    </row>
    <row r="252" spans="1:13" x14ac:dyDescent="0.3">
      <c r="A252" s="134" t="s">
        <v>1750</v>
      </c>
      <c r="B252" s="146" t="s">
        <v>1751</v>
      </c>
      <c r="C252" s="147" t="s">
        <v>1752</v>
      </c>
    </row>
    <row r="253" spans="1:13" x14ac:dyDescent="0.3">
      <c r="A253" s="34">
        <v>1</v>
      </c>
      <c r="B253" s="116">
        <v>6462.2121464691181</v>
      </c>
      <c r="C253" s="123">
        <v>1.8951090509795588E-2</v>
      </c>
    </row>
    <row r="254" spans="1:13" x14ac:dyDescent="0.3">
      <c r="A254" s="34">
        <v>2</v>
      </c>
      <c r="B254" s="116">
        <v>6844.5688358560483</v>
      </c>
      <c r="C254" s="123">
        <v>2.0072390161271235E-2</v>
      </c>
    </row>
    <row r="255" spans="1:13" x14ac:dyDescent="0.3">
      <c r="A255" s="34">
        <v>3</v>
      </c>
      <c r="B255" s="116">
        <v>6955.9067654313376</v>
      </c>
      <c r="C255" s="123">
        <v>2.0398899897059994E-2</v>
      </c>
    </row>
    <row r="256" spans="1:13" x14ac:dyDescent="0.3">
      <c r="A256" s="34">
        <v>4</v>
      </c>
      <c r="B256" s="116">
        <v>10295.993719896322</v>
      </c>
      <c r="C256" s="123">
        <v>3.0194042605155534E-2</v>
      </c>
    </row>
    <row r="257" spans="1:38" x14ac:dyDescent="0.3">
      <c r="A257" s="34">
        <v>5</v>
      </c>
      <c r="B257" s="116">
        <v>12812.287662043924</v>
      </c>
      <c r="C257" s="123">
        <v>3.757332901142818E-2</v>
      </c>
    </row>
    <row r="258" spans="1:38" x14ac:dyDescent="0.3">
      <c r="A258" s="34">
        <v>6</v>
      </c>
      <c r="B258" s="116">
        <v>9322.9014407639261</v>
      </c>
      <c r="C258" s="123">
        <v>2.7340351107841051E-2</v>
      </c>
    </row>
    <row r="259" spans="1:38" x14ac:dyDescent="0.3">
      <c r="A259" s="34">
        <v>7</v>
      </c>
      <c r="B259" s="116">
        <v>32096.418275910979</v>
      </c>
      <c r="C259" s="123">
        <v>9.4125991843117374E-2</v>
      </c>
    </row>
    <row r="260" spans="1:38" x14ac:dyDescent="0.3">
      <c r="A260" s="34">
        <v>8</v>
      </c>
      <c r="B260" s="116">
        <v>64145.147288998371</v>
      </c>
      <c r="C260" s="123">
        <v>0.1881121301011727</v>
      </c>
    </row>
    <row r="261" spans="1:38" x14ac:dyDescent="0.3">
      <c r="A261" s="34">
        <v>9</v>
      </c>
      <c r="B261" s="116">
        <v>93022.304796374563</v>
      </c>
      <c r="C261" s="123">
        <v>0.27279731424309578</v>
      </c>
    </row>
    <row r="262" spans="1:38" x14ac:dyDescent="0.3">
      <c r="A262" s="34">
        <v>10</v>
      </c>
      <c r="B262" s="116">
        <v>65823.044850168662</v>
      </c>
      <c r="C262" s="123">
        <v>0.19303273435048965</v>
      </c>
    </row>
    <row r="263" spans="1:38" x14ac:dyDescent="0.3">
      <c r="A263" s="34">
        <v>11</v>
      </c>
      <c r="B263" s="116">
        <v>18639.569653350067</v>
      </c>
      <c r="C263" s="123">
        <v>5.4662422643812901E-2</v>
      </c>
    </row>
    <row r="264" spans="1:38" x14ac:dyDescent="0.3">
      <c r="A264" s="34">
        <v>12</v>
      </c>
      <c r="B264" s="116">
        <v>13975.952263179088</v>
      </c>
      <c r="C264" s="123">
        <v>4.0985893111665443E-2</v>
      </c>
    </row>
    <row r="267" spans="1:38" x14ac:dyDescent="0.3">
      <c r="A267" s="156" t="s">
        <v>3</v>
      </c>
      <c r="B267" s="156" t="s">
        <v>1389</v>
      </c>
      <c r="C267" s="156" t="s">
        <v>1391</v>
      </c>
      <c r="D267" s="134" t="s">
        <v>1318</v>
      </c>
      <c r="E267" s="134" t="s">
        <v>1392</v>
      </c>
      <c r="F267" s="134" t="s">
        <v>1393</v>
      </c>
      <c r="G267" s="134" t="s">
        <v>1394</v>
      </c>
      <c r="H267" s="134" t="s">
        <v>1395</v>
      </c>
      <c r="I267" s="134" t="s">
        <v>1322</v>
      </c>
      <c r="J267" s="134" t="s">
        <v>1397</v>
      </c>
      <c r="K267" s="134" t="s">
        <v>1398</v>
      </c>
      <c r="L267" s="134" t="s">
        <v>1321</v>
      </c>
      <c r="M267" s="134" t="s">
        <v>1427</v>
      </c>
      <c r="N267" s="134" t="s">
        <v>1399</v>
      </c>
      <c r="O267" s="134" t="s">
        <v>1400</v>
      </c>
      <c r="P267" s="134" t="s">
        <v>1445</v>
      </c>
      <c r="Q267" s="134" t="s">
        <v>1401</v>
      </c>
      <c r="R267" s="134" t="s">
        <v>1441</v>
      </c>
      <c r="S267" s="134" t="s">
        <v>1440</v>
      </c>
      <c r="T267" s="134" t="s">
        <v>1426</v>
      </c>
      <c r="U267" s="134" t="s">
        <v>1322</v>
      </c>
      <c r="V267" s="134" t="s">
        <v>1428</v>
      </c>
      <c r="W267" s="156" t="s">
        <v>1402</v>
      </c>
      <c r="X267" s="156" t="s">
        <v>1403</v>
      </c>
      <c r="Y267" s="156"/>
      <c r="Z267" s="156"/>
      <c r="AA267" s="156"/>
      <c r="AB267" s="156" t="s">
        <v>1407</v>
      </c>
      <c r="AC267" s="134" t="s">
        <v>1408</v>
      </c>
      <c r="AD267" s="134" t="s">
        <v>1410</v>
      </c>
      <c r="AE267" s="134" t="s">
        <v>1411</v>
      </c>
      <c r="AF267" s="134" t="s">
        <v>71</v>
      </c>
      <c r="AG267" s="134" t="s">
        <v>1419</v>
      </c>
      <c r="AH267" s="134" t="s">
        <v>1420</v>
      </c>
      <c r="AI267" s="134" t="s">
        <v>1421</v>
      </c>
      <c r="AJ267" s="134" t="s">
        <v>1422</v>
      </c>
      <c r="AK267" s="134" t="s">
        <v>1423</v>
      </c>
      <c r="AL267" s="134" t="s">
        <v>1416</v>
      </c>
    </row>
    <row r="268" spans="1:38" x14ac:dyDescent="0.3">
      <c r="A268" s="34" t="s">
        <v>1000</v>
      </c>
      <c r="B268" s="137"/>
      <c r="C268" s="152">
        <v>46332</v>
      </c>
      <c r="D268" s="153">
        <v>129</v>
      </c>
      <c r="E268" s="34"/>
      <c r="F268" s="34" t="s">
        <v>1325</v>
      </c>
      <c r="G268" s="34">
        <v>0</v>
      </c>
      <c r="H268" s="137">
        <v>150000000</v>
      </c>
      <c r="I268" s="137">
        <v>12256230</v>
      </c>
      <c r="J268" s="137">
        <v>250000.5</v>
      </c>
      <c r="K268" s="137">
        <v>250000.5</v>
      </c>
      <c r="L268" s="137">
        <v>250000</v>
      </c>
      <c r="M268" s="137"/>
      <c r="N268" s="34">
        <v>0</v>
      </c>
      <c r="O268" s="34">
        <v>102.4</v>
      </c>
      <c r="P268" s="154">
        <v>8.1708199999999995E-2</v>
      </c>
      <c r="Q268" s="155">
        <v>1.6666700000000001E-3</v>
      </c>
      <c r="R268" s="155">
        <v>4.3428769999999998E-2</v>
      </c>
      <c r="S268" s="155">
        <v>0</v>
      </c>
      <c r="T268" s="34">
        <v>6.8990380000000004E-2</v>
      </c>
      <c r="U268" s="155">
        <v>20427.090854099999</v>
      </c>
      <c r="V268" s="137">
        <v>87500.175000000003</v>
      </c>
      <c r="W268" s="137">
        <v>256000.51200000002</v>
      </c>
      <c r="X268" s="137">
        <v>1946.8788937500001</v>
      </c>
      <c r="Y268" s="137">
        <v>20829.125148716455</v>
      </c>
      <c r="Z268" s="137">
        <v>0</v>
      </c>
      <c r="AA268" s="137">
        <v>250000.5</v>
      </c>
      <c r="AB268" s="137">
        <v>6.2500125000000004E-2</v>
      </c>
      <c r="AC268" s="155">
        <v>0</v>
      </c>
      <c r="AD268" s="34">
        <v>0</v>
      </c>
      <c r="AE268" s="34">
        <v>0</v>
      </c>
      <c r="AF268" s="34">
        <v>0</v>
      </c>
      <c r="AG268" s="34">
        <v>0</v>
      </c>
      <c r="AH268" s="34">
        <v>9.5308671589877159E-2</v>
      </c>
      <c r="AI268" s="155">
        <v>57500.114999999998</v>
      </c>
      <c r="AJ268" s="137">
        <v>18480.21196035</v>
      </c>
      <c r="AK268" s="137">
        <v>0.32139434782608695</v>
      </c>
      <c r="AL268" s="155" t="s">
        <v>1003</v>
      </c>
    </row>
    <row r="269" spans="1:38" x14ac:dyDescent="0.3">
      <c r="A269" s="34" t="s">
        <v>538</v>
      </c>
      <c r="B269" s="137"/>
      <c r="C269" s="152">
        <v>46484</v>
      </c>
      <c r="D269" s="153">
        <v>281</v>
      </c>
      <c r="E269" s="34"/>
      <c r="F269" s="34" t="s">
        <v>1325</v>
      </c>
      <c r="G269" s="34">
        <v>0</v>
      </c>
      <c r="H269" s="137">
        <v>250000000</v>
      </c>
      <c r="I269" s="137">
        <v>9300714</v>
      </c>
      <c r="J269" s="137">
        <v>250000</v>
      </c>
      <c r="K269" s="137">
        <v>250000</v>
      </c>
      <c r="L269" s="137">
        <v>250000</v>
      </c>
      <c r="M269" s="137"/>
      <c r="N269" s="34">
        <v>0</v>
      </c>
      <c r="O269" s="34">
        <v>103.85</v>
      </c>
      <c r="P269" s="154">
        <v>9.3007140000000002E-2</v>
      </c>
      <c r="Q269" s="155">
        <v>2.5000000000000001E-3</v>
      </c>
      <c r="R269" s="155">
        <v>5.4388600000000002E-2</v>
      </c>
      <c r="S269" s="155">
        <v>0</v>
      </c>
      <c r="T269" s="34">
        <v>7.5250440000000002E-2</v>
      </c>
      <c r="U269" s="155">
        <v>23251.785</v>
      </c>
      <c r="V269" s="137">
        <v>139570.60800681467</v>
      </c>
      <c r="W269" s="137">
        <v>259625</v>
      </c>
      <c r="X269" s="137">
        <v>1669.5596988802561</v>
      </c>
      <c r="Y269" s="137">
        <v>19286.86242884555</v>
      </c>
      <c r="Z269" s="137">
        <v>0</v>
      </c>
      <c r="AA269" s="137">
        <v>250000</v>
      </c>
      <c r="AB269" s="137">
        <v>6.25E-2</v>
      </c>
      <c r="AC269" s="155">
        <v>0</v>
      </c>
      <c r="AD269" s="34">
        <v>0</v>
      </c>
      <c r="AE269" s="34">
        <v>0</v>
      </c>
      <c r="AF269" s="34">
        <v>0</v>
      </c>
      <c r="AG269" s="34">
        <v>0</v>
      </c>
      <c r="AH269" s="34">
        <v>7.1803506650360657E-2</v>
      </c>
      <c r="AI269" s="155">
        <v>99626.58540696316</v>
      </c>
      <c r="AJ269" s="137">
        <v>21582.225301119743</v>
      </c>
      <c r="AK269" s="137">
        <v>0.21663118547081414</v>
      </c>
      <c r="AL269" s="155" t="s">
        <v>541</v>
      </c>
    </row>
    <row r="270" spans="1:38" x14ac:dyDescent="0.3">
      <c r="A270" s="34" t="s">
        <v>668</v>
      </c>
      <c r="B270" s="137"/>
      <c r="C270" s="152">
        <v>46395</v>
      </c>
      <c r="D270" s="153">
        <v>192</v>
      </c>
      <c r="E270" s="34"/>
      <c r="F270" s="34" t="s">
        <v>1325</v>
      </c>
      <c r="G270" s="34">
        <v>0</v>
      </c>
      <c r="H270" s="137">
        <v>600000000</v>
      </c>
      <c r="I270" s="137">
        <v>18120000</v>
      </c>
      <c r="J270" s="137">
        <v>250000</v>
      </c>
      <c r="K270" s="137">
        <v>250000</v>
      </c>
      <c r="L270" s="137">
        <v>250000</v>
      </c>
      <c r="M270" s="137"/>
      <c r="N270" s="34">
        <v>0</v>
      </c>
      <c r="O270" s="34">
        <v>102.85</v>
      </c>
      <c r="P270" s="154">
        <v>9.06E-2</v>
      </c>
      <c r="Q270" s="155">
        <v>1.25E-3</v>
      </c>
      <c r="R270" s="155">
        <v>5.2493049999999999E-2</v>
      </c>
      <c r="S270" s="155">
        <v>0</v>
      </c>
      <c r="T270" s="34">
        <v>7.6703099999999996E-2</v>
      </c>
      <c r="U270" s="155">
        <v>22650</v>
      </c>
      <c r="V270" s="137">
        <v>124999.99875000003</v>
      </c>
      <c r="W270" s="137">
        <v>257125</v>
      </c>
      <c r="X270" s="137">
        <v>5261.3498553676882</v>
      </c>
      <c r="Y270" s="137">
        <v>34138.576508037724</v>
      </c>
      <c r="Z270" s="137">
        <v>249999.99750000006</v>
      </c>
      <c r="AA270" s="137">
        <v>249999.99750000008</v>
      </c>
      <c r="AB270" s="137">
        <v>6.25E-2</v>
      </c>
      <c r="AC270" s="155">
        <v>0</v>
      </c>
      <c r="AD270" s="34">
        <v>0</v>
      </c>
      <c r="AE270" s="34">
        <v>0</v>
      </c>
      <c r="AF270" s="34">
        <v>0</v>
      </c>
      <c r="AG270" s="34">
        <v>0</v>
      </c>
      <c r="AH270" s="34">
        <v>0.23228917683742553</v>
      </c>
      <c r="AI270" s="155">
        <v>42756.66036757746</v>
      </c>
      <c r="AJ270" s="137">
        <v>17388.650144632313</v>
      </c>
      <c r="AK270" s="137">
        <v>0.4066886888532153</v>
      </c>
      <c r="AL270" s="155" t="s">
        <v>671</v>
      </c>
    </row>
    <row r="271" spans="1:38" x14ac:dyDescent="0.3">
      <c r="A271" s="34" t="s">
        <v>963</v>
      </c>
      <c r="B271" s="137"/>
      <c r="C271" s="152">
        <v>46395</v>
      </c>
      <c r="D271" s="153">
        <v>192</v>
      </c>
      <c r="E271" s="34"/>
      <c r="F271" s="34" t="s">
        <v>1325</v>
      </c>
      <c r="G271" s="34">
        <v>0</v>
      </c>
      <c r="H271" s="137">
        <v>400000000</v>
      </c>
      <c r="I271" s="137">
        <v>20017500</v>
      </c>
      <c r="J271" s="137">
        <v>249999.45</v>
      </c>
      <c r="K271" s="137">
        <v>249999.45</v>
      </c>
      <c r="L271" s="137">
        <v>250000</v>
      </c>
      <c r="M271" s="137"/>
      <c r="N271" s="34">
        <v>0</v>
      </c>
      <c r="O271" s="34">
        <v>102.3</v>
      </c>
      <c r="P271" s="154">
        <v>7.85E-2</v>
      </c>
      <c r="Q271" s="155">
        <v>9.8039000000000004E-4</v>
      </c>
      <c r="R271" s="155">
        <v>4.0195000000000002E-2</v>
      </c>
      <c r="S271" s="155">
        <v>0</v>
      </c>
      <c r="T271" s="34">
        <v>6.7969870000000002E-2</v>
      </c>
      <c r="U271" s="155">
        <v>19624.956825000001</v>
      </c>
      <c r="V271" s="137">
        <v>0</v>
      </c>
      <c r="W271" s="137">
        <v>255749.43734999999</v>
      </c>
      <c r="X271" s="137">
        <v>407.35961204826793</v>
      </c>
      <c r="Y271" s="137">
        <v>9001.9858960103247</v>
      </c>
      <c r="Z271" s="137">
        <v>0</v>
      </c>
      <c r="AA271" s="137">
        <v>97412.904708811286</v>
      </c>
      <c r="AB271" s="137">
        <v>6.2499862500000003E-2</v>
      </c>
      <c r="AC271" s="155">
        <v>0</v>
      </c>
      <c r="AD271" s="34">
        <v>0</v>
      </c>
      <c r="AE271" s="34">
        <v>0</v>
      </c>
      <c r="AF271" s="34">
        <v>0</v>
      </c>
      <c r="AG271" s="34">
        <v>0</v>
      </c>
      <c r="AH271" s="34">
        <v>2.0757223349879544E-2</v>
      </c>
      <c r="AI271" s="155">
        <v>1203.7957702624742</v>
      </c>
      <c r="AJ271" s="137">
        <v>19217.597212951732</v>
      </c>
      <c r="AK271" s="137">
        <v>15.964167417502679</v>
      </c>
      <c r="AL271" s="155" t="s">
        <v>966</v>
      </c>
    </row>
    <row r="272" spans="1:38" x14ac:dyDescent="0.3">
      <c r="A272" s="34" t="s">
        <v>1061</v>
      </c>
      <c r="B272" s="137"/>
      <c r="C272" s="152">
        <v>46395</v>
      </c>
      <c r="D272" s="153">
        <v>192</v>
      </c>
      <c r="E272" s="34"/>
      <c r="F272" s="34" t="s">
        <v>1325</v>
      </c>
      <c r="G272" s="34">
        <v>0</v>
      </c>
      <c r="H272" s="137">
        <v>301000000</v>
      </c>
      <c r="I272" s="137">
        <v>20180000</v>
      </c>
      <c r="J272" s="137">
        <v>250000</v>
      </c>
      <c r="K272" s="137">
        <v>250000</v>
      </c>
      <c r="L272" s="137">
        <v>250000</v>
      </c>
      <c r="M272" s="137"/>
      <c r="N272" s="34">
        <v>0</v>
      </c>
      <c r="O272" s="34">
        <v>103.1</v>
      </c>
      <c r="P272" s="154">
        <v>0.1009</v>
      </c>
      <c r="Q272" s="155">
        <v>1.25E-3</v>
      </c>
      <c r="R272" s="155">
        <v>6.2344139999999999E-2</v>
      </c>
      <c r="S272" s="155">
        <v>0</v>
      </c>
      <c r="T272" s="34">
        <v>8.4681469999999995E-2</v>
      </c>
      <c r="U272" s="155">
        <v>25225.000000000004</v>
      </c>
      <c r="V272" s="137">
        <v>231719.34507808808</v>
      </c>
      <c r="W272" s="137">
        <v>257750</v>
      </c>
      <c r="X272" s="137">
        <v>3592.3576575519787</v>
      </c>
      <c r="Y272" s="137">
        <v>28646.09637168363</v>
      </c>
      <c r="Z272" s="137">
        <v>250000.00103749998</v>
      </c>
      <c r="AA272" s="137">
        <v>250000.00103749998</v>
      </c>
      <c r="AB272" s="137">
        <v>6.25E-2</v>
      </c>
      <c r="AC272" s="155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0.14241259296539061</v>
      </c>
      <c r="AI272" s="155">
        <v>142091.66784942264</v>
      </c>
      <c r="AJ272" s="137">
        <v>21632.642342448024</v>
      </c>
      <c r="AK272" s="137">
        <v>0.15224427068709309</v>
      </c>
      <c r="AL272" s="155" t="s">
        <v>1064</v>
      </c>
    </row>
    <row r="273" spans="1:86" x14ac:dyDescent="0.3">
      <c r="A273" s="34" t="s">
        <v>1114</v>
      </c>
      <c r="B273" s="137"/>
      <c r="C273" s="152">
        <v>46849</v>
      </c>
      <c r="D273" s="153">
        <v>646</v>
      </c>
      <c r="E273" s="34"/>
      <c r="F273" s="34" t="s">
        <v>1325</v>
      </c>
      <c r="G273" s="34">
        <v>0</v>
      </c>
      <c r="H273" s="137">
        <v>300000000</v>
      </c>
      <c r="I273" s="137">
        <v>17920000</v>
      </c>
      <c r="J273" s="137">
        <v>250000</v>
      </c>
      <c r="K273" s="137">
        <v>250000</v>
      </c>
      <c r="L273" s="137">
        <v>250000</v>
      </c>
      <c r="M273" s="137"/>
      <c r="N273" s="34">
        <v>0</v>
      </c>
      <c r="O273" s="34">
        <v>100.65</v>
      </c>
      <c r="P273" s="154">
        <v>8.9599999999999999E-2</v>
      </c>
      <c r="Q273" s="155">
        <v>1.25E-3</v>
      </c>
      <c r="R273" s="155">
        <v>5.1341879999999999E-2</v>
      </c>
      <c r="S273" s="155">
        <v>0</v>
      </c>
      <c r="T273" s="34">
        <v>9.0424110000000002E-2</v>
      </c>
      <c r="U273" s="155">
        <v>22400</v>
      </c>
      <c r="V273" s="137">
        <v>187890.09220890724</v>
      </c>
      <c r="W273" s="137">
        <v>251625</v>
      </c>
      <c r="X273" s="137">
        <v>2970.2306110109016</v>
      </c>
      <c r="Y273" s="137">
        <v>25886.92579951205</v>
      </c>
      <c r="Z273" s="137">
        <v>212102.31331062448</v>
      </c>
      <c r="AA273" s="137">
        <v>250000.00125</v>
      </c>
      <c r="AB273" s="137">
        <v>6.25E-2</v>
      </c>
      <c r="AC273" s="155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0.13259958084870097</v>
      </c>
      <c r="AI273" s="155">
        <v>79021.406869956365</v>
      </c>
      <c r="AJ273" s="137">
        <v>19429.769388989098</v>
      </c>
      <c r="AK273" s="137">
        <v>0.24587982115990675</v>
      </c>
      <c r="AL273" s="155" t="s">
        <v>1117</v>
      </c>
    </row>
    <row r="274" spans="1:86" x14ac:dyDescent="0.3">
      <c r="A274" s="34" t="s">
        <v>373</v>
      </c>
      <c r="B274" s="137"/>
      <c r="C274" s="152">
        <v>46575</v>
      </c>
      <c r="D274" s="153">
        <v>372</v>
      </c>
      <c r="E274" s="34"/>
      <c r="F274" s="34" t="s">
        <v>1325</v>
      </c>
      <c r="G274" s="34">
        <v>200000000</v>
      </c>
      <c r="H274" s="137">
        <v>200000000</v>
      </c>
      <c r="I274" s="137">
        <v>20049718.5</v>
      </c>
      <c r="J274" s="137">
        <v>250000.5</v>
      </c>
      <c r="K274" s="137">
        <v>250000.5</v>
      </c>
      <c r="L274" s="137">
        <v>250000</v>
      </c>
      <c r="M274" s="137"/>
      <c r="N274" s="34">
        <v>0</v>
      </c>
      <c r="O274" s="34">
        <v>100.1</v>
      </c>
      <c r="P274" s="154">
        <v>0.13366479000000001</v>
      </c>
      <c r="Q274" s="155">
        <v>1.6666700000000001E-3</v>
      </c>
      <c r="R274" s="155">
        <v>9.4942250000000006E-2</v>
      </c>
      <c r="S274" s="155">
        <v>0</v>
      </c>
      <c r="T274" s="34">
        <v>0.13305328999999999</v>
      </c>
      <c r="U274" s="155">
        <v>33416.264332395003</v>
      </c>
      <c r="V274" s="137">
        <v>73727.295183409253</v>
      </c>
      <c r="W274" s="137">
        <v>250250.50049999997</v>
      </c>
      <c r="X274" s="137">
        <v>4186.0910556376493</v>
      </c>
      <c r="Y274" s="137">
        <v>28308.701808495527</v>
      </c>
      <c r="Z274" s="137">
        <v>209612.74096868146</v>
      </c>
      <c r="AA274" s="137">
        <v>250000.5</v>
      </c>
      <c r="AB274" s="137">
        <v>6.2500125000000004E-2</v>
      </c>
      <c r="AC274" s="155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0.12527106602934945</v>
      </c>
      <c r="AI274" s="155">
        <v>76091.341941543214</v>
      </c>
      <c r="AJ274" s="137">
        <v>29230.173276757356</v>
      </c>
      <c r="AK274" s="137">
        <v>0.38414585064373402</v>
      </c>
      <c r="AL274" s="155" t="s">
        <v>375</v>
      </c>
    </row>
    <row r="275" spans="1:86" x14ac:dyDescent="0.3">
      <c r="A275" s="34" t="s">
        <v>895</v>
      </c>
      <c r="B275" s="137"/>
      <c r="C275" s="152">
        <v>46762</v>
      </c>
      <c r="D275" s="153">
        <v>559</v>
      </c>
      <c r="E275" s="34"/>
      <c r="F275" s="34" t="s">
        <v>1325</v>
      </c>
      <c r="G275" s="34">
        <v>0</v>
      </c>
      <c r="H275" s="137">
        <v>100000000</v>
      </c>
      <c r="I275" s="137">
        <v>7310000</v>
      </c>
      <c r="J275" s="137">
        <v>250000</v>
      </c>
      <c r="K275" s="137">
        <v>250000</v>
      </c>
      <c r="L275" s="137">
        <v>250000</v>
      </c>
      <c r="M275" s="137"/>
      <c r="N275" s="34">
        <v>0</v>
      </c>
      <c r="O275" s="34">
        <v>101.6</v>
      </c>
      <c r="P275" s="154">
        <v>7.3099999999999998E-2</v>
      </c>
      <c r="Q275" s="155">
        <v>2.5000000000000001E-3</v>
      </c>
      <c r="R275" s="155">
        <v>3.4997439999999998E-2</v>
      </c>
      <c r="S275" s="155">
        <v>0</v>
      </c>
      <c r="T275" s="34">
        <v>6.9968119999999995E-2</v>
      </c>
      <c r="U275" s="155">
        <v>18275</v>
      </c>
      <c r="V275" s="137">
        <v>0</v>
      </c>
      <c r="W275" s="137">
        <v>254000</v>
      </c>
      <c r="X275" s="137">
        <v>2306.25</v>
      </c>
      <c r="Y275" s="137">
        <v>22853.282055047777</v>
      </c>
      <c r="Z275" s="137">
        <v>62500</v>
      </c>
      <c r="AA275" s="137">
        <v>250000</v>
      </c>
      <c r="AB275" s="137">
        <v>6.25E-2</v>
      </c>
      <c r="AC275" s="155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0.12619699042407662</v>
      </c>
      <c r="AI275" s="155">
        <v>6562.5</v>
      </c>
      <c r="AJ275" s="137">
        <v>15968.75</v>
      </c>
      <c r="AK275" s="137">
        <v>2.4333333333333331</v>
      </c>
      <c r="AL275" s="155" t="s">
        <v>898</v>
      </c>
    </row>
    <row r="276" spans="1:86" x14ac:dyDescent="0.3">
      <c r="A276" s="34" t="s">
        <v>1120</v>
      </c>
      <c r="B276" s="137"/>
      <c r="C276" s="152">
        <v>46850</v>
      </c>
      <c r="D276" s="153">
        <v>647</v>
      </c>
      <c r="E276" s="34"/>
      <c r="F276" s="34" t="s">
        <v>1325</v>
      </c>
      <c r="G276" s="34">
        <v>5000000</v>
      </c>
      <c r="H276" s="137">
        <v>5000000</v>
      </c>
      <c r="I276" s="137">
        <v>3142943.6999999997</v>
      </c>
      <c r="J276" s="137">
        <v>249999.9</v>
      </c>
      <c r="K276" s="137">
        <v>249999.9</v>
      </c>
      <c r="L276" s="137">
        <v>250000</v>
      </c>
      <c r="M276" s="137"/>
      <c r="N276" s="34">
        <v>0</v>
      </c>
      <c r="O276" s="34">
        <v>100.2</v>
      </c>
      <c r="P276" s="154">
        <v>0.10476479</v>
      </c>
      <c r="Q276" s="155">
        <v>8.3333299999999999E-3</v>
      </c>
      <c r="R276" s="155">
        <v>6.6102750000000002E-2</v>
      </c>
      <c r="S276" s="155">
        <v>0</v>
      </c>
      <c r="T276" s="34">
        <v>0.10367698</v>
      </c>
      <c r="U276" s="155">
        <v>26191.187023521001</v>
      </c>
      <c r="V276" s="137">
        <v>124999.95</v>
      </c>
      <c r="W276" s="137">
        <v>250499.89980000001</v>
      </c>
      <c r="X276" s="137">
        <v>7224.172555225301</v>
      </c>
      <c r="Y276" s="137">
        <v>40913.053250054218</v>
      </c>
      <c r="Z276" s="137">
        <v>249999.9</v>
      </c>
      <c r="AA276" s="137">
        <v>249999.90000000005</v>
      </c>
      <c r="AB276" s="137">
        <v>6.2499974999999999E-2</v>
      </c>
      <c r="AC276" s="155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0.27582455689150825</v>
      </c>
      <c r="AI276" s="155">
        <v>112873.97377722297</v>
      </c>
      <c r="AJ276" s="137">
        <v>18967.0144682957</v>
      </c>
      <c r="AK276" s="137">
        <v>0.16803709334917635</v>
      </c>
      <c r="AL276" s="155" t="s">
        <v>1121</v>
      </c>
    </row>
    <row r="277" spans="1:86" x14ac:dyDescent="0.3">
      <c r="A277" s="34" t="s">
        <v>711</v>
      </c>
      <c r="B277" s="137"/>
      <c r="C277" s="152">
        <v>47212</v>
      </c>
      <c r="D277" s="153">
        <v>1009</v>
      </c>
      <c r="E277" s="34"/>
      <c r="F277" s="34" t="s">
        <v>1325</v>
      </c>
      <c r="G277" s="34">
        <v>0</v>
      </c>
      <c r="H277" s="137">
        <v>150000000</v>
      </c>
      <c r="I277" s="137">
        <v>9324720</v>
      </c>
      <c r="J277" s="137">
        <v>250000.5</v>
      </c>
      <c r="K277" s="137">
        <v>250000.5</v>
      </c>
      <c r="L277" s="137">
        <v>250000</v>
      </c>
      <c r="M277" s="137"/>
      <c r="N277" s="34">
        <v>0</v>
      </c>
      <c r="O277" s="34">
        <v>101</v>
      </c>
      <c r="P277" s="154">
        <v>6.2164799999999999E-2</v>
      </c>
      <c r="Q277" s="155">
        <v>1.6666700000000001E-3</v>
      </c>
      <c r="R277" s="155">
        <v>2.3430280000000001E-2</v>
      </c>
      <c r="S277" s="155">
        <v>0</v>
      </c>
      <c r="T277" s="34">
        <v>5.6722120000000001E-2</v>
      </c>
      <c r="U277" s="155">
        <v>15541.2310824</v>
      </c>
      <c r="V277" s="137">
        <v>0</v>
      </c>
      <c r="W277" s="137">
        <v>252500.505</v>
      </c>
      <c r="X277" s="137">
        <v>1971.5092803013679</v>
      </c>
      <c r="Y277" s="137">
        <v>22005.247728234022</v>
      </c>
      <c r="Z277" s="137">
        <v>0</v>
      </c>
      <c r="AA277" s="137">
        <v>250000.5</v>
      </c>
      <c r="AB277" s="137">
        <v>6.2500125000000004E-2</v>
      </c>
      <c r="AC277" s="155">
        <v>0</v>
      </c>
      <c r="AD277" s="34">
        <v>0</v>
      </c>
      <c r="AE277" s="34">
        <v>0</v>
      </c>
      <c r="AF277" s="34">
        <v>0</v>
      </c>
      <c r="AG277" s="34">
        <v>0</v>
      </c>
      <c r="AH277" s="34">
        <v>0.12685669943702502</v>
      </c>
      <c r="AI277" s="155">
        <v>7500.0150000000003</v>
      </c>
      <c r="AJ277" s="137">
        <v>13569.721802098631</v>
      </c>
      <c r="AK277" s="137">
        <v>1.8092926216945739</v>
      </c>
      <c r="AL277" s="155" t="s">
        <v>714</v>
      </c>
    </row>
    <row r="278" spans="1:86" x14ac:dyDescent="0.3">
      <c r="A278" s="137" t="s">
        <v>695</v>
      </c>
      <c r="B278" s="137"/>
      <c r="C278" s="152">
        <v>46545</v>
      </c>
      <c r="D278" s="152">
        <v>342</v>
      </c>
      <c r="E278" s="137"/>
      <c r="F278" s="137" t="s">
        <v>1325</v>
      </c>
      <c r="G278" s="154">
        <v>0</v>
      </c>
      <c r="H278" s="137">
        <v>300000000</v>
      </c>
      <c r="I278" s="137">
        <v>27228600</v>
      </c>
      <c r="J278" s="137">
        <v>250000.80000000002</v>
      </c>
      <c r="K278" s="137">
        <v>250000.80000000002</v>
      </c>
      <c r="L278" s="137">
        <v>250000</v>
      </c>
      <c r="M278" s="137"/>
      <c r="N278" s="137">
        <v>0</v>
      </c>
      <c r="O278" s="137">
        <v>102.6</v>
      </c>
      <c r="P278" s="137">
        <v>0.12966</v>
      </c>
      <c r="Q278" s="137">
        <v>1.1904800000000001E-3</v>
      </c>
      <c r="R278" s="180">
        <v>9.1247229999999999E-2</v>
      </c>
      <c r="S278" s="180">
        <v>0</v>
      </c>
      <c r="T278" s="137">
        <v>0.11921872999999999</v>
      </c>
      <c r="U278" s="180">
        <v>32415.103728000002</v>
      </c>
      <c r="V278" s="137">
        <v>100000.32000000001</v>
      </c>
      <c r="W278" s="137">
        <v>256500.82080000002</v>
      </c>
      <c r="X278" s="137">
        <v>4326.6511753483455</v>
      </c>
      <c r="Y278" s="137">
        <v>31900.149926613612</v>
      </c>
      <c r="Z278" s="137">
        <v>250000.80000000002</v>
      </c>
      <c r="AA278" s="137">
        <v>250000.80000000002</v>
      </c>
      <c r="AB278" s="137">
        <v>6.2500200000000006E-2</v>
      </c>
      <c r="AC278" s="137">
        <v>0</v>
      </c>
      <c r="AD278" s="137">
        <v>0</v>
      </c>
      <c r="AE278" s="137">
        <v>0</v>
      </c>
      <c r="AF278" s="137">
        <v>0</v>
      </c>
      <c r="AG278" s="137">
        <v>0</v>
      </c>
      <c r="AH278" s="166">
        <v>0.13347639457377414</v>
      </c>
      <c r="AI278" s="155">
        <v>60224.635716295859</v>
      </c>
      <c r="AJ278" s="137">
        <v>28088.452552651655</v>
      </c>
      <c r="AK278" s="137">
        <v>0.46639472731673748</v>
      </c>
      <c r="AL278" s="180" t="s">
        <v>697</v>
      </c>
    </row>
    <row r="279" spans="1:86" x14ac:dyDescent="0.3">
      <c r="A279" s="137" t="s">
        <v>418</v>
      </c>
      <c r="B279" s="137"/>
      <c r="C279" s="152">
        <v>46484</v>
      </c>
      <c r="D279" s="152">
        <v>281</v>
      </c>
      <c r="E279" s="137"/>
      <c r="F279" s="137" t="s">
        <v>1325</v>
      </c>
      <c r="G279" s="154">
        <v>0</v>
      </c>
      <c r="H279" s="137">
        <v>750000000</v>
      </c>
      <c r="I279" s="137">
        <v>9300000</v>
      </c>
      <c r="J279" s="137">
        <v>250000</v>
      </c>
      <c r="K279" s="137">
        <v>250000</v>
      </c>
      <c r="L279" s="137">
        <v>250000</v>
      </c>
      <c r="M279" s="137"/>
      <c r="N279" s="137">
        <v>0</v>
      </c>
      <c r="O279" s="137">
        <v>102.6</v>
      </c>
      <c r="P279" s="137">
        <v>9.2999999999999999E-2</v>
      </c>
      <c r="Q279" s="137">
        <v>2.5000000000000001E-3</v>
      </c>
      <c r="R279" s="180">
        <v>5.4591849999999997E-2</v>
      </c>
      <c r="S279" s="180">
        <v>0</v>
      </c>
      <c r="T279" s="137">
        <v>8.2214540000000003E-2</v>
      </c>
      <c r="U279" s="180">
        <v>23250</v>
      </c>
      <c r="V279" s="137">
        <v>74999.998124999998</v>
      </c>
      <c r="W279" s="137">
        <v>256500</v>
      </c>
      <c r="X279" s="137">
        <v>2599.5734973763856</v>
      </c>
      <c r="Y279" s="137">
        <v>24816.248146518767</v>
      </c>
      <c r="Z279" s="137">
        <v>179115.24229819802</v>
      </c>
      <c r="AA279" s="137">
        <v>249999.99375000005</v>
      </c>
      <c r="AB279" s="137">
        <v>6.25E-2</v>
      </c>
      <c r="AC279" s="137">
        <v>0</v>
      </c>
      <c r="AD279" s="137">
        <v>0</v>
      </c>
      <c r="AE279" s="137">
        <v>0</v>
      </c>
      <c r="AF279" s="137">
        <v>0</v>
      </c>
      <c r="AG279" s="137">
        <v>0</v>
      </c>
      <c r="AH279" s="166">
        <v>0.11180961279038218</v>
      </c>
      <c r="AI279" s="155">
        <v>57838.544831926039</v>
      </c>
      <c r="AJ279" s="137">
        <v>20650.426502623613</v>
      </c>
      <c r="AK279" s="137">
        <v>0.35703572008306955</v>
      </c>
      <c r="AL279" s="180" t="s">
        <v>419</v>
      </c>
    </row>
    <row r="280" spans="1:86" x14ac:dyDescent="0.3">
      <c r="A280" s="137" t="s">
        <v>856</v>
      </c>
      <c r="B280" s="137"/>
      <c r="C280" s="152">
        <v>46119</v>
      </c>
      <c r="D280" s="152">
        <v>-84</v>
      </c>
      <c r="E280" s="137"/>
      <c r="F280" s="137" t="s">
        <v>1325</v>
      </c>
      <c r="G280" s="154">
        <v>0</v>
      </c>
      <c r="H280" s="137">
        <v>100000000</v>
      </c>
      <c r="I280" s="137">
        <v>7992000.0000000019</v>
      </c>
      <c r="J280" s="137">
        <v>249999.60000000003</v>
      </c>
      <c r="K280" s="137">
        <v>249999.60000000003</v>
      </c>
      <c r="L280" s="137">
        <v>250000</v>
      </c>
      <c r="M280" s="137"/>
      <c r="N280" s="137">
        <v>0</v>
      </c>
      <c r="O280" s="137">
        <v>101</v>
      </c>
      <c r="P280" s="137">
        <v>6.6600000000000006E-2</v>
      </c>
      <c r="Q280" s="137">
        <v>2.08333E-3</v>
      </c>
      <c r="R280" s="180">
        <v>2.8000799999999999E-2</v>
      </c>
      <c r="S280" s="180">
        <v>0</v>
      </c>
      <c r="T280" s="137">
        <v>5.962858E-2</v>
      </c>
      <c r="U280" s="180">
        <v>16649.973360000004</v>
      </c>
      <c r="V280" s="137">
        <v>0</v>
      </c>
      <c r="W280" s="137">
        <v>252499.59600000005</v>
      </c>
      <c r="X280" s="137">
        <v>3783.1094999501311</v>
      </c>
      <c r="Y280" s="137">
        <v>30259.525223829885</v>
      </c>
      <c r="Z280" s="137">
        <v>249999.6</v>
      </c>
      <c r="AA280" s="137">
        <v>249999.60000000003</v>
      </c>
      <c r="AB280" s="137">
        <v>6.2499900000000011E-2</v>
      </c>
      <c r="AC280" s="137">
        <v>0</v>
      </c>
      <c r="AD280" s="137">
        <v>0</v>
      </c>
      <c r="AE280" s="137">
        <v>0</v>
      </c>
      <c r="AF280" s="137">
        <v>0</v>
      </c>
      <c r="AG280" s="137">
        <v>0</v>
      </c>
      <c r="AH280" s="166">
        <v>0.22721414732342432</v>
      </c>
      <c r="AI280" s="155">
        <v>7499.9880000000003</v>
      </c>
      <c r="AJ280" s="137">
        <v>12866.863860049873</v>
      </c>
      <c r="AK280" s="137">
        <v>1.7155845929419984</v>
      </c>
      <c r="AL280" s="180" t="s">
        <v>858</v>
      </c>
    </row>
    <row r="281" spans="1:86" x14ac:dyDescent="0.3">
      <c r="A281" s="137" t="s">
        <v>1028</v>
      </c>
      <c r="B281" s="137"/>
      <c r="C281" s="152">
        <v>46363</v>
      </c>
      <c r="D281" s="152">
        <v>160</v>
      </c>
      <c r="E281" s="137"/>
      <c r="F281" s="137" t="s">
        <v>1325</v>
      </c>
      <c r="G281" s="154">
        <v>0</v>
      </c>
      <c r="H281" s="137">
        <v>1000000000</v>
      </c>
      <c r="I281" s="137">
        <v>27960000</v>
      </c>
      <c r="J281" s="137">
        <v>249999</v>
      </c>
      <c r="K281" s="137">
        <v>249999</v>
      </c>
      <c r="L281" s="137">
        <v>250000</v>
      </c>
      <c r="M281" s="137"/>
      <c r="N281" s="137">
        <v>0</v>
      </c>
      <c r="O281" s="137">
        <v>103.95</v>
      </c>
      <c r="P281" s="137">
        <v>9.3200000000000005E-2</v>
      </c>
      <c r="Q281" s="137">
        <v>8.3332999999999996E-4</v>
      </c>
      <c r="R281" s="180">
        <v>5.500062E-2</v>
      </c>
      <c r="S281" s="180">
        <v>0</v>
      </c>
      <c r="T281" s="137">
        <v>7.1253140000000006E-2</v>
      </c>
      <c r="U281" s="180">
        <v>23299.906800000001</v>
      </c>
      <c r="V281" s="137">
        <v>124999.5</v>
      </c>
      <c r="W281" s="137">
        <v>259873.96050000002</v>
      </c>
      <c r="X281" s="137">
        <v>2019.6864694769979</v>
      </c>
      <c r="Y281" s="137">
        <v>22128.200213811611</v>
      </c>
      <c r="Z281" s="137">
        <v>0</v>
      </c>
      <c r="AA281" s="137">
        <v>249999</v>
      </c>
      <c r="AB281" s="137">
        <v>6.249975E-2</v>
      </c>
      <c r="AC281" s="137">
        <v>0</v>
      </c>
      <c r="AD281" s="137">
        <v>0</v>
      </c>
      <c r="AE281" s="137">
        <v>0</v>
      </c>
      <c r="AF281" s="137">
        <v>0</v>
      </c>
      <c r="AG281" s="137">
        <v>0</v>
      </c>
      <c r="AH281" s="166">
        <v>8.6682169453012478E-2</v>
      </c>
      <c r="AI281" s="155">
        <v>107499.57</v>
      </c>
      <c r="AJ281" s="137">
        <v>21280.220330523003</v>
      </c>
      <c r="AK281" s="137">
        <v>0.19795632978367264</v>
      </c>
      <c r="AL281" s="180" t="s">
        <v>1029</v>
      </c>
    </row>
    <row r="282" spans="1:86" x14ac:dyDescent="0.3">
      <c r="A282" s="137" t="s">
        <v>625</v>
      </c>
      <c r="B282" s="137"/>
      <c r="C282" s="152">
        <v>46820</v>
      </c>
      <c r="D282" s="152">
        <v>617</v>
      </c>
      <c r="E282" s="137"/>
      <c r="F282" s="137" t="s">
        <v>1325</v>
      </c>
      <c r="G282" s="154">
        <v>0</v>
      </c>
      <c r="H282" s="137">
        <v>300000000</v>
      </c>
      <c r="I282" s="137">
        <v>22052142</v>
      </c>
      <c r="J282" s="137">
        <v>249999</v>
      </c>
      <c r="K282" s="137">
        <v>249999</v>
      </c>
      <c r="L282" s="137">
        <v>250000</v>
      </c>
      <c r="M282" s="137"/>
      <c r="N282" s="137">
        <v>0</v>
      </c>
      <c r="O282" s="137">
        <v>100.25</v>
      </c>
      <c r="P282" s="137">
        <v>7.3507139999999999E-2</v>
      </c>
      <c r="Q282" s="137">
        <v>8.3332999999999996E-4</v>
      </c>
      <c r="R282" s="180">
        <v>3.496664E-2</v>
      </c>
      <c r="S282" s="180">
        <v>0</v>
      </c>
      <c r="T282" s="137">
        <v>7.558753E-2</v>
      </c>
      <c r="U282" s="180">
        <v>18376.711492859999</v>
      </c>
      <c r="V282" s="137">
        <v>124999.5</v>
      </c>
      <c r="W282" s="137">
        <v>250623.9975</v>
      </c>
      <c r="X282" s="137">
        <v>2315.978532622179</v>
      </c>
      <c r="Y282" s="137">
        <v>23132.702715101092</v>
      </c>
      <c r="Z282" s="137">
        <v>101536.98720045778</v>
      </c>
      <c r="AA282" s="137">
        <v>249999</v>
      </c>
      <c r="AB282" s="137">
        <v>6.249975E-2</v>
      </c>
      <c r="AC282" s="137">
        <v>0</v>
      </c>
      <c r="AD282" s="137">
        <v>0</v>
      </c>
      <c r="AE282" s="137">
        <v>0</v>
      </c>
      <c r="AF282" s="137">
        <v>0</v>
      </c>
      <c r="AG282" s="137">
        <v>0</v>
      </c>
      <c r="AH282" s="166">
        <v>0.12602790948326192</v>
      </c>
      <c r="AI282" s="155">
        <v>114879.53819761775</v>
      </c>
      <c r="AJ282" s="137">
        <v>16060.732960237819</v>
      </c>
      <c r="AK282" s="137">
        <v>0.13980499236173696</v>
      </c>
      <c r="AL282" s="180" t="s">
        <v>626</v>
      </c>
    </row>
    <row r="285" spans="1:86" x14ac:dyDescent="0.3">
      <c r="A285" s="134" t="s">
        <v>1753</v>
      </c>
      <c r="B285" s="134" t="s">
        <v>1585</v>
      </c>
      <c r="C285" s="134" t="s">
        <v>1315</v>
      </c>
      <c r="D285" s="134" t="s">
        <v>14</v>
      </c>
      <c r="E285" s="134" t="s">
        <v>13</v>
      </c>
      <c r="F285" s="134" t="s">
        <v>1316</v>
      </c>
      <c r="G285" s="134" t="s">
        <v>1442</v>
      </c>
      <c r="H285" s="134" t="s">
        <v>1572</v>
      </c>
      <c r="I285" s="134" t="s">
        <v>1754</v>
      </c>
      <c r="J285" s="134" t="s">
        <v>1317</v>
      </c>
      <c r="K285" s="134" t="s">
        <v>1755</v>
      </c>
      <c r="L285" s="134" t="s">
        <v>1323</v>
      </c>
      <c r="M285" s="134" t="s">
        <v>1324</v>
      </c>
      <c r="N285" s="134" t="s">
        <v>1320</v>
      </c>
      <c r="O285" s="134" t="s">
        <v>1756</v>
      </c>
      <c r="P285" s="134" t="s">
        <v>1389</v>
      </c>
      <c r="Q285" s="134" t="s">
        <v>1757</v>
      </c>
      <c r="R285" s="134" t="s">
        <v>1758</v>
      </c>
      <c r="S285" s="134" t="s">
        <v>1318</v>
      </c>
      <c r="T285" s="134" t="s">
        <v>1392</v>
      </c>
      <c r="U285" s="134" t="s">
        <v>1759</v>
      </c>
      <c r="V285" s="134" t="s">
        <v>1760</v>
      </c>
      <c r="W285" s="134" t="s">
        <v>1761</v>
      </c>
      <c r="X285" s="134" t="s">
        <v>1762</v>
      </c>
      <c r="Y285" s="156" t="s">
        <v>1763</v>
      </c>
      <c r="Z285" s="156" t="s">
        <v>1764</v>
      </c>
      <c r="AA285" s="156" t="s">
        <v>1765</v>
      </c>
      <c r="AB285" s="156" t="s">
        <v>1766</v>
      </c>
      <c r="AC285" s="134" t="s">
        <v>1767</v>
      </c>
      <c r="AD285" s="157" t="s">
        <v>1768</v>
      </c>
      <c r="AE285" s="156" t="s">
        <v>1769</v>
      </c>
      <c r="AF285" s="156" t="s">
        <v>1770</v>
      </c>
      <c r="AG285" s="156" t="s">
        <v>1321</v>
      </c>
      <c r="AH285" s="156" t="s">
        <v>1427</v>
      </c>
      <c r="AI285" s="156" t="s">
        <v>1771</v>
      </c>
      <c r="AJ285" s="158" t="s">
        <v>1772</v>
      </c>
      <c r="AK285" s="159" t="s">
        <v>1773</v>
      </c>
      <c r="AL285" s="160" t="s">
        <v>1774</v>
      </c>
      <c r="AM285" s="160" t="s">
        <v>1319</v>
      </c>
      <c r="AN285" s="156" t="s">
        <v>1573</v>
      </c>
      <c r="AO285" s="156" t="s">
        <v>1775</v>
      </c>
      <c r="AP285" s="160" t="s">
        <v>1448</v>
      </c>
      <c r="AQ285" s="134" t="s">
        <v>1576</v>
      </c>
      <c r="AR285" s="161" t="s">
        <v>1776</v>
      </c>
      <c r="AS285" s="162" t="s">
        <v>1777</v>
      </c>
      <c r="AT285" s="156" t="s">
        <v>1778</v>
      </c>
      <c r="AU285" s="156" t="s">
        <v>1426</v>
      </c>
      <c r="AV285" s="157" t="s">
        <v>1779</v>
      </c>
      <c r="AW285" s="156" t="s">
        <v>1322</v>
      </c>
      <c r="AX285" s="156" t="s">
        <v>1780</v>
      </c>
      <c r="AY285" s="156" t="s">
        <v>1781</v>
      </c>
      <c r="AZ285" s="156" t="s">
        <v>1782</v>
      </c>
      <c r="BA285" s="156" t="s">
        <v>1783</v>
      </c>
      <c r="BB285" s="163" t="s">
        <v>1784</v>
      </c>
      <c r="BC285" s="163" t="s">
        <v>1785</v>
      </c>
      <c r="BD285" s="156" t="s">
        <v>1786</v>
      </c>
      <c r="BE285" s="163" t="s">
        <v>1787</v>
      </c>
      <c r="BF285" s="163" t="s">
        <v>1788</v>
      </c>
      <c r="BG285" s="156" t="s">
        <v>1789</v>
      </c>
      <c r="BH285" s="163" t="s">
        <v>1790</v>
      </c>
      <c r="BI285" s="163" t="s">
        <v>1791</v>
      </c>
      <c r="BJ285" s="156" t="s">
        <v>1792</v>
      </c>
      <c r="BK285" s="156" t="s">
        <v>1718</v>
      </c>
      <c r="BL285" s="134" t="s">
        <v>1793</v>
      </c>
      <c r="BM285" s="134" t="s">
        <v>1712</v>
      </c>
      <c r="BN285" s="134" t="s">
        <v>1794</v>
      </c>
      <c r="BO285" s="134" t="s">
        <v>1795</v>
      </c>
      <c r="BP285" s="134" t="s">
        <v>1686</v>
      </c>
      <c r="BQ285" s="156" t="s">
        <v>1796</v>
      </c>
      <c r="BR285" s="156" t="s">
        <v>1797</v>
      </c>
      <c r="BS285" s="134" t="s">
        <v>1798</v>
      </c>
      <c r="BT285" s="134" t="s">
        <v>1799</v>
      </c>
      <c r="BU285" s="156" t="s">
        <v>1800</v>
      </c>
      <c r="BV285" s="156" t="s">
        <v>1422</v>
      </c>
      <c r="BW285" s="156" t="s">
        <v>1801</v>
      </c>
      <c r="BX285" s="142" t="s">
        <v>1802</v>
      </c>
      <c r="BY285" s="142" t="s">
        <v>1582</v>
      </c>
      <c r="BZ285" s="134" t="s">
        <v>1803</v>
      </c>
      <c r="CA285" s="134" t="s">
        <v>1804</v>
      </c>
      <c r="CB285" s="134" t="s">
        <v>1434</v>
      </c>
      <c r="CC285" s="134" t="s">
        <v>1435</v>
      </c>
      <c r="CD285" s="134" t="s">
        <v>1436</v>
      </c>
      <c r="CE285" s="134" t="s">
        <v>1437</v>
      </c>
      <c r="CF285" s="134" t="s">
        <v>1438</v>
      </c>
      <c r="CG285" s="134" t="s">
        <v>1439</v>
      </c>
      <c r="CH285" s="134" t="s">
        <v>1433</v>
      </c>
    </row>
    <row r="286" spans="1:86" x14ac:dyDescent="0.3">
      <c r="A286" s="34">
        <v>1</v>
      </c>
      <c r="B286" s="34" t="s">
        <v>373</v>
      </c>
      <c r="C286" s="34" t="s">
        <v>1348</v>
      </c>
      <c r="D286" s="34" t="s">
        <v>159</v>
      </c>
      <c r="E286" s="34" t="s">
        <v>1349</v>
      </c>
      <c r="F286" s="34"/>
      <c r="G286" s="34"/>
      <c r="H286" s="34" t="s">
        <v>1456</v>
      </c>
      <c r="I286" s="34" t="s">
        <v>375</v>
      </c>
      <c r="J286" s="34" t="s">
        <v>1806</v>
      </c>
      <c r="K286" s="34"/>
      <c r="L286" s="34">
        <v>3.0200000000000001E-2</v>
      </c>
      <c r="M286" s="34">
        <v>0</v>
      </c>
      <c r="N286" s="153">
        <v>1</v>
      </c>
      <c r="O286" s="34">
        <v>0</v>
      </c>
      <c r="P286" s="34"/>
      <c r="Q286" s="153">
        <v>45715</v>
      </c>
      <c r="R286" s="153">
        <v>46575</v>
      </c>
      <c r="S286" s="153">
        <v>372</v>
      </c>
      <c r="T286" s="34"/>
      <c r="U286" s="153" t="s">
        <v>1325</v>
      </c>
      <c r="V286" s="153" t="s">
        <v>1809</v>
      </c>
      <c r="W286" s="153">
        <v>1</v>
      </c>
      <c r="X286" s="166"/>
      <c r="Y286" s="137"/>
      <c r="Z286" s="137"/>
      <c r="AA286" s="137"/>
      <c r="AB286" s="137">
        <v>200000000</v>
      </c>
      <c r="AC286" s="137">
        <v>200000000</v>
      </c>
      <c r="AD286" s="137">
        <v>20049718.5</v>
      </c>
      <c r="AE286" s="137">
        <v>250000.5</v>
      </c>
      <c r="AF286" s="137">
        <v>250000.5</v>
      </c>
      <c r="AG286" s="137">
        <v>250000</v>
      </c>
      <c r="AH286" s="153"/>
      <c r="AI286" s="167">
        <v>0</v>
      </c>
      <c r="AJ286" s="153"/>
      <c r="AK286" s="153"/>
      <c r="AL286" s="154">
        <v>100.1</v>
      </c>
      <c r="AM286" s="154">
        <v>0.13366479000000001</v>
      </c>
      <c r="AN286" s="168" t="s">
        <v>1326</v>
      </c>
      <c r="AO286" s="168">
        <v>45758</v>
      </c>
      <c r="AP286" s="154">
        <v>0</v>
      </c>
      <c r="AQ286" s="168"/>
      <c r="AR286" s="155">
        <v>1.6666700000000001E-3</v>
      </c>
      <c r="AS286" s="152">
        <v>9.4942250000000006E-2</v>
      </c>
      <c r="AT286" s="154">
        <v>0</v>
      </c>
      <c r="AU286" s="137">
        <v>0.13305328999999999</v>
      </c>
      <c r="AV286" s="137">
        <v>0</v>
      </c>
      <c r="AW286" s="137">
        <v>33416.264332395003</v>
      </c>
      <c r="AX286" s="137">
        <v>73727.295183409253</v>
      </c>
      <c r="AY286" s="137">
        <v>250250.50049999997</v>
      </c>
      <c r="AZ286" s="137">
        <v>4186.0910556376493</v>
      </c>
      <c r="BA286" s="137">
        <v>28308.701808495527</v>
      </c>
      <c r="BB286" s="137">
        <v>0</v>
      </c>
      <c r="BC286" s="137">
        <v>0</v>
      </c>
      <c r="BD286" s="137">
        <v>0</v>
      </c>
      <c r="BE286" s="137">
        <v>0</v>
      </c>
      <c r="BF286" s="137">
        <v>83367.349968107068</v>
      </c>
      <c r="BG286" s="137">
        <v>148795.63124470395</v>
      </c>
      <c r="BH286" s="137">
        <v>209612.74096868146</v>
      </c>
      <c r="BI286" s="137">
        <v>250000.5</v>
      </c>
      <c r="BJ286" s="137">
        <v>0.9748</v>
      </c>
      <c r="BK286" s="137">
        <v>6.2500125000000004E-2</v>
      </c>
      <c r="BL286" s="113">
        <v>0</v>
      </c>
      <c r="BM286" s="113" t="s">
        <v>1663</v>
      </c>
      <c r="BN286" s="168">
        <v>0</v>
      </c>
      <c r="BO286" s="152">
        <v>0</v>
      </c>
      <c r="BP286" s="152">
        <v>0</v>
      </c>
      <c r="BQ286" s="137">
        <v>250000.5</v>
      </c>
      <c r="BR286" s="137">
        <v>0</v>
      </c>
      <c r="BS286" s="166" t="s">
        <v>1806</v>
      </c>
      <c r="BT286" s="168">
        <v>0.12527106602934945</v>
      </c>
      <c r="BU286" s="137">
        <v>76091.341941543214</v>
      </c>
      <c r="BV286" s="137">
        <v>29230.173276757356</v>
      </c>
      <c r="BW286" s="137">
        <v>0.38414585064373402</v>
      </c>
      <c r="BX286" s="89">
        <v>0.87472893397065066</v>
      </c>
      <c r="BY286" s="89">
        <v>0</v>
      </c>
      <c r="BZ286" s="153">
        <v>0</v>
      </c>
      <c r="CA286" s="153">
        <v>0</v>
      </c>
      <c r="CB286" s="153">
        <v>45758</v>
      </c>
      <c r="CC286" s="153">
        <v>45758</v>
      </c>
      <c r="CD286" s="153"/>
      <c r="CE286" s="153"/>
      <c r="CF286" s="153"/>
      <c r="CG286" s="34" t="s">
        <v>139</v>
      </c>
      <c r="CH286" s="34" t="s">
        <v>1350</v>
      </c>
    </row>
    <row r="287" spans="1:86" x14ac:dyDescent="0.3">
      <c r="A287" s="34">
        <v>2</v>
      </c>
      <c r="B287" s="34" t="s">
        <v>418</v>
      </c>
      <c r="C287" s="34" t="s">
        <v>1344</v>
      </c>
      <c r="D287" s="34" t="s">
        <v>133</v>
      </c>
      <c r="E287" s="34" t="s">
        <v>1336</v>
      </c>
      <c r="F287" s="34" t="s">
        <v>1805</v>
      </c>
      <c r="G287" s="34"/>
      <c r="H287" s="34" t="s">
        <v>1456</v>
      </c>
      <c r="I287" s="34" t="s">
        <v>419</v>
      </c>
      <c r="J287" s="34" t="s">
        <v>1806</v>
      </c>
      <c r="K287" s="34"/>
      <c r="L287" s="34">
        <v>1.24E-2</v>
      </c>
      <c r="M287" s="34">
        <v>9.1999999999999998E-3</v>
      </c>
      <c r="N287" s="153">
        <v>1</v>
      </c>
      <c r="O287" s="34">
        <v>0</v>
      </c>
      <c r="P287" s="34"/>
      <c r="Q287" s="153">
        <v>45016</v>
      </c>
      <c r="R287" s="153">
        <v>46484</v>
      </c>
      <c r="S287" s="153">
        <v>281</v>
      </c>
      <c r="T287" s="34"/>
      <c r="U287" s="153" t="s">
        <v>1325</v>
      </c>
      <c r="V287" s="153" t="s">
        <v>1807</v>
      </c>
      <c r="W287" s="153">
        <v>1</v>
      </c>
      <c r="X287" s="166"/>
      <c r="Y287" s="137"/>
      <c r="Z287" s="137"/>
      <c r="AA287" s="137"/>
      <c r="AB287" s="137">
        <v>0</v>
      </c>
      <c r="AC287" s="137">
        <v>750000000</v>
      </c>
      <c r="AD287" s="137">
        <v>9300000</v>
      </c>
      <c r="AE287" s="137">
        <v>250000</v>
      </c>
      <c r="AF287" s="137">
        <v>250000</v>
      </c>
      <c r="AG287" s="137">
        <v>250000</v>
      </c>
      <c r="AH287" s="153"/>
      <c r="AI287" s="167">
        <v>0</v>
      </c>
      <c r="AJ287" s="153"/>
      <c r="AK287" s="153"/>
      <c r="AL287" s="154">
        <v>102.6</v>
      </c>
      <c r="AM287" s="154">
        <v>9.2999999999999999E-2</v>
      </c>
      <c r="AN287" s="168" t="s">
        <v>1326</v>
      </c>
      <c r="AO287" s="168">
        <v>45756</v>
      </c>
      <c r="AP287" s="154">
        <v>0</v>
      </c>
      <c r="AQ287" s="168"/>
      <c r="AR287" s="155">
        <v>2.5000000000000001E-3</v>
      </c>
      <c r="AS287" s="152">
        <v>5.4591849999999997E-2</v>
      </c>
      <c r="AT287" s="154">
        <v>0</v>
      </c>
      <c r="AU287" s="137">
        <v>8.2214540000000003E-2</v>
      </c>
      <c r="AV287" s="137">
        <v>0</v>
      </c>
      <c r="AW287" s="137">
        <v>23250</v>
      </c>
      <c r="AX287" s="137">
        <v>74999.998124999998</v>
      </c>
      <c r="AY287" s="137">
        <v>256500</v>
      </c>
      <c r="AZ287" s="137">
        <v>2599.5734973763856</v>
      </c>
      <c r="BA287" s="137">
        <v>24816.248146518767</v>
      </c>
      <c r="BB287" s="137">
        <v>0</v>
      </c>
      <c r="BC287" s="137">
        <v>0</v>
      </c>
      <c r="BD287" s="137">
        <v>0</v>
      </c>
      <c r="BE287" s="137">
        <v>0</v>
      </c>
      <c r="BF287" s="137">
        <v>0</v>
      </c>
      <c r="BG287" s="137">
        <v>0</v>
      </c>
      <c r="BH287" s="137">
        <v>179115.24229819802</v>
      </c>
      <c r="BI287" s="137">
        <v>249999.99375000005</v>
      </c>
      <c r="BJ287" s="137">
        <v>0.98829999999999996</v>
      </c>
      <c r="BK287" s="137">
        <v>6.25E-2</v>
      </c>
      <c r="BL287" s="113">
        <v>0</v>
      </c>
      <c r="BM287" s="113" t="s">
        <v>1663</v>
      </c>
      <c r="BN287" s="168">
        <v>0</v>
      </c>
      <c r="BO287" s="152">
        <v>0</v>
      </c>
      <c r="BP287" s="152">
        <v>0</v>
      </c>
      <c r="BQ287" s="137">
        <v>250000</v>
      </c>
      <c r="BR287" s="137">
        <v>0</v>
      </c>
      <c r="BS287" s="166" t="s">
        <v>1806</v>
      </c>
      <c r="BT287" s="168">
        <v>0.11180961279038218</v>
      </c>
      <c r="BU287" s="137">
        <v>57838.544831926039</v>
      </c>
      <c r="BV287" s="137">
        <v>20650.426502623613</v>
      </c>
      <c r="BW287" s="137">
        <v>0.35703572008306955</v>
      </c>
      <c r="BX287" s="89">
        <v>0.88819038720961774</v>
      </c>
      <c r="BY287" s="89">
        <v>0</v>
      </c>
      <c r="BZ287" s="153">
        <v>0</v>
      </c>
      <c r="CA287" s="153">
        <v>0</v>
      </c>
      <c r="CB287" s="153">
        <v>45756</v>
      </c>
      <c r="CC287" s="153">
        <v>45756</v>
      </c>
      <c r="CD287" s="153"/>
      <c r="CE287" s="153"/>
      <c r="CF287" s="153"/>
      <c r="CG287" s="34" t="s">
        <v>139</v>
      </c>
      <c r="CH287" s="34" t="s">
        <v>1333</v>
      </c>
    </row>
    <row r="288" spans="1:86" x14ac:dyDescent="0.3">
      <c r="A288" s="34">
        <v>3</v>
      </c>
      <c r="B288" s="34" t="s">
        <v>538</v>
      </c>
      <c r="C288" s="34" t="s">
        <v>1352</v>
      </c>
      <c r="D288" s="34" t="s">
        <v>150</v>
      </c>
      <c r="E288" s="34" t="s">
        <v>1336</v>
      </c>
      <c r="F288" s="34" t="s">
        <v>1805</v>
      </c>
      <c r="G288" s="34"/>
      <c r="H288" s="34" t="s">
        <v>1456</v>
      </c>
      <c r="I288" s="34" t="s">
        <v>541</v>
      </c>
      <c r="J288" s="34" t="s">
        <v>1806</v>
      </c>
      <c r="K288" s="34"/>
      <c r="L288" s="34">
        <v>8.9999999999999993E-3</v>
      </c>
      <c r="M288" s="34">
        <v>5.1000000000000004E-3</v>
      </c>
      <c r="N288" s="153">
        <v>1</v>
      </c>
      <c r="O288" s="34">
        <v>0</v>
      </c>
      <c r="P288" s="34"/>
      <c r="Q288" s="153">
        <v>45379</v>
      </c>
      <c r="R288" s="153">
        <v>46484</v>
      </c>
      <c r="S288" s="153">
        <v>281</v>
      </c>
      <c r="T288" s="34"/>
      <c r="U288" s="153" t="s">
        <v>1325</v>
      </c>
      <c r="V288" s="153" t="s">
        <v>1807</v>
      </c>
      <c r="W288" s="153">
        <v>1</v>
      </c>
      <c r="X288" s="166"/>
      <c r="Y288" s="137"/>
      <c r="Z288" s="137"/>
      <c r="AA288" s="137"/>
      <c r="AB288" s="137">
        <v>0</v>
      </c>
      <c r="AC288" s="137">
        <v>250000000</v>
      </c>
      <c r="AD288" s="137">
        <v>9300714</v>
      </c>
      <c r="AE288" s="137">
        <v>250000</v>
      </c>
      <c r="AF288" s="137">
        <v>250000</v>
      </c>
      <c r="AG288" s="137">
        <v>250000</v>
      </c>
      <c r="AH288" s="153"/>
      <c r="AI288" s="167">
        <v>0</v>
      </c>
      <c r="AJ288" s="153"/>
      <c r="AK288" s="153"/>
      <c r="AL288" s="154">
        <v>103.85</v>
      </c>
      <c r="AM288" s="154">
        <v>9.3007140000000002E-2</v>
      </c>
      <c r="AN288" s="168" t="s">
        <v>1326</v>
      </c>
      <c r="AO288" s="168">
        <v>45763</v>
      </c>
      <c r="AP288" s="154">
        <v>0</v>
      </c>
      <c r="AQ288" s="168"/>
      <c r="AR288" s="155">
        <v>2.5000000000000001E-3</v>
      </c>
      <c r="AS288" s="152">
        <v>5.4388600000000002E-2</v>
      </c>
      <c r="AT288" s="154">
        <v>0</v>
      </c>
      <c r="AU288" s="137">
        <v>7.5250440000000002E-2</v>
      </c>
      <c r="AV288" s="137">
        <v>0</v>
      </c>
      <c r="AW288" s="137">
        <v>23251.785</v>
      </c>
      <c r="AX288" s="137">
        <v>139570.60800681467</v>
      </c>
      <c r="AY288" s="137">
        <v>259625</v>
      </c>
      <c r="AZ288" s="137">
        <v>1669.5596988802561</v>
      </c>
      <c r="BA288" s="137">
        <v>19286.86242884555</v>
      </c>
      <c r="BB288" s="137">
        <v>0</v>
      </c>
      <c r="BC288" s="137">
        <v>0</v>
      </c>
      <c r="BD288" s="137">
        <v>0</v>
      </c>
      <c r="BE288" s="137">
        <v>0</v>
      </c>
      <c r="BF288" s="137">
        <v>0</v>
      </c>
      <c r="BG288" s="137">
        <v>0</v>
      </c>
      <c r="BH288" s="137">
        <v>0</v>
      </c>
      <c r="BI288" s="137">
        <v>250000</v>
      </c>
      <c r="BJ288" s="137">
        <v>0.99170000000000003</v>
      </c>
      <c r="BK288" s="137">
        <v>6.25E-2</v>
      </c>
      <c r="BL288" s="113">
        <v>0</v>
      </c>
      <c r="BM288" s="113" t="s">
        <v>1663</v>
      </c>
      <c r="BN288" s="168">
        <v>0</v>
      </c>
      <c r="BO288" s="152">
        <v>0</v>
      </c>
      <c r="BP288" s="152">
        <v>0</v>
      </c>
      <c r="BQ288" s="137">
        <v>250000</v>
      </c>
      <c r="BR288" s="137">
        <v>0</v>
      </c>
      <c r="BS288" s="166" t="s">
        <v>1806</v>
      </c>
      <c r="BT288" s="168">
        <v>7.1803506650360657E-2</v>
      </c>
      <c r="BU288" s="137">
        <v>99626.58540696316</v>
      </c>
      <c r="BV288" s="137">
        <v>21582.225301119743</v>
      </c>
      <c r="BW288" s="137">
        <v>0.21663118547081414</v>
      </c>
      <c r="BX288" s="89">
        <v>0.92819649334963927</v>
      </c>
      <c r="BY288" s="89">
        <v>0</v>
      </c>
      <c r="BZ288" s="153">
        <v>0</v>
      </c>
      <c r="CA288" s="153">
        <v>0</v>
      </c>
      <c r="CB288" s="153">
        <v>45763</v>
      </c>
      <c r="CC288" s="153">
        <v>45763</v>
      </c>
      <c r="CD288" s="153"/>
      <c r="CE288" s="153"/>
      <c r="CF288" s="153"/>
      <c r="CG288" s="34" t="s">
        <v>139</v>
      </c>
      <c r="CH288" s="34" t="s">
        <v>1333</v>
      </c>
    </row>
    <row r="289" spans="1:86" x14ac:dyDescent="0.3">
      <c r="A289" s="34">
        <v>4</v>
      </c>
      <c r="B289" s="34" t="s">
        <v>625</v>
      </c>
      <c r="C289" s="34" t="s">
        <v>1341</v>
      </c>
      <c r="D289" s="34" t="s">
        <v>159</v>
      </c>
      <c r="E289" s="34" t="s">
        <v>1336</v>
      </c>
      <c r="F289" s="34"/>
      <c r="G289" s="34"/>
      <c r="H289" s="34" t="s">
        <v>1456</v>
      </c>
      <c r="I289" s="34" t="s">
        <v>626</v>
      </c>
      <c r="J289" s="34" t="s">
        <v>1806</v>
      </c>
      <c r="K289" s="34"/>
      <c r="L289" s="34">
        <v>1.11E-2</v>
      </c>
      <c r="M289" s="34">
        <v>0</v>
      </c>
      <c r="N289" s="153">
        <v>1</v>
      </c>
      <c r="O289" s="34">
        <v>0</v>
      </c>
      <c r="P289" s="34"/>
      <c r="Q289" s="153">
        <v>45693</v>
      </c>
      <c r="R289" s="153">
        <v>46820</v>
      </c>
      <c r="S289" s="153">
        <v>617</v>
      </c>
      <c r="T289" s="34"/>
      <c r="U289" s="153" t="s">
        <v>1325</v>
      </c>
      <c r="V289" s="153" t="s">
        <v>1807</v>
      </c>
      <c r="W289" s="153">
        <v>1</v>
      </c>
      <c r="X289" s="169"/>
      <c r="Y289" s="170"/>
      <c r="Z289" s="170"/>
      <c r="AA289" s="170"/>
      <c r="AB289" s="170">
        <v>0</v>
      </c>
      <c r="AC289" s="170">
        <v>300000000</v>
      </c>
      <c r="AD289" s="170">
        <v>22052142</v>
      </c>
      <c r="AE289" s="170">
        <v>249999</v>
      </c>
      <c r="AF289" s="170">
        <v>249999</v>
      </c>
      <c r="AG289" s="170">
        <v>250000</v>
      </c>
      <c r="AH289" s="153"/>
      <c r="AI289" s="171">
        <v>0</v>
      </c>
      <c r="AJ289" s="153"/>
      <c r="AK289" s="153"/>
      <c r="AL289" s="172">
        <v>100.25</v>
      </c>
      <c r="AM289" s="172">
        <v>7.3507139999999999E-2</v>
      </c>
      <c r="AN289" s="173" t="s">
        <v>1326</v>
      </c>
      <c r="AO289" s="173">
        <v>45755</v>
      </c>
      <c r="AP289" s="172">
        <v>0</v>
      </c>
      <c r="AQ289" s="173"/>
      <c r="AR289" s="174">
        <v>8.3332999999999996E-4</v>
      </c>
      <c r="AS289" s="175">
        <v>3.496664E-2</v>
      </c>
      <c r="AT289" s="134">
        <v>0</v>
      </c>
      <c r="AU289" s="134">
        <v>7.558753E-2</v>
      </c>
      <c r="AV289" s="170">
        <v>0</v>
      </c>
      <c r="AW289" s="170">
        <v>18376.711492859999</v>
      </c>
      <c r="AX289" s="170">
        <v>124999.5</v>
      </c>
      <c r="AY289" s="170">
        <v>250623.9975</v>
      </c>
      <c r="AZ289" s="170">
        <v>2315.978532622179</v>
      </c>
      <c r="BA289" s="170">
        <v>23132.702715101092</v>
      </c>
      <c r="BB289" s="170">
        <v>0</v>
      </c>
      <c r="BC289" s="170">
        <v>0</v>
      </c>
      <c r="BD289" s="170">
        <v>0</v>
      </c>
      <c r="BE289" s="170">
        <v>0</v>
      </c>
      <c r="BF289" s="170">
        <v>0</v>
      </c>
      <c r="BG289" s="170">
        <v>0</v>
      </c>
      <c r="BH289" s="170">
        <v>101536.98720045778</v>
      </c>
      <c r="BI289" s="170">
        <v>249999</v>
      </c>
      <c r="BJ289" s="170">
        <v>0.98939999999999995</v>
      </c>
      <c r="BK289" s="170">
        <v>6.249975E-2</v>
      </c>
      <c r="BL289" s="176">
        <v>0</v>
      </c>
      <c r="BM289" s="176" t="s">
        <v>1663</v>
      </c>
      <c r="BN289" s="173">
        <v>0</v>
      </c>
      <c r="BO289" s="175">
        <v>0</v>
      </c>
      <c r="BP289" s="175">
        <v>0</v>
      </c>
      <c r="BQ289" s="170">
        <v>249999</v>
      </c>
      <c r="BR289" s="170">
        <v>0</v>
      </c>
      <c r="BS289" s="169" t="s">
        <v>1806</v>
      </c>
      <c r="BT289" s="173">
        <v>0.12602790948326192</v>
      </c>
      <c r="BU289" s="170">
        <v>114879.53819761775</v>
      </c>
      <c r="BV289" s="170">
        <v>16060.732960237819</v>
      </c>
      <c r="BW289" s="170">
        <v>0.13980499236173696</v>
      </c>
      <c r="BX289" s="177">
        <v>0.87397209051673808</v>
      </c>
      <c r="BY289" s="177">
        <v>0</v>
      </c>
      <c r="BZ289" s="153">
        <v>0</v>
      </c>
      <c r="CA289" s="153">
        <v>0</v>
      </c>
      <c r="CB289" s="153">
        <v>45755</v>
      </c>
      <c r="CC289" s="153">
        <v>45755</v>
      </c>
      <c r="CD289" s="153"/>
      <c r="CE289" s="153"/>
      <c r="CF289" s="153"/>
      <c r="CG289" s="34" t="s">
        <v>139</v>
      </c>
      <c r="CH289" s="34" t="s">
        <v>1333</v>
      </c>
    </row>
    <row r="290" spans="1:86" x14ac:dyDescent="0.3">
      <c r="A290" s="34">
        <v>5</v>
      </c>
      <c r="B290" s="34" t="s">
        <v>668</v>
      </c>
      <c r="C290" s="34" t="s">
        <v>1335</v>
      </c>
      <c r="D290" s="34" t="s">
        <v>133</v>
      </c>
      <c r="E290" s="34" t="s">
        <v>1336</v>
      </c>
      <c r="F290" s="34" t="s">
        <v>1805</v>
      </c>
      <c r="G290" s="34"/>
      <c r="H290" s="34" t="s">
        <v>1456</v>
      </c>
      <c r="I290" s="34" t="s">
        <v>671</v>
      </c>
      <c r="J290" s="34" t="s">
        <v>1806</v>
      </c>
      <c r="K290" s="34"/>
      <c r="L290" s="34">
        <v>2.8000000000000001E-2</v>
      </c>
      <c r="M290" s="34">
        <v>1.6E-2</v>
      </c>
      <c r="N290" s="153">
        <v>1</v>
      </c>
      <c r="O290" s="34">
        <v>0</v>
      </c>
      <c r="P290" s="34"/>
      <c r="Q290" s="153">
        <v>45252</v>
      </c>
      <c r="R290" s="153">
        <v>46395</v>
      </c>
      <c r="S290" s="153">
        <v>192</v>
      </c>
      <c r="T290" s="34"/>
      <c r="U290" s="153" t="s">
        <v>1325</v>
      </c>
      <c r="V290" s="153" t="s">
        <v>1807</v>
      </c>
      <c r="W290" s="153">
        <v>1</v>
      </c>
      <c r="X290" s="169"/>
      <c r="Y290" s="170"/>
      <c r="Z290" s="170"/>
      <c r="AA290" s="170"/>
      <c r="AB290" s="170">
        <v>0</v>
      </c>
      <c r="AC290" s="170">
        <v>600000000</v>
      </c>
      <c r="AD290" s="170">
        <v>18120000</v>
      </c>
      <c r="AE290" s="170">
        <v>250000</v>
      </c>
      <c r="AF290" s="170">
        <v>250000</v>
      </c>
      <c r="AG290" s="170">
        <v>250000</v>
      </c>
      <c r="AH290" s="153"/>
      <c r="AI290" s="171">
        <v>0</v>
      </c>
      <c r="AJ290" s="153"/>
      <c r="AK290" s="153"/>
      <c r="AL290" s="172">
        <v>102.85</v>
      </c>
      <c r="AM290" s="172">
        <v>9.06E-2</v>
      </c>
      <c r="AN290" s="173" t="s">
        <v>1326</v>
      </c>
      <c r="AO290" s="173">
        <v>45751</v>
      </c>
      <c r="AP290" s="172">
        <v>0</v>
      </c>
      <c r="AQ290" s="173"/>
      <c r="AR290" s="174">
        <v>1.25E-3</v>
      </c>
      <c r="AS290" s="175">
        <v>5.2493049999999999E-2</v>
      </c>
      <c r="AT290" s="34">
        <v>0</v>
      </c>
      <c r="AU290" s="34">
        <v>7.6703099999999996E-2</v>
      </c>
      <c r="AV290" s="170">
        <v>0</v>
      </c>
      <c r="AW290" s="170">
        <v>22650</v>
      </c>
      <c r="AX290" s="170">
        <v>124999.99875000003</v>
      </c>
      <c r="AY290" s="170">
        <v>257125</v>
      </c>
      <c r="AZ290" s="170">
        <v>5261.3498553676882</v>
      </c>
      <c r="BA290" s="170">
        <v>34138.576508037724</v>
      </c>
      <c r="BB290" s="170">
        <v>0</v>
      </c>
      <c r="BC290" s="170">
        <v>0</v>
      </c>
      <c r="BD290" s="170">
        <v>0</v>
      </c>
      <c r="BE290" s="170">
        <v>0</v>
      </c>
      <c r="BF290" s="170">
        <v>135707.53001740572</v>
      </c>
      <c r="BG290" s="170">
        <v>249999.99749999997</v>
      </c>
      <c r="BH290" s="170">
        <v>249999.99750000006</v>
      </c>
      <c r="BI290" s="170">
        <v>249999.99750000008</v>
      </c>
      <c r="BJ290" s="170">
        <v>0.97360000000000002</v>
      </c>
      <c r="BK290" s="170">
        <v>6.25E-2</v>
      </c>
      <c r="BL290" s="176">
        <v>0</v>
      </c>
      <c r="BM290" s="176" t="s">
        <v>1663</v>
      </c>
      <c r="BN290" s="173">
        <v>0</v>
      </c>
      <c r="BO290" s="175">
        <v>0</v>
      </c>
      <c r="BP290" s="175">
        <v>0</v>
      </c>
      <c r="BQ290" s="170">
        <v>250000</v>
      </c>
      <c r="BR290" s="170">
        <v>0</v>
      </c>
      <c r="BS290" s="169" t="s">
        <v>1806</v>
      </c>
      <c r="BT290" s="173">
        <v>0.23228917683742553</v>
      </c>
      <c r="BU290" s="170">
        <v>42756.66036757746</v>
      </c>
      <c r="BV290" s="170">
        <v>17388.650144632313</v>
      </c>
      <c r="BW290" s="170">
        <v>0.4066886888532153</v>
      </c>
      <c r="BX290" s="177">
        <v>0.76771082316257455</v>
      </c>
      <c r="BY290" s="177">
        <v>0</v>
      </c>
      <c r="BZ290" s="153">
        <v>0</v>
      </c>
      <c r="CA290" s="153">
        <v>0</v>
      </c>
      <c r="CB290" s="153">
        <v>45751</v>
      </c>
      <c r="CC290" s="153">
        <v>45751</v>
      </c>
      <c r="CD290" s="153"/>
      <c r="CE290" s="153"/>
      <c r="CF290" s="153"/>
      <c r="CG290" s="34" t="s">
        <v>139</v>
      </c>
      <c r="CH290" s="34" t="s">
        <v>1333</v>
      </c>
    </row>
    <row r="291" spans="1:86" x14ac:dyDescent="0.3">
      <c r="A291" s="34">
        <v>6</v>
      </c>
      <c r="B291" s="34" t="s">
        <v>695</v>
      </c>
      <c r="C291" s="34" t="s">
        <v>1351</v>
      </c>
      <c r="D291" s="34" t="s">
        <v>150</v>
      </c>
      <c r="E291" s="34" t="s">
        <v>1336</v>
      </c>
      <c r="F291" s="34" t="s">
        <v>1805</v>
      </c>
      <c r="G291" s="34"/>
      <c r="H291" s="34" t="s">
        <v>1456</v>
      </c>
      <c r="I291" s="34" t="s">
        <v>697</v>
      </c>
      <c r="J291" s="34" t="s">
        <v>1806</v>
      </c>
      <c r="K291" s="34"/>
      <c r="L291" s="34">
        <v>0.02</v>
      </c>
      <c r="M291" s="34">
        <v>0</v>
      </c>
      <c r="N291" s="153">
        <v>1</v>
      </c>
      <c r="O291" s="34">
        <v>0</v>
      </c>
      <c r="P291" s="34"/>
      <c r="Q291" s="153">
        <v>45391</v>
      </c>
      <c r="R291" s="153">
        <v>46545</v>
      </c>
      <c r="S291" s="153">
        <v>342</v>
      </c>
      <c r="T291" s="34"/>
      <c r="U291" s="153" t="s">
        <v>1325</v>
      </c>
      <c r="V291" s="153" t="s">
        <v>1809</v>
      </c>
      <c r="W291" s="153">
        <v>1</v>
      </c>
      <c r="X291" s="169"/>
      <c r="Y291" s="170"/>
      <c r="Z291" s="170"/>
      <c r="AA291" s="170"/>
      <c r="AB291" s="170">
        <v>0</v>
      </c>
      <c r="AC291" s="170">
        <v>300000000</v>
      </c>
      <c r="AD291" s="170">
        <v>27228600</v>
      </c>
      <c r="AE291" s="170">
        <v>250000.80000000002</v>
      </c>
      <c r="AF291" s="170">
        <v>250000.80000000002</v>
      </c>
      <c r="AG291" s="170">
        <v>250000</v>
      </c>
      <c r="AH291" s="153"/>
      <c r="AI291" s="171">
        <v>0</v>
      </c>
      <c r="AJ291" s="153"/>
      <c r="AK291" s="153"/>
      <c r="AL291" s="172">
        <v>102.6</v>
      </c>
      <c r="AM291" s="172">
        <v>0.12966</v>
      </c>
      <c r="AN291" s="173" t="s">
        <v>1326</v>
      </c>
      <c r="AO291" s="173">
        <v>45761</v>
      </c>
      <c r="AP291" s="172">
        <v>0</v>
      </c>
      <c r="AQ291" s="173"/>
      <c r="AR291" s="174">
        <v>1.1904800000000001E-3</v>
      </c>
      <c r="AS291" s="175">
        <v>9.1247229999999999E-2</v>
      </c>
      <c r="AT291" s="34">
        <v>0</v>
      </c>
      <c r="AU291" s="34">
        <v>0.11921872999999999</v>
      </c>
      <c r="AV291" s="170">
        <v>0</v>
      </c>
      <c r="AW291" s="170">
        <v>32415.103728000002</v>
      </c>
      <c r="AX291" s="170">
        <v>100000.32000000001</v>
      </c>
      <c r="AY291" s="170">
        <v>256500.82080000002</v>
      </c>
      <c r="AZ291" s="170">
        <v>4326.6511753483455</v>
      </c>
      <c r="BA291" s="170">
        <v>31900.149926613612</v>
      </c>
      <c r="BB291" s="170">
        <v>0</v>
      </c>
      <c r="BC291" s="170">
        <v>0</v>
      </c>
      <c r="BD291" s="170">
        <v>0</v>
      </c>
      <c r="BE291" s="170">
        <v>0</v>
      </c>
      <c r="BF291" s="170">
        <v>4762.8987747345946</v>
      </c>
      <c r="BG291" s="170">
        <v>250000.80000000002</v>
      </c>
      <c r="BH291" s="170">
        <v>250000.80000000002</v>
      </c>
      <c r="BI291" s="170">
        <v>250000.80000000002</v>
      </c>
      <c r="BJ291" s="170">
        <v>0.98089999999999999</v>
      </c>
      <c r="BK291" s="170">
        <v>6.2500200000000006E-2</v>
      </c>
      <c r="BL291" s="176">
        <v>0</v>
      </c>
      <c r="BM291" s="176" t="s">
        <v>1663</v>
      </c>
      <c r="BN291" s="173">
        <v>0</v>
      </c>
      <c r="BO291" s="175">
        <v>0</v>
      </c>
      <c r="BP291" s="175">
        <v>0</v>
      </c>
      <c r="BQ291" s="170">
        <v>250000.80000000002</v>
      </c>
      <c r="BR291" s="170">
        <v>0</v>
      </c>
      <c r="BS291" s="169" t="s">
        <v>1806</v>
      </c>
      <c r="BT291" s="173">
        <v>0.13347639457377414</v>
      </c>
      <c r="BU291" s="170">
        <v>60224.635716295859</v>
      </c>
      <c r="BV291" s="170">
        <v>28088.452552651655</v>
      </c>
      <c r="BW291" s="170">
        <v>0.46639472731673748</v>
      </c>
      <c r="BX291" s="177">
        <v>0.86652360542622586</v>
      </c>
      <c r="BY291" s="177">
        <v>0</v>
      </c>
      <c r="BZ291" s="153">
        <v>0</v>
      </c>
      <c r="CA291" s="153">
        <v>0</v>
      </c>
      <c r="CB291" s="153">
        <v>45761</v>
      </c>
      <c r="CC291" s="153">
        <v>45761</v>
      </c>
      <c r="CD291" s="153"/>
      <c r="CE291" s="153"/>
      <c r="CF291" s="153"/>
      <c r="CG291" s="34" t="s">
        <v>139</v>
      </c>
      <c r="CH291" s="34" t="s">
        <v>1333</v>
      </c>
    </row>
    <row r="292" spans="1:86" x14ac:dyDescent="0.3">
      <c r="A292" s="34">
        <v>7</v>
      </c>
      <c r="B292" s="34" t="s">
        <v>711</v>
      </c>
      <c r="C292" s="34" t="s">
        <v>1327</v>
      </c>
      <c r="D292" s="34" t="s">
        <v>150</v>
      </c>
      <c r="E292" s="34" t="s">
        <v>1328</v>
      </c>
      <c r="F292" s="34" t="s">
        <v>1805</v>
      </c>
      <c r="G292" s="34"/>
      <c r="H292" s="34" t="s">
        <v>1456</v>
      </c>
      <c r="I292" s="34" t="s">
        <v>714</v>
      </c>
      <c r="J292" s="34" t="s">
        <v>1806</v>
      </c>
      <c r="K292" s="34"/>
      <c r="L292" s="34">
        <v>8.0999999999999996E-3</v>
      </c>
      <c r="M292" s="34">
        <v>7.7000000000000002E-3</v>
      </c>
      <c r="N292" s="153">
        <v>1</v>
      </c>
      <c r="O292" s="34">
        <v>0</v>
      </c>
      <c r="P292" s="34"/>
      <c r="Q292" s="153">
        <v>45405</v>
      </c>
      <c r="R292" s="153">
        <v>47212</v>
      </c>
      <c r="S292" s="153">
        <v>1009</v>
      </c>
      <c r="T292" s="34"/>
      <c r="U292" s="153" t="s">
        <v>1325</v>
      </c>
      <c r="V292" s="153" t="s">
        <v>1807</v>
      </c>
      <c r="W292" s="153">
        <v>1</v>
      </c>
      <c r="X292" s="169"/>
      <c r="Y292" s="170"/>
      <c r="Z292" s="170"/>
      <c r="AA292" s="170"/>
      <c r="AB292" s="170">
        <v>0</v>
      </c>
      <c r="AC292" s="170">
        <v>150000000</v>
      </c>
      <c r="AD292" s="170">
        <v>9324720</v>
      </c>
      <c r="AE292" s="170">
        <v>250000.5</v>
      </c>
      <c r="AF292" s="170">
        <v>250000.5</v>
      </c>
      <c r="AG292" s="170">
        <v>250000</v>
      </c>
      <c r="AH292" s="153"/>
      <c r="AI292" s="171">
        <v>0</v>
      </c>
      <c r="AJ292" s="153"/>
      <c r="AK292" s="153"/>
      <c r="AL292" s="172">
        <v>101</v>
      </c>
      <c r="AM292" s="172">
        <v>6.2164799999999999E-2</v>
      </c>
      <c r="AN292" s="173" t="s">
        <v>1326</v>
      </c>
      <c r="AO292" s="173">
        <v>45749</v>
      </c>
      <c r="AP292" s="172">
        <v>0</v>
      </c>
      <c r="AQ292" s="173"/>
      <c r="AR292" s="174">
        <v>1.6666700000000001E-3</v>
      </c>
      <c r="AS292" s="175">
        <v>2.3430280000000001E-2</v>
      </c>
      <c r="AT292" s="34">
        <v>0</v>
      </c>
      <c r="AU292" s="34">
        <v>5.6722120000000001E-2</v>
      </c>
      <c r="AV292" s="170">
        <v>0</v>
      </c>
      <c r="AW292" s="170">
        <v>15541.2310824</v>
      </c>
      <c r="AX292" s="170">
        <v>0</v>
      </c>
      <c r="AY292" s="170">
        <v>252500.505</v>
      </c>
      <c r="AZ292" s="170">
        <v>1971.5092803013679</v>
      </c>
      <c r="BA292" s="170">
        <v>22005.247728234022</v>
      </c>
      <c r="BB292" s="170">
        <v>0</v>
      </c>
      <c r="BC292" s="170">
        <v>0</v>
      </c>
      <c r="BD292" s="170">
        <v>0</v>
      </c>
      <c r="BE292" s="170">
        <v>0</v>
      </c>
      <c r="BF292" s="170">
        <v>0</v>
      </c>
      <c r="BG292" s="170">
        <v>0</v>
      </c>
      <c r="BH292" s="170">
        <v>0</v>
      </c>
      <c r="BI292" s="170">
        <v>250000.5</v>
      </c>
      <c r="BJ292" s="170">
        <v>0.9919</v>
      </c>
      <c r="BK292" s="170">
        <v>6.2500125000000004E-2</v>
      </c>
      <c r="BL292" s="176">
        <v>0</v>
      </c>
      <c r="BM292" s="176" t="s">
        <v>1663</v>
      </c>
      <c r="BN292" s="173">
        <v>0</v>
      </c>
      <c r="BO292" s="175">
        <v>0</v>
      </c>
      <c r="BP292" s="175">
        <v>0</v>
      </c>
      <c r="BQ292" s="170">
        <v>250000.5</v>
      </c>
      <c r="BR292" s="170">
        <v>0</v>
      </c>
      <c r="BS292" s="169" t="s">
        <v>1806</v>
      </c>
      <c r="BT292" s="173">
        <v>0.12685669943702502</v>
      </c>
      <c r="BU292" s="170">
        <v>7500.0150000000003</v>
      </c>
      <c r="BV292" s="170">
        <v>13569.721802098631</v>
      </c>
      <c r="BW292" s="170">
        <v>1.8092926216945739</v>
      </c>
      <c r="BX292" s="177">
        <v>0.87314330056297496</v>
      </c>
      <c r="BY292" s="177">
        <v>0</v>
      </c>
      <c r="BZ292" s="153">
        <v>0</v>
      </c>
      <c r="CA292" s="153">
        <v>0</v>
      </c>
      <c r="CB292" s="153">
        <v>45749</v>
      </c>
      <c r="CC292" s="153">
        <v>45749</v>
      </c>
      <c r="CD292" s="153"/>
      <c r="CE292" s="153"/>
      <c r="CF292" s="153"/>
      <c r="CG292" s="34" t="s">
        <v>139</v>
      </c>
      <c r="CH292" s="34" t="s">
        <v>1329</v>
      </c>
    </row>
    <row r="293" spans="1:86" x14ac:dyDescent="0.3">
      <c r="A293" s="34">
        <v>8</v>
      </c>
      <c r="B293" s="34" t="s">
        <v>856</v>
      </c>
      <c r="C293" s="34" t="s">
        <v>1337</v>
      </c>
      <c r="D293" s="34" t="s">
        <v>167</v>
      </c>
      <c r="E293" s="34" t="s">
        <v>1338</v>
      </c>
      <c r="F293" s="34" t="s">
        <v>1805</v>
      </c>
      <c r="G293" s="34"/>
      <c r="H293" s="34" t="s">
        <v>1456</v>
      </c>
      <c r="I293" s="34" t="s">
        <v>858</v>
      </c>
      <c r="J293" s="34" t="s">
        <v>1806</v>
      </c>
      <c r="K293" s="34"/>
      <c r="L293" s="34">
        <v>1.5900000000000001E-2</v>
      </c>
      <c r="M293" s="34">
        <v>0</v>
      </c>
      <c r="N293" s="153">
        <v>1</v>
      </c>
      <c r="O293" s="34">
        <v>0</v>
      </c>
      <c r="P293" s="34"/>
      <c r="Q293" s="153">
        <v>44650</v>
      </c>
      <c r="R293" s="153">
        <v>46119</v>
      </c>
      <c r="S293" s="153">
        <v>-84</v>
      </c>
      <c r="T293" s="34"/>
      <c r="U293" s="153" t="s">
        <v>1325</v>
      </c>
      <c r="V293" s="153" t="s">
        <v>1807</v>
      </c>
      <c r="W293" s="153">
        <v>1</v>
      </c>
      <c r="X293" s="169"/>
      <c r="Y293" s="170"/>
      <c r="Z293" s="170"/>
      <c r="AA293" s="170"/>
      <c r="AB293" s="170">
        <v>0</v>
      </c>
      <c r="AC293" s="170">
        <v>100000000</v>
      </c>
      <c r="AD293" s="170">
        <v>7992000.0000000019</v>
      </c>
      <c r="AE293" s="170">
        <v>249999.60000000003</v>
      </c>
      <c r="AF293" s="170">
        <v>249999.60000000003</v>
      </c>
      <c r="AG293" s="170">
        <v>250000</v>
      </c>
      <c r="AH293" s="153"/>
      <c r="AI293" s="171">
        <v>0</v>
      </c>
      <c r="AJ293" s="153"/>
      <c r="AK293" s="153"/>
      <c r="AL293" s="172">
        <v>101</v>
      </c>
      <c r="AM293" s="172">
        <v>6.6600000000000006E-2</v>
      </c>
      <c r="AN293" s="173" t="s">
        <v>1326</v>
      </c>
      <c r="AO293" s="173">
        <v>45751</v>
      </c>
      <c r="AP293" s="172">
        <v>0</v>
      </c>
      <c r="AQ293" s="173"/>
      <c r="AR293" s="174">
        <v>2.08333E-3</v>
      </c>
      <c r="AS293" s="175">
        <v>2.8000799999999999E-2</v>
      </c>
      <c r="AT293" s="34">
        <v>0</v>
      </c>
      <c r="AU293" s="34">
        <v>5.962858E-2</v>
      </c>
      <c r="AV293" s="170">
        <v>0</v>
      </c>
      <c r="AW293" s="170">
        <v>16649.973360000004</v>
      </c>
      <c r="AX293" s="170">
        <v>0</v>
      </c>
      <c r="AY293" s="170">
        <v>252499.59600000005</v>
      </c>
      <c r="AZ293" s="170">
        <v>3783.1094999501311</v>
      </c>
      <c r="BA293" s="170">
        <v>30259.525223829885</v>
      </c>
      <c r="BB293" s="170">
        <v>0</v>
      </c>
      <c r="BC293" s="170">
        <v>0</v>
      </c>
      <c r="BD293" s="170">
        <v>0</v>
      </c>
      <c r="BE293" s="170">
        <v>0</v>
      </c>
      <c r="BF293" s="170">
        <v>0</v>
      </c>
      <c r="BG293" s="170">
        <v>249999.59999999998</v>
      </c>
      <c r="BH293" s="170">
        <v>249999.6</v>
      </c>
      <c r="BI293" s="170">
        <v>249999.60000000003</v>
      </c>
      <c r="BJ293" s="170">
        <v>0.98429999999999995</v>
      </c>
      <c r="BK293" s="170">
        <v>6.2499900000000011E-2</v>
      </c>
      <c r="BL293" s="176">
        <v>0</v>
      </c>
      <c r="BM293" s="176" t="s">
        <v>1663</v>
      </c>
      <c r="BN293" s="173">
        <v>0</v>
      </c>
      <c r="BO293" s="175">
        <v>0</v>
      </c>
      <c r="BP293" s="175">
        <v>0</v>
      </c>
      <c r="BQ293" s="170">
        <v>249999.60000000003</v>
      </c>
      <c r="BR293" s="170">
        <v>0</v>
      </c>
      <c r="BS293" s="169" t="s">
        <v>1806</v>
      </c>
      <c r="BT293" s="173">
        <v>0.22721414732342432</v>
      </c>
      <c r="BU293" s="170">
        <v>7499.9880000000003</v>
      </c>
      <c r="BV293" s="170">
        <v>12866.863860049873</v>
      </c>
      <c r="BW293" s="170">
        <v>1.7155845929419984</v>
      </c>
      <c r="BX293" s="177">
        <v>0.77278585267657562</v>
      </c>
      <c r="BY293" s="177">
        <v>0</v>
      </c>
      <c r="BZ293" s="153">
        <v>0</v>
      </c>
      <c r="CA293" s="153">
        <v>0</v>
      </c>
      <c r="CB293" s="153">
        <v>45751</v>
      </c>
      <c r="CC293" s="153">
        <v>45751</v>
      </c>
      <c r="CD293" s="153"/>
      <c r="CE293" s="153"/>
      <c r="CF293" s="153"/>
      <c r="CG293" s="34" t="s">
        <v>139</v>
      </c>
      <c r="CH293" s="34" t="s">
        <v>1333</v>
      </c>
    </row>
    <row r="294" spans="1:86" x14ac:dyDescent="0.3">
      <c r="A294" s="34">
        <v>9</v>
      </c>
      <c r="B294" s="34" t="s">
        <v>895</v>
      </c>
      <c r="C294" s="34" t="s">
        <v>1345</v>
      </c>
      <c r="D294" s="34" t="s">
        <v>150</v>
      </c>
      <c r="E294" s="34" t="s">
        <v>1336</v>
      </c>
      <c r="F294" s="34"/>
      <c r="G294" s="34"/>
      <c r="H294" s="34" t="s">
        <v>1456</v>
      </c>
      <c r="I294" s="34" t="s">
        <v>898</v>
      </c>
      <c r="J294" s="34" t="s">
        <v>1806</v>
      </c>
      <c r="K294" s="34"/>
      <c r="L294" s="34">
        <v>1.1299999999999999E-2</v>
      </c>
      <c r="M294" s="34">
        <v>0</v>
      </c>
      <c r="N294" s="153">
        <v>1</v>
      </c>
      <c r="O294" s="34">
        <v>0</v>
      </c>
      <c r="P294" s="34"/>
      <c r="Q294" s="153">
        <v>45630</v>
      </c>
      <c r="R294" s="153">
        <v>46762</v>
      </c>
      <c r="S294" s="153">
        <v>559</v>
      </c>
      <c r="T294" s="34"/>
      <c r="U294" s="153" t="s">
        <v>1325</v>
      </c>
      <c r="V294" s="153" t="s">
        <v>1807</v>
      </c>
      <c r="W294" s="153">
        <v>1</v>
      </c>
      <c r="X294" s="169"/>
      <c r="Y294" s="170"/>
      <c r="Z294" s="170"/>
      <c r="AA294" s="170"/>
      <c r="AB294" s="170">
        <v>0</v>
      </c>
      <c r="AC294" s="170">
        <v>100000000</v>
      </c>
      <c r="AD294" s="170">
        <v>7310000</v>
      </c>
      <c r="AE294" s="170">
        <v>250000</v>
      </c>
      <c r="AF294" s="170">
        <v>250000</v>
      </c>
      <c r="AG294" s="170">
        <v>250000</v>
      </c>
      <c r="AH294" s="153"/>
      <c r="AI294" s="171">
        <v>0</v>
      </c>
      <c r="AJ294" s="153"/>
      <c r="AK294" s="153"/>
      <c r="AL294" s="172">
        <v>101.6</v>
      </c>
      <c r="AM294" s="172">
        <v>7.3099999999999998E-2</v>
      </c>
      <c r="AN294" s="173" t="s">
        <v>1326</v>
      </c>
      <c r="AO294" s="173">
        <v>45756</v>
      </c>
      <c r="AP294" s="172">
        <v>0</v>
      </c>
      <c r="AQ294" s="173"/>
      <c r="AR294" s="174">
        <v>2.5000000000000001E-3</v>
      </c>
      <c r="AS294" s="175">
        <v>3.4997439999999998E-2</v>
      </c>
      <c r="AT294" s="172">
        <v>0</v>
      </c>
      <c r="AU294" s="170">
        <v>6.9968119999999995E-2</v>
      </c>
      <c r="AV294" s="170">
        <v>0</v>
      </c>
      <c r="AW294" s="170">
        <v>18275</v>
      </c>
      <c r="AX294" s="170">
        <v>0</v>
      </c>
      <c r="AY294" s="170">
        <v>254000</v>
      </c>
      <c r="AZ294" s="170">
        <v>2306.25</v>
      </c>
      <c r="BA294" s="170">
        <v>22853.282055047777</v>
      </c>
      <c r="BB294" s="170">
        <v>0</v>
      </c>
      <c r="BC294" s="170">
        <v>0</v>
      </c>
      <c r="BD294" s="170">
        <v>0</v>
      </c>
      <c r="BE294" s="170">
        <v>0</v>
      </c>
      <c r="BF294" s="170">
        <v>0</v>
      </c>
      <c r="BG294" s="170">
        <v>0</v>
      </c>
      <c r="BH294" s="170">
        <v>62500</v>
      </c>
      <c r="BI294" s="170">
        <v>250000</v>
      </c>
      <c r="BJ294" s="170">
        <v>0.98870000000000002</v>
      </c>
      <c r="BK294" s="170">
        <v>6.25E-2</v>
      </c>
      <c r="BL294" s="176">
        <v>0</v>
      </c>
      <c r="BM294" s="176" t="s">
        <v>1663</v>
      </c>
      <c r="BN294" s="173">
        <v>0</v>
      </c>
      <c r="BO294" s="175">
        <v>0</v>
      </c>
      <c r="BP294" s="175">
        <v>0</v>
      </c>
      <c r="BQ294" s="170">
        <v>250000</v>
      </c>
      <c r="BR294" s="170">
        <v>0</v>
      </c>
      <c r="BS294" s="169" t="s">
        <v>1806</v>
      </c>
      <c r="BT294" s="173">
        <v>0.12619699042407662</v>
      </c>
      <c r="BU294" s="170">
        <v>6562.5</v>
      </c>
      <c r="BV294" s="170">
        <v>15968.75</v>
      </c>
      <c r="BW294" s="170">
        <v>2.4333333333333331</v>
      </c>
      <c r="BX294" s="177">
        <v>0.87380300957592338</v>
      </c>
      <c r="BY294" s="177">
        <v>0</v>
      </c>
      <c r="BZ294" s="153">
        <v>0</v>
      </c>
      <c r="CA294" s="153">
        <v>0</v>
      </c>
      <c r="CB294" s="153">
        <v>45756</v>
      </c>
      <c r="CC294" s="153">
        <v>45756</v>
      </c>
      <c r="CD294" s="153"/>
      <c r="CE294" s="153"/>
      <c r="CF294" s="153"/>
      <c r="CG294" s="34" t="s">
        <v>1347</v>
      </c>
      <c r="CH294" s="34" t="s">
        <v>1333</v>
      </c>
    </row>
    <row r="295" spans="1:86" x14ac:dyDescent="0.3">
      <c r="A295" s="34">
        <v>10</v>
      </c>
      <c r="B295" s="34" t="s">
        <v>963</v>
      </c>
      <c r="C295" s="34" t="s">
        <v>1343</v>
      </c>
      <c r="D295" s="34" t="s">
        <v>150</v>
      </c>
      <c r="E295" s="34" t="s">
        <v>1336</v>
      </c>
      <c r="F295" s="34" t="s">
        <v>1805</v>
      </c>
      <c r="G295" s="34"/>
      <c r="H295" s="34" t="s">
        <v>1456</v>
      </c>
      <c r="I295" s="34" t="s">
        <v>966</v>
      </c>
      <c r="J295" s="34" t="s">
        <v>1806</v>
      </c>
      <c r="K295" s="34"/>
      <c r="L295" s="34">
        <v>2.5000000000000001E-3</v>
      </c>
      <c r="M295" s="34">
        <v>8.0000000000000004E-4</v>
      </c>
      <c r="N295" s="153">
        <v>1</v>
      </c>
      <c r="O295" s="34">
        <v>0</v>
      </c>
      <c r="P295" s="34"/>
      <c r="Q295" s="153">
        <v>45300</v>
      </c>
      <c r="R295" s="153">
        <v>46395</v>
      </c>
      <c r="S295" s="153">
        <v>192</v>
      </c>
      <c r="T295" s="34"/>
      <c r="U295" s="153" t="s">
        <v>1325</v>
      </c>
      <c r="V295" s="153" t="s">
        <v>1807</v>
      </c>
      <c r="W295" s="153">
        <v>1</v>
      </c>
      <c r="X295" s="166"/>
      <c r="Y295" s="137"/>
      <c r="Z295" s="137"/>
      <c r="AA295" s="137"/>
      <c r="AB295" s="137">
        <v>0</v>
      </c>
      <c r="AC295" s="137">
        <v>400000000</v>
      </c>
      <c r="AD295" s="137">
        <v>20017500</v>
      </c>
      <c r="AE295" s="137">
        <v>249999.45</v>
      </c>
      <c r="AF295" s="137">
        <v>249999.45</v>
      </c>
      <c r="AG295" s="137">
        <v>250000</v>
      </c>
      <c r="AH295" s="153"/>
      <c r="AI295" s="167">
        <v>0</v>
      </c>
      <c r="AJ295" s="153"/>
      <c r="AK295" s="153"/>
      <c r="AL295" s="154">
        <v>102.3</v>
      </c>
      <c r="AM295" s="154">
        <v>7.85E-2</v>
      </c>
      <c r="AN295" s="168" t="s">
        <v>1326</v>
      </c>
      <c r="AO295" s="168">
        <v>45756</v>
      </c>
      <c r="AP295" s="154">
        <v>0</v>
      </c>
      <c r="AQ295" s="168"/>
      <c r="AR295" s="155">
        <v>9.8039000000000004E-4</v>
      </c>
      <c r="AS295" s="152">
        <v>4.0195000000000002E-2</v>
      </c>
      <c r="AT295" s="154">
        <v>0</v>
      </c>
      <c r="AU295" s="137">
        <v>6.7969870000000002E-2</v>
      </c>
      <c r="AV295" s="137">
        <v>0</v>
      </c>
      <c r="AW295" s="137">
        <v>19624.956825000001</v>
      </c>
      <c r="AX295" s="137">
        <v>0</v>
      </c>
      <c r="AY295" s="137">
        <v>255749.43734999999</v>
      </c>
      <c r="AZ295" s="137">
        <v>407.35961204826793</v>
      </c>
      <c r="BA295" s="137">
        <v>9001.9858960103247</v>
      </c>
      <c r="BB295" s="137">
        <v>0</v>
      </c>
      <c r="BC295" s="137">
        <v>0</v>
      </c>
      <c r="BD295" s="137">
        <v>0</v>
      </c>
      <c r="BE295" s="137">
        <v>0</v>
      </c>
      <c r="BF295" s="137">
        <v>0</v>
      </c>
      <c r="BG295" s="137">
        <v>0</v>
      </c>
      <c r="BH295" s="137">
        <v>0</v>
      </c>
      <c r="BI295" s="137">
        <v>97412.904708811286</v>
      </c>
      <c r="BJ295" s="137">
        <v>0.99760000000000004</v>
      </c>
      <c r="BK295" s="137">
        <v>6.2499862500000003E-2</v>
      </c>
      <c r="BL295" s="113">
        <v>0</v>
      </c>
      <c r="BM295" s="113" t="s">
        <v>1663</v>
      </c>
      <c r="BN295" s="168">
        <v>0</v>
      </c>
      <c r="BO295" s="152">
        <v>0</v>
      </c>
      <c r="BP295" s="152">
        <v>0</v>
      </c>
      <c r="BQ295" s="137">
        <v>249999.45</v>
      </c>
      <c r="BR295" s="137">
        <v>0</v>
      </c>
      <c r="BS295" s="166" t="s">
        <v>1806</v>
      </c>
      <c r="BT295" s="168">
        <v>2.0757223349879544E-2</v>
      </c>
      <c r="BU295" s="137">
        <v>1203.7957702624742</v>
      </c>
      <c r="BV295" s="137">
        <v>19217.597212951732</v>
      </c>
      <c r="BW295" s="137">
        <v>15.964167417502679</v>
      </c>
      <c r="BX295" s="89">
        <v>0.97924277665012038</v>
      </c>
      <c r="BY295" s="89">
        <v>0</v>
      </c>
      <c r="BZ295" s="153">
        <v>0</v>
      </c>
      <c r="CA295" s="153">
        <v>0</v>
      </c>
      <c r="CB295" s="153">
        <v>45756</v>
      </c>
      <c r="CC295" s="153">
        <v>45756</v>
      </c>
      <c r="CD295" s="153"/>
      <c r="CE295" s="153"/>
      <c r="CF295" s="153"/>
      <c r="CG295" s="34" t="s">
        <v>139</v>
      </c>
      <c r="CH295" s="34" t="s">
        <v>1333</v>
      </c>
    </row>
    <row r="296" spans="1:86" x14ac:dyDescent="0.3">
      <c r="A296" s="34">
        <v>11</v>
      </c>
      <c r="B296" s="34" t="s">
        <v>1000</v>
      </c>
      <c r="C296" s="34" t="s">
        <v>1353</v>
      </c>
      <c r="D296" s="34" t="s">
        <v>133</v>
      </c>
      <c r="E296" s="34" t="s">
        <v>1336</v>
      </c>
      <c r="F296" s="34"/>
      <c r="G296" s="34"/>
      <c r="H296" s="34" t="s">
        <v>1456</v>
      </c>
      <c r="I296" s="34" t="s">
        <v>1003</v>
      </c>
      <c r="J296" s="34" t="s">
        <v>1806</v>
      </c>
      <c r="K296" s="34"/>
      <c r="L296" s="34">
        <v>9.7000000000000003E-3</v>
      </c>
      <c r="M296" s="34">
        <v>6.0000000000000001E-3</v>
      </c>
      <c r="N296" s="153">
        <v>1</v>
      </c>
      <c r="O296" s="34">
        <v>0</v>
      </c>
      <c r="P296" s="34"/>
      <c r="Q296" s="153">
        <v>45104</v>
      </c>
      <c r="R296" s="153">
        <v>46332</v>
      </c>
      <c r="S296" s="153">
        <v>129</v>
      </c>
      <c r="T296" s="34"/>
      <c r="U296" s="153" t="s">
        <v>1325</v>
      </c>
      <c r="V296" s="153" t="s">
        <v>1807</v>
      </c>
      <c r="W296" s="153">
        <v>1</v>
      </c>
      <c r="X296" s="166"/>
      <c r="Y296" s="137"/>
      <c r="Z296" s="137"/>
      <c r="AA296" s="137"/>
      <c r="AB296" s="137">
        <v>0</v>
      </c>
      <c r="AC296" s="137">
        <v>150000000</v>
      </c>
      <c r="AD296" s="137">
        <v>12256230</v>
      </c>
      <c r="AE296" s="137">
        <v>250000.5</v>
      </c>
      <c r="AF296" s="137">
        <v>250000.5</v>
      </c>
      <c r="AG296" s="137">
        <v>250000</v>
      </c>
      <c r="AH296" s="153"/>
      <c r="AI296" s="167">
        <v>0</v>
      </c>
      <c r="AJ296" s="153"/>
      <c r="AK296" s="153"/>
      <c r="AL296" s="154">
        <v>102.4</v>
      </c>
      <c r="AM296" s="154">
        <v>8.1708199999999995E-2</v>
      </c>
      <c r="AN296" s="168" t="s">
        <v>1326</v>
      </c>
      <c r="AO296" s="168">
        <v>45763</v>
      </c>
      <c r="AP296" s="154">
        <v>0</v>
      </c>
      <c r="AQ296" s="168"/>
      <c r="AR296" s="155">
        <v>1.6666700000000001E-3</v>
      </c>
      <c r="AS296" s="152">
        <v>4.3428769999999998E-2</v>
      </c>
      <c r="AT296" s="154">
        <v>0</v>
      </c>
      <c r="AU296" s="137">
        <v>6.8990380000000004E-2</v>
      </c>
      <c r="AV296" s="137">
        <v>0</v>
      </c>
      <c r="AW296" s="137">
        <v>20427.090854099999</v>
      </c>
      <c r="AX296" s="137">
        <v>87500.175000000003</v>
      </c>
      <c r="AY296" s="137">
        <v>256000.51200000002</v>
      </c>
      <c r="AZ296" s="137">
        <v>1946.8788937500001</v>
      </c>
      <c r="BA296" s="137">
        <v>20829.125148716455</v>
      </c>
      <c r="BB296" s="137">
        <v>0</v>
      </c>
      <c r="BC296" s="137">
        <v>0</v>
      </c>
      <c r="BD296" s="137">
        <v>0</v>
      </c>
      <c r="BE296" s="137">
        <v>0</v>
      </c>
      <c r="BF296" s="137">
        <v>0</v>
      </c>
      <c r="BG296" s="137">
        <v>0</v>
      </c>
      <c r="BH296" s="137">
        <v>0</v>
      </c>
      <c r="BI296" s="137">
        <v>250000.5</v>
      </c>
      <c r="BJ296" s="137">
        <v>0.99029999999999996</v>
      </c>
      <c r="BK296" s="137">
        <v>6.2500125000000004E-2</v>
      </c>
      <c r="BL296" s="113">
        <v>0</v>
      </c>
      <c r="BM296" s="113" t="s">
        <v>1663</v>
      </c>
      <c r="BN296" s="168">
        <v>0</v>
      </c>
      <c r="BO296" s="152">
        <v>0</v>
      </c>
      <c r="BP296" s="152">
        <v>0</v>
      </c>
      <c r="BQ296" s="137">
        <v>250000.5</v>
      </c>
      <c r="BR296" s="137">
        <v>0</v>
      </c>
      <c r="BS296" s="166" t="s">
        <v>1806</v>
      </c>
      <c r="BT296" s="168">
        <v>9.5308671589877159E-2</v>
      </c>
      <c r="BU296" s="137">
        <v>57500.114999999998</v>
      </c>
      <c r="BV296" s="137">
        <v>18480.21196035</v>
      </c>
      <c r="BW296" s="137">
        <v>0.32139434782608695</v>
      </c>
      <c r="BX296" s="89">
        <v>0.9046913284101229</v>
      </c>
      <c r="BY296" s="89">
        <v>0</v>
      </c>
      <c r="BZ296" s="153">
        <v>0</v>
      </c>
      <c r="CA296" s="153">
        <v>0</v>
      </c>
      <c r="CB296" s="153">
        <v>45763</v>
      </c>
      <c r="CC296" s="153">
        <v>45763</v>
      </c>
      <c r="CD296" s="153"/>
      <c r="CE296" s="153"/>
      <c r="CF296" s="153"/>
      <c r="CG296" s="34" t="s">
        <v>1347</v>
      </c>
      <c r="CH296" s="34" t="s">
        <v>1333</v>
      </c>
    </row>
    <row r="297" spans="1:86" x14ac:dyDescent="0.3">
      <c r="A297" s="34">
        <v>12</v>
      </c>
      <c r="B297" s="34" t="s">
        <v>1028</v>
      </c>
      <c r="C297" s="34" t="s">
        <v>1339</v>
      </c>
      <c r="D297" s="34" t="s">
        <v>528</v>
      </c>
      <c r="E297" s="34" t="s">
        <v>1340</v>
      </c>
      <c r="F297" s="34" t="s">
        <v>1808</v>
      </c>
      <c r="G297" s="34"/>
      <c r="H297" s="34" t="s">
        <v>1456</v>
      </c>
      <c r="I297" s="34" t="s">
        <v>1029</v>
      </c>
      <c r="J297" s="34" t="s">
        <v>1806</v>
      </c>
      <c r="K297" s="34"/>
      <c r="L297" s="34">
        <v>8.5000000000000006E-3</v>
      </c>
      <c r="M297" s="34">
        <v>7.7000000000000002E-3</v>
      </c>
      <c r="N297" s="153">
        <v>1</v>
      </c>
      <c r="O297" s="34">
        <v>0</v>
      </c>
      <c r="P297" s="34"/>
      <c r="Q297" s="153">
        <v>45267</v>
      </c>
      <c r="R297" s="153">
        <v>46363</v>
      </c>
      <c r="S297" s="153">
        <v>160</v>
      </c>
      <c r="T297" s="34"/>
      <c r="U297" s="153" t="s">
        <v>1325</v>
      </c>
      <c r="V297" s="153" t="s">
        <v>1807</v>
      </c>
      <c r="W297" s="153">
        <v>1</v>
      </c>
      <c r="X297" s="166"/>
      <c r="Y297" s="137"/>
      <c r="Z297" s="137"/>
      <c r="AA297" s="137"/>
      <c r="AB297" s="137">
        <v>0</v>
      </c>
      <c r="AC297" s="137">
        <v>1000000000</v>
      </c>
      <c r="AD297" s="137">
        <v>27960000</v>
      </c>
      <c r="AE297" s="137">
        <v>249999</v>
      </c>
      <c r="AF297" s="137">
        <v>249999</v>
      </c>
      <c r="AG297" s="137">
        <v>250000</v>
      </c>
      <c r="AH297" s="153"/>
      <c r="AI297" s="167">
        <v>0</v>
      </c>
      <c r="AJ297" s="153"/>
      <c r="AK297" s="153"/>
      <c r="AL297" s="154">
        <v>103.95</v>
      </c>
      <c r="AM297" s="154">
        <v>9.3200000000000005E-2</v>
      </c>
      <c r="AN297" s="168" t="s">
        <v>1326</v>
      </c>
      <c r="AO297" s="168">
        <v>45751</v>
      </c>
      <c r="AP297" s="154">
        <v>0</v>
      </c>
      <c r="AQ297" s="168"/>
      <c r="AR297" s="155">
        <v>8.3332999999999996E-4</v>
      </c>
      <c r="AS297" s="152">
        <v>5.500062E-2</v>
      </c>
      <c r="AT297" s="154">
        <v>0</v>
      </c>
      <c r="AU297" s="137">
        <v>7.1253140000000006E-2</v>
      </c>
      <c r="AV297" s="137">
        <v>0</v>
      </c>
      <c r="AW297" s="137">
        <v>23299.906800000001</v>
      </c>
      <c r="AX297" s="137">
        <v>124999.5</v>
      </c>
      <c r="AY297" s="137">
        <v>259873.96050000002</v>
      </c>
      <c r="AZ297" s="137">
        <v>2019.6864694769979</v>
      </c>
      <c r="BA297" s="137">
        <v>22128.200213811611</v>
      </c>
      <c r="BB297" s="137">
        <v>0</v>
      </c>
      <c r="BC297" s="137">
        <v>0</v>
      </c>
      <c r="BD297" s="137">
        <v>0</v>
      </c>
      <c r="BE297" s="137">
        <v>0</v>
      </c>
      <c r="BF297" s="137">
        <v>0</v>
      </c>
      <c r="BG297" s="137">
        <v>0</v>
      </c>
      <c r="BH297" s="137">
        <v>0</v>
      </c>
      <c r="BI297" s="137">
        <v>249999</v>
      </c>
      <c r="BJ297" s="137">
        <v>0.99150000000000005</v>
      </c>
      <c r="BK297" s="137">
        <v>6.249975E-2</v>
      </c>
      <c r="BL297" s="113">
        <v>0</v>
      </c>
      <c r="BM297" s="113" t="s">
        <v>1663</v>
      </c>
      <c r="BN297" s="168">
        <v>0</v>
      </c>
      <c r="BO297" s="152">
        <v>0</v>
      </c>
      <c r="BP297" s="152">
        <v>0</v>
      </c>
      <c r="BQ297" s="137">
        <v>249999</v>
      </c>
      <c r="BR297" s="137">
        <v>0</v>
      </c>
      <c r="BS297" s="166" t="s">
        <v>1806</v>
      </c>
      <c r="BT297" s="168">
        <v>8.6682169453012478E-2</v>
      </c>
      <c r="BU297" s="137">
        <v>107499.57</v>
      </c>
      <c r="BV297" s="137">
        <v>21280.220330523003</v>
      </c>
      <c r="BW297" s="137">
        <v>0.19795632978367264</v>
      </c>
      <c r="BX297" s="89">
        <v>0.91331783054698756</v>
      </c>
      <c r="BY297" s="89">
        <v>0</v>
      </c>
      <c r="BZ297" s="153">
        <v>0</v>
      </c>
      <c r="CA297" s="153">
        <v>0</v>
      </c>
      <c r="CB297" s="153">
        <v>45751</v>
      </c>
      <c r="CC297" s="153">
        <v>45751</v>
      </c>
      <c r="CD297" s="153"/>
      <c r="CE297" s="153"/>
      <c r="CF297" s="153"/>
      <c r="CG297" s="34" t="s">
        <v>139</v>
      </c>
      <c r="CH297" s="34" t="s">
        <v>1329</v>
      </c>
    </row>
    <row r="298" spans="1:86" x14ac:dyDescent="0.3">
      <c r="A298" s="34">
        <v>13</v>
      </c>
      <c r="B298" s="34" t="s">
        <v>1061</v>
      </c>
      <c r="C298" s="34" t="s">
        <v>1354</v>
      </c>
      <c r="D298" s="34" t="s">
        <v>133</v>
      </c>
      <c r="E298" s="34" t="s">
        <v>1336</v>
      </c>
      <c r="F298" s="34" t="s">
        <v>1805</v>
      </c>
      <c r="G298" s="34"/>
      <c r="H298" s="34" t="s">
        <v>1456</v>
      </c>
      <c r="I298" s="34" t="s">
        <v>1064</v>
      </c>
      <c r="J298" s="34" t="s">
        <v>1806</v>
      </c>
      <c r="K298" s="34"/>
      <c r="L298" s="34">
        <v>1.7600000000000001E-2</v>
      </c>
      <c r="M298" s="34">
        <v>0</v>
      </c>
      <c r="N298" s="153">
        <v>1</v>
      </c>
      <c r="O298" s="34">
        <v>0</v>
      </c>
      <c r="P298" s="34"/>
      <c r="Q298" s="153">
        <v>45287</v>
      </c>
      <c r="R298" s="153">
        <v>46395</v>
      </c>
      <c r="S298" s="153">
        <v>192</v>
      </c>
      <c r="T298" s="34"/>
      <c r="U298" s="153" t="s">
        <v>1325</v>
      </c>
      <c r="V298" s="153" t="s">
        <v>1807</v>
      </c>
      <c r="W298" s="153">
        <v>1</v>
      </c>
      <c r="X298" s="166"/>
      <c r="Y298" s="137"/>
      <c r="Z298" s="137"/>
      <c r="AA298" s="137"/>
      <c r="AB298" s="137">
        <v>0</v>
      </c>
      <c r="AC298" s="137">
        <v>301000000</v>
      </c>
      <c r="AD298" s="137">
        <v>20180000</v>
      </c>
      <c r="AE298" s="137">
        <v>250000</v>
      </c>
      <c r="AF298" s="137">
        <v>250000</v>
      </c>
      <c r="AG298" s="137">
        <v>250000</v>
      </c>
      <c r="AH298" s="153"/>
      <c r="AI298" s="167">
        <v>0</v>
      </c>
      <c r="AJ298" s="153"/>
      <c r="AK298" s="153"/>
      <c r="AL298" s="154">
        <v>103.1</v>
      </c>
      <c r="AM298" s="154">
        <v>0.1009</v>
      </c>
      <c r="AN298" s="168" t="s">
        <v>1326</v>
      </c>
      <c r="AO298" s="168">
        <v>45770</v>
      </c>
      <c r="AP298" s="154">
        <v>0</v>
      </c>
      <c r="AQ298" s="168"/>
      <c r="AR298" s="155">
        <v>1.25E-3</v>
      </c>
      <c r="AS298" s="152">
        <v>6.2344139999999999E-2</v>
      </c>
      <c r="AT298" s="154">
        <v>0</v>
      </c>
      <c r="AU298" s="137">
        <v>8.4681469999999995E-2</v>
      </c>
      <c r="AV298" s="137">
        <v>0</v>
      </c>
      <c r="AW298" s="137">
        <v>25225.000000000004</v>
      </c>
      <c r="AX298" s="137">
        <v>231719.34507808808</v>
      </c>
      <c r="AY298" s="137">
        <v>257750</v>
      </c>
      <c r="AZ298" s="137">
        <v>3592.3576575519787</v>
      </c>
      <c r="BA298" s="137">
        <v>28646.09637168363</v>
      </c>
      <c r="BB298" s="137">
        <v>0</v>
      </c>
      <c r="BC298" s="137">
        <v>0</v>
      </c>
      <c r="BD298" s="137">
        <v>0</v>
      </c>
      <c r="BE298" s="137">
        <v>0</v>
      </c>
      <c r="BF298" s="137">
        <v>0</v>
      </c>
      <c r="BG298" s="137">
        <v>175034.94974073794</v>
      </c>
      <c r="BH298" s="137">
        <v>250000.00103749998</v>
      </c>
      <c r="BI298" s="137">
        <v>250000.00103749998</v>
      </c>
      <c r="BJ298" s="137">
        <v>0.9829</v>
      </c>
      <c r="BK298" s="137">
        <v>6.25E-2</v>
      </c>
      <c r="BL298" s="113">
        <v>0</v>
      </c>
      <c r="BM298" s="113" t="s">
        <v>1663</v>
      </c>
      <c r="BN298" s="168">
        <v>0</v>
      </c>
      <c r="BO298" s="152">
        <v>0</v>
      </c>
      <c r="BP298" s="152">
        <v>0</v>
      </c>
      <c r="BQ298" s="137">
        <v>250000</v>
      </c>
      <c r="BR298" s="137">
        <v>0</v>
      </c>
      <c r="BS298" s="166" t="s">
        <v>1806</v>
      </c>
      <c r="BT298" s="168">
        <v>0.14241259296539061</v>
      </c>
      <c r="BU298" s="137">
        <v>142091.66784942264</v>
      </c>
      <c r="BV298" s="137">
        <v>21632.642342448024</v>
      </c>
      <c r="BW298" s="137">
        <v>0.15224427068709309</v>
      </c>
      <c r="BX298" s="89">
        <v>0.85758740703460934</v>
      </c>
      <c r="BY298" s="89">
        <v>0</v>
      </c>
      <c r="BZ298" s="153">
        <v>0</v>
      </c>
      <c r="CA298" s="153">
        <v>0</v>
      </c>
      <c r="CB298" s="153">
        <v>45770</v>
      </c>
      <c r="CC298" s="153">
        <v>45770</v>
      </c>
      <c r="CD298" s="153"/>
      <c r="CE298" s="153"/>
      <c r="CF298" s="153"/>
      <c r="CG298" s="34" t="s">
        <v>139</v>
      </c>
      <c r="CH298" s="34" t="s">
        <v>1333</v>
      </c>
    </row>
    <row r="299" spans="1:86" x14ac:dyDescent="0.3">
      <c r="A299" s="34">
        <v>14</v>
      </c>
      <c r="B299" s="34" t="s">
        <v>1114</v>
      </c>
      <c r="C299" s="34" t="s">
        <v>1342</v>
      </c>
      <c r="D299" s="34" t="s">
        <v>150</v>
      </c>
      <c r="E299" s="34" t="s">
        <v>1336</v>
      </c>
      <c r="F299" s="34" t="s">
        <v>1805</v>
      </c>
      <c r="G299" s="34"/>
      <c r="H299" s="34" t="s">
        <v>1456</v>
      </c>
      <c r="I299" s="34" t="s">
        <v>1117</v>
      </c>
      <c r="J299" s="34" t="s">
        <v>1806</v>
      </c>
      <c r="K299" s="34"/>
      <c r="L299" s="34">
        <v>1.4999999999999999E-2</v>
      </c>
      <c r="M299" s="34">
        <v>9.1999999999999998E-3</v>
      </c>
      <c r="N299" s="153">
        <v>1</v>
      </c>
      <c r="O299" s="34">
        <v>0</v>
      </c>
      <c r="P299" s="34"/>
      <c r="Q299" s="153">
        <v>45649</v>
      </c>
      <c r="R299" s="153">
        <v>46849</v>
      </c>
      <c r="S299" s="153">
        <v>646</v>
      </c>
      <c r="T299" s="34"/>
      <c r="U299" s="153" t="s">
        <v>1325</v>
      </c>
      <c r="V299" s="153" t="s">
        <v>1807</v>
      </c>
      <c r="W299" s="153">
        <v>1</v>
      </c>
      <c r="X299" s="166"/>
      <c r="Y299" s="137"/>
      <c r="Z299" s="137"/>
      <c r="AA299" s="137"/>
      <c r="AB299" s="137">
        <v>0</v>
      </c>
      <c r="AC299" s="137">
        <v>300000000</v>
      </c>
      <c r="AD299" s="137">
        <v>17920000</v>
      </c>
      <c r="AE299" s="137">
        <v>250000</v>
      </c>
      <c r="AF299" s="137">
        <v>250000</v>
      </c>
      <c r="AG299" s="137">
        <v>250000</v>
      </c>
      <c r="AH299" s="153"/>
      <c r="AI299" s="167">
        <v>0</v>
      </c>
      <c r="AJ299" s="153"/>
      <c r="AK299" s="153"/>
      <c r="AL299" s="154">
        <v>100.65</v>
      </c>
      <c r="AM299" s="154">
        <v>8.9599999999999999E-2</v>
      </c>
      <c r="AN299" s="168" t="s">
        <v>1326</v>
      </c>
      <c r="AO299" s="168">
        <v>45755</v>
      </c>
      <c r="AP299" s="154">
        <v>0</v>
      </c>
      <c r="AQ299" s="168"/>
      <c r="AR299" s="155">
        <v>1.25E-3</v>
      </c>
      <c r="AS299" s="152">
        <v>5.1341879999999999E-2</v>
      </c>
      <c r="AT299" s="154">
        <v>0</v>
      </c>
      <c r="AU299" s="137">
        <v>9.0424110000000002E-2</v>
      </c>
      <c r="AV299" s="137">
        <v>0</v>
      </c>
      <c r="AW299" s="137">
        <v>22400</v>
      </c>
      <c r="AX299" s="137">
        <v>187890.09220890724</v>
      </c>
      <c r="AY299" s="137">
        <v>251625</v>
      </c>
      <c r="AZ299" s="137">
        <v>2970.2306110109016</v>
      </c>
      <c r="BA299" s="137">
        <v>25886.92579951205</v>
      </c>
      <c r="BB299" s="137">
        <v>0</v>
      </c>
      <c r="BC299" s="137">
        <v>0</v>
      </c>
      <c r="BD299" s="137">
        <v>0</v>
      </c>
      <c r="BE299" s="137">
        <v>0</v>
      </c>
      <c r="BF299" s="137">
        <v>0</v>
      </c>
      <c r="BG299" s="137">
        <v>75931.153607653789</v>
      </c>
      <c r="BH299" s="137">
        <v>212102.31331062448</v>
      </c>
      <c r="BI299" s="137">
        <v>250000.00125</v>
      </c>
      <c r="BJ299" s="137">
        <v>0.98550000000000004</v>
      </c>
      <c r="BK299" s="137">
        <v>6.25E-2</v>
      </c>
      <c r="BL299" s="113">
        <v>0</v>
      </c>
      <c r="BM299" s="113" t="s">
        <v>1663</v>
      </c>
      <c r="BN299" s="168">
        <v>0</v>
      </c>
      <c r="BO299" s="152">
        <v>0</v>
      </c>
      <c r="BP299" s="152">
        <v>0</v>
      </c>
      <c r="BQ299" s="137">
        <v>250000</v>
      </c>
      <c r="BR299" s="137">
        <v>0</v>
      </c>
      <c r="BS299" s="166" t="s">
        <v>1806</v>
      </c>
      <c r="BT299" s="168">
        <v>0.13259958084870097</v>
      </c>
      <c r="BU299" s="137">
        <v>79021.406869956365</v>
      </c>
      <c r="BV299" s="137">
        <v>19429.769388989098</v>
      </c>
      <c r="BW299" s="137">
        <v>0.24587982115990675</v>
      </c>
      <c r="BX299" s="89">
        <v>0.86740041915129906</v>
      </c>
      <c r="BY299" s="89">
        <v>0</v>
      </c>
      <c r="BZ299" s="153">
        <v>0</v>
      </c>
      <c r="CA299" s="153">
        <v>0</v>
      </c>
      <c r="CB299" s="153">
        <v>45755</v>
      </c>
      <c r="CC299" s="153">
        <v>45755</v>
      </c>
      <c r="CD299" s="153"/>
      <c r="CE299" s="153"/>
      <c r="CF299" s="153"/>
      <c r="CG299" s="34" t="s">
        <v>139</v>
      </c>
      <c r="CH299" s="34" t="s">
        <v>1333</v>
      </c>
    </row>
    <row r="300" spans="1:86" x14ac:dyDescent="0.3">
      <c r="A300" s="34">
        <v>15</v>
      </c>
      <c r="B300" s="34" t="s">
        <v>1120</v>
      </c>
      <c r="C300" s="34" t="s">
        <v>1331</v>
      </c>
      <c r="D300" s="34" t="s">
        <v>159</v>
      </c>
      <c r="E300" s="34" t="s">
        <v>1332</v>
      </c>
      <c r="F300" s="34" t="s">
        <v>1805</v>
      </c>
      <c r="G300" s="34"/>
      <c r="H300" s="34" t="s">
        <v>1456</v>
      </c>
      <c r="I300" s="34" t="s">
        <v>1121</v>
      </c>
      <c r="J300" s="34" t="s">
        <v>1806</v>
      </c>
      <c r="K300" s="34"/>
      <c r="L300" s="34">
        <v>3.3399999999999999E-2</v>
      </c>
      <c r="M300" s="34">
        <v>3.1300000000000001E-2</v>
      </c>
      <c r="N300" s="153">
        <v>1</v>
      </c>
      <c r="O300" s="34">
        <v>0</v>
      </c>
      <c r="P300" s="34"/>
      <c r="Q300" s="153">
        <v>45686</v>
      </c>
      <c r="R300" s="153">
        <v>46850</v>
      </c>
      <c r="S300" s="153">
        <v>647</v>
      </c>
      <c r="T300" s="34"/>
      <c r="U300" s="153" t="s">
        <v>1325</v>
      </c>
      <c r="V300" s="153" t="s">
        <v>1809</v>
      </c>
      <c r="W300" s="153">
        <v>1</v>
      </c>
      <c r="X300" s="166"/>
      <c r="Y300" s="137"/>
      <c r="Z300" s="137"/>
      <c r="AA300" s="137"/>
      <c r="AB300" s="137">
        <v>5000000</v>
      </c>
      <c r="AC300" s="137">
        <v>5000000</v>
      </c>
      <c r="AD300" s="137">
        <v>3142943.6999999997</v>
      </c>
      <c r="AE300" s="137">
        <v>249999.9</v>
      </c>
      <c r="AF300" s="137">
        <v>249999.9</v>
      </c>
      <c r="AG300" s="137">
        <v>250000</v>
      </c>
      <c r="AH300" s="153"/>
      <c r="AI300" s="167">
        <v>0</v>
      </c>
      <c r="AJ300" s="153"/>
      <c r="AK300" s="153"/>
      <c r="AL300" s="154">
        <v>100.2</v>
      </c>
      <c r="AM300" s="154">
        <v>0.10476479</v>
      </c>
      <c r="AN300" s="168" t="s">
        <v>1326</v>
      </c>
      <c r="AO300" s="168">
        <v>45751</v>
      </c>
      <c r="AP300" s="154">
        <v>0</v>
      </c>
      <c r="AQ300" s="168"/>
      <c r="AR300" s="155">
        <v>8.3333299999999999E-3</v>
      </c>
      <c r="AS300" s="152">
        <v>6.6102750000000002E-2</v>
      </c>
      <c r="AT300" s="154">
        <v>0</v>
      </c>
      <c r="AU300" s="137">
        <v>0.10367698</v>
      </c>
      <c r="AV300" s="137">
        <v>0</v>
      </c>
      <c r="AW300" s="137">
        <v>26191.187023521001</v>
      </c>
      <c r="AX300" s="137">
        <v>124999.95</v>
      </c>
      <c r="AY300" s="137">
        <v>250499.89980000001</v>
      </c>
      <c r="AZ300" s="137">
        <v>7224.172555225301</v>
      </c>
      <c r="BA300" s="137">
        <v>40913.053250054218</v>
      </c>
      <c r="BB300" s="137">
        <v>0</v>
      </c>
      <c r="BC300" s="137">
        <v>0</v>
      </c>
      <c r="BD300" s="137">
        <v>0</v>
      </c>
      <c r="BE300" s="137">
        <v>0</v>
      </c>
      <c r="BF300" s="137">
        <v>249999.89999999994</v>
      </c>
      <c r="BG300" s="137">
        <v>249999.9</v>
      </c>
      <c r="BH300" s="137">
        <v>249999.9</v>
      </c>
      <c r="BI300" s="137">
        <v>249999.90000000005</v>
      </c>
      <c r="BJ300" s="137">
        <v>0.96840000000000004</v>
      </c>
      <c r="BK300" s="137">
        <v>6.2499974999999999E-2</v>
      </c>
      <c r="BL300" s="113">
        <v>0</v>
      </c>
      <c r="BM300" s="113" t="s">
        <v>1663</v>
      </c>
      <c r="BN300" s="168">
        <v>0</v>
      </c>
      <c r="BO300" s="152">
        <v>0</v>
      </c>
      <c r="BP300" s="152">
        <v>0</v>
      </c>
      <c r="BQ300" s="137">
        <v>249999.9</v>
      </c>
      <c r="BR300" s="137">
        <v>0</v>
      </c>
      <c r="BS300" s="166" t="s">
        <v>1806</v>
      </c>
      <c r="BT300" s="168">
        <v>0.27582455689150825</v>
      </c>
      <c r="BU300" s="137">
        <v>112873.97377722297</v>
      </c>
      <c r="BV300" s="137">
        <v>18967.0144682957</v>
      </c>
      <c r="BW300" s="137">
        <v>0.16803709334917635</v>
      </c>
      <c r="BX300" s="89">
        <v>0.72417544310849169</v>
      </c>
      <c r="BY300" s="89">
        <v>0</v>
      </c>
      <c r="BZ300" s="153">
        <v>0</v>
      </c>
      <c r="CA300" s="153">
        <v>0</v>
      </c>
      <c r="CB300" s="153">
        <v>45751</v>
      </c>
      <c r="CC300" s="153">
        <v>45751</v>
      </c>
      <c r="CD300" s="153"/>
      <c r="CE300" s="153"/>
      <c r="CF300" s="153"/>
      <c r="CG300" s="34" t="s">
        <v>1334</v>
      </c>
      <c r="CH300" s="34" t="s">
        <v>1333</v>
      </c>
    </row>
  </sheetData>
  <mergeCells count="2">
    <mergeCell ref="A117:A118"/>
    <mergeCell ref="B117:B1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F9CB-5FCD-45EF-A56E-786E682E9136}">
  <sheetPr codeName="Sheet5"/>
  <dimension ref="A1:CH300"/>
  <sheetViews>
    <sheetView topLeftCell="A94" workbookViewId="0">
      <selection activeCell="D112" sqref="D112"/>
    </sheetView>
  </sheetViews>
  <sheetFormatPr defaultRowHeight="14.4" x14ac:dyDescent="0.3"/>
  <cols>
    <col min="1" max="1" width="24.44140625" bestFit="1" customWidth="1"/>
    <col min="2" max="2" width="52" customWidth="1"/>
    <col min="3" max="3" width="23.77734375" bestFit="1" customWidth="1"/>
    <col min="4" max="4" width="20.77734375" customWidth="1"/>
    <col min="5" max="5" width="16.88671875" bestFit="1" customWidth="1"/>
    <col min="6" max="6" width="13.88671875" bestFit="1" customWidth="1"/>
    <col min="7" max="7" width="12.5546875" bestFit="1" customWidth="1"/>
    <col min="8" max="8" width="16.6640625" bestFit="1" customWidth="1"/>
    <col min="9" max="9" width="14.33203125" bestFit="1" customWidth="1"/>
    <col min="10" max="10" width="15.88671875" bestFit="1" customWidth="1"/>
    <col min="11" max="11" width="15.44140625" bestFit="1" customWidth="1"/>
    <col min="12" max="12" width="22.77734375" bestFit="1" customWidth="1"/>
    <col min="13" max="13" width="21.77734375" bestFit="1" customWidth="1"/>
    <col min="14" max="14" width="19.6640625" bestFit="1" customWidth="1"/>
    <col min="15" max="15" width="22" bestFit="1" customWidth="1"/>
    <col min="16" max="16" width="19" bestFit="1" customWidth="1"/>
    <col min="17" max="17" width="12.21875" bestFit="1" customWidth="1"/>
    <col min="18" max="19" width="12" bestFit="1" customWidth="1"/>
    <col min="20" max="20" width="15.77734375" bestFit="1" customWidth="1"/>
    <col min="21" max="22" width="12" bestFit="1" customWidth="1"/>
    <col min="23" max="23" width="16.33203125" bestFit="1" customWidth="1"/>
    <col min="24" max="24" width="16.88671875" bestFit="1" customWidth="1"/>
    <col min="25" max="25" width="13.88671875" bestFit="1" customWidth="1"/>
    <col min="26" max="26" width="9.21875" bestFit="1" customWidth="1"/>
    <col min="27" max="27" width="8.5546875" bestFit="1" customWidth="1"/>
    <col min="28" max="28" width="15.88671875" bestFit="1" customWidth="1"/>
    <col min="29" max="29" width="9.109375" bestFit="1" customWidth="1"/>
    <col min="30" max="30" width="11.77734375" bestFit="1" customWidth="1"/>
    <col min="31" max="31" width="5.33203125" bestFit="1" customWidth="1"/>
    <col min="32" max="32" width="12" bestFit="1" customWidth="1"/>
    <col min="33" max="33" width="16.21875" bestFit="1" customWidth="1"/>
    <col min="34" max="34" width="11.77734375" bestFit="1" customWidth="1"/>
    <col min="35" max="35" width="10.5546875" bestFit="1" customWidth="1"/>
    <col min="36" max="36" width="27.21875" bestFit="1" customWidth="1"/>
    <col min="37" max="37" width="11" bestFit="1" customWidth="1"/>
    <col min="38" max="39" width="12" bestFit="1" customWidth="1"/>
    <col min="40" max="40" width="18" bestFit="1" customWidth="1"/>
    <col min="41" max="41" width="11" bestFit="1" customWidth="1"/>
    <col min="42" max="42" width="22.109375" bestFit="1" customWidth="1"/>
    <col min="43" max="43" width="5" bestFit="1" customWidth="1"/>
    <col min="44" max="44" width="11" bestFit="1" customWidth="1"/>
    <col min="45" max="45" width="7.21875" bestFit="1" customWidth="1"/>
    <col min="46" max="46" width="12" bestFit="1" customWidth="1"/>
    <col min="47" max="47" width="8" bestFit="1" customWidth="1"/>
    <col min="48" max="48" width="17.33203125" bestFit="1" customWidth="1"/>
    <col min="49" max="49" width="9.77734375" bestFit="1" customWidth="1"/>
    <col min="50" max="50" width="5" bestFit="1" customWidth="1"/>
    <col min="51" max="51" width="13.5546875" bestFit="1" customWidth="1"/>
    <col min="52" max="52" width="26.21875" bestFit="1" customWidth="1"/>
    <col min="53" max="53" width="32.33203125" bestFit="1" customWidth="1"/>
    <col min="54" max="54" width="15.44140625" bestFit="1" customWidth="1"/>
    <col min="55" max="55" width="20.77734375" bestFit="1" customWidth="1"/>
    <col min="56" max="56" width="19.33203125" bestFit="1" customWidth="1"/>
    <col min="57" max="57" width="16" bestFit="1" customWidth="1"/>
    <col min="58" max="58" width="13.77734375" bestFit="1" customWidth="1"/>
    <col min="59" max="59" width="19.21875" bestFit="1" customWidth="1"/>
    <col min="60" max="60" width="15.21875" bestFit="1" customWidth="1"/>
    <col min="61" max="61" width="6.6640625" bestFit="1" customWidth="1"/>
    <col min="62" max="62" width="8.5546875" bestFit="1" customWidth="1"/>
    <col min="63" max="63" width="5.5546875" bestFit="1" customWidth="1"/>
    <col min="64" max="64" width="9" bestFit="1" customWidth="1"/>
    <col min="65" max="65" width="7.88671875" bestFit="1" customWidth="1"/>
    <col min="66" max="66" width="13.6640625" bestFit="1" customWidth="1"/>
    <col min="67" max="67" width="12.5546875" bestFit="1" customWidth="1"/>
    <col min="68" max="68" width="11.33203125" bestFit="1" customWidth="1"/>
    <col min="69" max="69" width="18.44140625" bestFit="1" customWidth="1"/>
    <col min="70" max="70" width="11.77734375" bestFit="1" customWidth="1"/>
    <col min="71" max="71" width="12.21875" bestFit="1" customWidth="1"/>
    <col min="72" max="72" width="11.77734375" bestFit="1" customWidth="1"/>
    <col min="73" max="73" width="14.21875" bestFit="1" customWidth="1"/>
    <col min="74" max="74" width="7.6640625" bestFit="1" customWidth="1"/>
    <col min="75" max="75" width="11.5546875" bestFit="1" customWidth="1"/>
    <col min="76" max="76" width="8.33203125" bestFit="1" customWidth="1"/>
    <col min="77" max="77" width="6.88671875" bestFit="1" customWidth="1"/>
    <col min="78" max="78" width="17.6640625" bestFit="1" customWidth="1"/>
    <col min="79" max="79" width="18.109375" bestFit="1" customWidth="1"/>
    <col min="80" max="80" width="10" bestFit="1" customWidth="1"/>
    <col min="81" max="81" width="11" bestFit="1" customWidth="1"/>
  </cols>
  <sheetData>
    <row r="1" spans="1:19" x14ac:dyDescent="0.3">
      <c r="A1" t="s">
        <v>1432</v>
      </c>
      <c r="B1" t="s">
        <v>1584</v>
      </c>
      <c r="C1" t="s">
        <v>1585</v>
      </c>
      <c r="D1" t="s">
        <v>1586</v>
      </c>
      <c r="E1" t="s">
        <v>1408</v>
      </c>
      <c r="F1" t="s">
        <v>1409</v>
      </c>
      <c r="G1" t="s">
        <v>1444</v>
      </c>
      <c r="H1" t="s">
        <v>1587</v>
      </c>
      <c r="I1" t="s">
        <v>1588</v>
      </c>
      <c r="J1" t="s">
        <v>1589</v>
      </c>
      <c r="K1" t="s">
        <v>1590</v>
      </c>
      <c r="L1" t="s">
        <v>76</v>
      </c>
      <c r="M1" t="s">
        <v>1591</v>
      </c>
      <c r="N1" t="s">
        <v>1592</v>
      </c>
      <c r="O1" t="s">
        <v>1593</v>
      </c>
      <c r="P1" t="s">
        <v>1594</v>
      </c>
      <c r="Q1" t="s">
        <v>1595</v>
      </c>
      <c r="R1" t="s">
        <v>1596</v>
      </c>
      <c r="S1" t="s">
        <v>1429</v>
      </c>
    </row>
    <row r="2" spans="1:19" x14ac:dyDescent="0.3">
      <c r="A2">
        <v>107</v>
      </c>
      <c r="B2">
        <v>1</v>
      </c>
      <c r="C2" t="s">
        <v>1812</v>
      </c>
      <c r="D2">
        <v>4000000</v>
      </c>
      <c r="E2" t="s">
        <v>123</v>
      </c>
      <c r="F2" t="s">
        <v>123</v>
      </c>
      <c r="G2" t="s">
        <v>1330</v>
      </c>
      <c r="H2" t="s">
        <v>123</v>
      </c>
      <c r="I2" t="s">
        <v>123</v>
      </c>
      <c r="J2" s="1">
        <v>46203</v>
      </c>
      <c r="K2" t="s">
        <v>1813</v>
      </c>
      <c r="L2" s="1">
        <v>46203.647971724538</v>
      </c>
      <c r="M2">
        <v>1</v>
      </c>
      <c r="N2">
        <v>0</v>
      </c>
      <c r="O2" t="s">
        <v>1599</v>
      </c>
      <c r="P2" t="s">
        <v>1600</v>
      </c>
      <c r="Q2">
        <v>3830344</v>
      </c>
      <c r="R2" t="s">
        <v>123</v>
      </c>
      <c r="S2">
        <v>107</v>
      </c>
    </row>
    <row r="4" spans="1:19" x14ac:dyDescent="0.3">
      <c r="A4" t="s">
        <v>1601</v>
      </c>
      <c r="B4" t="s">
        <v>1602</v>
      </c>
      <c r="C4" t="s">
        <v>1603</v>
      </c>
      <c r="D4" t="s">
        <v>1604</v>
      </c>
      <c r="E4" t="s">
        <v>1605</v>
      </c>
      <c r="F4" t="s">
        <v>63</v>
      </c>
      <c r="G4" t="s">
        <v>71</v>
      </c>
      <c r="H4" t="s">
        <v>1606</v>
      </c>
      <c r="I4" t="s">
        <v>67</v>
      </c>
      <c r="J4" t="s">
        <v>1607</v>
      </c>
      <c r="K4" t="s">
        <v>1608</v>
      </c>
      <c r="L4" t="s">
        <v>1429</v>
      </c>
      <c r="M4" t="s">
        <v>1609</v>
      </c>
      <c r="N4" t="s">
        <v>1610</v>
      </c>
      <c r="O4" t="s">
        <v>1611</v>
      </c>
      <c r="P4" t="s">
        <v>1612</v>
      </c>
    </row>
    <row r="5" spans="1:19" x14ac:dyDescent="0.3">
      <c r="A5">
        <v>90</v>
      </c>
      <c r="B5">
        <v>1</v>
      </c>
      <c r="C5">
        <v>1.2E-2</v>
      </c>
      <c r="D5">
        <v>0.01</v>
      </c>
      <c r="E5" t="s">
        <v>1613</v>
      </c>
      <c r="F5">
        <v>0</v>
      </c>
      <c r="G5">
        <v>0</v>
      </c>
      <c r="H5">
        <v>0</v>
      </c>
      <c r="I5">
        <v>0</v>
      </c>
      <c r="J5">
        <v>0</v>
      </c>
      <c r="K5">
        <v>3.8E-3</v>
      </c>
      <c r="L5">
        <v>107</v>
      </c>
      <c r="M5">
        <v>3.8699999999999998E-2</v>
      </c>
      <c r="N5">
        <v>0</v>
      </c>
      <c r="O5">
        <v>0</v>
      </c>
      <c r="P5">
        <v>0</v>
      </c>
    </row>
    <row r="7" spans="1:19" x14ac:dyDescent="0.3">
      <c r="A7" t="s">
        <v>1432</v>
      </c>
      <c r="B7" t="s">
        <v>1584</v>
      </c>
      <c r="C7" t="s">
        <v>1614</v>
      </c>
      <c r="D7" t="s">
        <v>1615</v>
      </c>
      <c r="E7" t="s">
        <v>1616</v>
      </c>
      <c r="F7" t="s">
        <v>1617</v>
      </c>
      <c r="G7" t="s">
        <v>1618</v>
      </c>
      <c r="H7" t="s">
        <v>1619</v>
      </c>
      <c r="I7" t="s">
        <v>1429</v>
      </c>
    </row>
    <row r="8" spans="1:19" x14ac:dyDescent="0.3">
      <c r="A8">
        <v>5662</v>
      </c>
      <c r="B8">
        <v>1</v>
      </c>
      <c r="C8" t="s">
        <v>1620</v>
      </c>
      <c r="D8" t="s">
        <v>1621</v>
      </c>
      <c r="E8">
        <v>0</v>
      </c>
      <c r="F8">
        <v>0.15</v>
      </c>
      <c r="H8">
        <v>0</v>
      </c>
      <c r="I8">
        <v>107</v>
      </c>
    </row>
    <row r="9" spans="1:19" x14ac:dyDescent="0.3">
      <c r="A9">
        <v>5663</v>
      </c>
      <c r="B9">
        <v>1</v>
      </c>
      <c r="C9" t="s">
        <v>1620</v>
      </c>
      <c r="D9" t="s">
        <v>1622</v>
      </c>
      <c r="E9">
        <v>0</v>
      </c>
      <c r="F9">
        <v>0.3</v>
      </c>
      <c r="H9">
        <v>0</v>
      </c>
      <c r="I9">
        <v>107</v>
      </c>
    </row>
    <row r="10" spans="1:19" x14ac:dyDescent="0.3">
      <c r="A10">
        <v>5664</v>
      </c>
      <c r="B10">
        <v>1</v>
      </c>
      <c r="C10" t="s">
        <v>1315</v>
      </c>
      <c r="D10" t="s">
        <v>1344</v>
      </c>
      <c r="E10">
        <v>0</v>
      </c>
      <c r="F10">
        <v>0.3</v>
      </c>
      <c r="H10">
        <v>0</v>
      </c>
      <c r="I10">
        <v>107</v>
      </c>
    </row>
    <row r="11" spans="1:19" x14ac:dyDescent="0.3">
      <c r="A11">
        <v>5665</v>
      </c>
      <c r="B11">
        <v>1</v>
      </c>
      <c r="C11" t="s">
        <v>1315</v>
      </c>
      <c r="D11" t="s">
        <v>1342</v>
      </c>
      <c r="E11">
        <v>0</v>
      </c>
      <c r="F11">
        <v>0.3</v>
      </c>
      <c r="H11">
        <v>0</v>
      </c>
      <c r="I11">
        <v>107</v>
      </c>
    </row>
    <row r="12" spans="1:19" x14ac:dyDescent="0.3">
      <c r="A12">
        <v>5666</v>
      </c>
      <c r="B12">
        <v>1</v>
      </c>
      <c r="C12" t="s">
        <v>1315</v>
      </c>
      <c r="D12" t="s">
        <v>1339</v>
      </c>
      <c r="E12">
        <v>0</v>
      </c>
      <c r="F12">
        <v>0.3</v>
      </c>
      <c r="H12">
        <v>0</v>
      </c>
      <c r="I12">
        <v>107</v>
      </c>
    </row>
    <row r="13" spans="1:19" x14ac:dyDescent="0.3">
      <c r="A13">
        <v>5667</v>
      </c>
      <c r="B13">
        <v>1</v>
      </c>
      <c r="C13" t="s">
        <v>1315</v>
      </c>
      <c r="D13" t="s">
        <v>1341</v>
      </c>
      <c r="E13">
        <v>0</v>
      </c>
      <c r="F13">
        <v>0.3</v>
      </c>
      <c r="H13">
        <v>0</v>
      </c>
      <c r="I13">
        <v>107</v>
      </c>
    </row>
    <row r="14" spans="1:19" x14ac:dyDescent="0.3">
      <c r="A14">
        <v>5668</v>
      </c>
      <c r="B14">
        <v>1</v>
      </c>
      <c r="C14" t="s">
        <v>1315</v>
      </c>
      <c r="D14" t="s">
        <v>1331</v>
      </c>
      <c r="E14">
        <v>0</v>
      </c>
      <c r="F14">
        <v>0.3</v>
      </c>
      <c r="H14">
        <v>0</v>
      </c>
      <c r="I14">
        <v>107</v>
      </c>
    </row>
    <row r="15" spans="1:19" x14ac:dyDescent="0.3">
      <c r="A15">
        <v>5669</v>
      </c>
      <c r="B15">
        <v>1</v>
      </c>
      <c r="C15" t="s">
        <v>1315</v>
      </c>
      <c r="D15" t="s">
        <v>1337</v>
      </c>
      <c r="E15">
        <v>0</v>
      </c>
      <c r="F15">
        <v>0.3</v>
      </c>
      <c r="H15">
        <v>0</v>
      </c>
      <c r="I15">
        <v>107</v>
      </c>
    </row>
    <row r="16" spans="1:19" x14ac:dyDescent="0.3">
      <c r="A16">
        <v>5670</v>
      </c>
      <c r="B16">
        <v>1</v>
      </c>
      <c r="C16" t="s">
        <v>1315</v>
      </c>
      <c r="D16" t="s">
        <v>1335</v>
      </c>
      <c r="E16">
        <v>0</v>
      </c>
      <c r="F16">
        <v>0.3</v>
      </c>
      <c r="H16">
        <v>0</v>
      </c>
      <c r="I16">
        <v>107</v>
      </c>
    </row>
    <row r="17" spans="1:9" x14ac:dyDescent="0.3">
      <c r="A17">
        <v>5671</v>
      </c>
      <c r="B17">
        <v>1</v>
      </c>
      <c r="C17" t="s">
        <v>1315</v>
      </c>
      <c r="D17" t="s">
        <v>1345</v>
      </c>
      <c r="E17">
        <v>0</v>
      </c>
      <c r="F17">
        <v>0.3</v>
      </c>
      <c r="H17">
        <v>0</v>
      </c>
      <c r="I17">
        <v>107</v>
      </c>
    </row>
    <row r="18" spans="1:9" x14ac:dyDescent="0.3">
      <c r="A18">
        <v>5672</v>
      </c>
      <c r="B18">
        <v>1</v>
      </c>
      <c r="C18" t="s">
        <v>1315</v>
      </c>
      <c r="D18" t="s">
        <v>1343</v>
      </c>
      <c r="E18">
        <v>0</v>
      </c>
      <c r="F18">
        <v>0.3</v>
      </c>
      <c r="H18">
        <v>0</v>
      </c>
      <c r="I18">
        <v>107</v>
      </c>
    </row>
    <row r="19" spans="1:9" x14ac:dyDescent="0.3">
      <c r="A19">
        <v>5673</v>
      </c>
      <c r="B19">
        <v>1</v>
      </c>
      <c r="C19" t="s">
        <v>1315</v>
      </c>
      <c r="D19" t="s">
        <v>1327</v>
      </c>
      <c r="E19">
        <v>0</v>
      </c>
      <c r="F19">
        <v>0.3</v>
      </c>
      <c r="H19">
        <v>0</v>
      </c>
      <c r="I19">
        <v>107</v>
      </c>
    </row>
    <row r="20" spans="1:9" x14ac:dyDescent="0.3">
      <c r="A20">
        <v>5674</v>
      </c>
      <c r="B20">
        <v>1</v>
      </c>
      <c r="C20" t="s">
        <v>1315</v>
      </c>
      <c r="D20" t="s">
        <v>1348</v>
      </c>
      <c r="E20">
        <v>0</v>
      </c>
      <c r="F20">
        <v>0.3</v>
      </c>
      <c r="H20">
        <v>0</v>
      </c>
      <c r="I20">
        <v>107</v>
      </c>
    </row>
    <row r="21" spans="1:9" x14ac:dyDescent="0.3">
      <c r="A21">
        <v>5675</v>
      </c>
      <c r="B21">
        <v>1</v>
      </c>
      <c r="C21" t="s">
        <v>1315</v>
      </c>
      <c r="D21" t="s">
        <v>1351</v>
      </c>
      <c r="E21">
        <v>0</v>
      </c>
      <c r="F21">
        <v>0.3</v>
      </c>
      <c r="H21">
        <v>0</v>
      </c>
      <c r="I21">
        <v>107</v>
      </c>
    </row>
    <row r="22" spans="1:9" x14ac:dyDescent="0.3">
      <c r="A22">
        <v>5676</v>
      </c>
      <c r="B22">
        <v>1</v>
      </c>
      <c r="C22" t="s">
        <v>1315</v>
      </c>
      <c r="D22" t="s">
        <v>1352</v>
      </c>
      <c r="E22">
        <v>0</v>
      </c>
      <c r="F22">
        <v>0.3</v>
      </c>
      <c r="H22">
        <v>0</v>
      </c>
      <c r="I22">
        <v>107</v>
      </c>
    </row>
    <row r="23" spans="1:9" x14ac:dyDescent="0.3">
      <c r="A23">
        <v>5677</v>
      </c>
      <c r="B23">
        <v>1</v>
      </c>
      <c r="C23" t="s">
        <v>1315</v>
      </c>
      <c r="D23" t="s">
        <v>1353</v>
      </c>
      <c r="E23">
        <v>0</v>
      </c>
      <c r="F23">
        <v>0.3</v>
      </c>
      <c r="H23">
        <v>0</v>
      </c>
      <c r="I23">
        <v>107</v>
      </c>
    </row>
    <row r="24" spans="1:9" x14ac:dyDescent="0.3">
      <c r="A24">
        <v>5678</v>
      </c>
      <c r="B24">
        <v>1</v>
      </c>
      <c r="C24" t="s">
        <v>1315</v>
      </c>
      <c r="D24" t="s">
        <v>1354</v>
      </c>
      <c r="E24">
        <v>0</v>
      </c>
      <c r="F24">
        <v>0.3</v>
      </c>
      <c r="H24">
        <v>0</v>
      </c>
      <c r="I24">
        <v>107</v>
      </c>
    </row>
    <row r="25" spans="1:9" x14ac:dyDescent="0.3">
      <c r="A25">
        <v>5679</v>
      </c>
      <c r="B25">
        <v>1</v>
      </c>
      <c r="C25" t="s">
        <v>1630</v>
      </c>
      <c r="D25" t="s">
        <v>130</v>
      </c>
      <c r="E25">
        <v>0</v>
      </c>
      <c r="F25">
        <v>0.05</v>
      </c>
      <c r="H25">
        <v>0</v>
      </c>
      <c r="I25">
        <v>107</v>
      </c>
    </row>
    <row r="26" spans="1:9" x14ac:dyDescent="0.3">
      <c r="A26">
        <v>5680</v>
      </c>
      <c r="B26">
        <v>1</v>
      </c>
      <c r="C26" t="s">
        <v>1630</v>
      </c>
      <c r="D26" t="s">
        <v>1624</v>
      </c>
      <c r="E26">
        <v>0</v>
      </c>
      <c r="F26">
        <v>2.5000000000000001E-2</v>
      </c>
      <c r="H26">
        <v>0</v>
      </c>
      <c r="I26">
        <v>107</v>
      </c>
    </row>
    <row r="27" spans="1:9" x14ac:dyDescent="0.3">
      <c r="A27">
        <v>5681</v>
      </c>
      <c r="B27">
        <v>1</v>
      </c>
      <c r="C27" t="s">
        <v>1630</v>
      </c>
      <c r="D27" t="s">
        <v>1625</v>
      </c>
      <c r="E27">
        <v>0</v>
      </c>
      <c r="F27">
        <v>0.4</v>
      </c>
      <c r="H27">
        <v>0</v>
      </c>
      <c r="I27">
        <v>107</v>
      </c>
    </row>
    <row r="28" spans="1:9" x14ac:dyDescent="0.3">
      <c r="A28">
        <v>5682</v>
      </c>
      <c r="B28">
        <v>1</v>
      </c>
      <c r="C28" t="s">
        <v>1630</v>
      </c>
      <c r="D28" t="s">
        <v>1627</v>
      </c>
      <c r="E28">
        <v>0</v>
      </c>
      <c r="F28">
        <v>0.4</v>
      </c>
      <c r="H28">
        <v>0</v>
      </c>
      <c r="I28">
        <v>107</v>
      </c>
    </row>
    <row r="29" spans="1:9" x14ac:dyDescent="0.3">
      <c r="A29">
        <v>5683</v>
      </c>
      <c r="B29">
        <v>1</v>
      </c>
      <c r="C29" t="s">
        <v>1630</v>
      </c>
      <c r="D29" t="s">
        <v>1626</v>
      </c>
      <c r="E29">
        <v>0</v>
      </c>
      <c r="F29">
        <v>0.05</v>
      </c>
      <c r="H29">
        <v>0</v>
      </c>
      <c r="I29">
        <v>107</v>
      </c>
    </row>
    <row r="30" spans="1:9" x14ac:dyDescent="0.3">
      <c r="A30">
        <v>5684</v>
      </c>
      <c r="B30">
        <v>1</v>
      </c>
      <c r="C30" t="s">
        <v>1630</v>
      </c>
      <c r="D30" t="s">
        <v>1629</v>
      </c>
      <c r="E30">
        <v>0</v>
      </c>
      <c r="F30">
        <v>0.1</v>
      </c>
      <c r="H30">
        <v>0</v>
      </c>
      <c r="I30">
        <v>107</v>
      </c>
    </row>
    <row r="31" spans="1:9" x14ac:dyDescent="0.3">
      <c r="A31">
        <v>5685</v>
      </c>
      <c r="B31">
        <v>1</v>
      </c>
      <c r="C31" t="s">
        <v>1630</v>
      </c>
      <c r="D31" t="s">
        <v>1623</v>
      </c>
      <c r="E31">
        <v>0</v>
      </c>
      <c r="F31">
        <v>0.1</v>
      </c>
      <c r="H31">
        <v>0</v>
      </c>
      <c r="I31">
        <v>107</v>
      </c>
    </row>
    <row r="32" spans="1:9" x14ac:dyDescent="0.3">
      <c r="A32">
        <v>5686</v>
      </c>
      <c r="B32">
        <v>1</v>
      </c>
      <c r="C32" t="s">
        <v>1630</v>
      </c>
      <c r="D32" t="s">
        <v>1631</v>
      </c>
      <c r="E32">
        <v>0</v>
      </c>
      <c r="F32">
        <v>0</v>
      </c>
      <c r="H32">
        <v>0</v>
      </c>
      <c r="I32">
        <v>107</v>
      </c>
    </row>
    <row r="33" spans="1:9" x14ac:dyDescent="0.3">
      <c r="A33">
        <v>5687</v>
      </c>
      <c r="B33">
        <v>1</v>
      </c>
      <c r="C33" t="s">
        <v>1632</v>
      </c>
      <c r="D33" t="s">
        <v>1633</v>
      </c>
      <c r="E33">
        <v>0</v>
      </c>
      <c r="F33">
        <v>0.35</v>
      </c>
      <c r="G33" t="s">
        <v>1634</v>
      </c>
      <c r="H33">
        <v>100</v>
      </c>
      <c r="I33">
        <v>107</v>
      </c>
    </row>
    <row r="34" spans="1:9" x14ac:dyDescent="0.3">
      <c r="A34">
        <v>5688</v>
      </c>
      <c r="B34">
        <v>1</v>
      </c>
      <c r="C34" t="s">
        <v>1632</v>
      </c>
      <c r="D34" t="s">
        <v>1635</v>
      </c>
      <c r="E34">
        <v>0</v>
      </c>
      <c r="F34">
        <v>0.3</v>
      </c>
      <c r="G34" t="s">
        <v>1634</v>
      </c>
      <c r="H34">
        <v>100</v>
      </c>
      <c r="I34">
        <v>107</v>
      </c>
    </row>
    <row r="35" spans="1:9" x14ac:dyDescent="0.3">
      <c r="A35">
        <v>5689</v>
      </c>
      <c r="B35">
        <v>1</v>
      </c>
      <c r="C35" t="s">
        <v>1632</v>
      </c>
      <c r="D35" t="s">
        <v>1636</v>
      </c>
      <c r="E35">
        <v>0</v>
      </c>
      <c r="F35">
        <v>0.3</v>
      </c>
      <c r="G35" t="s">
        <v>1634</v>
      </c>
      <c r="H35">
        <v>100</v>
      </c>
      <c r="I35">
        <v>107</v>
      </c>
    </row>
    <row r="36" spans="1:9" x14ac:dyDescent="0.3">
      <c r="A36">
        <v>5690</v>
      </c>
      <c r="B36">
        <v>1</v>
      </c>
      <c r="C36" t="s">
        <v>1632</v>
      </c>
      <c r="D36" t="s">
        <v>1637</v>
      </c>
      <c r="E36">
        <v>0</v>
      </c>
      <c r="F36">
        <v>0.3</v>
      </c>
      <c r="G36" t="s">
        <v>1634</v>
      </c>
      <c r="H36">
        <v>100</v>
      </c>
      <c r="I36">
        <v>107</v>
      </c>
    </row>
    <row r="37" spans="1:9" x14ac:dyDescent="0.3">
      <c r="A37">
        <v>5691</v>
      </c>
      <c r="B37">
        <v>1</v>
      </c>
      <c r="C37" t="s">
        <v>1632</v>
      </c>
      <c r="D37" t="s">
        <v>1638</v>
      </c>
      <c r="E37">
        <v>0</v>
      </c>
      <c r="F37">
        <v>0.3</v>
      </c>
      <c r="G37" t="s">
        <v>1634</v>
      </c>
      <c r="H37">
        <v>100</v>
      </c>
      <c r="I37">
        <v>107</v>
      </c>
    </row>
    <row r="38" spans="1:9" x14ac:dyDescent="0.3">
      <c r="A38">
        <v>5692</v>
      </c>
      <c r="B38">
        <v>1</v>
      </c>
      <c r="C38" t="s">
        <v>1632</v>
      </c>
      <c r="D38" t="s">
        <v>1639</v>
      </c>
      <c r="E38">
        <v>0</v>
      </c>
      <c r="F38">
        <v>0.3</v>
      </c>
      <c r="G38" t="s">
        <v>1634</v>
      </c>
      <c r="H38">
        <v>100</v>
      </c>
      <c r="I38">
        <v>107</v>
      </c>
    </row>
    <row r="39" spans="1:9" x14ac:dyDescent="0.3">
      <c r="A39">
        <v>5693</v>
      </c>
      <c r="B39">
        <v>1</v>
      </c>
      <c r="C39" t="s">
        <v>1632</v>
      </c>
      <c r="D39" t="s">
        <v>1640</v>
      </c>
      <c r="E39">
        <v>0</v>
      </c>
      <c r="F39">
        <v>0.2</v>
      </c>
      <c r="G39" t="s">
        <v>1634</v>
      </c>
      <c r="H39">
        <v>100</v>
      </c>
      <c r="I39">
        <v>107</v>
      </c>
    </row>
    <row r="40" spans="1:9" x14ac:dyDescent="0.3">
      <c r="A40">
        <v>5694</v>
      </c>
      <c r="B40">
        <v>1</v>
      </c>
      <c r="C40" t="s">
        <v>1632</v>
      </c>
      <c r="D40" t="s">
        <v>1641</v>
      </c>
      <c r="E40">
        <v>0</v>
      </c>
      <c r="F40">
        <v>0.2</v>
      </c>
      <c r="G40" t="s">
        <v>1634</v>
      </c>
      <c r="H40">
        <v>100</v>
      </c>
      <c r="I40">
        <v>107</v>
      </c>
    </row>
    <row r="41" spans="1:9" x14ac:dyDescent="0.3">
      <c r="A41">
        <v>5695</v>
      </c>
      <c r="B41">
        <v>1</v>
      </c>
      <c r="C41" t="s">
        <v>1632</v>
      </c>
      <c r="D41" t="s">
        <v>1642</v>
      </c>
      <c r="E41">
        <v>0</v>
      </c>
      <c r="F41">
        <v>0.3</v>
      </c>
      <c r="G41" t="s">
        <v>1634</v>
      </c>
      <c r="H41">
        <v>100</v>
      </c>
      <c r="I41">
        <v>107</v>
      </c>
    </row>
    <row r="42" spans="1:9" x14ac:dyDescent="0.3">
      <c r="A42">
        <v>5696</v>
      </c>
      <c r="B42">
        <v>1</v>
      </c>
      <c r="C42" t="s">
        <v>1632</v>
      </c>
      <c r="D42" t="s">
        <v>1643</v>
      </c>
      <c r="E42">
        <v>0</v>
      </c>
      <c r="F42">
        <v>0.2</v>
      </c>
      <c r="G42" t="s">
        <v>1634</v>
      </c>
      <c r="H42">
        <v>100</v>
      </c>
      <c r="I42">
        <v>107</v>
      </c>
    </row>
    <row r="43" spans="1:9" x14ac:dyDescent="0.3">
      <c r="A43">
        <v>5697</v>
      </c>
      <c r="B43">
        <v>1</v>
      </c>
      <c r="C43" t="s">
        <v>1632</v>
      </c>
      <c r="D43" t="s">
        <v>1644</v>
      </c>
      <c r="E43">
        <v>0</v>
      </c>
      <c r="F43">
        <v>0.15</v>
      </c>
      <c r="G43" t="s">
        <v>1634</v>
      </c>
      <c r="H43">
        <v>100</v>
      </c>
      <c r="I43">
        <v>107</v>
      </c>
    </row>
    <row r="44" spans="1:9" x14ac:dyDescent="0.3">
      <c r="A44">
        <v>5698</v>
      </c>
      <c r="B44">
        <v>1</v>
      </c>
      <c r="C44" t="s">
        <v>1632</v>
      </c>
      <c r="D44" t="s">
        <v>1645</v>
      </c>
      <c r="E44">
        <v>0</v>
      </c>
      <c r="F44">
        <v>0.15</v>
      </c>
      <c r="G44" t="s">
        <v>1634</v>
      </c>
      <c r="H44">
        <v>100</v>
      </c>
      <c r="I44">
        <v>107</v>
      </c>
    </row>
    <row r="45" spans="1:9" x14ac:dyDescent="0.3">
      <c r="A45">
        <v>5699</v>
      </c>
      <c r="B45">
        <v>1</v>
      </c>
      <c r="C45" t="s">
        <v>1632</v>
      </c>
      <c r="D45" t="s">
        <v>1646</v>
      </c>
      <c r="E45">
        <v>0</v>
      </c>
      <c r="F45">
        <v>0.15</v>
      </c>
      <c r="G45" t="s">
        <v>1634</v>
      </c>
      <c r="H45">
        <v>100</v>
      </c>
      <c r="I45">
        <v>107</v>
      </c>
    </row>
    <row r="46" spans="1:9" x14ac:dyDescent="0.3">
      <c r="A46">
        <v>5700</v>
      </c>
      <c r="B46">
        <v>1</v>
      </c>
      <c r="C46" t="s">
        <v>1632</v>
      </c>
      <c r="D46" t="s">
        <v>1647</v>
      </c>
      <c r="E46">
        <v>0</v>
      </c>
      <c r="F46">
        <v>0.15</v>
      </c>
      <c r="G46" t="s">
        <v>1634</v>
      </c>
      <c r="H46">
        <v>100</v>
      </c>
      <c r="I46">
        <v>107</v>
      </c>
    </row>
    <row r="47" spans="1:9" x14ac:dyDescent="0.3">
      <c r="A47">
        <v>5701</v>
      </c>
      <c r="B47">
        <v>1</v>
      </c>
      <c r="C47" t="s">
        <v>1632</v>
      </c>
      <c r="D47" t="s">
        <v>1633</v>
      </c>
      <c r="E47">
        <v>0</v>
      </c>
      <c r="F47">
        <v>0.5</v>
      </c>
      <c r="G47" t="s">
        <v>1648</v>
      </c>
      <c r="H47">
        <v>500</v>
      </c>
      <c r="I47">
        <v>107</v>
      </c>
    </row>
    <row r="48" spans="1:9" x14ac:dyDescent="0.3">
      <c r="A48">
        <v>5702</v>
      </c>
      <c r="B48">
        <v>1</v>
      </c>
      <c r="C48" t="s">
        <v>1632</v>
      </c>
      <c r="D48" t="s">
        <v>1635</v>
      </c>
      <c r="E48">
        <v>0</v>
      </c>
      <c r="F48">
        <v>0.5</v>
      </c>
      <c r="G48" t="s">
        <v>1648</v>
      </c>
      <c r="H48">
        <v>500</v>
      </c>
      <c r="I48">
        <v>107</v>
      </c>
    </row>
    <row r="49" spans="1:9" x14ac:dyDescent="0.3">
      <c r="A49">
        <v>5703</v>
      </c>
      <c r="B49">
        <v>1</v>
      </c>
      <c r="C49" t="s">
        <v>1632</v>
      </c>
      <c r="D49" t="s">
        <v>1636</v>
      </c>
      <c r="E49">
        <v>0</v>
      </c>
      <c r="F49">
        <v>0.5</v>
      </c>
      <c r="G49" t="s">
        <v>1648</v>
      </c>
      <c r="H49">
        <v>500</v>
      </c>
      <c r="I49">
        <v>107</v>
      </c>
    </row>
    <row r="50" spans="1:9" x14ac:dyDescent="0.3">
      <c r="A50">
        <v>5704</v>
      </c>
      <c r="B50">
        <v>1</v>
      </c>
      <c r="C50" t="s">
        <v>1632</v>
      </c>
      <c r="D50" t="s">
        <v>1637</v>
      </c>
      <c r="E50">
        <v>0</v>
      </c>
      <c r="F50">
        <v>0.5</v>
      </c>
      <c r="G50" t="s">
        <v>1648</v>
      </c>
      <c r="H50">
        <v>500</v>
      </c>
      <c r="I50">
        <v>107</v>
      </c>
    </row>
    <row r="51" spans="1:9" x14ac:dyDescent="0.3">
      <c r="A51">
        <v>5705</v>
      </c>
      <c r="B51">
        <v>1</v>
      </c>
      <c r="C51" t="s">
        <v>1632</v>
      </c>
      <c r="D51" t="s">
        <v>1638</v>
      </c>
      <c r="E51">
        <v>0</v>
      </c>
      <c r="F51">
        <v>0.5</v>
      </c>
      <c r="G51" t="s">
        <v>1648</v>
      </c>
      <c r="H51">
        <v>500</v>
      </c>
      <c r="I51">
        <v>107</v>
      </c>
    </row>
    <row r="52" spans="1:9" x14ac:dyDescent="0.3">
      <c r="A52">
        <v>5706</v>
      </c>
      <c r="B52">
        <v>1</v>
      </c>
      <c r="C52" t="s">
        <v>1632</v>
      </c>
      <c r="D52" t="s">
        <v>1639</v>
      </c>
      <c r="E52">
        <v>0</v>
      </c>
      <c r="F52">
        <v>0.5</v>
      </c>
      <c r="G52" t="s">
        <v>1648</v>
      </c>
      <c r="H52">
        <v>500</v>
      </c>
      <c r="I52">
        <v>107</v>
      </c>
    </row>
    <row r="53" spans="1:9" x14ac:dyDescent="0.3">
      <c r="A53">
        <v>5707</v>
      </c>
      <c r="B53">
        <v>1</v>
      </c>
      <c r="C53" t="s">
        <v>1632</v>
      </c>
      <c r="D53" t="s">
        <v>1640</v>
      </c>
      <c r="E53">
        <v>0</v>
      </c>
      <c r="F53">
        <v>0.35</v>
      </c>
      <c r="G53" t="s">
        <v>1648</v>
      </c>
      <c r="H53">
        <v>500</v>
      </c>
      <c r="I53">
        <v>107</v>
      </c>
    </row>
    <row r="54" spans="1:9" x14ac:dyDescent="0.3">
      <c r="A54">
        <v>5708</v>
      </c>
      <c r="B54">
        <v>1</v>
      </c>
      <c r="C54" t="s">
        <v>1632</v>
      </c>
      <c r="D54" t="s">
        <v>1641</v>
      </c>
      <c r="E54">
        <v>0</v>
      </c>
      <c r="F54">
        <v>0.3</v>
      </c>
      <c r="G54" t="s">
        <v>1648</v>
      </c>
      <c r="H54">
        <v>500</v>
      </c>
      <c r="I54">
        <v>107</v>
      </c>
    </row>
    <row r="55" spans="1:9" x14ac:dyDescent="0.3">
      <c r="A55">
        <v>5709</v>
      </c>
      <c r="B55">
        <v>1</v>
      </c>
      <c r="C55" t="s">
        <v>1632</v>
      </c>
      <c r="D55" t="s">
        <v>1642</v>
      </c>
      <c r="E55">
        <v>0</v>
      </c>
      <c r="F55">
        <v>0.5</v>
      </c>
      <c r="G55" t="s">
        <v>1648</v>
      </c>
      <c r="H55">
        <v>500</v>
      </c>
      <c r="I55">
        <v>107</v>
      </c>
    </row>
    <row r="56" spans="1:9" x14ac:dyDescent="0.3">
      <c r="A56">
        <v>5710</v>
      </c>
      <c r="B56">
        <v>1</v>
      </c>
      <c r="C56" t="s">
        <v>1632</v>
      </c>
      <c r="D56" t="s">
        <v>1643</v>
      </c>
      <c r="E56">
        <v>0</v>
      </c>
      <c r="F56">
        <v>0.3</v>
      </c>
      <c r="G56" t="s">
        <v>1648</v>
      </c>
      <c r="H56">
        <v>500</v>
      </c>
      <c r="I56">
        <v>107</v>
      </c>
    </row>
    <row r="57" spans="1:9" x14ac:dyDescent="0.3">
      <c r="A57">
        <v>5711</v>
      </c>
      <c r="B57">
        <v>1</v>
      </c>
      <c r="C57" t="s">
        <v>1632</v>
      </c>
      <c r="D57" t="s">
        <v>1644</v>
      </c>
      <c r="E57">
        <v>0</v>
      </c>
      <c r="F57">
        <v>0.25</v>
      </c>
      <c r="G57" t="s">
        <v>1648</v>
      </c>
      <c r="H57">
        <v>500</v>
      </c>
      <c r="I57">
        <v>107</v>
      </c>
    </row>
    <row r="58" spans="1:9" x14ac:dyDescent="0.3">
      <c r="A58">
        <v>5712</v>
      </c>
      <c r="B58">
        <v>1</v>
      </c>
      <c r="C58" t="s">
        <v>1632</v>
      </c>
      <c r="D58" t="s">
        <v>1645</v>
      </c>
      <c r="E58">
        <v>0</v>
      </c>
      <c r="F58">
        <v>0.25</v>
      </c>
      <c r="G58" t="s">
        <v>1648</v>
      </c>
      <c r="H58">
        <v>500</v>
      </c>
      <c r="I58">
        <v>107</v>
      </c>
    </row>
    <row r="59" spans="1:9" x14ac:dyDescent="0.3">
      <c r="A59">
        <v>5713</v>
      </c>
      <c r="B59">
        <v>1</v>
      </c>
      <c r="C59" t="s">
        <v>1632</v>
      </c>
      <c r="D59" t="s">
        <v>1646</v>
      </c>
      <c r="E59">
        <v>0</v>
      </c>
      <c r="F59">
        <v>0.25</v>
      </c>
      <c r="G59" t="s">
        <v>1648</v>
      </c>
      <c r="H59">
        <v>500</v>
      </c>
      <c r="I59">
        <v>107</v>
      </c>
    </row>
    <row r="60" spans="1:9" x14ac:dyDescent="0.3">
      <c r="A60">
        <v>5714</v>
      </c>
      <c r="B60">
        <v>1</v>
      </c>
      <c r="C60" t="s">
        <v>1632</v>
      </c>
      <c r="D60" t="s">
        <v>1647</v>
      </c>
      <c r="E60">
        <v>0</v>
      </c>
      <c r="F60">
        <v>0.25</v>
      </c>
      <c r="G60" t="s">
        <v>1648</v>
      </c>
      <c r="H60">
        <v>500</v>
      </c>
      <c r="I60">
        <v>107</v>
      </c>
    </row>
    <row r="61" spans="1:9" x14ac:dyDescent="0.3">
      <c r="A61">
        <v>5715</v>
      </c>
      <c r="B61">
        <v>1</v>
      </c>
      <c r="C61" t="s">
        <v>1632</v>
      </c>
      <c r="D61" t="s">
        <v>1649</v>
      </c>
      <c r="E61">
        <v>0</v>
      </c>
      <c r="F61">
        <v>0.4</v>
      </c>
      <c r="G61" t="s">
        <v>1634</v>
      </c>
      <c r="H61">
        <v>100</v>
      </c>
      <c r="I61">
        <v>107</v>
      </c>
    </row>
    <row r="62" spans="1:9" x14ac:dyDescent="0.3">
      <c r="A62">
        <v>5716</v>
      </c>
      <c r="B62">
        <v>1</v>
      </c>
      <c r="C62" t="s">
        <v>1632</v>
      </c>
      <c r="D62" t="s">
        <v>1649</v>
      </c>
      <c r="E62">
        <v>0</v>
      </c>
      <c r="F62">
        <v>0.65</v>
      </c>
      <c r="G62" t="s">
        <v>1648</v>
      </c>
      <c r="H62">
        <v>500</v>
      </c>
      <c r="I62">
        <v>107</v>
      </c>
    </row>
    <row r="63" spans="1:9" x14ac:dyDescent="0.3">
      <c r="A63">
        <v>5717</v>
      </c>
      <c r="B63">
        <v>1</v>
      </c>
      <c r="C63" t="s">
        <v>1632</v>
      </c>
      <c r="D63" t="s">
        <v>1650</v>
      </c>
      <c r="E63">
        <v>0</v>
      </c>
      <c r="F63">
        <v>0.65</v>
      </c>
      <c r="G63" t="s">
        <v>1648</v>
      </c>
      <c r="H63">
        <v>500</v>
      </c>
      <c r="I63">
        <v>107</v>
      </c>
    </row>
    <row r="64" spans="1:9" x14ac:dyDescent="0.3">
      <c r="A64">
        <v>5718</v>
      </c>
      <c r="B64">
        <v>1</v>
      </c>
      <c r="C64" t="s">
        <v>1632</v>
      </c>
      <c r="D64" t="s">
        <v>1650</v>
      </c>
      <c r="E64">
        <v>0</v>
      </c>
      <c r="F64">
        <v>0.4</v>
      </c>
      <c r="G64" t="s">
        <v>1634</v>
      </c>
      <c r="H64">
        <v>100</v>
      </c>
      <c r="I64">
        <v>107</v>
      </c>
    </row>
    <row r="65" spans="1:9" x14ac:dyDescent="0.3">
      <c r="A65">
        <v>5719</v>
      </c>
      <c r="B65">
        <v>1</v>
      </c>
      <c r="C65" t="s">
        <v>1632</v>
      </c>
      <c r="D65" t="s">
        <v>1651</v>
      </c>
      <c r="E65">
        <v>0</v>
      </c>
      <c r="F65">
        <v>0.4</v>
      </c>
      <c r="G65" t="s">
        <v>1634</v>
      </c>
      <c r="H65">
        <v>100</v>
      </c>
      <c r="I65">
        <v>107</v>
      </c>
    </row>
    <row r="66" spans="1:9" x14ac:dyDescent="0.3">
      <c r="A66">
        <v>5720</v>
      </c>
      <c r="B66">
        <v>1</v>
      </c>
      <c r="C66" t="s">
        <v>1632</v>
      </c>
      <c r="D66" t="s">
        <v>1651</v>
      </c>
      <c r="E66">
        <v>0</v>
      </c>
      <c r="F66">
        <v>0.65</v>
      </c>
      <c r="G66" t="s">
        <v>1648</v>
      </c>
      <c r="H66">
        <v>500</v>
      </c>
      <c r="I66">
        <v>107</v>
      </c>
    </row>
    <row r="67" spans="1:9" x14ac:dyDescent="0.3">
      <c r="A67">
        <v>5721</v>
      </c>
      <c r="B67">
        <v>1</v>
      </c>
      <c r="C67" t="s">
        <v>1632</v>
      </c>
      <c r="D67" t="s">
        <v>1652</v>
      </c>
      <c r="E67">
        <v>0</v>
      </c>
      <c r="F67">
        <v>0.65</v>
      </c>
      <c r="G67" t="s">
        <v>1648</v>
      </c>
      <c r="H67">
        <v>500</v>
      </c>
      <c r="I67">
        <v>107</v>
      </c>
    </row>
    <row r="68" spans="1:9" x14ac:dyDescent="0.3">
      <c r="A68">
        <v>5722</v>
      </c>
      <c r="B68">
        <v>1</v>
      </c>
      <c r="C68" t="s">
        <v>1632</v>
      </c>
      <c r="D68" t="s">
        <v>1652</v>
      </c>
      <c r="E68">
        <v>0</v>
      </c>
      <c r="F68">
        <v>0.4</v>
      </c>
      <c r="G68" t="s">
        <v>1634</v>
      </c>
      <c r="H68">
        <v>100</v>
      </c>
      <c r="I68">
        <v>107</v>
      </c>
    </row>
    <row r="69" spans="1:9" x14ac:dyDescent="0.3">
      <c r="A69">
        <v>5723</v>
      </c>
      <c r="B69">
        <v>1</v>
      </c>
      <c r="C69" t="s">
        <v>1632</v>
      </c>
      <c r="D69" t="s">
        <v>1653</v>
      </c>
      <c r="E69">
        <v>0</v>
      </c>
      <c r="F69">
        <v>0.3</v>
      </c>
      <c r="G69" t="s">
        <v>1634</v>
      </c>
      <c r="H69">
        <v>100</v>
      </c>
      <c r="I69">
        <v>107</v>
      </c>
    </row>
    <row r="70" spans="1:9" x14ac:dyDescent="0.3">
      <c r="A70">
        <v>5724</v>
      </c>
      <c r="B70">
        <v>1</v>
      </c>
      <c r="C70" t="s">
        <v>1632</v>
      </c>
      <c r="D70" t="s">
        <v>1653</v>
      </c>
      <c r="E70">
        <v>0</v>
      </c>
      <c r="F70">
        <v>0.45</v>
      </c>
      <c r="G70" t="s">
        <v>1648</v>
      </c>
      <c r="H70">
        <v>500</v>
      </c>
      <c r="I70">
        <v>107</v>
      </c>
    </row>
    <row r="71" spans="1:9" x14ac:dyDescent="0.3">
      <c r="A71">
        <v>5725</v>
      </c>
      <c r="B71">
        <v>1</v>
      </c>
      <c r="C71" t="s">
        <v>1632</v>
      </c>
      <c r="D71" t="s">
        <v>1654</v>
      </c>
      <c r="E71">
        <v>0</v>
      </c>
      <c r="F71">
        <v>0.45</v>
      </c>
      <c r="G71" t="s">
        <v>1648</v>
      </c>
      <c r="H71">
        <v>500</v>
      </c>
      <c r="I71">
        <v>107</v>
      </c>
    </row>
    <row r="72" spans="1:9" x14ac:dyDescent="0.3">
      <c r="A72">
        <v>5726</v>
      </c>
      <c r="B72">
        <v>1</v>
      </c>
      <c r="C72" t="s">
        <v>1632</v>
      </c>
      <c r="D72" t="s">
        <v>1654</v>
      </c>
      <c r="E72">
        <v>0</v>
      </c>
      <c r="F72">
        <v>0.3</v>
      </c>
      <c r="G72" t="s">
        <v>1634</v>
      </c>
      <c r="H72">
        <v>100</v>
      </c>
      <c r="I72">
        <v>107</v>
      </c>
    </row>
    <row r="73" spans="1:9" x14ac:dyDescent="0.3">
      <c r="A73">
        <v>5727</v>
      </c>
      <c r="B73">
        <v>1</v>
      </c>
      <c r="C73" t="s">
        <v>1632</v>
      </c>
      <c r="D73" t="s">
        <v>1655</v>
      </c>
      <c r="E73">
        <v>0</v>
      </c>
      <c r="F73">
        <v>0.3</v>
      </c>
      <c r="G73" t="s">
        <v>1634</v>
      </c>
      <c r="H73">
        <v>100</v>
      </c>
      <c r="I73">
        <v>107</v>
      </c>
    </row>
    <row r="74" spans="1:9" x14ac:dyDescent="0.3">
      <c r="A74">
        <v>5728</v>
      </c>
      <c r="B74">
        <v>1</v>
      </c>
      <c r="C74" t="s">
        <v>1632</v>
      </c>
      <c r="D74" t="s">
        <v>1655</v>
      </c>
      <c r="E74">
        <v>0</v>
      </c>
      <c r="F74">
        <v>0.45</v>
      </c>
      <c r="G74" t="s">
        <v>1648</v>
      </c>
      <c r="H74">
        <v>500</v>
      </c>
      <c r="I74">
        <v>107</v>
      </c>
    </row>
    <row r="75" spans="1:9" x14ac:dyDescent="0.3">
      <c r="A75">
        <v>5729</v>
      </c>
      <c r="B75">
        <v>1</v>
      </c>
      <c r="C75" t="s">
        <v>1632</v>
      </c>
      <c r="D75" t="s">
        <v>1656</v>
      </c>
      <c r="E75">
        <v>0</v>
      </c>
      <c r="F75">
        <v>0.3</v>
      </c>
      <c r="G75" t="s">
        <v>1634</v>
      </c>
      <c r="H75">
        <v>100</v>
      </c>
      <c r="I75">
        <v>107</v>
      </c>
    </row>
    <row r="76" spans="1:9" x14ac:dyDescent="0.3">
      <c r="A76">
        <v>5730</v>
      </c>
      <c r="B76">
        <v>1</v>
      </c>
      <c r="C76" t="s">
        <v>1632</v>
      </c>
      <c r="D76" t="s">
        <v>1657</v>
      </c>
      <c r="E76">
        <v>0</v>
      </c>
      <c r="F76">
        <v>0.2</v>
      </c>
      <c r="G76" t="s">
        <v>1634</v>
      </c>
      <c r="H76">
        <v>100</v>
      </c>
      <c r="I76">
        <v>107</v>
      </c>
    </row>
    <row r="77" spans="1:9" x14ac:dyDescent="0.3">
      <c r="A77">
        <v>5731</v>
      </c>
      <c r="B77">
        <v>1</v>
      </c>
      <c r="C77" t="s">
        <v>1632</v>
      </c>
      <c r="D77" t="s">
        <v>1658</v>
      </c>
      <c r="E77">
        <v>0</v>
      </c>
      <c r="F77">
        <v>0.2</v>
      </c>
      <c r="G77" t="s">
        <v>1634</v>
      </c>
      <c r="H77">
        <v>100</v>
      </c>
      <c r="I77">
        <v>107</v>
      </c>
    </row>
    <row r="78" spans="1:9" x14ac:dyDescent="0.3">
      <c r="A78">
        <v>5732</v>
      </c>
      <c r="B78">
        <v>1</v>
      </c>
      <c r="C78" t="s">
        <v>1632</v>
      </c>
      <c r="D78" t="s">
        <v>1659</v>
      </c>
      <c r="E78">
        <v>0</v>
      </c>
      <c r="F78">
        <v>0.2</v>
      </c>
      <c r="G78" t="s">
        <v>1634</v>
      </c>
      <c r="H78">
        <v>100</v>
      </c>
      <c r="I78">
        <v>107</v>
      </c>
    </row>
    <row r="79" spans="1:9" x14ac:dyDescent="0.3">
      <c r="A79">
        <v>5733</v>
      </c>
      <c r="B79">
        <v>1</v>
      </c>
      <c r="C79" t="s">
        <v>1632</v>
      </c>
      <c r="D79" t="s">
        <v>1660</v>
      </c>
      <c r="E79">
        <v>0</v>
      </c>
      <c r="F79">
        <v>0.2</v>
      </c>
      <c r="G79" t="s">
        <v>1634</v>
      </c>
      <c r="H79">
        <v>100</v>
      </c>
      <c r="I79">
        <v>107</v>
      </c>
    </row>
    <row r="80" spans="1:9" x14ac:dyDescent="0.3">
      <c r="A80">
        <v>5734</v>
      </c>
      <c r="B80">
        <v>1</v>
      </c>
      <c r="C80" t="s">
        <v>1632</v>
      </c>
      <c r="D80" t="s">
        <v>1656</v>
      </c>
      <c r="E80">
        <v>0</v>
      </c>
      <c r="F80">
        <v>0.45</v>
      </c>
      <c r="G80" t="s">
        <v>1648</v>
      </c>
      <c r="H80">
        <v>500</v>
      </c>
      <c r="I80">
        <v>107</v>
      </c>
    </row>
    <row r="81" spans="1:81" x14ac:dyDescent="0.3">
      <c r="A81">
        <v>5735</v>
      </c>
      <c r="B81">
        <v>1</v>
      </c>
      <c r="C81" t="s">
        <v>1632</v>
      </c>
      <c r="D81" t="s">
        <v>1657</v>
      </c>
      <c r="E81">
        <v>0</v>
      </c>
      <c r="F81">
        <v>0.35</v>
      </c>
      <c r="G81" t="s">
        <v>1648</v>
      </c>
      <c r="H81">
        <v>500</v>
      </c>
      <c r="I81">
        <v>107</v>
      </c>
    </row>
    <row r="82" spans="1:81" x14ac:dyDescent="0.3">
      <c r="A82">
        <v>5736</v>
      </c>
      <c r="B82">
        <v>1</v>
      </c>
      <c r="C82" t="s">
        <v>1632</v>
      </c>
      <c r="D82" t="s">
        <v>1658</v>
      </c>
      <c r="E82">
        <v>0</v>
      </c>
      <c r="F82">
        <v>0.35</v>
      </c>
      <c r="G82" t="s">
        <v>1648</v>
      </c>
      <c r="H82">
        <v>500</v>
      </c>
      <c r="I82">
        <v>107</v>
      </c>
    </row>
    <row r="83" spans="1:81" x14ac:dyDescent="0.3">
      <c r="A83">
        <v>5737</v>
      </c>
      <c r="B83">
        <v>1</v>
      </c>
      <c r="C83" t="s">
        <v>1632</v>
      </c>
      <c r="D83" t="s">
        <v>1659</v>
      </c>
      <c r="E83">
        <v>0</v>
      </c>
      <c r="F83">
        <v>0.35</v>
      </c>
      <c r="G83" t="s">
        <v>1648</v>
      </c>
      <c r="H83">
        <v>500</v>
      </c>
      <c r="I83">
        <v>107</v>
      </c>
    </row>
    <row r="84" spans="1:81" x14ac:dyDescent="0.3">
      <c r="A84">
        <v>5738</v>
      </c>
      <c r="B84">
        <v>1</v>
      </c>
      <c r="C84" t="s">
        <v>1632</v>
      </c>
      <c r="D84" t="s">
        <v>1660</v>
      </c>
      <c r="E84">
        <v>0</v>
      </c>
      <c r="F84">
        <v>0.35</v>
      </c>
      <c r="G84" t="s">
        <v>1648</v>
      </c>
      <c r="H84">
        <v>500</v>
      </c>
      <c r="I84">
        <v>107</v>
      </c>
    </row>
    <row r="85" spans="1:81" x14ac:dyDescent="0.3">
      <c r="A85">
        <v>5739</v>
      </c>
      <c r="B85">
        <v>1</v>
      </c>
      <c r="C85" t="s">
        <v>1632</v>
      </c>
      <c r="D85" t="s">
        <v>1661</v>
      </c>
      <c r="E85">
        <v>0</v>
      </c>
      <c r="F85">
        <v>0.45</v>
      </c>
      <c r="G85" t="s">
        <v>1634</v>
      </c>
      <c r="H85">
        <v>100</v>
      </c>
      <c r="I85">
        <v>107</v>
      </c>
    </row>
    <row r="86" spans="1:81" x14ac:dyDescent="0.3">
      <c r="A86">
        <v>5740</v>
      </c>
      <c r="B86">
        <v>1</v>
      </c>
      <c r="C86" t="s">
        <v>1632</v>
      </c>
      <c r="D86" t="s">
        <v>1661</v>
      </c>
      <c r="E86">
        <v>0</v>
      </c>
      <c r="F86">
        <v>0.45</v>
      </c>
      <c r="G86" t="s">
        <v>1648</v>
      </c>
      <c r="H86">
        <v>500</v>
      </c>
      <c r="I86">
        <v>107</v>
      </c>
    </row>
    <row r="87" spans="1:81" x14ac:dyDescent="0.3">
      <c r="A87">
        <v>5741</v>
      </c>
      <c r="B87">
        <v>1</v>
      </c>
      <c r="C87" t="s">
        <v>1662</v>
      </c>
      <c r="D87" t="s">
        <v>130</v>
      </c>
      <c r="E87">
        <v>0</v>
      </c>
      <c r="F87">
        <v>0.5</v>
      </c>
      <c r="H87">
        <v>0</v>
      </c>
      <c r="I87">
        <v>107</v>
      </c>
    </row>
    <row r="88" spans="1:81" x14ac:dyDescent="0.3">
      <c r="A88">
        <v>5742</v>
      </c>
      <c r="B88">
        <v>1</v>
      </c>
      <c r="C88" t="s">
        <v>1662</v>
      </c>
      <c r="D88" t="s">
        <v>1624</v>
      </c>
      <c r="E88">
        <v>0</v>
      </c>
      <c r="F88">
        <v>0.3</v>
      </c>
      <c r="H88">
        <v>0</v>
      </c>
      <c r="I88">
        <v>107</v>
      </c>
    </row>
    <row r="89" spans="1:81" x14ac:dyDescent="0.3">
      <c r="A89">
        <v>5743</v>
      </c>
      <c r="B89">
        <v>1</v>
      </c>
      <c r="C89" t="s">
        <v>1662</v>
      </c>
      <c r="D89" t="s">
        <v>1625</v>
      </c>
      <c r="E89">
        <v>0</v>
      </c>
      <c r="F89">
        <v>0.7</v>
      </c>
      <c r="H89">
        <v>0</v>
      </c>
      <c r="I89">
        <v>107</v>
      </c>
    </row>
    <row r="90" spans="1:81" x14ac:dyDescent="0.3">
      <c r="A90">
        <v>5744</v>
      </c>
      <c r="B90">
        <v>1</v>
      </c>
      <c r="C90" t="s">
        <v>1662</v>
      </c>
      <c r="D90" t="s">
        <v>1627</v>
      </c>
      <c r="E90">
        <v>0</v>
      </c>
      <c r="F90">
        <v>0.7</v>
      </c>
      <c r="H90">
        <v>0</v>
      </c>
      <c r="I90">
        <v>107</v>
      </c>
    </row>
    <row r="91" spans="1:81" x14ac:dyDescent="0.3">
      <c r="A91">
        <v>5745</v>
      </c>
      <c r="B91">
        <v>1</v>
      </c>
      <c r="C91" t="s">
        <v>1662</v>
      </c>
      <c r="D91" t="s">
        <v>1626</v>
      </c>
      <c r="E91">
        <v>0</v>
      </c>
      <c r="F91">
        <v>0.3</v>
      </c>
      <c r="H91">
        <v>0</v>
      </c>
      <c r="I91">
        <v>107</v>
      </c>
    </row>
    <row r="92" spans="1:81" x14ac:dyDescent="0.3">
      <c r="A92">
        <v>5746</v>
      </c>
      <c r="B92">
        <v>1</v>
      </c>
      <c r="C92" t="s">
        <v>1662</v>
      </c>
      <c r="D92" t="s">
        <v>1629</v>
      </c>
      <c r="E92">
        <v>0</v>
      </c>
      <c r="F92">
        <v>0.75</v>
      </c>
      <c r="H92">
        <v>0</v>
      </c>
      <c r="I92">
        <v>107</v>
      </c>
    </row>
    <row r="93" spans="1:81" x14ac:dyDescent="0.3">
      <c r="A93">
        <v>5747</v>
      </c>
      <c r="B93">
        <v>1</v>
      </c>
      <c r="C93" t="s">
        <v>1662</v>
      </c>
      <c r="D93" t="s">
        <v>1623</v>
      </c>
      <c r="E93">
        <v>0</v>
      </c>
      <c r="F93">
        <v>0.15</v>
      </c>
      <c r="H93">
        <v>0</v>
      </c>
      <c r="I93">
        <v>107</v>
      </c>
    </row>
    <row r="95" spans="1:81" x14ac:dyDescent="0.3">
      <c r="A95" s="34" t="s">
        <v>2</v>
      </c>
      <c r="B95" s="34" t="s">
        <v>3</v>
      </c>
      <c r="C95" s="34" t="s">
        <v>1315</v>
      </c>
      <c r="D95" s="34" t="s">
        <v>1389</v>
      </c>
      <c r="E95" s="34" t="s">
        <v>1390</v>
      </c>
      <c r="F95" s="34" t="s">
        <v>1391</v>
      </c>
      <c r="G95" s="34" t="s">
        <v>1392</v>
      </c>
      <c r="H95" s="34" t="s">
        <v>1393</v>
      </c>
      <c r="I95" s="34" t="s">
        <v>1394</v>
      </c>
      <c r="J95" s="34" t="s">
        <v>1395</v>
      </c>
      <c r="K95" s="34" t="s">
        <v>1396</v>
      </c>
      <c r="L95" s="34" t="s">
        <v>1397</v>
      </c>
      <c r="M95" s="34" t="s">
        <v>1398</v>
      </c>
      <c r="N95" s="34" t="s">
        <v>1399</v>
      </c>
      <c r="O95" s="34" t="s">
        <v>1400</v>
      </c>
      <c r="P95" s="34" t="s">
        <v>1401</v>
      </c>
      <c r="Q95" s="34" t="s">
        <v>1322</v>
      </c>
      <c r="R95" s="34" t="s">
        <v>1402</v>
      </c>
      <c r="S95" s="34" t="s">
        <v>1403</v>
      </c>
      <c r="T95" s="34" t="s">
        <v>1404</v>
      </c>
      <c r="U95" s="34" t="s">
        <v>1405</v>
      </c>
      <c r="V95" s="34" t="s">
        <v>1406</v>
      </c>
      <c r="W95" s="34" t="s">
        <v>1407</v>
      </c>
      <c r="X95" s="34" t="s">
        <v>1408</v>
      </c>
      <c r="Y95" s="34" t="s">
        <v>1409</v>
      </c>
      <c r="Z95" s="34" t="s">
        <v>1410</v>
      </c>
      <c r="AA95" s="34" t="s">
        <v>1411</v>
      </c>
      <c r="AB95" s="34" t="s">
        <v>1412</v>
      </c>
      <c r="AC95" s="34" t="s">
        <v>1413</v>
      </c>
      <c r="AD95" s="34" t="s">
        <v>1414</v>
      </c>
      <c r="AE95" s="34" t="s">
        <v>1415</v>
      </c>
      <c r="AF95" s="34" t="s">
        <v>1416</v>
      </c>
      <c r="AG95" s="34" t="s">
        <v>1417</v>
      </c>
      <c r="AH95" s="34" t="s">
        <v>1418</v>
      </c>
      <c r="AI95" s="34" t="s">
        <v>71</v>
      </c>
      <c r="AJ95" s="34" t="s">
        <v>1419</v>
      </c>
      <c r="AK95" s="34" t="s">
        <v>1420</v>
      </c>
      <c r="AL95" s="34" t="s">
        <v>1421</v>
      </c>
      <c r="AM95" s="34" t="s">
        <v>1422</v>
      </c>
      <c r="AN95" s="34" t="s">
        <v>1423</v>
      </c>
      <c r="AO95" s="34" t="s">
        <v>1424</v>
      </c>
      <c r="AP95" s="34" t="s">
        <v>1425</v>
      </c>
      <c r="AQ95" s="34" t="s">
        <v>1318</v>
      </c>
      <c r="AR95" s="34" t="s">
        <v>1426</v>
      </c>
      <c r="AS95" s="34" t="s">
        <v>1427</v>
      </c>
      <c r="AT95" s="34" t="s">
        <v>1428</v>
      </c>
      <c r="AU95" s="34" t="s">
        <v>1429</v>
      </c>
      <c r="AV95" s="34" t="s">
        <v>1430</v>
      </c>
      <c r="AW95" s="34" t="s">
        <v>1431</v>
      </c>
      <c r="AX95" s="34" t="s">
        <v>1432</v>
      </c>
      <c r="AY95" s="34" t="s">
        <v>1433</v>
      </c>
      <c r="AZ95" s="34" t="s">
        <v>1434</v>
      </c>
      <c r="BA95" s="34" t="s">
        <v>1435</v>
      </c>
      <c r="BB95" s="34" t="s">
        <v>1436</v>
      </c>
      <c r="BC95" s="34" t="s">
        <v>1437</v>
      </c>
      <c r="BD95" s="34" t="s">
        <v>1438</v>
      </c>
      <c r="BE95" s="34" t="s">
        <v>1439</v>
      </c>
      <c r="BF95" s="34" t="s">
        <v>0</v>
      </c>
      <c r="BG95" s="34" t="s">
        <v>1440</v>
      </c>
      <c r="BH95" s="34" t="s">
        <v>1441</v>
      </c>
      <c r="BI95" s="34" t="s">
        <v>14</v>
      </c>
      <c r="BJ95" s="34" t="s">
        <v>13</v>
      </c>
      <c r="BK95" s="34" t="s">
        <v>1316</v>
      </c>
      <c r="BL95" s="34" t="s">
        <v>35</v>
      </c>
      <c r="BM95" s="34" t="s">
        <v>1442</v>
      </c>
      <c r="BN95" s="34" t="s">
        <v>1443</v>
      </c>
      <c r="BO95" s="34" t="s">
        <v>1444</v>
      </c>
      <c r="BP95" s="34" t="s">
        <v>1445</v>
      </c>
      <c r="BQ95" s="34" t="s">
        <v>1446</v>
      </c>
      <c r="BR95" s="34" t="s">
        <v>1447</v>
      </c>
      <c r="BS95" s="34" t="s">
        <v>1448</v>
      </c>
      <c r="BT95" s="34" t="s">
        <v>1449</v>
      </c>
      <c r="BU95" s="34" t="s">
        <v>1450</v>
      </c>
      <c r="BV95" s="34" t="s">
        <v>1321</v>
      </c>
      <c r="BW95" s="34" t="s">
        <v>1451</v>
      </c>
      <c r="BX95" s="34" t="s">
        <v>1452</v>
      </c>
      <c r="BY95" s="34" t="s">
        <v>1317</v>
      </c>
      <c r="BZ95" s="34" t="s">
        <v>1320</v>
      </c>
      <c r="CA95" s="34" t="s">
        <v>1453</v>
      </c>
      <c r="CB95" s="34" t="s">
        <v>1323</v>
      </c>
      <c r="CC95" s="34" t="s">
        <v>1324</v>
      </c>
    </row>
    <row r="96" spans="1:81" x14ac:dyDescent="0.3">
      <c r="A96" s="34" t="s">
        <v>1563</v>
      </c>
      <c r="B96" s="34" t="s">
        <v>711</v>
      </c>
      <c r="C96" s="34" t="s">
        <v>1327</v>
      </c>
      <c r="D96" s="34"/>
      <c r="E96" s="35">
        <v>45405</v>
      </c>
      <c r="F96" s="35">
        <v>47212</v>
      </c>
      <c r="G96" s="34"/>
      <c r="H96" s="34" t="s">
        <v>1325</v>
      </c>
      <c r="I96" s="34">
        <v>0</v>
      </c>
      <c r="J96" s="34">
        <v>150000000</v>
      </c>
      <c r="K96" s="34">
        <v>9324720</v>
      </c>
      <c r="L96" s="34">
        <v>250000.5</v>
      </c>
      <c r="M96" s="34">
        <v>250000.5</v>
      </c>
      <c r="N96" s="34">
        <v>0</v>
      </c>
      <c r="O96" s="34">
        <v>101</v>
      </c>
      <c r="P96" s="34">
        <v>1.6666700000000001E-3</v>
      </c>
      <c r="Q96" s="34">
        <v>15541.2310824</v>
      </c>
      <c r="R96" s="34">
        <v>252500.505</v>
      </c>
      <c r="S96" s="34">
        <v>1971.5092803</v>
      </c>
      <c r="T96" s="34">
        <v>22005.247728229999</v>
      </c>
      <c r="U96" s="34">
        <v>0</v>
      </c>
      <c r="V96" s="34">
        <v>250000.5</v>
      </c>
      <c r="W96" s="34">
        <v>6.2500130000000001E-2</v>
      </c>
      <c r="X96" s="34">
        <v>0</v>
      </c>
      <c r="Y96" s="34" t="s">
        <v>1663</v>
      </c>
      <c r="Z96" s="34">
        <v>0</v>
      </c>
      <c r="AA96" s="34">
        <v>0</v>
      </c>
      <c r="AB96" s="34">
        <v>0</v>
      </c>
      <c r="AC96" s="34">
        <v>1</v>
      </c>
      <c r="AD96" s="34" t="s">
        <v>123</v>
      </c>
      <c r="AE96" s="34" t="s">
        <v>123</v>
      </c>
      <c r="AF96" s="34" t="s">
        <v>714</v>
      </c>
      <c r="AG96" s="34" t="s">
        <v>123</v>
      </c>
      <c r="AH96" s="34" t="s">
        <v>123</v>
      </c>
      <c r="AI96" s="34">
        <v>0</v>
      </c>
      <c r="AJ96" s="34" t="s">
        <v>123</v>
      </c>
      <c r="AK96" s="34">
        <v>0.12685669999999999</v>
      </c>
      <c r="AL96" s="34">
        <v>7500.0150000000003</v>
      </c>
      <c r="AM96" s="34">
        <v>13569.721802100001</v>
      </c>
      <c r="AN96" s="34">
        <v>1.8092926199999999</v>
      </c>
      <c r="AO96" s="34">
        <v>0.87314329999999996</v>
      </c>
      <c r="AP96" s="34">
        <v>0</v>
      </c>
      <c r="AQ96" s="34">
        <v>1009</v>
      </c>
      <c r="AR96" s="34">
        <v>5.6722120000000001E-2</v>
      </c>
      <c r="AS96" s="34"/>
      <c r="AT96" s="34">
        <v>0</v>
      </c>
      <c r="AU96" s="34">
        <v>107</v>
      </c>
      <c r="AV96" s="34" t="s">
        <v>1564</v>
      </c>
      <c r="AW96" s="34">
        <v>0</v>
      </c>
      <c r="AX96" s="34">
        <v>1382</v>
      </c>
      <c r="AY96" s="34" t="s">
        <v>1329</v>
      </c>
      <c r="AZ96" s="35">
        <v>45749</v>
      </c>
      <c r="BA96" s="35">
        <v>45749</v>
      </c>
      <c r="BB96" s="34" t="s">
        <v>123</v>
      </c>
      <c r="BC96" s="34" t="s">
        <v>123</v>
      </c>
      <c r="BD96" s="34" t="s">
        <v>123</v>
      </c>
      <c r="BE96" s="34" t="s">
        <v>139</v>
      </c>
      <c r="BF96" s="34">
        <v>151</v>
      </c>
      <c r="BG96" s="34">
        <v>0</v>
      </c>
      <c r="BH96" s="34">
        <v>2.3430280000000001E-2</v>
      </c>
      <c r="BI96" s="34" t="s">
        <v>150</v>
      </c>
      <c r="BJ96" s="34" t="s">
        <v>1328</v>
      </c>
      <c r="BK96" s="34">
        <v>2025</v>
      </c>
      <c r="BL96" s="34" t="s">
        <v>1456</v>
      </c>
      <c r="BM96" s="34"/>
      <c r="BN96" s="34">
        <v>0</v>
      </c>
      <c r="BO96" s="34" t="s">
        <v>1330</v>
      </c>
      <c r="BP96" s="34">
        <v>6.2164799999999999E-2</v>
      </c>
      <c r="BQ96" s="34" t="s">
        <v>1326</v>
      </c>
      <c r="BR96" s="35">
        <v>45749</v>
      </c>
      <c r="BS96" s="34">
        <v>0</v>
      </c>
      <c r="BT96" s="34" t="s">
        <v>123</v>
      </c>
      <c r="BU96" s="34">
        <v>0</v>
      </c>
      <c r="BV96" s="34">
        <v>250000</v>
      </c>
      <c r="BW96" s="34">
        <v>0</v>
      </c>
      <c r="BX96" s="34">
        <v>151</v>
      </c>
      <c r="BY96" s="34">
        <v>0</v>
      </c>
      <c r="BZ96" s="34">
        <v>1</v>
      </c>
      <c r="CA96" s="34">
        <v>0.9919</v>
      </c>
      <c r="CB96" s="34">
        <v>8.0999999999999996E-3</v>
      </c>
      <c r="CC96" s="34">
        <v>7.7000000000000002E-3</v>
      </c>
    </row>
    <row r="97" spans="1:81" x14ac:dyDescent="0.3">
      <c r="A97" s="34" t="s">
        <v>1565</v>
      </c>
      <c r="B97" s="34" t="s">
        <v>1120</v>
      </c>
      <c r="C97" s="34" t="s">
        <v>1331</v>
      </c>
      <c r="D97" s="34"/>
      <c r="E97" s="35">
        <v>45686</v>
      </c>
      <c r="F97" s="35">
        <v>46850</v>
      </c>
      <c r="G97" s="34"/>
      <c r="H97" s="34" t="s">
        <v>1325</v>
      </c>
      <c r="I97" s="34">
        <v>5000000</v>
      </c>
      <c r="J97" s="34">
        <v>5000000</v>
      </c>
      <c r="K97" s="34">
        <v>3142943.7</v>
      </c>
      <c r="L97" s="34">
        <v>249999.9</v>
      </c>
      <c r="M97" s="34">
        <v>249999.9</v>
      </c>
      <c r="N97" s="34">
        <v>0</v>
      </c>
      <c r="O97" s="34">
        <v>100.2</v>
      </c>
      <c r="P97" s="34">
        <v>8.3333299999999999E-3</v>
      </c>
      <c r="Q97" s="34">
        <v>26191.18702352</v>
      </c>
      <c r="R97" s="34">
        <v>250499.89980000001</v>
      </c>
      <c r="S97" s="34">
        <v>7224.1725552300004</v>
      </c>
      <c r="T97" s="34">
        <v>40913.053250049998</v>
      </c>
      <c r="U97" s="34">
        <v>249999.9</v>
      </c>
      <c r="V97" s="34">
        <v>249999.9</v>
      </c>
      <c r="W97" s="34">
        <v>6.2499970000000002E-2</v>
      </c>
      <c r="X97" s="34">
        <v>0</v>
      </c>
      <c r="Y97" s="34" t="s">
        <v>1663</v>
      </c>
      <c r="Z97" s="34">
        <v>0</v>
      </c>
      <c r="AA97" s="34">
        <v>0</v>
      </c>
      <c r="AB97" s="34">
        <v>0</v>
      </c>
      <c r="AC97" s="34">
        <v>1</v>
      </c>
      <c r="AD97" s="34" t="s">
        <v>123</v>
      </c>
      <c r="AE97" s="34" t="s">
        <v>123</v>
      </c>
      <c r="AF97" s="34" t="s">
        <v>1121</v>
      </c>
      <c r="AG97" s="34" t="s">
        <v>123</v>
      </c>
      <c r="AH97" s="34" t="s">
        <v>123</v>
      </c>
      <c r="AI97" s="34">
        <v>0</v>
      </c>
      <c r="AJ97" s="34" t="s">
        <v>123</v>
      </c>
      <c r="AK97" s="34">
        <v>0.27582456</v>
      </c>
      <c r="AL97" s="34">
        <v>112873.97377722</v>
      </c>
      <c r="AM97" s="34">
        <v>18967.0144683</v>
      </c>
      <c r="AN97" s="34">
        <v>0.16803709</v>
      </c>
      <c r="AO97" s="34">
        <v>0.72417544</v>
      </c>
      <c r="AP97" s="34">
        <v>0</v>
      </c>
      <c r="AQ97" s="34">
        <v>647</v>
      </c>
      <c r="AR97" s="34">
        <v>0.10367698</v>
      </c>
      <c r="AS97" s="34"/>
      <c r="AT97" s="34">
        <v>124999.95</v>
      </c>
      <c r="AU97" s="34">
        <v>107</v>
      </c>
      <c r="AV97" s="34" t="s">
        <v>1566</v>
      </c>
      <c r="AW97" s="34">
        <v>0</v>
      </c>
      <c r="AX97" s="34">
        <v>1383</v>
      </c>
      <c r="AY97" s="34" t="s">
        <v>1333</v>
      </c>
      <c r="AZ97" s="35">
        <v>45751</v>
      </c>
      <c r="BA97" s="35">
        <v>45751</v>
      </c>
      <c r="BB97" s="34" t="s">
        <v>123</v>
      </c>
      <c r="BC97" s="34" t="s">
        <v>123</v>
      </c>
      <c r="BD97" s="34" t="s">
        <v>123</v>
      </c>
      <c r="BE97" s="34" t="s">
        <v>1334</v>
      </c>
      <c r="BF97" s="34">
        <v>268</v>
      </c>
      <c r="BG97" s="34">
        <v>0</v>
      </c>
      <c r="BH97" s="34">
        <v>6.6102750000000002E-2</v>
      </c>
      <c r="BI97" s="34" t="s">
        <v>159</v>
      </c>
      <c r="BJ97" s="34" t="s">
        <v>1332</v>
      </c>
      <c r="BK97" s="34">
        <v>2025</v>
      </c>
      <c r="BL97" s="34" t="s">
        <v>1456</v>
      </c>
      <c r="BM97" s="34"/>
      <c r="BN97" s="34">
        <v>0</v>
      </c>
      <c r="BO97" s="34" t="s">
        <v>1330</v>
      </c>
      <c r="BP97" s="34">
        <v>0.10476479</v>
      </c>
      <c r="BQ97" s="34" t="s">
        <v>1326</v>
      </c>
      <c r="BR97" s="35">
        <v>45751</v>
      </c>
      <c r="BS97" s="34">
        <v>0</v>
      </c>
      <c r="BT97" s="34" t="s">
        <v>123</v>
      </c>
      <c r="BU97" s="34">
        <v>0</v>
      </c>
      <c r="BV97" s="34">
        <v>250000</v>
      </c>
      <c r="BW97" s="34">
        <v>0</v>
      </c>
      <c r="BX97" s="34">
        <v>268</v>
      </c>
      <c r="BY97" s="34">
        <v>0</v>
      </c>
      <c r="BZ97" s="34">
        <v>1</v>
      </c>
      <c r="CA97" s="34">
        <v>0.96840000000000004</v>
      </c>
      <c r="CB97" s="34">
        <v>3.3399999999999999E-2</v>
      </c>
      <c r="CC97" s="34">
        <v>3.1300000000000001E-2</v>
      </c>
    </row>
    <row r="98" spans="1:81" x14ac:dyDescent="0.3">
      <c r="A98" s="34" t="s">
        <v>1567</v>
      </c>
      <c r="B98" s="34" t="s">
        <v>668</v>
      </c>
      <c r="C98" s="34" t="s">
        <v>1335</v>
      </c>
      <c r="D98" s="34"/>
      <c r="E98" s="35">
        <v>45252</v>
      </c>
      <c r="F98" s="35">
        <v>46395</v>
      </c>
      <c r="G98" s="34"/>
      <c r="H98" s="34" t="s">
        <v>1325</v>
      </c>
      <c r="I98" s="34">
        <v>0</v>
      </c>
      <c r="J98" s="34">
        <v>600000000</v>
      </c>
      <c r="K98" s="34">
        <v>18120000</v>
      </c>
      <c r="L98" s="34">
        <v>250000</v>
      </c>
      <c r="M98" s="34">
        <v>250000</v>
      </c>
      <c r="N98" s="34">
        <v>0</v>
      </c>
      <c r="O98" s="34">
        <v>102.85</v>
      </c>
      <c r="P98" s="34">
        <v>1.25E-3</v>
      </c>
      <c r="Q98" s="34">
        <v>22650</v>
      </c>
      <c r="R98" s="34">
        <v>257125</v>
      </c>
      <c r="S98" s="34">
        <v>5261.3498553700001</v>
      </c>
      <c r="T98" s="34">
        <v>34138.576508040001</v>
      </c>
      <c r="U98" s="34">
        <v>249999.9975</v>
      </c>
      <c r="V98" s="34">
        <v>249999.9975</v>
      </c>
      <c r="W98" s="34">
        <v>6.25E-2</v>
      </c>
      <c r="X98" s="34">
        <v>0</v>
      </c>
      <c r="Y98" s="34" t="s">
        <v>1663</v>
      </c>
      <c r="Z98" s="34">
        <v>0</v>
      </c>
      <c r="AA98" s="34">
        <v>0</v>
      </c>
      <c r="AB98" s="34">
        <v>0</v>
      </c>
      <c r="AC98" s="34">
        <v>1</v>
      </c>
      <c r="AD98" s="34" t="s">
        <v>123</v>
      </c>
      <c r="AE98" s="34" t="s">
        <v>123</v>
      </c>
      <c r="AF98" s="34" t="s">
        <v>671</v>
      </c>
      <c r="AG98" s="34" t="s">
        <v>123</v>
      </c>
      <c r="AH98" s="34" t="s">
        <v>123</v>
      </c>
      <c r="AI98" s="34">
        <v>0</v>
      </c>
      <c r="AJ98" s="34" t="s">
        <v>123</v>
      </c>
      <c r="AK98" s="34">
        <v>0.23228918000000001</v>
      </c>
      <c r="AL98" s="34">
        <v>42756.66036758</v>
      </c>
      <c r="AM98" s="34">
        <v>17388.650144629999</v>
      </c>
      <c r="AN98" s="34">
        <v>0.40668869000000002</v>
      </c>
      <c r="AO98" s="34">
        <v>0.76771082000000002</v>
      </c>
      <c r="AP98" s="34">
        <v>0</v>
      </c>
      <c r="AQ98" s="34">
        <v>192</v>
      </c>
      <c r="AR98" s="34">
        <v>7.6703099999999996E-2</v>
      </c>
      <c r="AS98" s="34"/>
      <c r="AT98" s="34">
        <v>124999.99875</v>
      </c>
      <c r="AU98" s="34">
        <v>107</v>
      </c>
      <c r="AV98" s="34" t="s">
        <v>1568</v>
      </c>
      <c r="AW98" s="34">
        <v>0</v>
      </c>
      <c r="AX98" s="34">
        <v>1384</v>
      </c>
      <c r="AY98" s="34" t="s">
        <v>1333</v>
      </c>
      <c r="AZ98" s="35">
        <v>45751</v>
      </c>
      <c r="BA98" s="35">
        <v>45751</v>
      </c>
      <c r="BB98" s="34" t="s">
        <v>123</v>
      </c>
      <c r="BC98" s="34" t="s">
        <v>123</v>
      </c>
      <c r="BD98" s="34" t="s">
        <v>123</v>
      </c>
      <c r="BE98" s="34" t="s">
        <v>139</v>
      </c>
      <c r="BF98" s="34">
        <v>138</v>
      </c>
      <c r="BG98" s="34">
        <v>0</v>
      </c>
      <c r="BH98" s="34">
        <v>5.2493049999999999E-2</v>
      </c>
      <c r="BI98" s="34" t="s">
        <v>133</v>
      </c>
      <c r="BJ98" s="34" t="s">
        <v>1336</v>
      </c>
      <c r="BK98" s="34">
        <v>2025</v>
      </c>
      <c r="BL98" s="34" t="s">
        <v>1456</v>
      </c>
      <c r="BM98" s="34"/>
      <c r="BN98" s="34">
        <v>0</v>
      </c>
      <c r="BO98" s="34" t="s">
        <v>1330</v>
      </c>
      <c r="BP98" s="34">
        <v>9.06E-2</v>
      </c>
      <c r="BQ98" s="34" t="s">
        <v>1326</v>
      </c>
      <c r="BR98" s="35">
        <v>45751</v>
      </c>
      <c r="BS98" s="34">
        <v>0</v>
      </c>
      <c r="BT98" s="34" t="s">
        <v>123</v>
      </c>
      <c r="BU98" s="34">
        <v>0</v>
      </c>
      <c r="BV98" s="34">
        <v>250000</v>
      </c>
      <c r="BW98" s="34">
        <v>0</v>
      </c>
      <c r="BX98" s="34">
        <v>138</v>
      </c>
      <c r="BY98" s="34">
        <v>0</v>
      </c>
      <c r="BZ98" s="34">
        <v>1</v>
      </c>
      <c r="CA98" s="34">
        <v>0.97360000000000002</v>
      </c>
      <c r="CB98" s="34">
        <v>2.8000000000000001E-2</v>
      </c>
      <c r="CC98" s="34">
        <v>1.6E-2</v>
      </c>
    </row>
    <row r="99" spans="1:81" x14ac:dyDescent="0.3">
      <c r="A99" s="34" t="s">
        <v>1569</v>
      </c>
      <c r="B99" s="34" t="s">
        <v>856</v>
      </c>
      <c r="C99" s="34" t="s">
        <v>1337</v>
      </c>
      <c r="D99" s="34"/>
      <c r="E99" s="35">
        <v>44650</v>
      </c>
      <c r="F99" s="35">
        <v>46119</v>
      </c>
      <c r="G99" s="34"/>
      <c r="H99" s="34" t="s">
        <v>1325</v>
      </c>
      <c r="I99" s="34">
        <v>0</v>
      </c>
      <c r="J99" s="34">
        <v>100000000</v>
      </c>
      <c r="K99" s="34">
        <v>7992000</v>
      </c>
      <c r="L99" s="34">
        <v>249999.6</v>
      </c>
      <c r="M99" s="34">
        <v>249999.6</v>
      </c>
      <c r="N99" s="34">
        <v>0</v>
      </c>
      <c r="O99" s="34">
        <v>101</v>
      </c>
      <c r="P99" s="34">
        <v>2.08333E-3</v>
      </c>
      <c r="Q99" s="34">
        <v>16649.97336</v>
      </c>
      <c r="R99" s="34">
        <v>252499.59599999999</v>
      </c>
      <c r="S99" s="34">
        <v>3783.1094999500001</v>
      </c>
      <c r="T99" s="34">
        <v>30259.525223830002</v>
      </c>
      <c r="U99" s="34">
        <v>249999.6</v>
      </c>
      <c r="V99" s="34">
        <v>249999.6</v>
      </c>
      <c r="W99" s="34">
        <v>6.2499899999999997E-2</v>
      </c>
      <c r="X99" s="34">
        <v>0</v>
      </c>
      <c r="Y99" s="34" t="s">
        <v>1663</v>
      </c>
      <c r="Z99" s="34">
        <v>0</v>
      </c>
      <c r="AA99" s="34">
        <v>0</v>
      </c>
      <c r="AB99" s="34">
        <v>0</v>
      </c>
      <c r="AC99" s="34">
        <v>1</v>
      </c>
      <c r="AD99" s="34" t="s">
        <v>123</v>
      </c>
      <c r="AE99" s="34" t="s">
        <v>123</v>
      </c>
      <c r="AF99" s="34" t="s">
        <v>858</v>
      </c>
      <c r="AG99" s="34" t="s">
        <v>123</v>
      </c>
      <c r="AH99" s="34" t="s">
        <v>123</v>
      </c>
      <c r="AI99" s="34">
        <v>0</v>
      </c>
      <c r="AJ99" s="34" t="s">
        <v>123</v>
      </c>
      <c r="AK99" s="34">
        <v>0.22721415</v>
      </c>
      <c r="AL99" s="34">
        <v>7499.9880000000003</v>
      </c>
      <c r="AM99" s="34">
        <v>12866.86386005</v>
      </c>
      <c r="AN99" s="34">
        <v>1.71558459</v>
      </c>
      <c r="AO99" s="34">
        <v>0.77278585</v>
      </c>
      <c r="AP99" s="34">
        <v>0</v>
      </c>
      <c r="AQ99" s="34">
        <v>-84</v>
      </c>
      <c r="AR99" s="34">
        <v>5.962858E-2</v>
      </c>
      <c r="AS99" s="34"/>
      <c r="AT99" s="34">
        <v>0</v>
      </c>
      <c r="AU99" s="34">
        <v>107</v>
      </c>
      <c r="AV99" s="34" t="s">
        <v>1570</v>
      </c>
      <c r="AW99" s="34">
        <v>0</v>
      </c>
      <c r="AX99" s="34">
        <v>1385</v>
      </c>
      <c r="AY99" s="34" t="s">
        <v>1333</v>
      </c>
      <c r="AZ99" s="35">
        <v>45751</v>
      </c>
      <c r="BA99" s="35">
        <v>45751</v>
      </c>
      <c r="BB99" s="34" t="s">
        <v>123</v>
      </c>
      <c r="BC99" s="34" t="s">
        <v>123</v>
      </c>
      <c r="BD99" s="34" t="s">
        <v>123</v>
      </c>
      <c r="BE99" s="34" t="s">
        <v>139</v>
      </c>
      <c r="BF99" s="34">
        <v>196</v>
      </c>
      <c r="BG99" s="34">
        <v>0</v>
      </c>
      <c r="BH99" s="34">
        <v>2.8000799999999999E-2</v>
      </c>
      <c r="BI99" s="34" t="s">
        <v>167</v>
      </c>
      <c r="BJ99" s="34" t="s">
        <v>1338</v>
      </c>
      <c r="BK99" s="34">
        <v>2025</v>
      </c>
      <c r="BL99" s="34" t="s">
        <v>1456</v>
      </c>
      <c r="BM99" s="34"/>
      <c r="BN99" s="34">
        <v>0</v>
      </c>
      <c r="BO99" s="34" t="s">
        <v>1330</v>
      </c>
      <c r="BP99" s="34">
        <v>6.6600000000000006E-2</v>
      </c>
      <c r="BQ99" s="34" t="s">
        <v>1326</v>
      </c>
      <c r="BR99" s="35">
        <v>45751</v>
      </c>
      <c r="BS99" s="34">
        <v>0</v>
      </c>
      <c r="BT99" s="34" t="s">
        <v>123</v>
      </c>
      <c r="BU99" s="34">
        <v>0</v>
      </c>
      <c r="BV99" s="34">
        <v>250000</v>
      </c>
      <c r="BW99" s="34">
        <v>0</v>
      </c>
      <c r="BX99" s="34">
        <v>196</v>
      </c>
      <c r="BY99" s="34">
        <v>0</v>
      </c>
      <c r="BZ99" s="34">
        <v>1</v>
      </c>
      <c r="CA99" s="34">
        <v>0.98429999999999995</v>
      </c>
      <c r="CB99" s="34">
        <v>1.5900000000000001E-2</v>
      </c>
      <c r="CC99" s="34">
        <v>0</v>
      </c>
    </row>
    <row r="100" spans="1:81" x14ac:dyDescent="0.3">
      <c r="A100" s="34" t="s">
        <v>1454</v>
      </c>
      <c r="B100" s="34" t="s">
        <v>1028</v>
      </c>
      <c r="C100" s="34" t="s">
        <v>1339</v>
      </c>
      <c r="D100" s="34"/>
      <c r="E100" s="35">
        <v>45267</v>
      </c>
      <c r="F100" s="35">
        <v>46363</v>
      </c>
      <c r="G100" s="34"/>
      <c r="H100" s="34" t="s">
        <v>1325</v>
      </c>
      <c r="I100" s="34">
        <v>0</v>
      </c>
      <c r="J100" s="34">
        <v>1000000000</v>
      </c>
      <c r="K100" s="34">
        <v>27960000</v>
      </c>
      <c r="L100" s="34">
        <v>249999</v>
      </c>
      <c r="M100" s="34">
        <v>249999</v>
      </c>
      <c r="N100" s="34">
        <v>0</v>
      </c>
      <c r="O100" s="34">
        <v>103.95</v>
      </c>
      <c r="P100" s="34">
        <v>8.3332999999999996E-4</v>
      </c>
      <c r="Q100" s="34">
        <v>23299.906800000001</v>
      </c>
      <c r="R100" s="34">
        <v>259873.96049999999</v>
      </c>
      <c r="S100" s="34">
        <v>2019.6864694799999</v>
      </c>
      <c r="T100" s="34">
        <v>22128.20021381</v>
      </c>
      <c r="U100" s="34">
        <v>0</v>
      </c>
      <c r="V100" s="34">
        <v>249999</v>
      </c>
      <c r="W100" s="34">
        <v>6.249975E-2</v>
      </c>
      <c r="X100" s="34">
        <v>0</v>
      </c>
      <c r="Y100" s="34" t="s">
        <v>1663</v>
      </c>
      <c r="Z100" s="34">
        <v>0</v>
      </c>
      <c r="AA100" s="34">
        <v>0</v>
      </c>
      <c r="AB100" s="34">
        <v>0</v>
      </c>
      <c r="AC100" s="34">
        <v>1</v>
      </c>
      <c r="AD100" s="34" t="s">
        <v>123</v>
      </c>
      <c r="AE100" s="34" t="s">
        <v>123</v>
      </c>
      <c r="AF100" s="34" t="s">
        <v>1029</v>
      </c>
      <c r="AG100" s="34" t="s">
        <v>123</v>
      </c>
      <c r="AH100" s="34" t="s">
        <v>123</v>
      </c>
      <c r="AI100" s="34">
        <v>0</v>
      </c>
      <c r="AJ100" s="34" t="s">
        <v>123</v>
      </c>
      <c r="AK100" s="34">
        <v>8.6682170000000003E-2</v>
      </c>
      <c r="AL100" s="34">
        <v>107499.57</v>
      </c>
      <c r="AM100" s="34">
        <v>21280.220330519998</v>
      </c>
      <c r="AN100" s="34">
        <v>0.19795633000000001</v>
      </c>
      <c r="AO100" s="34">
        <v>0.91331783</v>
      </c>
      <c r="AP100" s="34">
        <v>0</v>
      </c>
      <c r="AQ100" s="34">
        <v>160</v>
      </c>
      <c r="AR100" s="34">
        <v>7.1253140000000006E-2</v>
      </c>
      <c r="AS100" s="34"/>
      <c r="AT100" s="34">
        <v>124999.5</v>
      </c>
      <c r="AU100" s="34">
        <v>107</v>
      </c>
      <c r="AV100" s="34" t="s">
        <v>1455</v>
      </c>
      <c r="AW100" s="34">
        <v>0</v>
      </c>
      <c r="AX100" s="34">
        <v>1386</v>
      </c>
      <c r="AY100" s="34" t="s">
        <v>1329</v>
      </c>
      <c r="AZ100" s="35">
        <v>45751</v>
      </c>
      <c r="BA100" s="35">
        <v>45751</v>
      </c>
      <c r="BB100" s="34" t="s">
        <v>123</v>
      </c>
      <c r="BC100" s="34" t="s">
        <v>123</v>
      </c>
      <c r="BD100" s="34" t="s">
        <v>123</v>
      </c>
      <c r="BE100" s="34" t="s">
        <v>139</v>
      </c>
      <c r="BF100" s="34">
        <v>243</v>
      </c>
      <c r="BG100" s="34">
        <v>0</v>
      </c>
      <c r="BH100" s="34">
        <v>5.500062E-2</v>
      </c>
      <c r="BI100" s="34" t="s">
        <v>528</v>
      </c>
      <c r="BJ100" s="34" t="s">
        <v>1340</v>
      </c>
      <c r="BK100" s="34">
        <v>2024</v>
      </c>
      <c r="BL100" s="34" t="s">
        <v>1456</v>
      </c>
      <c r="BM100" s="34"/>
      <c r="BN100" s="34">
        <v>0</v>
      </c>
      <c r="BO100" s="34" t="s">
        <v>1330</v>
      </c>
      <c r="BP100" s="34">
        <v>9.3200000000000005E-2</v>
      </c>
      <c r="BQ100" s="34" t="s">
        <v>1326</v>
      </c>
      <c r="BR100" s="35">
        <v>45751</v>
      </c>
      <c r="BS100" s="34">
        <v>0</v>
      </c>
      <c r="BT100" s="34" t="s">
        <v>123</v>
      </c>
      <c r="BU100" s="34">
        <v>0</v>
      </c>
      <c r="BV100" s="34">
        <v>250000</v>
      </c>
      <c r="BW100" s="34">
        <v>0</v>
      </c>
      <c r="BX100" s="34">
        <v>243</v>
      </c>
      <c r="BY100" s="34">
        <v>0</v>
      </c>
      <c r="BZ100" s="34">
        <v>1</v>
      </c>
      <c r="CA100" s="34">
        <v>0.99150000000000005</v>
      </c>
      <c r="CB100" s="34">
        <v>8.5000000000000006E-3</v>
      </c>
      <c r="CC100" s="34">
        <v>7.7000000000000002E-3</v>
      </c>
    </row>
    <row r="101" spans="1:81" x14ac:dyDescent="0.3">
      <c r="A101" s="34" t="s">
        <v>1457</v>
      </c>
      <c r="B101" s="34" t="s">
        <v>625</v>
      </c>
      <c r="C101" s="34" t="s">
        <v>1341</v>
      </c>
      <c r="D101" s="34"/>
      <c r="E101" s="35">
        <v>45693</v>
      </c>
      <c r="F101" s="35">
        <v>46820</v>
      </c>
      <c r="G101" s="34"/>
      <c r="H101" s="34" t="s">
        <v>1325</v>
      </c>
      <c r="I101" s="34">
        <v>0</v>
      </c>
      <c r="J101" s="34">
        <v>300000000</v>
      </c>
      <c r="K101" s="34">
        <v>22052142</v>
      </c>
      <c r="L101" s="34">
        <v>249999</v>
      </c>
      <c r="M101" s="34">
        <v>249999</v>
      </c>
      <c r="N101" s="34">
        <v>0</v>
      </c>
      <c r="O101" s="34">
        <v>100.25</v>
      </c>
      <c r="P101" s="34">
        <v>8.3332999999999996E-4</v>
      </c>
      <c r="Q101" s="34">
        <v>18376.711492859999</v>
      </c>
      <c r="R101" s="34">
        <v>250623.9975</v>
      </c>
      <c r="S101" s="34">
        <v>2315.9785326199999</v>
      </c>
      <c r="T101" s="34">
        <v>23132.7027151</v>
      </c>
      <c r="U101" s="34">
        <v>101536.98720046</v>
      </c>
      <c r="V101" s="34">
        <v>249999</v>
      </c>
      <c r="W101" s="34">
        <v>6.249975E-2</v>
      </c>
      <c r="X101" s="34">
        <v>0</v>
      </c>
      <c r="Y101" s="34" t="s">
        <v>1663</v>
      </c>
      <c r="Z101" s="34">
        <v>0</v>
      </c>
      <c r="AA101" s="34">
        <v>0</v>
      </c>
      <c r="AB101" s="34">
        <v>0</v>
      </c>
      <c r="AC101" s="34">
        <v>1</v>
      </c>
      <c r="AD101" s="34" t="s">
        <v>123</v>
      </c>
      <c r="AE101" s="34" t="s">
        <v>123</v>
      </c>
      <c r="AF101" s="34" t="s">
        <v>626</v>
      </c>
      <c r="AG101" s="34" t="s">
        <v>123</v>
      </c>
      <c r="AH101" s="34" t="s">
        <v>123</v>
      </c>
      <c r="AI101" s="34">
        <v>0</v>
      </c>
      <c r="AJ101" s="34" t="s">
        <v>123</v>
      </c>
      <c r="AK101" s="34">
        <v>0.12602790999999999</v>
      </c>
      <c r="AL101" s="34">
        <v>114879.53819762</v>
      </c>
      <c r="AM101" s="34">
        <v>16060.73296024</v>
      </c>
      <c r="AN101" s="34">
        <v>0.13980498999999999</v>
      </c>
      <c r="AO101" s="34">
        <v>0.87397208999999998</v>
      </c>
      <c r="AP101" s="34">
        <v>0</v>
      </c>
      <c r="AQ101" s="34">
        <v>617</v>
      </c>
      <c r="AR101" s="34">
        <v>7.558753E-2</v>
      </c>
      <c r="AS101" s="34"/>
      <c r="AT101" s="34">
        <v>124999.5</v>
      </c>
      <c r="AU101" s="34">
        <v>107</v>
      </c>
      <c r="AV101" s="34" t="s">
        <v>1458</v>
      </c>
      <c r="AW101" s="34">
        <v>0</v>
      </c>
      <c r="AX101" s="34">
        <v>1387</v>
      </c>
      <c r="AY101" s="34" t="s">
        <v>1333</v>
      </c>
      <c r="AZ101" s="35">
        <v>45755</v>
      </c>
      <c r="BA101" s="35">
        <v>45755</v>
      </c>
      <c r="BB101" s="34" t="s">
        <v>123</v>
      </c>
      <c r="BC101" s="34" t="s">
        <v>123</v>
      </c>
      <c r="BD101" s="34" t="s">
        <v>123</v>
      </c>
      <c r="BE101" s="34" t="s">
        <v>139</v>
      </c>
      <c r="BF101" s="34">
        <v>127</v>
      </c>
      <c r="BG101" s="34">
        <v>0</v>
      </c>
      <c r="BH101" s="34">
        <v>3.496664E-2</v>
      </c>
      <c r="BI101" s="34" t="s">
        <v>159</v>
      </c>
      <c r="BJ101" s="34" t="s">
        <v>1336</v>
      </c>
      <c r="BK101" s="34"/>
      <c r="BL101" s="34" t="s">
        <v>1456</v>
      </c>
      <c r="BM101" s="34"/>
      <c r="BN101" s="34">
        <v>0</v>
      </c>
      <c r="BO101" s="34" t="s">
        <v>1330</v>
      </c>
      <c r="BP101" s="34">
        <v>7.3507139999999999E-2</v>
      </c>
      <c r="BQ101" s="34" t="s">
        <v>1326</v>
      </c>
      <c r="BR101" s="35">
        <v>45755</v>
      </c>
      <c r="BS101" s="34">
        <v>0</v>
      </c>
      <c r="BT101" s="34" t="s">
        <v>123</v>
      </c>
      <c r="BU101" s="34">
        <v>0</v>
      </c>
      <c r="BV101" s="34">
        <v>250000</v>
      </c>
      <c r="BW101" s="34">
        <v>0</v>
      </c>
      <c r="BX101" s="34">
        <v>127</v>
      </c>
      <c r="BY101" s="34">
        <v>0</v>
      </c>
      <c r="BZ101" s="34">
        <v>1</v>
      </c>
      <c r="CA101" s="34">
        <v>0.98939999999999995</v>
      </c>
      <c r="CB101" s="34">
        <v>1.11E-2</v>
      </c>
      <c r="CC101" s="34">
        <v>0</v>
      </c>
    </row>
    <row r="102" spans="1:81" x14ac:dyDescent="0.3">
      <c r="A102" s="34" t="s">
        <v>1549</v>
      </c>
      <c r="B102" s="34" t="s">
        <v>1114</v>
      </c>
      <c r="C102" s="34" t="s">
        <v>1342</v>
      </c>
      <c r="D102" s="34"/>
      <c r="E102" s="35">
        <v>45649</v>
      </c>
      <c r="F102" s="35">
        <v>46849</v>
      </c>
      <c r="G102" s="34"/>
      <c r="H102" s="34" t="s">
        <v>1325</v>
      </c>
      <c r="I102" s="34">
        <v>0</v>
      </c>
      <c r="J102" s="34">
        <v>300000000</v>
      </c>
      <c r="K102" s="34">
        <v>17920000</v>
      </c>
      <c r="L102" s="34">
        <v>250000</v>
      </c>
      <c r="M102" s="34">
        <v>250000</v>
      </c>
      <c r="N102" s="34">
        <v>0</v>
      </c>
      <c r="O102" s="34">
        <v>100.65</v>
      </c>
      <c r="P102" s="34">
        <v>1.25E-3</v>
      </c>
      <c r="Q102" s="34">
        <v>22400</v>
      </c>
      <c r="R102" s="34">
        <v>251625</v>
      </c>
      <c r="S102" s="34">
        <v>2970.2306110099998</v>
      </c>
      <c r="T102" s="34">
        <v>25886.925799510002</v>
      </c>
      <c r="U102" s="34">
        <v>212102.31331062</v>
      </c>
      <c r="V102" s="34">
        <v>250000.00125</v>
      </c>
      <c r="W102" s="34">
        <v>6.25E-2</v>
      </c>
      <c r="X102" s="34">
        <v>0</v>
      </c>
      <c r="Y102" s="34" t="s">
        <v>1663</v>
      </c>
      <c r="Z102" s="34">
        <v>0</v>
      </c>
      <c r="AA102" s="34">
        <v>0</v>
      </c>
      <c r="AB102" s="34">
        <v>0</v>
      </c>
      <c r="AC102" s="34">
        <v>1</v>
      </c>
      <c r="AD102" s="34" t="s">
        <v>123</v>
      </c>
      <c r="AE102" s="34" t="s">
        <v>123</v>
      </c>
      <c r="AF102" s="34" t="s">
        <v>1117</v>
      </c>
      <c r="AG102" s="34" t="s">
        <v>123</v>
      </c>
      <c r="AH102" s="34" t="s">
        <v>123</v>
      </c>
      <c r="AI102" s="34">
        <v>0</v>
      </c>
      <c r="AJ102" s="34" t="s">
        <v>123</v>
      </c>
      <c r="AK102" s="34">
        <v>0.13259957999999999</v>
      </c>
      <c r="AL102" s="34">
        <v>79021.406869960003</v>
      </c>
      <c r="AM102" s="34">
        <v>19429.76938899</v>
      </c>
      <c r="AN102" s="34">
        <v>0.24587982</v>
      </c>
      <c r="AO102" s="34">
        <v>0.86740041999999995</v>
      </c>
      <c r="AP102" s="34">
        <v>0</v>
      </c>
      <c r="AQ102" s="34">
        <v>646</v>
      </c>
      <c r="AR102" s="34">
        <v>9.0424110000000002E-2</v>
      </c>
      <c r="AS102" s="34"/>
      <c r="AT102" s="34">
        <v>187890.09220891001</v>
      </c>
      <c r="AU102" s="34">
        <v>107</v>
      </c>
      <c r="AV102" s="34" t="s">
        <v>1550</v>
      </c>
      <c r="AW102" s="34">
        <v>0</v>
      </c>
      <c r="AX102" s="34">
        <v>1388</v>
      </c>
      <c r="AY102" s="34" t="s">
        <v>1333</v>
      </c>
      <c r="AZ102" s="35">
        <v>45755</v>
      </c>
      <c r="BA102" s="35">
        <v>45755</v>
      </c>
      <c r="BB102" s="34" t="s">
        <v>123</v>
      </c>
      <c r="BC102" s="34" t="s">
        <v>123</v>
      </c>
      <c r="BD102" s="34" t="s">
        <v>123</v>
      </c>
      <c r="BE102" s="34" t="s">
        <v>139</v>
      </c>
      <c r="BF102" s="34">
        <v>266</v>
      </c>
      <c r="BG102" s="34">
        <v>0</v>
      </c>
      <c r="BH102" s="34">
        <v>5.1341879999999999E-2</v>
      </c>
      <c r="BI102" s="34" t="s">
        <v>150</v>
      </c>
      <c r="BJ102" s="34" t="s">
        <v>1336</v>
      </c>
      <c r="BK102" s="34">
        <v>2025</v>
      </c>
      <c r="BL102" s="34" t="s">
        <v>1456</v>
      </c>
      <c r="BM102" s="34"/>
      <c r="BN102" s="34">
        <v>0</v>
      </c>
      <c r="BO102" s="34" t="s">
        <v>1330</v>
      </c>
      <c r="BP102" s="34">
        <v>8.9599999999999999E-2</v>
      </c>
      <c r="BQ102" s="34" t="s">
        <v>1326</v>
      </c>
      <c r="BR102" s="35">
        <v>45755</v>
      </c>
      <c r="BS102" s="34">
        <v>0</v>
      </c>
      <c r="BT102" s="34" t="s">
        <v>123</v>
      </c>
      <c r="BU102" s="34">
        <v>0</v>
      </c>
      <c r="BV102" s="34">
        <v>250000</v>
      </c>
      <c r="BW102" s="34">
        <v>0</v>
      </c>
      <c r="BX102" s="34">
        <v>266</v>
      </c>
      <c r="BY102" s="34">
        <v>0</v>
      </c>
      <c r="BZ102" s="34">
        <v>1</v>
      </c>
      <c r="CA102" s="34">
        <v>0.98550000000000004</v>
      </c>
      <c r="CB102" s="34">
        <v>1.4999999999999999E-2</v>
      </c>
      <c r="CC102" s="34">
        <v>9.1999999999999998E-3</v>
      </c>
    </row>
    <row r="103" spans="1:81" x14ac:dyDescent="0.3">
      <c r="A103" s="34" t="s">
        <v>1551</v>
      </c>
      <c r="B103" s="34" t="s">
        <v>963</v>
      </c>
      <c r="C103" s="34" t="s">
        <v>1343</v>
      </c>
      <c r="D103" s="34"/>
      <c r="E103" s="35">
        <v>45300</v>
      </c>
      <c r="F103" s="35">
        <v>46395</v>
      </c>
      <c r="G103" s="34"/>
      <c r="H103" s="34" t="s">
        <v>1325</v>
      </c>
      <c r="I103" s="34">
        <v>0</v>
      </c>
      <c r="J103" s="34">
        <v>400000000</v>
      </c>
      <c r="K103" s="34">
        <v>20017500</v>
      </c>
      <c r="L103" s="34">
        <v>249999.45</v>
      </c>
      <c r="M103" s="34">
        <v>249999.45</v>
      </c>
      <c r="N103" s="34">
        <v>0</v>
      </c>
      <c r="O103" s="34">
        <v>102.3</v>
      </c>
      <c r="P103" s="34">
        <v>9.8039000000000004E-4</v>
      </c>
      <c r="Q103" s="34">
        <v>19624.956825000001</v>
      </c>
      <c r="R103" s="34">
        <v>255749.43734999999</v>
      </c>
      <c r="S103" s="34">
        <v>407.35961205000001</v>
      </c>
      <c r="T103" s="34">
        <v>9001.9858960099991</v>
      </c>
      <c r="U103" s="34">
        <v>0</v>
      </c>
      <c r="V103" s="34">
        <v>97412.904708810005</v>
      </c>
      <c r="W103" s="34">
        <v>6.2499859999999997E-2</v>
      </c>
      <c r="X103" s="34">
        <v>0</v>
      </c>
      <c r="Y103" s="34" t="s">
        <v>1663</v>
      </c>
      <c r="Z103" s="34">
        <v>0</v>
      </c>
      <c r="AA103" s="34">
        <v>0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966</v>
      </c>
      <c r="AG103" s="34" t="s">
        <v>123</v>
      </c>
      <c r="AH103" s="34" t="s">
        <v>123</v>
      </c>
      <c r="AI103" s="34">
        <v>0</v>
      </c>
      <c r="AJ103" s="34" t="s">
        <v>123</v>
      </c>
      <c r="AK103" s="34">
        <v>2.075722E-2</v>
      </c>
      <c r="AL103" s="34">
        <v>1203.7957702599999</v>
      </c>
      <c r="AM103" s="34">
        <v>19217.597212950001</v>
      </c>
      <c r="AN103" s="34">
        <v>15.964167420000001</v>
      </c>
      <c r="AO103" s="34">
        <v>0.97924277999999998</v>
      </c>
      <c r="AP103" s="34">
        <v>0</v>
      </c>
      <c r="AQ103" s="34">
        <v>192</v>
      </c>
      <c r="AR103" s="34">
        <v>6.7969870000000002E-2</v>
      </c>
      <c r="AS103" s="34"/>
      <c r="AT103" s="34">
        <v>0</v>
      </c>
      <c r="AU103" s="34">
        <v>107</v>
      </c>
      <c r="AV103" s="34" t="s">
        <v>1552</v>
      </c>
      <c r="AW103" s="34">
        <v>0</v>
      </c>
      <c r="AX103" s="34">
        <v>1389</v>
      </c>
      <c r="AY103" s="34" t="s">
        <v>1333</v>
      </c>
      <c r="AZ103" s="35">
        <v>45756</v>
      </c>
      <c r="BA103" s="35">
        <v>45756</v>
      </c>
      <c r="BB103" s="34" t="s">
        <v>123</v>
      </c>
      <c r="BC103" s="34" t="s">
        <v>123</v>
      </c>
      <c r="BD103" s="34" t="s">
        <v>123</v>
      </c>
      <c r="BE103" s="34" t="s">
        <v>139</v>
      </c>
      <c r="BF103" s="34">
        <v>226</v>
      </c>
      <c r="BG103" s="34">
        <v>0</v>
      </c>
      <c r="BH103" s="34">
        <v>4.0195000000000002E-2</v>
      </c>
      <c r="BI103" s="34" t="s">
        <v>150</v>
      </c>
      <c r="BJ103" s="34" t="s">
        <v>1336</v>
      </c>
      <c r="BK103" s="34">
        <v>2025</v>
      </c>
      <c r="BL103" s="34" t="s">
        <v>1456</v>
      </c>
      <c r="BM103" s="34"/>
      <c r="BN103" s="34">
        <v>0</v>
      </c>
      <c r="BO103" s="34" t="s">
        <v>1330</v>
      </c>
      <c r="BP103" s="34">
        <v>7.85E-2</v>
      </c>
      <c r="BQ103" s="34" t="s">
        <v>1326</v>
      </c>
      <c r="BR103" s="35">
        <v>45756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226</v>
      </c>
      <c r="BY103" s="34">
        <v>0</v>
      </c>
      <c r="BZ103" s="34">
        <v>1</v>
      </c>
      <c r="CA103" s="34">
        <v>0.99760000000000004</v>
      </c>
      <c r="CB103" s="34">
        <v>2.5000000000000001E-3</v>
      </c>
      <c r="CC103" s="34">
        <v>8.0000000000000004E-4</v>
      </c>
    </row>
    <row r="104" spans="1:81" x14ac:dyDescent="0.3">
      <c r="A104" s="34" t="s">
        <v>1459</v>
      </c>
      <c r="B104" s="34" t="s">
        <v>418</v>
      </c>
      <c r="C104" s="34" t="s">
        <v>1344</v>
      </c>
      <c r="D104" s="34"/>
      <c r="E104" s="35">
        <v>45016</v>
      </c>
      <c r="F104" s="35">
        <v>46484</v>
      </c>
      <c r="G104" s="34"/>
      <c r="H104" s="34" t="s">
        <v>1325</v>
      </c>
      <c r="I104" s="34">
        <v>0</v>
      </c>
      <c r="J104" s="34">
        <v>750000000</v>
      </c>
      <c r="K104" s="34">
        <v>9300000</v>
      </c>
      <c r="L104" s="34">
        <v>250000</v>
      </c>
      <c r="M104" s="34">
        <v>250000</v>
      </c>
      <c r="N104" s="34">
        <v>0</v>
      </c>
      <c r="O104" s="34">
        <v>102.6</v>
      </c>
      <c r="P104" s="34">
        <v>2.5000000000000001E-3</v>
      </c>
      <c r="Q104" s="34">
        <v>23250</v>
      </c>
      <c r="R104" s="34">
        <v>256500</v>
      </c>
      <c r="S104" s="34">
        <v>2599.5734973799999</v>
      </c>
      <c r="T104" s="34">
        <v>24816.24814652</v>
      </c>
      <c r="U104" s="34">
        <v>179115.2422982</v>
      </c>
      <c r="V104" s="34">
        <v>249999.99374999999</v>
      </c>
      <c r="W104" s="34">
        <v>6.25E-2</v>
      </c>
      <c r="X104" s="34">
        <v>0</v>
      </c>
      <c r="Y104" s="34" t="s">
        <v>1663</v>
      </c>
      <c r="Z104" s="34">
        <v>0</v>
      </c>
      <c r="AA104" s="34">
        <v>0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419</v>
      </c>
      <c r="AG104" s="34" t="s">
        <v>123</v>
      </c>
      <c r="AH104" s="34" t="s">
        <v>123</v>
      </c>
      <c r="AI104" s="34">
        <v>0</v>
      </c>
      <c r="AJ104" s="34" t="s">
        <v>123</v>
      </c>
      <c r="AK104" s="34">
        <v>0.11180961</v>
      </c>
      <c r="AL104" s="34">
        <v>57838.544831929998</v>
      </c>
      <c r="AM104" s="34">
        <v>20650.426502620001</v>
      </c>
      <c r="AN104" s="34">
        <v>0.35703572</v>
      </c>
      <c r="AO104" s="34">
        <v>0.88819039</v>
      </c>
      <c r="AP104" s="34">
        <v>0</v>
      </c>
      <c r="AQ104" s="34">
        <v>281</v>
      </c>
      <c r="AR104" s="34">
        <v>8.2214540000000003E-2</v>
      </c>
      <c r="AS104" s="34"/>
      <c r="AT104" s="34">
        <v>74999.998124999998</v>
      </c>
      <c r="AU104" s="34">
        <v>107</v>
      </c>
      <c r="AV104" s="34" t="s">
        <v>1460</v>
      </c>
      <c r="AW104" s="34">
        <v>0</v>
      </c>
      <c r="AX104" s="34">
        <v>1390</v>
      </c>
      <c r="AY104" s="34" t="s">
        <v>1333</v>
      </c>
      <c r="AZ104" s="35">
        <v>45756</v>
      </c>
      <c r="BA104" s="35">
        <v>45756</v>
      </c>
      <c r="BB104" s="34" t="s">
        <v>123</v>
      </c>
      <c r="BC104" s="34" t="s">
        <v>123</v>
      </c>
      <c r="BD104" s="34" t="s">
        <v>123</v>
      </c>
      <c r="BE104" s="34" t="s">
        <v>139</v>
      </c>
      <c r="BF104" s="34">
        <v>65</v>
      </c>
      <c r="BG104" s="34">
        <v>0</v>
      </c>
      <c r="BH104" s="34">
        <v>5.4591849999999997E-2</v>
      </c>
      <c r="BI104" s="34" t="s">
        <v>133</v>
      </c>
      <c r="BJ104" s="34" t="s">
        <v>1336</v>
      </c>
      <c r="BK104" s="34">
        <v>2025</v>
      </c>
      <c r="BL104" s="34" t="s">
        <v>1456</v>
      </c>
      <c r="BM104" s="34"/>
      <c r="BN104" s="34">
        <v>0</v>
      </c>
      <c r="BO104" s="34" t="s">
        <v>1330</v>
      </c>
      <c r="BP104" s="34">
        <v>9.2999999999999999E-2</v>
      </c>
      <c r="BQ104" s="34" t="s">
        <v>1326</v>
      </c>
      <c r="BR104" s="35">
        <v>45756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65</v>
      </c>
      <c r="BY104" s="34">
        <v>0</v>
      </c>
      <c r="BZ104" s="34">
        <v>1</v>
      </c>
      <c r="CA104" s="34">
        <v>0.98829999999999996</v>
      </c>
      <c r="CB104" s="34">
        <v>1.24E-2</v>
      </c>
      <c r="CC104" s="34">
        <v>9.1999999999999998E-3</v>
      </c>
    </row>
    <row r="105" spans="1:81" x14ac:dyDescent="0.3">
      <c r="A105" s="34" t="s">
        <v>1461</v>
      </c>
      <c r="B105" s="34" t="s">
        <v>895</v>
      </c>
      <c r="C105" s="34" t="s">
        <v>1345</v>
      </c>
      <c r="D105" s="34"/>
      <c r="E105" s="35">
        <v>45630</v>
      </c>
      <c r="F105" s="35">
        <v>46762</v>
      </c>
      <c r="G105" s="34"/>
      <c r="H105" s="34" t="s">
        <v>1325</v>
      </c>
      <c r="I105" s="34">
        <v>0</v>
      </c>
      <c r="J105" s="34">
        <v>100000000</v>
      </c>
      <c r="K105" s="34">
        <v>7310000</v>
      </c>
      <c r="L105" s="34">
        <v>250000</v>
      </c>
      <c r="M105" s="34">
        <v>250000</v>
      </c>
      <c r="N105" s="34">
        <v>0</v>
      </c>
      <c r="O105" s="34">
        <v>101.6</v>
      </c>
      <c r="P105" s="34">
        <v>2.5000000000000001E-3</v>
      </c>
      <c r="Q105" s="34">
        <v>18275</v>
      </c>
      <c r="R105" s="34">
        <v>254000</v>
      </c>
      <c r="S105" s="34">
        <v>2306.25</v>
      </c>
      <c r="T105" s="34">
        <v>22853.28205505</v>
      </c>
      <c r="U105" s="34">
        <v>62500</v>
      </c>
      <c r="V105" s="34">
        <v>250000</v>
      </c>
      <c r="W105" s="34">
        <v>6.25E-2</v>
      </c>
      <c r="X105" s="34">
        <v>0</v>
      </c>
      <c r="Y105" s="34" t="s">
        <v>1663</v>
      </c>
      <c r="Z105" s="34">
        <v>0</v>
      </c>
      <c r="AA105" s="34">
        <v>0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1346</v>
      </c>
      <c r="AG105" s="34" t="s">
        <v>123</v>
      </c>
      <c r="AH105" s="34" t="s">
        <v>123</v>
      </c>
      <c r="AI105" s="34">
        <v>0</v>
      </c>
      <c r="AJ105" s="34" t="s">
        <v>123</v>
      </c>
      <c r="AK105" s="34">
        <v>0.12619699000000001</v>
      </c>
      <c r="AL105" s="34">
        <v>6562.5</v>
      </c>
      <c r="AM105" s="34">
        <v>15968.75</v>
      </c>
      <c r="AN105" s="34">
        <v>2.43333333</v>
      </c>
      <c r="AO105" s="34">
        <v>0.87380301000000005</v>
      </c>
      <c r="AP105" s="34">
        <v>0</v>
      </c>
      <c r="AQ105" s="34">
        <v>559</v>
      </c>
      <c r="AR105" s="34">
        <v>6.9968119999999995E-2</v>
      </c>
      <c r="AS105" s="34"/>
      <c r="AT105" s="34">
        <v>0</v>
      </c>
      <c r="AU105" s="34">
        <v>107</v>
      </c>
      <c r="AV105" s="34" t="s">
        <v>1462</v>
      </c>
      <c r="AW105" s="34">
        <v>0</v>
      </c>
      <c r="AX105" s="34">
        <v>1391</v>
      </c>
      <c r="AY105" s="34" t="s">
        <v>1333</v>
      </c>
      <c r="AZ105" s="35">
        <v>45756</v>
      </c>
      <c r="BA105" s="35">
        <v>45756</v>
      </c>
      <c r="BB105" s="34" t="s">
        <v>123</v>
      </c>
      <c r="BC105" s="34" t="s">
        <v>123</v>
      </c>
      <c r="BD105" s="34" t="s">
        <v>123</v>
      </c>
      <c r="BE105" s="34" t="s">
        <v>1347</v>
      </c>
      <c r="BF105" s="34">
        <v>208</v>
      </c>
      <c r="BG105" s="34">
        <v>0</v>
      </c>
      <c r="BH105" s="34">
        <v>3.4997439999999998E-2</v>
      </c>
      <c r="BI105" s="34" t="s">
        <v>150</v>
      </c>
      <c r="BJ105" s="34" t="s">
        <v>1336</v>
      </c>
      <c r="BK105" s="34"/>
      <c r="BL105" s="34" t="s">
        <v>1456</v>
      </c>
      <c r="BM105" s="34"/>
      <c r="BN105" s="34">
        <v>0</v>
      </c>
      <c r="BO105" s="34" t="s">
        <v>1330</v>
      </c>
      <c r="BP105" s="34">
        <v>7.3099999999999998E-2</v>
      </c>
      <c r="BQ105" s="34" t="s">
        <v>1326</v>
      </c>
      <c r="BR105" s="35">
        <v>45756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208</v>
      </c>
      <c r="BY105" s="34">
        <v>0</v>
      </c>
      <c r="BZ105" s="34">
        <v>1</v>
      </c>
      <c r="CA105" s="34">
        <v>0.98870000000000002</v>
      </c>
      <c r="CB105" s="34">
        <v>1.1299999999999999E-2</v>
      </c>
      <c r="CC105" s="34">
        <v>0</v>
      </c>
    </row>
    <row r="106" spans="1:81" x14ac:dyDescent="0.3">
      <c r="A106" s="34" t="s">
        <v>1463</v>
      </c>
      <c r="B106" s="34" t="s">
        <v>373</v>
      </c>
      <c r="C106" s="34" t="s">
        <v>1348</v>
      </c>
      <c r="D106" s="34"/>
      <c r="E106" s="35">
        <v>45715</v>
      </c>
      <c r="F106" s="35">
        <v>46575</v>
      </c>
      <c r="G106" s="34"/>
      <c r="H106" s="34" t="s">
        <v>1325</v>
      </c>
      <c r="I106" s="34">
        <v>200000000</v>
      </c>
      <c r="J106" s="34">
        <v>200000000</v>
      </c>
      <c r="K106" s="34">
        <v>20049718.5</v>
      </c>
      <c r="L106" s="34">
        <v>250000.5</v>
      </c>
      <c r="M106" s="34">
        <v>250000.5</v>
      </c>
      <c r="N106" s="34">
        <v>0</v>
      </c>
      <c r="O106" s="34">
        <v>100.1</v>
      </c>
      <c r="P106" s="34">
        <v>1.6666700000000001E-3</v>
      </c>
      <c r="Q106" s="34">
        <v>33416.264332400002</v>
      </c>
      <c r="R106" s="34">
        <v>250250.50049999999</v>
      </c>
      <c r="S106" s="34">
        <v>4186.0910556400004</v>
      </c>
      <c r="T106" s="34">
        <v>28308.701808500002</v>
      </c>
      <c r="U106" s="34">
        <v>209612.74096868001</v>
      </c>
      <c r="V106" s="34">
        <v>250000.5</v>
      </c>
      <c r="W106" s="34">
        <v>6.2500130000000001E-2</v>
      </c>
      <c r="X106" s="34">
        <v>0</v>
      </c>
      <c r="Y106" s="34" t="s">
        <v>1663</v>
      </c>
      <c r="Z106" s="34">
        <v>0</v>
      </c>
      <c r="AA106" s="34">
        <v>0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375</v>
      </c>
      <c r="AG106" s="34" t="s">
        <v>123</v>
      </c>
      <c r="AH106" s="34" t="s">
        <v>123</v>
      </c>
      <c r="AI106" s="34">
        <v>0</v>
      </c>
      <c r="AJ106" s="34" t="s">
        <v>123</v>
      </c>
      <c r="AK106" s="34">
        <v>0.12527107000000001</v>
      </c>
      <c r="AL106" s="34">
        <v>76091.341941539999</v>
      </c>
      <c r="AM106" s="34">
        <v>29230.173276760001</v>
      </c>
      <c r="AN106" s="34">
        <v>0.38414585000000001</v>
      </c>
      <c r="AO106" s="34">
        <v>0.87472892999999996</v>
      </c>
      <c r="AP106" s="34">
        <v>0</v>
      </c>
      <c r="AQ106" s="34">
        <v>372</v>
      </c>
      <c r="AR106" s="34">
        <v>0.13305328999999999</v>
      </c>
      <c r="AS106" s="34"/>
      <c r="AT106" s="34">
        <v>73727.295183409995</v>
      </c>
      <c r="AU106" s="34">
        <v>107</v>
      </c>
      <c r="AV106" s="34" t="s">
        <v>1464</v>
      </c>
      <c r="AW106" s="34">
        <v>0</v>
      </c>
      <c r="AX106" s="34">
        <v>1392</v>
      </c>
      <c r="AY106" s="34" t="s">
        <v>1350</v>
      </c>
      <c r="AZ106" s="35">
        <v>45758</v>
      </c>
      <c r="BA106" s="35">
        <v>45758</v>
      </c>
      <c r="BB106" s="34" t="s">
        <v>123</v>
      </c>
      <c r="BC106" s="34" t="s">
        <v>123</v>
      </c>
      <c r="BD106" s="34" t="s">
        <v>123</v>
      </c>
      <c r="BE106" s="34" t="s">
        <v>139</v>
      </c>
      <c r="BF106" s="34">
        <v>58</v>
      </c>
      <c r="BG106" s="34">
        <v>0</v>
      </c>
      <c r="BH106" s="34">
        <v>9.4942250000000006E-2</v>
      </c>
      <c r="BI106" s="34" t="s">
        <v>159</v>
      </c>
      <c r="BJ106" s="34" t="s">
        <v>1349</v>
      </c>
      <c r="BK106" s="34"/>
      <c r="BL106" s="34" t="s">
        <v>1456</v>
      </c>
      <c r="BM106" s="34"/>
      <c r="BN106" s="34">
        <v>0</v>
      </c>
      <c r="BO106" s="34" t="s">
        <v>1330</v>
      </c>
      <c r="BP106" s="34">
        <v>0.13366479000000001</v>
      </c>
      <c r="BQ106" s="34" t="s">
        <v>1326</v>
      </c>
      <c r="BR106" s="35">
        <v>45758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58</v>
      </c>
      <c r="BY106" s="34">
        <v>0</v>
      </c>
      <c r="BZ106" s="34">
        <v>1</v>
      </c>
      <c r="CA106" s="34">
        <v>0.9748</v>
      </c>
      <c r="CB106" s="34">
        <v>3.0200000000000001E-2</v>
      </c>
      <c r="CC106" s="34">
        <v>0</v>
      </c>
    </row>
    <row r="107" spans="1:81" x14ac:dyDescent="0.3">
      <c r="A107" s="34" t="s">
        <v>1553</v>
      </c>
      <c r="B107" s="34" t="s">
        <v>695</v>
      </c>
      <c r="C107" s="34" t="s">
        <v>1351</v>
      </c>
      <c r="D107" s="34"/>
      <c r="E107" s="35">
        <v>45391</v>
      </c>
      <c r="F107" s="35">
        <v>46545</v>
      </c>
      <c r="G107" s="34"/>
      <c r="H107" s="34" t="s">
        <v>1325</v>
      </c>
      <c r="I107" s="34">
        <v>0</v>
      </c>
      <c r="J107" s="34">
        <v>300000000</v>
      </c>
      <c r="K107" s="34">
        <v>27228600</v>
      </c>
      <c r="L107" s="34">
        <v>250000.8</v>
      </c>
      <c r="M107" s="34">
        <v>250000.8</v>
      </c>
      <c r="N107" s="34">
        <v>0</v>
      </c>
      <c r="O107" s="34">
        <v>102.6</v>
      </c>
      <c r="P107" s="34">
        <v>1.1904800000000001E-3</v>
      </c>
      <c r="Q107" s="34">
        <v>32415.103727999998</v>
      </c>
      <c r="R107" s="34">
        <v>256500.82079999999</v>
      </c>
      <c r="S107" s="34">
        <v>4326.6511753499999</v>
      </c>
      <c r="T107" s="34">
        <v>31900.14992661</v>
      </c>
      <c r="U107" s="34">
        <v>250000.8</v>
      </c>
      <c r="V107" s="34">
        <v>250000.8</v>
      </c>
      <c r="W107" s="34">
        <v>6.2500200000000006E-2</v>
      </c>
      <c r="X107" s="34">
        <v>0</v>
      </c>
      <c r="Y107" s="34" t="s">
        <v>1663</v>
      </c>
      <c r="Z107" s="34">
        <v>0</v>
      </c>
      <c r="AA107" s="34">
        <v>0</v>
      </c>
      <c r="AB107" s="34">
        <v>0</v>
      </c>
      <c r="AC107" s="34">
        <v>1</v>
      </c>
      <c r="AD107" s="34" t="s">
        <v>123</v>
      </c>
      <c r="AE107" s="34" t="s">
        <v>123</v>
      </c>
      <c r="AF107" s="34" t="s">
        <v>697</v>
      </c>
      <c r="AG107" s="34" t="s">
        <v>123</v>
      </c>
      <c r="AH107" s="34" t="s">
        <v>123</v>
      </c>
      <c r="AI107" s="34">
        <v>0</v>
      </c>
      <c r="AJ107" s="34" t="s">
        <v>123</v>
      </c>
      <c r="AK107" s="34">
        <v>0.13347639</v>
      </c>
      <c r="AL107" s="34">
        <v>60224.635716299999</v>
      </c>
      <c r="AM107" s="34">
        <v>28088.45255265</v>
      </c>
      <c r="AN107" s="34">
        <v>0.46639472999999998</v>
      </c>
      <c r="AO107" s="34">
        <v>0.86652361</v>
      </c>
      <c r="AP107" s="34">
        <v>0</v>
      </c>
      <c r="AQ107" s="34">
        <v>342</v>
      </c>
      <c r="AR107" s="34">
        <v>0.11921872999999999</v>
      </c>
      <c r="AS107" s="34"/>
      <c r="AT107" s="34">
        <v>100000.32000000001</v>
      </c>
      <c r="AU107" s="34">
        <v>107</v>
      </c>
      <c r="AV107" s="34" t="s">
        <v>1554</v>
      </c>
      <c r="AW107" s="34">
        <v>0</v>
      </c>
      <c r="AX107" s="34">
        <v>1393</v>
      </c>
      <c r="AY107" s="34" t="s">
        <v>1333</v>
      </c>
      <c r="AZ107" s="35">
        <v>45761</v>
      </c>
      <c r="BA107" s="35">
        <v>45761</v>
      </c>
      <c r="BB107" s="34" t="s">
        <v>123</v>
      </c>
      <c r="BC107" s="34" t="s">
        <v>123</v>
      </c>
      <c r="BD107" s="34" t="s">
        <v>123</v>
      </c>
      <c r="BE107" s="34" t="s">
        <v>139</v>
      </c>
      <c r="BF107" s="34">
        <v>146</v>
      </c>
      <c r="BG107" s="34">
        <v>0</v>
      </c>
      <c r="BH107" s="34">
        <v>9.1247229999999999E-2</v>
      </c>
      <c r="BI107" s="34" t="s">
        <v>150</v>
      </c>
      <c r="BJ107" s="34" t="s">
        <v>1336</v>
      </c>
      <c r="BK107" s="34">
        <v>2025</v>
      </c>
      <c r="BL107" s="34" t="s">
        <v>1456</v>
      </c>
      <c r="BM107" s="34"/>
      <c r="BN107" s="34">
        <v>0</v>
      </c>
      <c r="BO107" s="34" t="s">
        <v>1330</v>
      </c>
      <c r="BP107" s="34">
        <v>0.12966</v>
      </c>
      <c r="BQ107" s="34" t="s">
        <v>1326</v>
      </c>
      <c r="BR107" s="35">
        <v>45761</v>
      </c>
      <c r="BS107" s="34">
        <v>0</v>
      </c>
      <c r="BT107" s="34" t="s">
        <v>123</v>
      </c>
      <c r="BU107" s="34">
        <v>0</v>
      </c>
      <c r="BV107" s="34">
        <v>250000</v>
      </c>
      <c r="BW107" s="34">
        <v>0</v>
      </c>
      <c r="BX107" s="34">
        <v>146</v>
      </c>
      <c r="BY107" s="34">
        <v>0</v>
      </c>
      <c r="BZ107" s="34">
        <v>1</v>
      </c>
      <c r="CA107" s="34">
        <v>0.98089999999999999</v>
      </c>
      <c r="CB107" s="34">
        <v>0.02</v>
      </c>
      <c r="CC107" s="34">
        <v>0</v>
      </c>
    </row>
    <row r="108" spans="1:81" x14ac:dyDescent="0.3">
      <c r="A108" s="34" t="s">
        <v>1465</v>
      </c>
      <c r="B108" s="34" t="s">
        <v>538</v>
      </c>
      <c r="C108" s="34" t="s">
        <v>1352</v>
      </c>
      <c r="D108" s="34"/>
      <c r="E108" s="35">
        <v>45379</v>
      </c>
      <c r="F108" s="35">
        <v>46484</v>
      </c>
      <c r="G108" s="34"/>
      <c r="H108" s="34" t="s">
        <v>1325</v>
      </c>
      <c r="I108" s="34">
        <v>0</v>
      </c>
      <c r="J108" s="34">
        <v>250000000</v>
      </c>
      <c r="K108" s="34">
        <v>9300714</v>
      </c>
      <c r="L108" s="34">
        <v>250000</v>
      </c>
      <c r="M108" s="34">
        <v>250000</v>
      </c>
      <c r="N108" s="34">
        <v>0</v>
      </c>
      <c r="O108" s="34">
        <v>103.85</v>
      </c>
      <c r="P108" s="34">
        <v>2.5000000000000001E-3</v>
      </c>
      <c r="Q108" s="34">
        <v>23251.785</v>
      </c>
      <c r="R108" s="34">
        <v>259625</v>
      </c>
      <c r="S108" s="34">
        <v>1669.55969888</v>
      </c>
      <c r="T108" s="34">
        <v>19286.86242885</v>
      </c>
      <c r="U108" s="34">
        <v>0</v>
      </c>
      <c r="V108" s="34">
        <v>250000</v>
      </c>
      <c r="W108" s="34">
        <v>6.25E-2</v>
      </c>
      <c r="X108" s="34">
        <v>0</v>
      </c>
      <c r="Y108" s="34" t="s">
        <v>1663</v>
      </c>
      <c r="Z108" s="34">
        <v>0</v>
      </c>
      <c r="AA108" s="34">
        <v>0</v>
      </c>
      <c r="AB108" s="34">
        <v>0</v>
      </c>
      <c r="AC108" s="34">
        <v>1</v>
      </c>
      <c r="AD108" s="34" t="s">
        <v>123</v>
      </c>
      <c r="AE108" s="34" t="s">
        <v>123</v>
      </c>
      <c r="AF108" s="34" t="s">
        <v>541</v>
      </c>
      <c r="AG108" s="34" t="s">
        <v>123</v>
      </c>
      <c r="AH108" s="34" t="s">
        <v>123</v>
      </c>
      <c r="AI108" s="34">
        <v>0</v>
      </c>
      <c r="AJ108" s="34" t="s">
        <v>123</v>
      </c>
      <c r="AK108" s="34">
        <v>7.1803510000000001E-2</v>
      </c>
      <c r="AL108" s="34">
        <v>99626.585406960003</v>
      </c>
      <c r="AM108" s="34">
        <v>21582.225301120001</v>
      </c>
      <c r="AN108" s="34">
        <v>0.21663119</v>
      </c>
      <c r="AO108" s="34">
        <v>0.92819649000000004</v>
      </c>
      <c r="AP108" s="34">
        <v>0</v>
      </c>
      <c r="AQ108" s="34">
        <v>281</v>
      </c>
      <c r="AR108" s="34">
        <v>7.5250440000000002E-2</v>
      </c>
      <c r="AS108" s="34"/>
      <c r="AT108" s="34">
        <v>139570.60800681001</v>
      </c>
      <c r="AU108" s="34">
        <v>107</v>
      </c>
      <c r="AV108" s="34" t="s">
        <v>1466</v>
      </c>
      <c r="AW108" s="34">
        <v>0</v>
      </c>
      <c r="AX108" s="34">
        <v>1394</v>
      </c>
      <c r="AY108" s="34" t="s">
        <v>1333</v>
      </c>
      <c r="AZ108" s="35">
        <v>45763</v>
      </c>
      <c r="BA108" s="35">
        <v>45763</v>
      </c>
      <c r="BB108" s="34" t="s">
        <v>123</v>
      </c>
      <c r="BC108" s="34" t="s">
        <v>123</v>
      </c>
      <c r="BD108" s="34" t="s">
        <v>123</v>
      </c>
      <c r="BE108" s="34" t="s">
        <v>139</v>
      </c>
      <c r="BF108" s="34">
        <v>104</v>
      </c>
      <c r="BG108" s="34">
        <v>0</v>
      </c>
      <c r="BH108" s="34">
        <v>5.4388600000000002E-2</v>
      </c>
      <c r="BI108" s="34" t="s">
        <v>150</v>
      </c>
      <c r="BJ108" s="34" t="s">
        <v>1336</v>
      </c>
      <c r="BK108" s="34">
        <v>2025</v>
      </c>
      <c r="BL108" s="34" t="s">
        <v>1456</v>
      </c>
      <c r="BM108" s="34"/>
      <c r="BN108" s="34">
        <v>0</v>
      </c>
      <c r="BO108" s="34" t="s">
        <v>1330</v>
      </c>
      <c r="BP108" s="34">
        <v>9.3007140000000002E-2</v>
      </c>
      <c r="BQ108" s="34" t="s">
        <v>1326</v>
      </c>
      <c r="BR108" s="35">
        <v>45763</v>
      </c>
      <c r="BS108" s="34">
        <v>0</v>
      </c>
      <c r="BT108" s="34" t="s">
        <v>123</v>
      </c>
      <c r="BU108" s="34">
        <v>0</v>
      </c>
      <c r="BV108" s="34">
        <v>250000</v>
      </c>
      <c r="BW108" s="34">
        <v>0</v>
      </c>
      <c r="BX108" s="34">
        <v>104</v>
      </c>
      <c r="BY108" s="34">
        <v>0</v>
      </c>
      <c r="BZ108" s="34">
        <v>1</v>
      </c>
      <c r="CA108" s="34">
        <v>0.99170000000000003</v>
      </c>
      <c r="CB108" s="34">
        <v>8.9999999999999993E-3</v>
      </c>
      <c r="CC108" s="34">
        <v>5.1000000000000004E-3</v>
      </c>
    </row>
    <row r="109" spans="1:81" x14ac:dyDescent="0.3">
      <c r="A109" s="34" t="s">
        <v>1467</v>
      </c>
      <c r="B109" s="34" t="s">
        <v>1000</v>
      </c>
      <c r="C109" s="34" t="s">
        <v>1353</v>
      </c>
      <c r="D109" s="34"/>
      <c r="E109" s="35">
        <v>45104</v>
      </c>
      <c r="F109" s="35">
        <v>46332</v>
      </c>
      <c r="G109" s="34"/>
      <c r="H109" s="34" t="s">
        <v>1325</v>
      </c>
      <c r="I109" s="34">
        <v>0</v>
      </c>
      <c r="J109" s="34">
        <v>150000000</v>
      </c>
      <c r="K109" s="34">
        <v>12256230</v>
      </c>
      <c r="L109" s="34">
        <v>250000.5</v>
      </c>
      <c r="M109" s="34">
        <v>250000.5</v>
      </c>
      <c r="N109" s="34">
        <v>0</v>
      </c>
      <c r="O109" s="34">
        <v>102.4</v>
      </c>
      <c r="P109" s="34">
        <v>1.6666700000000001E-3</v>
      </c>
      <c r="Q109" s="34">
        <v>20427.090854099999</v>
      </c>
      <c r="R109" s="34">
        <v>256000.51199999999</v>
      </c>
      <c r="S109" s="34">
        <v>1946.8788937500001</v>
      </c>
      <c r="T109" s="34">
        <v>20829.125148719999</v>
      </c>
      <c r="U109" s="34">
        <v>0</v>
      </c>
      <c r="V109" s="34">
        <v>250000.5</v>
      </c>
      <c r="W109" s="34">
        <v>6.2500130000000001E-2</v>
      </c>
      <c r="X109" s="34">
        <v>0</v>
      </c>
      <c r="Y109" s="34" t="s">
        <v>1663</v>
      </c>
      <c r="Z109" s="34">
        <v>0</v>
      </c>
      <c r="AA109" s="34">
        <v>0</v>
      </c>
      <c r="AB109" s="34">
        <v>0</v>
      </c>
      <c r="AC109" s="34">
        <v>1</v>
      </c>
      <c r="AD109" s="34" t="s">
        <v>123</v>
      </c>
      <c r="AE109" s="34" t="s">
        <v>123</v>
      </c>
      <c r="AF109" s="34" t="s">
        <v>1003</v>
      </c>
      <c r="AG109" s="34" t="s">
        <v>123</v>
      </c>
      <c r="AH109" s="34" t="s">
        <v>123</v>
      </c>
      <c r="AI109" s="34">
        <v>0</v>
      </c>
      <c r="AJ109" s="34" t="s">
        <v>123</v>
      </c>
      <c r="AK109" s="34">
        <v>9.5308669999999998E-2</v>
      </c>
      <c r="AL109" s="34">
        <v>57500.114999999998</v>
      </c>
      <c r="AM109" s="34">
        <v>18480.21196035</v>
      </c>
      <c r="AN109" s="34">
        <v>0.32139435</v>
      </c>
      <c r="AO109" s="34">
        <v>0.90469133000000002</v>
      </c>
      <c r="AP109" s="34">
        <v>0</v>
      </c>
      <c r="AQ109" s="34">
        <v>129</v>
      </c>
      <c r="AR109" s="34">
        <v>6.8990380000000004E-2</v>
      </c>
      <c r="AS109" s="34"/>
      <c r="AT109" s="34">
        <v>87500.175000000003</v>
      </c>
      <c r="AU109" s="34">
        <v>107</v>
      </c>
      <c r="AV109" s="34" t="s">
        <v>1468</v>
      </c>
      <c r="AW109" s="34">
        <v>0</v>
      </c>
      <c r="AX109" s="34">
        <v>1395</v>
      </c>
      <c r="AY109" s="34" t="s">
        <v>1333</v>
      </c>
      <c r="AZ109" s="35">
        <v>45763</v>
      </c>
      <c r="BA109" s="35">
        <v>45763</v>
      </c>
      <c r="BB109" s="34" t="s">
        <v>123</v>
      </c>
      <c r="BC109" s="34" t="s">
        <v>123</v>
      </c>
      <c r="BD109" s="34" t="s">
        <v>123</v>
      </c>
      <c r="BE109" s="34" t="s">
        <v>1347</v>
      </c>
      <c r="BF109" s="34">
        <v>236</v>
      </c>
      <c r="BG109" s="34">
        <v>0</v>
      </c>
      <c r="BH109" s="34">
        <v>4.3428769999999998E-2</v>
      </c>
      <c r="BI109" s="34" t="s">
        <v>133</v>
      </c>
      <c r="BJ109" s="34" t="s">
        <v>1336</v>
      </c>
      <c r="BK109" s="34"/>
      <c r="BL109" s="34" t="s">
        <v>1456</v>
      </c>
      <c r="BM109" s="34"/>
      <c r="BN109" s="34">
        <v>0</v>
      </c>
      <c r="BO109" s="34" t="s">
        <v>1330</v>
      </c>
      <c r="BP109" s="34">
        <v>8.1708199999999995E-2</v>
      </c>
      <c r="BQ109" s="34" t="s">
        <v>1326</v>
      </c>
      <c r="BR109" s="35">
        <v>45763</v>
      </c>
      <c r="BS109" s="34">
        <v>0</v>
      </c>
      <c r="BT109" s="34" t="s">
        <v>123</v>
      </c>
      <c r="BU109" s="34">
        <v>0</v>
      </c>
      <c r="BV109" s="34">
        <v>250000</v>
      </c>
      <c r="BW109" s="34">
        <v>0</v>
      </c>
      <c r="BX109" s="34">
        <v>236</v>
      </c>
      <c r="BY109" s="34">
        <v>0</v>
      </c>
      <c r="BZ109" s="34">
        <v>1</v>
      </c>
      <c r="CA109" s="34">
        <v>0.99029999999999996</v>
      </c>
      <c r="CB109" s="34">
        <v>9.7000000000000003E-3</v>
      </c>
      <c r="CC109" s="34">
        <v>6.0000000000000001E-3</v>
      </c>
    </row>
    <row r="110" spans="1:81" x14ac:dyDescent="0.3">
      <c r="A110" s="34" t="s">
        <v>1469</v>
      </c>
      <c r="B110" s="34" t="s">
        <v>1061</v>
      </c>
      <c r="C110" s="34" t="s">
        <v>1354</v>
      </c>
      <c r="D110" s="34"/>
      <c r="E110" s="35">
        <v>45287</v>
      </c>
      <c r="F110" s="35">
        <v>46395</v>
      </c>
      <c r="G110" s="34"/>
      <c r="H110" s="34" t="s">
        <v>1325</v>
      </c>
      <c r="I110" s="34">
        <v>0</v>
      </c>
      <c r="J110" s="34">
        <v>301000000</v>
      </c>
      <c r="K110" s="34">
        <v>20180000</v>
      </c>
      <c r="L110" s="34">
        <v>250000</v>
      </c>
      <c r="M110" s="34">
        <v>250000</v>
      </c>
      <c r="N110" s="34">
        <v>0</v>
      </c>
      <c r="O110" s="34">
        <v>103.1</v>
      </c>
      <c r="P110" s="34">
        <v>1.25E-3</v>
      </c>
      <c r="Q110" s="34">
        <v>25225</v>
      </c>
      <c r="R110" s="34">
        <v>257750</v>
      </c>
      <c r="S110" s="34">
        <v>3592.3576575500001</v>
      </c>
      <c r="T110" s="34">
        <v>28646.09637168</v>
      </c>
      <c r="U110" s="34">
        <v>250000.00103750001</v>
      </c>
      <c r="V110" s="34">
        <v>250000.00103750001</v>
      </c>
      <c r="W110" s="34">
        <v>6.25E-2</v>
      </c>
      <c r="X110" s="34">
        <v>0</v>
      </c>
      <c r="Y110" s="34" t="s">
        <v>1663</v>
      </c>
      <c r="Z110" s="34">
        <v>0</v>
      </c>
      <c r="AA110" s="34">
        <v>0</v>
      </c>
      <c r="AB110" s="34">
        <v>0</v>
      </c>
      <c r="AC110" s="34">
        <v>1</v>
      </c>
      <c r="AD110" s="34" t="s">
        <v>123</v>
      </c>
      <c r="AE110" s="34" t="s">
        <v>123</v>
      </c>
      <c r="AF110" s="34" t="s">
        <v>1355</v>
      </c>
      <c r="AG110" s="34" t="s">
        <v>123</v>
      </c>
      <c r="AH110" s="34" t="s">
        <v>123</v>
      </c>
      <c r="AI110" s="34">
        <v>0</v>
      </c>
      <c r="AJ110" s="34" t="s">
        <v>123</v>
      </c>
      <c r="AK110" s="34">
        <v>0.14241259000000001</v>
      </c>
      <c r="AL110" s="34">
        <v>142091.66784941999</v>
      </c>
      <c r="AM110" s="34">
        <v>21632.642342449999</v>
      </c>
      <c r="AN110" s="34">
        <v>0.15224426999999999</v>
      </c>
      <c r="AO110" s="34">
        <v>0.85758741000000005</v>
      </c>
      <c r="AP110" s="34">
        <v>0</v>
      </c>
      <c r="AQ110" s="34">
        <v>192</v>
      </c>
      <c r="AR110" s="34">
        <v>8.4681469999999995E-2</v>
      </c>
      <c r="AS110" s="34"/>
      <c r="AT110" s="34">
        <v>231719.34507809</v>
      </c>
      <c r="AU110" s="34">
        <v>107</v>
      </c>
      <c r="AV110" s="34" t="s">
        <v>1470</v>
      </c>
      <c r="AW110" s="34">
        <v>0</v>
      </c>
      <c r="AX110" s="34">
        <v>1396</v>
      </c>
      <c r="AY110" s="34" t="s">
        <v>1333</v>
      </c>
      <c r="AZ110" s="35">
        <v>45770</v>
      </c>
      <c r="BA110" s="35">
        <v>45770</v>
      </c>
      <c r="BB110" s="34" t="s">
        <v>123</v>
      </c>
      <c r="BC110" s="34" t="s">
        <v>123</v>
      </c>
      <c r="BD110" s="34" t="s">
        <v>123</v>
      </c>
      <c r="BE110" s="34" t="s">
        <v>139</v>
      </c>
      <c r="BF110" s="34">
        <v>254</v>
      </c>
      <c r="BG110" s="34">
        <v>0</v>
      </c>
      <c r="BH110" s="34">
        <v>6.2344139999999999E-2</v>
      </c>
      <c r="BI110" s="34" t="s">
        <v>133</v>
      </c>
      <c r="BJ110" s="34" t="s">
        <v>1336</v>
      </c>
      <c r="BK110" s="34">
        <v>2025</v>
      </c>
      <c r="BL110" s="34" t="s">
        <v>1456</v>
      </c>
      <c r="BM110" s="34"/>
      <c r="BN110" s="34">
        <v>0</v>
      </c>
      <c r="BO110" s="34" t="s">
        <v>1330</v>
      </c>
      <c r="BP110" s="34">
        <v>0.1009</v>
      </c>
      <c r="BQ110" s="34" t="s">
        <v>1326</v>
      </c>
      <c r="BR110" s="35">
        <v>45770</v>
      </c>
      <c r="BS110" s="34">
        <v>0</v>
      </c>
      <c r="BT110" s="34" t="s">
        <v>123</v>
      </c>
      <c r="BU110" s="34">
        <v>0</v>
      </c>
      <c r="BV110" s="34">
        <v>250000</v>
      </c>
      <c r="BW110" s="34">
        <v>0</v>
      </c>
      <c r="BX110" s="34">
        <v>254</v>
      </c>
      <c r="BY110" s="34">
        <v>0</v>
      </c>
      <c r="BZ110" s="34">
        <v>1</v>
      </c>
      <c r="CA110" s="34">
        <v>0.9829</v>
      </c>
      <c r="CB110" s="34">
        <v>1.7600000000000001E-2</v>
      </c>
      <c r="CC110" s="34">
        <v>0</v>
      </c>
    </row>
    <row r="113" spans="1:12" ht="33.6" x14ac:dyDescent="0.3">
      <c r="A113" s="36" t="s">
        <v>1664</v>
      </c>
      <c r="B113" s="37" t="s">
        <v>1665</v>
      </c>
      <c r="C113">
        <v>3830340</v>
      </c>
    </row>
    <row r="114" spans="1:12" ht="16.8" x14ac:dyDescent="0.3">
      <c r="A114" s="40"/>
      <c r="B114" s="41" t="s">
        <v>1666</v>
      </c>
      <c r="C114">
        <v>4000000</v>
      </c>
    </row>
    <row r="115" spans="1:12" ht="15" thickBot="1" x14ac:dyDescent="0.35"/>
    <row r="116" spans="1:12" ht="16.8" x14ac:dyDescent="0.3">
      <c r="A116" s="189" t="s">
        <v>1667</v>
      </c>
      <c r="B116" s="191" t="s">
        <v>1668</v>
      </c>
      <c r="C116" s="46">
        <v>0.1</v>
      </c>
      <c r="D116" s="46">
        <v>0.5</v>
      </c>
      <c r="E116" s="46">
        <v>0.8</v>
      </c>
      <c r="F116" s="46">
        <v>0.9</v>
      </c>
      <c r="G116" s="46">
        <v>0.96</v>
      </c>
      <c r="H116" s="47">
        <v>0.98</v>
      </c>
      <c r="I116" s="46">
        <v>0.99</v>
      </c>
      <c r="J116" s="48">
        <v>0.996</v>
      </c>
      <c r="K116" s="49">
        <v>0.998</v>
      </c>
      <c r="L116" s="49">
        <v>0.999</v>
      </c>
    </row>
    <row r="117" spans="1:12" ht="17.399999999999999" thickBot="1" x14ac:dyDescent="0.35">
      <c r="A117" s="190"/>
      <c r="B117" s="192"/>
      <c r="C117" s="50" t="s">
        <v>1669</v>
      </c>
      <c r="D117" s="51" t="s">
        <v>1670</v>
      </c>
      <c r="E117" s="51" t="s">
        <v>1671</v>
      </c>
      <c r="F117" s="51" t="s">
        <v>1672</v>
      </c>
      <c r="G117" s="51" t="s">
        <v>1673</v>
      </c>
      <c r="H117" s="51" t="s">
        <v>1674</v>
      </c>
      <c r="I117" s="51" t="s">
        <v>1675</v>
      </c>
      <c r="J117" s="51" t="s">
        <v>1676</v>
      </c>
      <c r="K117" s="51" t="s">
        <v>1677</v>
      </c>
      <c r="L117" s="51" t="s">
        <v>1678</v>
      </c>
    </row>
    <row r="118" spans="1:12" ht="16.8" x14ac:dyDescent="0.45">
      <c r="A118" s="52" t="s">
        <v>1679</v>
      </c>
      <c r="B118" s="53">
        <v>340994</v>
      </c>
      <c r="C118" s="53">
        <v>340994</v>
      </c>
      <c r="D118" s="53">
        <v>340994</v>
      </c>
      <c r="E118" s="53">
        <v>340994</v>
      </c>
      <c r="F118" s="53">
        <v>340994</v>
      </c>
      <c r="G118" s="53">
        <v>340994</v>
      </c>
      <c r="H118" s="53">
        <v>340994</v>
      </c>
      <c r="I118" s="53">
        <v>340994</v>
      </c>
      <c r="J118" s="53">
        <v>340994</v>
      </c>
      <c r="K118" s="54">
        <v>340994</v>
      </c>
      <c r="L118" s="54">
        <v>340994</v>
      </c>
    </row>
    <row r="119" spans="1:12" ht="16.8" x14ac:dyDescent="0.45">
      <c r="A119" s="52" t="s">
        <v>1680</v>
      </c>
      <c r="B119" s="55">
        <v>0</v>
      </c>
      <c r="C119" s="55">
        <v>0</v>
      </c>
      <c r="D119" s="55">
        <v>0</v>
      </c>
      <c r="E119" s="55">
        <v>0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6">
        <v>0</v>
      </c>
      <c r="L119" s="56">
        <v>0</v>
      </c>
    </row>
    <row r="120" spans="1:12" ht="16.8" x14ac:dyDescent="0.45">
      <c r="A120" s="57" t="s">
        <v>1681</v>
      </c>
      <c r="B120" s="55">
        <v>0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6">
        <v>0</v>
      </c>
      <c r="L120" s="56">
        <v>0</v>
      </c>
    </row>
    <row r="121" spans="1:12" ht="16.8" x14ac:dyDescent="0.45">
      <c r="A121" s="58" t="s">
        <v>1682</v>
      </c>
      <c r="B121" s="59">
        <v>340994</v>
      </c>
      <c r="C121" s="59">
        <v>340994</v>
      </c>
      <c r="D121" s="59">
        <v>340994</v>
      </c>
      <c r="E121" s="59">
        <v>340994</v>
      </c>
      <c r="F121" s="59">
        <v>340994</v>
      </c>
      <c r="G121" s="59">
        <v>340994</v>
      </c>
      <c r="H121" s="59">
        <v>340994</v>
      </c>
      <c r="I121" s="59">
        <v>340994</v>
      </c>
      <c r="J121" s="59">
        <v>340994</v>
      </c>
      <c r="K121" s="60">
        <v>340994</v>
      </c>
      <c r="L121" s="60">
        <v>340994</v>
      </c>
    </row>
    <row r="122" spans="1:12" ht="16.8" x14ac:dyDescent="0.45">
      <c r="A122" s="52" t="s">
        <v>1683</v>
      </c>
      <c r="B122" s="61">
        <v>46580.800000000003</v>
      </c>
      <c r="C122" s="61">
        <v>0</v>
      </c>
      <c r="D122" s="61">
        <v>0</v>
      </c>
      <c r="E122" s="61">
        <v>0</v>
      </c>
      <c r="F122" s="61">
        <v>249999.6</v>
      </c>
      <c r="G122" s="61">
        <v>341623.4575957912</v>
      </c>
      <c r="H122" s="61">
        <v>516016.47766935325</v>
      </c>
      <c r="I122" s="61">
        <v>749999.99603749998</v>
      </c>
      <c r="J122" s="61">
        <v>999998.4</v>
      </c>
      <c r="K122" s="62">
        <v>1179116.1433356982</v>
      </c>
      <c r="L122" s="62">
        <v>1250000.3922875</v>
      </c>
    </row>
    <row r="123" spans="1:12" ht="16.8" x14ac:dyDescent="0.45">
      <c r="A123" s="57" t="s">
        <v>1684</v>
      </c>
      <c r="B123" s="55">
        <v>0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6">
        <v>0</v>
      </c>
      <c r="L123" s="56">
        <v>0</v>
      </c>
    </row>
    <row r="124" spans="1:12" ht="16.8" x14ac:dyDescent="0.45">
      <c r="A124" s="57" t="s">
        <v>1685</v>
      </c>
      <c r="B124" s="55">
        <v>0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6">
        <v>0</v>
      </c>
      <c r="L124" s="56">
        <v>0</v>
      </c>
    </row>
    <row r="125" spans="1:12" ht="16.8" x14ac:dyDescent="0.45">
      <c r="A125" s="57" t="s">
        <v>1686</v>
      </c>
      <c r="B125" s="55">
        <v>0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6">
        <v>0</v>
      </c>
      <c r="L125" s="56">
        <v>0</v>
      </c>
    </row>
    <row r="126" spans="1:12" ht="16.8" x14ac:dyDescent="0.45">
      <c r="A126" s="58" t="s">
        <v>1687</v>
      </c>
      <c r="B126" s="59">
        <v>294413.2</v>
      </c>
      <c r="C126" s="59">
        <v>340994</v>
      </c>
      <c r="D126" s="59">
        <v>340994</v>
      </c>
      <c r="E126" s="59">
        <v>340994</v>
      </c>
      <c r="F126" s="59">
        <v>90994.4</v>
      </c>
      <c r="G126" s="59">
        <v>-629.45759579120204</v>
      </c>
      <c r="H126" s="59">
        <v>-175022.47766935325</v>
      </c>
      <c r="I126" s="59">
        <v>-409005.99603749998</v>
      </c>
      <c r="J126" s="59">
        <v>-659004.4</v>
      </c>
      <c r="K126" s="60">
        <v>-838122.14333569817</v>
      </c>
      <c r="L126" s="60">
        <v>-909006.39228749997</v>
      </c>
    </row>
    <row r="127" spans="1:12" ht="16.8" x14ac:dyDescent="0.45">
      <c r="A127" s="52" t="s">
        <v>1688</v>
      </c>
      <c r="B127" s="63">
        <v>7.3603299999999997E-2</v>
      </c>
      <c r="C127" s="63">
        <v>8.5248500000000005E-2</v>
      </c>
      <c r="D127" s="63">
        <v>8.5248500000000005E-2</v>
      </c>
      <c r="E127" s="63">
        <v>8.5248500000000005E-2</v>
      </c>
      <c r="F127" s="63">
        <v>2.2748599999999997E-2</v>
      </c>
      <c r="G127" s="63">
        <v>-1.573643989478005E-4</v>
      </c>
      <c r="H127" s="63">
        <v>-4.3755619417338312E-2</v>
      </c>
      <c r="I127" s="63">
        <v>-0.102251499009375</v>
      </c>
      <c r="J127" s="63">
        <v>-0.16475110000000001</v>
      </c>
      <c r="K127" s="64">
        <v>-0.20953053583392453</v>
      </c>
      <c r="L127" s="64">
        <v>-0.22725159807187501</v>
      </c>
    </row>
    <row r="128" spans="1:12" ht="16.8" x14ac:dyDescent="0.45">
      <c r="A128" s="52" t="s">
        <v>1689</v>
      </c>
      <c r="B128" s="65">
        <v>6565.69</v>
      </c>
      <c r="C128" s="65">
        <v>6565.69</v>
      </c>
      <c r="D128" s="65">
        <v>6565.69</v>
      </c>
      <c r="E128" s="65">
        <v>6565.69</v>
      </c>
      <c r="F128" s="65">
        <v>6565.69</v>
      </c>
      <c r="G128" s="65">
        <v>6565.69</v>
      </c>
      <c r="H128" s="65">
        <v>6565.69</v>
      </c>
      <c r="I128" s="65">
        <v>6565.69</v>
      </c>
      <c r="J128" s="65">
        <v>6565.69</v>
      </c>
      <c r="K128" s="66">
        <v>6565.69</v>
      </c>
      <c r="L128" s="66">
        <v>6565.69</v>
      </c>
    </row>
    <row r="129" spans="1:12" ht="17.399999999999999" thickBot="1" x14ac:dyDescent="0.5">
      <c r="A129" s="67" t="s">
        <v>1690</v>
      </c>
      <c r="B129" s="68">
        <v>15200</v>
      </c>
      <c r="C129" s="68">
        <v>15200</v>
      </c>
      <c r="D129" s="68">
        <v>15200</v>
      </c>
      <c r="E129" s="68">
        <v>15200</v>
      </c>
      <c r="F129" s="68">
        <v>15200</v>
      </c>
      <c r="G129" s="68">
        <v>15200</v>
      </c>
      <c r="H129" s="68">
        <v>15200</v>
      </c>
      <c r="I129" s="68">
        <v>15200</v>
      </c>
      <c r="J129" s="68">
        <v>15200</v>
      </c>
      <c r="K129" s="69">
        <v>15200</v>
      </c>
      <c r="L129" s="69">
        <v>15200</v>
      </c>
    </row>
    <row r="130" spans="1:12" ht="17.399999999999999" thickTop="1" x14ac:dyDescent="0.45">
      <c r="A130" s="70" t="s">
        <v>1691</v>
      </c>
      <c r="B130" s="59">
        <v>48000</v>
      </c>
      <c r="C130" s="59">
        <v>48000</v>
      </c>
      <c r="D130" s="59">
        <v>48000</v>
      </c>
      <c r="E130" s="59">
        <v>48000</v>
      </c>
      <c r="F130" s="59">
        <v>48000</v>
      </c>
      <c r="G130" s="59">
        <v>48000</v>
      </c>
      <c r="H130" s="59">
        <v>48000</v>
      </c>
      <c r="I130" s="59">
        <v>48000</v>
      </c>
      <c r="J130" s="59">
        <v>48000</v>
      </c>
      <c r="K130" s="60">
        <v>48000</v>
      </c>
      <c r="L130" s="60">
        <v>48000</v>
      </c>
    </row>
    <row r="131" spans="1:12" ht="16.8" x14ac:dyDescent="0.45">
      <c r="A131" s="57" t="s">
        <v>1604</v>
      </c>
      <c r="B131" s="55">
        <v>3409.94</v>
      </c>
      <c r="C131" s="55">
        <v>3409.94</v>
      </c>
      <c r="D131" s="55">
        <v>3409.94</v>
      </c>
      <c r="E131" s="55">
        <v>3409.94</v>
      </c>
      <c r="F131" s="55">
        <v>3409.94</v>
      </c>
      <c r="G131" s="55">
        <v>3409.94</v>
      </c>
      <c r="H131" s="55">
        <v>3409.94</v>
      </c>
      <c r="I131" s="55">
        <v>3409.94</v>
      </c>
      <c r="J131" s="55">
        <v>3409.94</v>
      </c>
      <c r="K131" s="56">
        <v>3409.94</v>
      </c>
      <c r="L131" s="56">
        <v>3409.94</v>
      </c>
    </row>
    <row r="132" spans="1:12" ht="16.8" x14ac:dyDescent="0.45">
      <c r="A132" s="52" t="s">
        <v>1692</v>
      </c>
      <c r="B132" s="61">
        <v>234368.95</v>
      </c>
      <c r="C132" s="61">
        <v>280949.75</v>
      </c>
      <c r="D132" s="61">
        <v>280949.75</v>
      </c>
      <c r="E132" s="61">
        <v>280949.75</v>
      </c>
      <c r="F132" s="61">
        <v>30950.149999999994</v>
      </c>
      <c r="G132" s="61">
        <v>-60673.707595791202</v>
      </c>
      <c r="H132" s="61">
        <v>-235066.72766935325</v>
      </c>
      <c r="I132" s="61">
        <v>-469050.24603749998</v>
      </c>
      <c r="J132" s="61">
        <v>-719048.65</v>
      </c>
      <c r="K132" s="62">
        <v>-898166.39333569817</v>
      </c>
      <c r="L132" s="62">
        <v>-969050.64228749997</v>
      </c>
    </row>
    <row r="133" spans="1:12" ht="17.399999999999999" thickBot="1" x14ac:dyDescent="0.5">
      <c r="A133" s="71" t="s">
        <v>1693</v>
      </c>
      <c r="B133" s="72">
        <v>5.8592237500000005E-2</v>
      </c>
      <c r="C133" s="72">
        <v>7.02374375E-2</v>
      </c>
      <c r="D133" s="72">
        <v>7.02374375E-2</v>
      </c>
      <c r="E133" s="72">
        <v>7.02374375E-2</v>
      </c>
      <c r="F133" s="72">
        <v>7.7375374999999989E-3</v>
      </c>
      <c r="G133" s="72">
        <v>-1.51684268989478E-2</v>
      </c>
      <c r="H133" s="72">
        <v>-5.8766681917338311E-2</v>
      </c>
      <c r="I133" s="72">
        <v>-0.11726256150937499</v>
      </c>
      <c r="J133" s="72">
        <v>-0.17976216250000002</v>
      </c>
      <c r="K133" s="73">
        <v>-0.22454159833392454</v>
      </c>
      <c r="L133" s="73">
        <v>-0.24226266057187498</v>
      </c>
    </row>
    <row r="134" spans="1:12" ht="15" thickTop="1" x14ac:dyDescent="0.3"/>
    <row r="136" spans="1:12" ht="16.8" x14ac:dyDescent="0.45">
      <c r="A136" s="74" t="s">
        <v>1694</v>
      </c>
    </row>
    <row r="137" spans="1:12" ht="15" thickBot="1" x14ac:dyDescent="0.35">
      <c r="A137" s="75"/>
    </row>
    <row r="138" spans="1:12" ht="15" thickBot="1" x14ac:dyDescent="0.35">
      <c r="A138" s="76" t="s">
        <v>1695</v>
      </c>
      <c r="B138" s="77" t="s">
        <v>1330</v>
      </c>
      <c r="C138" s="78" t="s">
        <v>1696</v>
      </c>
    </row>
    <row r="139" spans="1:12" x14ac:dyDescent="0.3">
      <c r="A139" s="79" t="s">
        <v>1697</v>
      </c>
      <c r="B139" s="80">
        <v>294413.2</v>
      </c>
      <c r="C139" s="81">
        <v>7.3603299999999997E-2</v>
      </c>
    </row>
    <row r="140" spans="1:12" x14ac:dyDescent="0.3">
      <c r="A140" s="82" t="s">
        <v>1698</v>
      </c>
      <c r="B140" s="83">
        <v>234368.95</v>
      </c>
      <c r="C140" s="84">
        <v>5.8592237500000005E-2</v>
      </c>
    </row>
    <row r="141" spans="1:12" x14ac:dyDescent="0.3">
      <c r="A141" s="82" t="s">
        <v>1699</v>
      </c>
      <c r="B141" s="85">
        <v>146086</v>
      </c>
      <c r="C141" s="84">
        <v>3.6521499999999998E-2</v>
      </c>
    </row>
    <row r="142" spans="1:12" x14ac:dyDescent="0.3">
      <c r="A142" s="82" t="s">
        <v>1700</v>
      </c>
      <c r="B142" s="86">
        <v>1.6043217693687282</v>
      </c>
      <c r="C142" s="87">
        <v>1.6043217693687282</v>
      </c>
    </row>
    <row r="143" spans="1:12" x14ac:dyDescent="0.3">
      <c r="A143" s="88" t="s">
        <v>1701</v>
      </c>
      <c r="B143" s="89">
        <v>0.62331635653955009</v>
      </c>
      <c r="C143" s="90"/>
    </row>
    <row r="144" spans="1:12" x14ac:dyDescent="0.3">
      <c r="A144" s="88" t="s">
        <v>1702</v>
      </c>
      <c r="B144" s="91">
        <v>280949.75</v>
      </c>
      <c r="C144" s="92">
        <v>7.02374375E-2</v>
      </c>
    </row>
    <row r="145" spans="1:9" x14ac:dyDescent="0.3">
      <c r="A145" s="93" t="s">
        <v>1703</v>
      </c>
      <c r="B145" s="94">
        <v>4.1000000000000002E-2</v>
      </c>
      <c r="C145" s="95"/>
    </row>
    <row r="146" spans="1:9" x14ac:dyDescent="0.3">
      <c r="A146" s="82" t="s">
        <v>1704</v>
      </c>
      <c r="B146" s="96">
        <v>-469050.24603749998</v>
      </c>
      <c r="C146" s="97">
        <v>-0.11726256150937499</v>
      </c>
    </row>
    <row r="147" spans="1:9" x14ac:dyDescent="0.3">
      <c r="A147" s="82" t="s">
        <v>1705</v>
      </c>
      <c r="B147" s="96">
        <v>-719048.65</v>
      </c>
      <c r="C147" s="98">
        <v>-0.17976216250000002</v>
      </c>
    </row>
    <row r="148" spans="1:9" x14ac:dyDescent="0.3">
      <c r="A148" s="82" t="s">
        <v>1706</v>
      </c>
      <c r="B148" s="85">
        <v>-692220.58872878773</v>
      </c>
      <c r="C148" s="92">
        <v>-0.17305514718219694</v>
      </c>
    </row>
    <row r="149" spans="1:9" x14ac:dyDescent="0.3">
      <c r="A149" s="82" t="s">
        <v>1707</v>
      </c>
      <c r="B149" s="99">
        <v>0.49966704415983293</v>
      </c>
      <c r="C149" s="84"/>
    </row>
    <row r="150" spans="1:9" x14ac:dyDescent="0.3">
      <c r="A150" s="82" t="s">
        <v>1708</v>
      </c>
      <c r="B150" s="85">
        <v>3750000</v>
      </c>
      <c r="C150" s="84"/>
    </row>
    <row r="151" spans="1:9" x14ac:dyDescent="0.3">
      <c r="A151" s="82" t="s">
        <v>1709</v>
      </c>
      <c r="B151" s="85">
        <v>3750000</v>
      </c>
      <c r="C151" s="84"/>
    </row>
    <row r="152" spans="1:9" x14ac:dyDescent="0.3">
      <c r="A152" s="82" t="s">
        <v>1710</v>
      </c>
      <c r="B152" s="34"/>
      <c r="C152" s="100">
        <v>0.9375</v>
      </c>
    </row>
    <row r="153" spans="1:9" ht="15" thickBot="1" x14ac:dyDescent="0.35">
      <c r="A153" s="101" t="s">
        <v>1426</v>
      </c>
      <c r="B153" s="102"/>
      <c r="C153" s="103">
        <v>9.0931733333333334E-2</v>
      </c>
    </row>
    <row r="154" spans="1:9" x14ac:dyDescent="0.3">
      <c r="A154" s="104" t="s">
        <v>1665</v>
      </c>
      <c r="B154" s="105">
        <v>3830340</v>
      </c>
      <c r="C154" s="106"/>
    </row>
    <row r="155" spans="1:9" ht="15" thickBot="1" x14ac:dyDescent="0.35">
      <c r="A155" s="107" t="s">
        <v>1666</v>
      </c>
      <c r="B155" s="108">
        <v>4000000</v>
      </c>
      <c r="C155" s="109"/>
    </row>
    <row r="157" spans="1:9" ht="13.8" customHeight="1" thickBot="1" x14ac:dyDescent="0.35">
      <c r="A157" s="181" t="s">
        <v>1814</v>
      </c>
      <c r="B157" s="75"/>
      <c r="C157" s="75"/>
      <c r="D157" s="75"/>
      <c r="E157" s="75"/>
      <c r="F157" s="75"/>
      <c r="G157" s="75"/>
      <c r="H157" s="75"/>
      <c r="I157" s="182"/>
    </row>
    <row r="158" spans="1:9" x14ac:dyDescent="0.3">
      <c r="A158" s="115" t="s">
        <v>1393</v>
      </c>
      <c r="B158" s="110" t="s">
        <v>1717</v>
      </c>
      <c r="C158" s="110" t="s">
        <v>1718</v>
      </c>
      <c r="D158" s="110" t="s">
        <v>1711</v>
      </c>
      <c r="E158" s="110" t="s">
        <v>1712</v>
      </c>
      <c r="F158" s="110" t="s">
        <v>1713</v>
      </c>
      <c r="G158" s="110" t="s">
        <v>1714</v>
      </c>
      <c r="H158" s="110" t="s">
        <v>1715</v>
      </c>
      <c r="I158" s="111" t="s">
        <v>1716</v>
      </c>
    </row>
    <row r="159" spans="1:9" x14ac:dyDescent="0.3">
      <c r="A159" s="88" t="s">
        <v>1325</v>
      </c>
      <c r="B159" s="116">
        <v>3821124.2294500005</v>
      </c>
      <c r="C159" s="117">
        <v>0.95528105736250013</v>
      </c>
      <c r="D159" s="112">
        <v>0.05</v>
      </c>
      <c r="E159" s="112" t="s">
        <v>1663</v>
      </c>
      <c r="F159" s="113">
        <v>0.99999910681112059</v>
      </c>
      <c r="G159" s="113">
        <v>0.99759400717690871</v>
      </c>
      <c r="H159" s="113">
        <v>1.0000006173078588</v>
      </c>
      <c r="I159" s="114">
        <v>340994.21049827605</v>
      </c>
    </row>
    <row r="162" spans="1:9" ht="15" thickBot="1" x14ac:dyDescent="0.35"/>
    <row r="163" spans="1:9" x14ac:dyDescent="0.3">
      <c r="A163" s="118" t="s">
        <v>1632</v>
      </c>
      <c r="B163" s="118" t="s">
        <v>1719</v>
      </c>
      <c r="C163" s="118" t="s">
        <v>1720</v>
      </c>
      <c r="D163" s="118" t="s">
        <v>1721</v>
      </c>
      <c r="E163" s="118" t="s">
        <v>1722</v>
      </c>
      <c r="F163" s="118" t="s">
        <v>1723</v>
      </c>
      <c r="G163" s="118" t="s">
        <v>1724</v>
      </c>
      <c r="H163" s="118" t="s">
        <v>1725</v>
      </c>
      <c r="I163" s="118" t="s">
        <v>1725</v>
      </c>
    </row>
    <row r="164" spans="1:9" x14ac:dyDescent="0.3">
      <c r="A164" s="119" t="s">
        <v>1633</v>
      </c>
      <c r="B164" s="120">
        <v>500000.80125000002</v>
      </c>
      <c r="C164" s="120">
        <v>924825.95534058486</v>
      </c>
      <c r="D164" s="117">
        <v>0.1250002003125</v>
      </c>
      <c r="E164" s="117">
        <v>0.23120648883514622</v>
      </c>
      <c r="F164" s="117">
        <v>0.35</v>
      </c>
      <c r="G164" s="117">
        <v>0.5</v>
      </c>
      <c r="H164" s="112" t="s">
        <v>1571</v>
      </c>
      <c r="I164" s="121" t="s">
        <v>1571</v>
      </c>
    </row>
    <row r="165" spans="1:9" x14ac:dyDescent="0.3">
      <c r="A165" s="119" t="s">
        <v>1635</v>
      </c>
      <c r="B165" s="120">
        <v>383197.03597981407</v>
      </c>
      <c r="C165" s="120">
        <v>749096.50283622777</v>
      </c>
      <c r="D165" s="117">
        <v>9.5799258994953521E-2</v>
      </c>
      <c r="E165" s="117">
        <v>0.18727412570905694</v>
      </c>
      <c r="F165" s="117">
        <v>0.3</v>
      </c>
      <c r="G165" s="117">
        <v>0.5</v>
      </c>
      <c r="H165" s="112" t="s">
        <v>1571</v>
      </c>
      <c r="I165" s="121" t="s">
        <v>1571</v>
      </c>
    </row>
    <row r="166" spans="1:9" x14ac:dyDescent="0.3">
      <c r="A166" s="119" t="s">
        <v>1639</v>
      </c>
      <c r="B166" s="120">
        <v>90478.46921743064</v>
      </c>
      <c r="C166" s="120">
        <v>499999.99478750001</v>
      </c>
      <c r="D166" s="117">
        <v>2.2619617304357659E-2</v>
      </c>
      <c r="E166" s="117">
        <v>0.124999998696875</v>
      </c>
      <c r="F166" s="117">
        <v>0.3</v>
      </c>
      <c r="G166" s="117">
        <v>0.5</v>
      </c>
      <c r="H166" s="112" t="s">
        <v>1571</v>
      </c>
      <c r="I166" s="121" t="s">
        <v>1571</v>
      </c>
    </row>
    <row r="167" spans="1:9" x14ac:dyDescent="0.3">
      <c r="A167" s="122" t="s">
        <v>1651</v>
      </c>
      <c r="B167" s="120">
        <v>12797.484205814064</v>
      </c>
      <c r="C167" s="120">
        <v>250000.5</v>
      </c>
      <c r="D167" s="117">
        <v>3.1993710514535158E-3</v>
      </c>
      <c r="E167" s="117">
        <v>6.2500125000000004E-2</v>
      </c>
      <c r="F167" s="117">
        <v>0.4</v>
      </c>
      <c r="G167" s="117">
        <v>0.65</v>
      </c>
      <c r="H167" s="112" t="s">
        <v>1571</v>
      </c>
      <c r="I167" s="121" t="s">
        <v>1571</v>
      </c>
    </row>
    <row r="168" spans="1:9" x14ac:dyDescent="0.3">
      <c r="A168" s="119" t="s">
        <v>1649</v>
      </c>
      <c r="B168" s="120">
        <v>0</v>
      </c>
      <c r="C168" s="120">
        <v>249999.9</v>
      </c>
      <c r="D168" s="117">
        <v>0</v>
      </c>
      <c r="E168" s="117">
        <v>6.2499974999999999E-2</v>
      </c>
      <c r="F168" s="117">
        <v>0.4</v>
      </c>
      <c r="G168" s="117">
        <v>0.65</v>
      </c>
      <c r="H168" s="112" t="s">
        <v>1571</v>
      </c>
      <c r="I168" s="121" t="s">
        <v>1571</v>
      </c>
    </row>
    <row r="169" spans="1:9" x14ac:dyDescent="0.3">
      <c r="A169" s="119" t="s">
        <v>1650</v>
      </c>
      <c r="B169" s="120">
        <v>249999.99750000006</v>
      </c>
      <c r="C169" s="120">
        <v>499999.99478750001</v>
      </c>
      <c r="D169" s="117">
        <v>6.2499999375000011E-2</v>
      </c>
      <c r="E169" s="117">
        <v>0.124999998696875</v>
      </c>
      <c r="F169" s="117">
        <v>0.4</v>
      </c>
      <c r="G169" s="117">
        <v>0.65</v>
      </c>
      <c r="H169" s="112" t="s">
        <v>1571</v>
      </c>
      <c r="I169" s="121" t="s">
        <v>1571</v>
      </c>
    </row>
    <row r="170" spans="1:9" x14ac:dyDescent="0.3">
      <c r="A170" s="119" t="s">
        <v>1636</v>
      </c>
      <c r="B170" s="120">
        <v>39013.761465282805</v>
      </c>
      <c r="C170" s="120">
        <v>261564.83352664317</v>
      </c>
      <c r="D170" s="117">
        <v>9.7534403663207016E-3</v>
      </c>
      <c r="E170" s="117">
        <v>6.5391208381660793E-2</v>
      </c>
      <c r="F170" s="117">
        <v>0.3</v>
      </c>
      <c r="G170" s="117">
        <v>0.5</v>
      </c>
      <c r="H170" s="112" t="s">
        <v>1571</v>
      </c>
      <c r="I170" s="121" t="s">
        <v>1571</v>
      </c>
    </row>
    <row r="171" spans="1:9" x14ac:dyDescent="0.3">
      <c r="A171" s="119" t="s">
        <v>1640</v>
      </c>
      <c r="B171" s="120">
        <v>250000.5</v>
      </c>
      <c r="C171" s="120">
        <v>999998.00103749998</v>
      </c>
      <c r="D171" s="117">
        <v>6.2500125000000004E-2</v>
      </c>
      <c r="E171" s="117">
        <v>0.24999950025937501</v>
      </c>
      <c r="F171" s="117">
        <v>0.2</v>
      </c>
      <c r="G171" s="117">
        <v>0.35</v>
      </c>
      <c r="H171" s="112" t="s">
        <v>1571</v>
      </c>
      <c r="I171" s="121" t="s">
        <v>1571</v>
      </c>
    </row>
    <row r="172" spans="1:9" x14ac:dyDescent="0.3">
      <c r="A172" s="119" t="s">
        <v>1653</v>
      </c>
      <c r="B172" s="120">
        <v>0</v>
      </c>
      <c r="C172" s="120">
        <v>249999</v>
      </c>
      <c r="D172" s="117">
        <v>0</v>
      </c>
      <c r="E172" s="117">
        <v>6.249975E-2</v>
      </c>
      <c r="F172" s="117">
        <v>0.3</v>
      </c>
      <c r="G172" s="117">
        <v>0.45</v>
      </c>
      <c r="H172" s="112" t="s">
        <v>1571</v>
      </c>
      <c r="I172" s="121" t="s">
        <v>1571</v>
      </c>
    </row>
    <row r="173" spans="1:9" x14ac:dyDescent="0.3">
      <c r="A173" s="119" t="s">
        <v>1660</v>
      </c>
      <c r="B173" s="120">
        <v>0</v>
      </c>
      <c r="C173" s="120">
        <v>0</v>
      </c>
      <c r="D173" s="117">
        <v>0</v>
      </c>
      <c r="E173" s="117">
        <v>0</v>
      </c>
      <c r="F173" s="117">
        <v>0.2</v>
      </c>
      <c r="G173" s="117">
        <v>0.35</v>
      </c>
      <c r="H173" s="112" t="s">
        <v>1571</v>
      </c>
      <c r="I173" s="121" t="s">
        <v>1571</v>
      </c>
    </row>
    <row r="174" spans="1:9" x14ac:dyDescent="0.3">
      <c r="A174" s="119" t="s">
        <v>1638</v>
      </c>
      <c r="B174" s="120">
        <v>0</v>
      </c>
      <c r="C174" s="120">
        <v>0</v>
      </c>
      <c r="D174" s="117">
        <v>0</v>
      </c>
      <c r="E174" s="117">
        <v>0</v>
      </c>
      <c r="F174" s="117">
        <v>0.3</v>
      </c>
      <c r="G174" s="117">
        <v>0.5</v>
      </c>
      <c r="H174" s="112" t="s">
        <v>1571</v>
      </c>
      <c r="I174" s="121" t="s">
        <v>1571</v>
      </c>
    </row>
    <row r="175" spans="1:9" x14ac:dyDescent="0.3">
      <c r="A175" s="119" t="s">
        <v>1656</v>
      </c>
      <c r="B175" s="120">
        <v>0</v>
      </c>
      <c r="C175" s="120">
        <v>0</v>
      </c>
      <c r="D175" s="117">
        <v>0</v>
      </c>
      <c r="E175" s="117">
        <v>0</v>
      </c>
      <c r="F175" s="117">
        <v>0.3</v>
      </c>
      <c r="G175" s="117">
        <v>0.45</v>
      </c>
      <c r="H175" s="112" t="s">
        <v>1571</v>
      </c>
      <c r="I175" s="121" t="s">
        <v>1571</v>
      </c>
    </row>
    <row r="176" spans="1:9" x14ac:dyDescent="0.3">
      <c r="A176" s="119" t="s">
        <v>1641</v>
      </c>
      <c r="B176" s="120">
        <v>0</v>
      </c>
      <c r="C176" s="120">
        <v>250000.5</v>
      </c>
      <c r="D176" s="117">
        <v>0</v>
      </c>
      <c r="E176" s="117">
        <v>6.2500125000000004E-2</v>
      </c>
      <c r="F176" s="117">
        <v>0.2</v>
      </c>
      <c r="G176" s="117">
        <v>0.3</v>
      </c>
      <c r="H176" s="112" t="s">
        <v>1571</v>
      </c>
      <c r="I176" s="121" t="s">
        <v>1571</v>
      </c>
    </row>
    <row r="177" spans="1:9" x14ac:dyDescent="0.3">
      <c r="A177" s="119" t="s">
        <v>1637</v>
      </c>
      <c r="B177" s="120">
        <v>249999.6</v>
      </c>
      <c r="C177" s="120">
        <v>249999.60000000003</v>
      </c>
      <c r="D177" s="117">
        <v>6.2499900000000004E-2</v>
      </c>
      <c r="E177" s="117">
        <v>6.2499900000000011E-2</v>
      </c>
      <c r="F177" s="117">
        <v>0.3</v>
      </c>
      <c r="G177" s="117">
        <v>0.5</v>
      </c>
      <c r="H177" s="112" t="s">
        <v>1571</v>
      </c>
      <c r="I177" s="121" t="s">
        <v>1571</v>
      </c>
    </row>
    <row r="178" spans="1:9" x14ac:dyDescent="0.3">
      <c r="A178" s="119" t="s">
        <v>1659</v>
      </c>
      <c r="B178" s="120">
        <v>0</v>
      </c>
      <c r="C178" s="120">
        <v>0</v>
      </c>
      <c r="D178" s="117">
        <v>0</v>
      </c>
      <c r="E178" s="117">
        <v>0</v>
      </c>
      <c r="F178" s="117">
        <v>0.2</v>
      </c>
      <c r="G178" s="117">
        <v>0.35</v>
      </c>
      <c r="H178" s="112" t="s">
        <v>1571</v>
      </c>
      <c r="I178" s="121" t="s">
        <v>1571</v>
      </c>
    </row>
    <row r="179" spans="1:9" x14ac:dyDescent="0.3">
      <c r="A179" s="119" t="s">
        <v>1657</v>
      </c>
      <c r="B179" s="116">
        <v>0</v>
      </c>
      <c r="C179" s="116">
        <v>0</v>
      </c>
      <c r="D179" s="117">
        <v>0</v>
      </c>
      <c r="E179" s="117">
        <v>0</v>
      </c>
      <c r="F179" s="117">
        <v>0.2</v>
      </c>
      <c r="G179" s="117">
        <v>0.35</v>
      </c>
      <c r="H179" s="123" t="s">
        <v>1571</v>
      </c>
      <c r="I179" s="124" t="s">
        <v>1571</v>
      </c>
    </row>
    <row r="180" spans="1:9" x14ac:dyDescent="0.3">
      <c r="A180" s="119" t="s">
        <v>1658</v>
      </c>
      <c r="B180" s="116">
        <v>0</v>
      </c>
      <c r="C180" s="116">
        <v>0</v>
      </c>
      <c r="D180" s="117">
        <v>0</v>
      </c>
      <c r="E180" s="117">
        <v>0</v>
      </c>
      <c r="F180" s="117">
        <v>0.2</v>
      </c>
      <c r="G180" s="117">
        <v>0.35</v>
      </c>
      <c r="H180" s="112" t="s">
        <v>1571</v>
      </c>
      <c r="I180" s="124" t="s">
        <v>1571</v>
      </c>
    </row>
    <row r="181" spans="1:9" x14ac:dyDescent="0.3">
      <c r="A181" s="125" t="s">
        <v>1652</v>
      </c>
      <c r="B181" s="126">
        <v>0</v>
      </c>
      <c r="C181" s="126">
        <v>0</v>
      </c>
      <c r="D181" s="117">
        <v>0</v>
      </c>
      <c r="E181" s="117">
        <v>0</v>
      </c>
      <c r="F181" s="117">
        <v>0.4</v>
      </c>
      <c r="G181" s="117">
        <v>0.65</v>
      </c>
      <c r="H181" s="38" t="s">
        <v>1571</v>
      </c>
      <c r="I181" s="121" t="s">
        <v>1571</v>
      </c>
    </row>
    <row r="182" spans="1:9" x14ac:dyDescent="0.3">
      <c r="A182" s="125" t="s">
        <v>1654</v>
      </c>
      <c r="B182" s="116">
        <v>0</v>
      </c>
      <c r="C182" s="116">
        <v>0</v>
      </c>
      <c r="D182" s="117">
        <v>0</v>
      </c>
      <c r="E182" s="117">
        <v>0</v>
      </c>
      <c r="F182" s="117">
        <v>0.3</v>
      </c>
      <c r="G182" s="117">
        <v>0.45</v>
      </c>
      <c r="H182" s="42" t="s">
        <v>1571</v>
      </c>
      <c r="I182" s="124" t="s">
        <v>1571</v>
      </c>
    </row>
    <row r="183" spans="1:9" x14ac:dyDescent="0.3">
      <c r="A183" s="125" t="s">
        <v>1655</v>
      </c>
      <c r="B183" s="116">
        <v>62500</v>
      </c>
      <c r="C183" s="116">
        <v>250000</v>
      </c>
      <c r="D183" s="117">
        <v>1.5625E-2</v>
      </c>
      <c r="E183" s="117">
        <v>6.25E-2</v>
      </c>
      <c r="F183" s="117">
        <v>0.3</v>
      </c>
      <c r="G183" s="117">
        <v>0.45</v>
      </c>
      <c r="H183" s="42" t="s">
        <v>1571</v>
      </c>
      <c r="I183" s="124" t="s">
        <v>1571</v>
      </c>
    </row>
    <row r="184" spans="1:9" x14ac:dyDescent="0.3">
      <c r="A184" s="125" t="s">
        <v>1647</v>
      </c>
      <c r="B184" s="116">
        <v>0</v>
      </c>
      <c r="C184" s="116">
        <v>0</v>
      </c>
      <c r="D184" s="117">
        <v>0</v>
      </c>
      <c r="E184" s="117">
        <v>0</v>
      </c>
      <c r="F184" s="117">
        <v>0.15</v>
      </c>
      <c r="G184" s="117">
        <v>0.25</v>
      </c>
      <c r="H184" s="42" t="s">
        <v>1571</v>
      </c>
      <c r="I184" s="124" t="s">
        <v>1571</v>
      </c>
    </row>
    <row r="185" spans="1:9" x14ac:dyDescent="0.3">
      <c r="A185" s="125" t="s">
        <v>1642</v>
      </c>
      <c r="B185" s="116">
        <v>0</v>
      </c>
      <c r="C185" s="116">
        <v>0</v>
      </c>
      <c r="D185" s="117">
        <v>0</v>
      </c>
      <c r="E185" s="117">
        <v>0</v>
      </c>
      <c r="F185" s="117">
        <v>0.3</v>
      </c>
      <c r="G185" s="117">
        <v>0.5</v>
      </c>
      <c r="H185" s="42" t="s">
        <v>1571</v>
      </c>
      <c r="I185" s="124" t="s">
        <v>1571</v>
      </c>
    </row>
    <row r="186" spans="1:9" ht="15" thickBot="1" x14ac:dyDescent="0.35">
      <c r="A186" s="127" t="s">
        <v>1643</v>
      </c>
      <c r="B186" s="128">
        <v>0</v>
      </c>
      <c r="C186" s="128">
        <v>0</v>
      </c>
      <c r="D186" s="129">
        <v>0</v>
      </c>
      <c r="E186" s="129">
        <v>0</v>
      </c>
      <c r="F186" s="129">
        <v>0.2</v>
      </c>
      <c r="G186" s="129">
        <v>0.3</v>
      </c>
      <c r="H186" s="130" t="s">
        <v>1571</v>
      </c>
      <c r="I186" s="131" t="s">
        <v>1571</v>
      </c>
    </row>
    <row r="188" spans="1:9" x14ac:dyDescent="0.3">
      <c r="A188" s="132" t="s">
        <v>1315</v>
      </c>
      <c r="B188" s="132" t="s">
        <v>1717</v>
      </c>
      <c r="C188" s="132" t="s">
        <v>1718</v>
      </c>
      <c r="D188" s="132" t="s">
        <v>1711</v>
      </c>
      <c r="E188" s="132" t="s">
        <v>1712</v>
      </c>
    </row>
    <row r="189" spans="1:9" x14ac:dyDescent="0.3">
      <c r="A189" s="112" t="s">
        <v>1344</v>
      </c>
      <c r="B189" s="116">
        <v>250000</v>
      </c>
      <c r="C189" s="133">
        <v>6.25E-2</v>
      </c>
      <c r="D189" s="133">
        <v>0.3</v>
      </c>
      <c r="E189" s="112" t="s">
        <v>1726</v>
      </c>
    </row>
    <row r="190" spans="1:9" x14ac:dyDescent="0.3">
      <c r="A190" s="112" t="s">
        <v>1342</v>
      </c>
      <c r="B190" s="116">
        <v>250000</v>
      </c>
      <c r="C190" s="133">
        <v>6.25E-2</v>
      </c>
      <c r="D190" s="133">
        <v>0.3</v>
      </c>
      <c r="E190" s="112" t="s">
        <v>1726</v>
      </c>
    </row>
    <row r="191" spans="1:9" x14ac:dyDescent="0.3">
      <c r="A191" s="112" t="s">
        <v>1352</v>
      </c>
      <c r="B191" s="116">
        <v>250000</v>
      </c>
      <c r="C191" s="133">
        <v>6.25E-2</v>
      </c>
      <c r="D191" s="133">
        <v>0.3</v>
      </c>
      <c r="E191" s="112" t="s">
        <v>1726</v>
      </c>
    </row>
    <row r="192" spans="1:9" x14ac:dyDescent="0.3">
      <c r="A192" s="112" t="s">
        <v>1339</v>
      </c>
      <c r="B192" s="116">
        <v>249999</v>
      </c>
      <c r="C192" s="133">
        <v>6.25E-2</v>
      </c>
      <c r="D192" s="133">
        <v>0.3</v>
      </c>
      <c r="E192" s="112" t="s">
        <v>1726</v>
      </c>
    </row>
    <row r="193" spans="1:9" x14ac:dyDescent="0.3">
      <c r="A193" s="112" t="s">
        <v>1341</v>
      </c>
      <c r="B193" s="116">
        <v>249999</v>
      </c>
      <c r="C193" s="133">
        <v>6.25E-2</v>
      </c>
      <c r="D193" s="133">
        <v>0.3</v>
      </c>
      <c r="E193" s="123" t="s">
        <v>1726</v>
      </c>
    </row>
    <row r="194" spans="1:9" x14ac:dyDescent="0.3">
      <c r="A194" s="34" t="s">
        <v>1354</v>
      </c>
      <c r="B194" s="137">
        <v>250000</v>
      </c>
      <c r="C194" s="133">
        <v>6.25E-2</v>
      </c>
      <c r="D194" s="133">
        <v>0.3</v>
      </c>
      <c r="E194" s="143" t="s">
        <v>1726</v>
      </c>
    </row>
    <row r="195" spans="1:9" x14ac:dyDescent="0.3">
      <c r="A195" s="34" t="s">
        <v>1331</v>
      </c>
      <c r="B195" s="137">
        <v>249999.9</v>
      </c>
      <c r="C195" s="133">
        <v>6.25E-2</v>
      </c>
      <c r="D195" s="133">
        <v>0.3</v>
      </c>
      <c r="E195" s="143" t="s">
        <v>1726</v>
      </c>
    </row>
    <row r="196" spans="1:9" x14ac:dyDescent="0.3">
      <c r="A196" s="34" t="s">
        <v>1337</v>
      </c>
      <c r="B196" s="137">
        <v>249999.60000000003</v>
      </c>
      <c r="C196" s="133">
        <v>6.25E-2</v>
      </c>
      <c r="D196" s="133">
        <v>0.3</v>
      </c>
      <c r="E196" s="143" t="s">
        <v>1726</v>
      </c>
    </row>
    <row r="197" spans="1:9" x14ac:dyDescent="0.3">
      <c r="A197" s="34" t="s">
        <v>1335</v>
      </c>
      <c r="B197" s="137">
        <v>250000</v>
      </c>
      <c r="C197" s="133">
        <v>6.25E-2</v>
      </c>
      <c r="D197" s="133">
        <v>0.3</v>
      </c>
      <c r="E197" s="143" t="s">
        <v>1726</v>
      </c>
    </row>
    <row r="198" spans="1:9" x14ac:dyDescent="0.3">
      <c r="A198" s="34" t="s">
        <v>1353</v>
      </c>
      <c r="B198" s="137">
        <v>250000.5</v>
      </c>
      <c r="C198" s="133">
        <v>6.25E-2</v>
      </c>
      <c r="D198" s="133">
        <v>0.3</v>
      </c>
      <c r="E198" s="143" t="s">
        <v>1726</v>
      </c>
    </row>
    <row r="199" spans="1:9" x14ac:dyDescent="0.3">
      <c r="A199" s="34" t="s">
        <v>1348</v>
      </c>
      <c r="B199" s="137">
        <v>250000.5</v>
      </c>
      <c r="C199" s="133">
        <v>6.25E-2</v>
      </c>
      <c r="D199" s="133">
        <v>0.3</v>
      </c>
      <c r="E199" s="143" t="s">
        <v>1726</v>
      </c>
    </row>
    <row r="200" spans="1:9" x14ac:dyDescent="0.3">
      <c r="A200" s="34" t="s">
        <v>1351</v>
      </c>
      <c r="B200" s="137">
        <v>250000.80000000002</v>
      </c>
      <c r="C200" s="133">
        <v>6.25E-2</v>
      </c>
      <c r="D200" s="133">
        <v>0.3</v>
      </c>
      <c r="E200" s="143" t="s">
        <v>1726</v>
      </c>
    </row>
    <row r="201" spans="1:9" x14ac:dyDescent="0.3">
      <c r="A201" s="34" t="s">
        <v>1345</v>
      </c>
      <c r="B201" s="183">
        <v>250000</v>
      </c>
      <c r="C201" s="133">
        <v>6.25E-2</v>
      </c>
      <c r="D201" s="133">
        <v>0.3</v>
      </c>
      <c r="E201" s="143" t="s">
        <v>1726</v>
      </c>
    </row>
    <row r="202" spans="1:9" x14ac:dyDescent="0.3">
      <c r="A202" s="34" t="s">
        <v>1343</v>
      </c>
      <c r="B202" s="183">
        <v>249999.45</v>
      </c>
      <c r="C202" s="133">
        <v>6.25E-2</v>
      </c>
      <c r="D202" s="133">
        <v>0.3</v>
      </c>
      <c r="E202" s="143" t="s">
        <v>1726</v>
      </c>
    </row>
    <row r="203" spans="1:9" x14ac:dyDescent="0.3">
      <c r="A203" s="34" t="s">
        <v>1327</v>
      </c>
      <c r="B203" s="183">
        <v>250000.5</v>
      </c>
      <c r="C203" s="133">
        <v>6.25E-2</v>
      </c>
      <c r="D203" s="133">
        <v>0.3</v>
      </c>
      <c r="E203" s="143" t="s">
        <v>1726</v>
      </c>
    </row>
    <row r="205" spans="1:9" x14ac:dyDescent="0.3">
      <c r="A205" s="134" t="s">
        <v>1432</v>
      </c>
      <c r="B205" s="135" t="s">
        <v>1727</v>
      </c>
      <c r="C205" s="136" t="s">
        <v>1728</v>
      </c>
      <c r="D205" s="136" t="s">
        <v>1729</v>
      </c>
      <c r="E205" s="136" t="s">
        <v>1730</v>
      </c>
      <c r="F205" s="136" t="s">
        <v>1731</v>
      </c>
      <c r="G205" s="136" t="s">
        <v>1732</v>
      </c>
      <c r="H205" s="136" t="s">
        <v>1733</v>
      </c>
      <c r="I205" s="136" t="s">
        <v>1734</v>
      </c>
    </row>
    <row r="206" spans="1:9" x14ac:dyDescent="0.3">
      <c r="A206" s="34">
        <v>1</v>
      </c>
      <c r="B206" s="34" t="s">
        <v>1661</v>
      </c>
      <c r="C206" s="137">
        <v>46499.124740183397</v>
      </c>
      <c r="D206" s="137">
        <v>81.633654364050017</v>
      </c>
      <c r="E206" s="137">
        <v>749999.99603749998</v>
      </c>
      <c r="F206" s="137">
        <v>973170.33872878761</v>
      </c>
      <c r="G206" s="137">
        <v>973170.33872878761</v>
      </c>
      <c r="H206" s="137">
        <v>750081.62969186401</v>
      </c>
      <c r="I206" s="137">
        <v>-417721.73199358798</v>
      </c>
    </row>
    <row r="207" spans="1:9" x14ac:dyDescent="0.3">
      <c r="A207" s="34">
        <v>2</v>
      </c>
      <c r="B207" s="34" t="s">
        <v>1633</v>
      </c>
      <c r="C207" s="137">
        <v>28661.65467227477</v>
      </c>
      <c r="D207" s="137">
        <v>17919.103722272677</v>
      </c>
      <c r="E207" s="137">
        <v>580872.26743327163</v>
      </c>
      <c r="F207" s="137">
        <v>786390.5488522735</v>
      </c>
      <c r="G207" s="137">
        <v>485250.79911942256</v>
      </c>
      <c r="H207" s="137">
        <v>598791.3711555443</v>
      </c>
      <c r="I207" s="137">
        <v>-266431.47345726826</v>
      </c>
    </row>
    <row r="208" spans="1:9" x14ac:dyDescent="0.3">
      <c r="A208" s="34">
        <v>3</v>
      </c>
      <c r="B208" s="34" t="s">
        <v>1635</v>
      </c>
      <c r="C208" s="137">
        <v>11657.112411659335</v>
      </c>
      <c r="D208" s="137">
        <v>34923.645982888112</v>
      </c>
      <c r="E208" s="137">
        <v>393313.95673614705</v>
      </c>
      <c r="F208" s="137">
        <v>600652.01755536068</v>
      </c>
      <c r="G208" s="137">
        <v>220489.19776657686</v>
      </c>
      <c r="H208" s="137">
        <v>428237.60271903517</v>
      </c>
      <c r="I208" s="137">
        <v>-95877.705020759138</v>
      </c>
    </row>
    <row r="209" spans="1:9" x14ac:dyDescent="0.3">
      <c r="A209" s="34">
        <v>4</v>
      </c>
      <c r="B209" s="34" t="s">
        <v>1639</v>
      </c>
      <c r="C209" s="137">
        <v>3286.4299130096174</v>
      </c>
      <c r="D209" s="137">
        <v>43294.328481537828</v>
      </c>
      <c r="E209" s="137">
        <v>90998.341564623188</v>
      </c>
      <c r="F209" s="137">
        <v>314532.21034924983</v>
      </c>
      <c r="G209" s="137">
        <v>19278.368144540123</v>
      </c>
      <c r="H209" s="137">
        <v>134292.67004616102</v>
      </c>
      <c r="I209" s="137">
        <v>198067.22765211502</v>
      </c>
    </row>
    <row r="210" spans="1:9" x14ac:dyDescent="0.3">
      <c r="A210" s="34">
        <v>5</v>
      </c>
      <c r="B210" s="34" t="s">
        <v>1651</v>
      </c>
      <c r="C210" s="137">
        <v>1879.4244694471322</v>
      </c>
      <c r="D210" s="137">
        <v>44701.333925100313</v>
      </c>
      <c r="E210" s="137">
        <v>12797.484205814064</v>
      </c>
      <c r="F210" s="137">
        <v>187454.52660086489</v>
      </c>
      <c r="G210" s="137">
        <v>12117.552147858261</v>
      </c>
      <c r="H210" s="137">
        <v>57498.818130914377</v>
      </c>
      <c r="I210" s="137">
        <v>274861.07956736168</v>
      </c>
    </row>
    <row r="211" spans="1:9" x14ac:dyDescent="0.3">
      <c r="A211" s="34">
        <v>6</v>
      </c>
      <c r="B211" s="34" t="s">
        <v>1649</v>
      </c>
      <c r="C211" s="137">
        <v>859.24446140926261</v>
      </c>
      <c r="D211" s="137">
        <v>45721.513933138187</v>
      </c>
      <c r="E211" s="137">
        <v>0</v>
      </c>
      <c r="F211" s="137">
        <v>85924.446140926259</v>
      </c>
      <c r="G211" s="137">
        <v>10353.435873561408</v>
      </c>
      <c r="H211" s="137">
        <v>45721.513933138187</v>
      </c>
      <c r="I211" s="137">
        <v>286638.38376513787</v>
      </c>
    </row>
    <row r="212" spans="1:9" x14ac:dyDescent="0.3">
      <c r="A212" s="34">
        <v>7</v>
      </c>
      <c r="B212" s="34" t="s">
        <v>1650</v>
      </c>
      <c r="C212" s="137">
        <v>6779.0637124879431</v>
      </c>
      <c r="D212" s="137">
        <v>39801.694682059504</v>
      </c>
      <c r="E212" s="137">
        <v>249999.99750000006</v>
      </c>
      <c r="F212" s="137">
        <v>377840.07435670239</v>
      </c>
      <c r="G212" s="137">
        <v>89507.688184409082</v>
      </c>
      <c r="H212" s="137">
        <v>289801.69218205957</v>
      </c>
      <c r="I212" s="137">
        <v>42558.205516216462</v>
      </c>
    </row>
    <row r="213" spans="1:9" x14ac:dyDescent="0.3">
      <c r="A213" s="34">
        <v>8</v>
      </c>
      <c r="B213" s="34" t="s">
        <v>1636</v>
      </c>
      <c r="C213" s="137">
        <v>2162.3370180458942</v>
      </c>
      <c r="D213" s="137">
        <v>44418.421376501552</v>
      </c>
      <c r="E213" s="137">
        <v>39013.761465282805</v>
      </c>
      <c r="F213" s="137">
        <v>211502.49689106244</v>
      </c>
      <c r="G213" s="137">
        <v>20374.867935547107</v>
      </c>
      <c r="H213" s="137">
        <v>83432.18284178435</v>
      </c>
      <c r="I213" s="137">
        <v>248927.71485649169</v>
      </c>
    </row>
    <row r="214" spans="1:9" x14ac:dyDescent="0.3">
      <c r="A214" s="34">
        <v>9</v>
      </c>
      <c r="B214" s="34" t="s">
        <v>1640</v>
      </c>
      <c r="C214" s="137">
        <v>7961.8395813456627</v>
      </c>
      <c r="D214" s="137">
        <v>38618.918813201788</v>
      </c>
      <c r="E214" s="137">
        <v>250000.5</v>
      </c>
      <c r="F214" s="137">
        <v>686807.25194265798</v>
      </c>
      <c r="G214" s="137">
        <v>427649.0624998291</v>
      </c>
      <c r="H214" s="137">
        <v>288619.41881320177</v>
      </c>
      <c r="I214" s="137">
        <v>43740.478885074263</v>
      </c>
    </row>
    <row r="215" spans="1:9" x14ac:dyDescent="0.3">
      <c r="A215" s="34">
        <v>10</v>
      </c>
      <c r="B215" s="34" t="s">
        <v>1653</v>
      </c>
      <c r="C215" s="137">
        <v>969.35783411931618</v>
      </c>
      <c r="D215" s="137">
        <v>45611.400560428134</v>
      </c>
      <c r="E215" s="137">
        <v>0</v>
      </c>
      <c r="F215" s="137">
        <v>96935.783411931625</v>
      </c>
      <c r="G215" s="137">
        <v>2499.9989999999998</v>
      </c>
      <c r="H215" s="137">
        <v>45611.400560428134</v>
      </c>
      <c r="I215" s="137">
        <v>286748.49713784788</v>
      </c>
    </row>
    <row r="216" spans="1:9" x14ac:dyDescent="0.3">
      <c r="A216" s="34">
        <v>11</v>
      </c>
      <c r="B216" s="34" t="s">
        <v>1660</v>
      </c>
      <c r="C216" s="137">
        <v>0</v>
      </c>
      <c r="D216" s="137">
        <v>46580.758394547447</v>
      </c>
      <c r="E216" s="137">
        <v>0</v>
      </c>
      <c r="F216" s="137">
        <v>0</v>
      </c>
      <c r="G216" s="137">
        <v>0</v>
      </c>
      <c r="H216" s="137">
        <v>46580.758394547447</v>
      </c>
      <c r="I216" s="137">
        <v>285779.13930372859</v>
      </c>
    </row>
    <row r="217" spans="1:9" x14ac:dyDescent="0.3">
      <c r="A217" s="34">
        <v>12</v>
      </c>
      <c r="B217" s="34" t="s">
        <v>1638</v>
      </c>
      <c r="C217" s="137">
        <v>0</v>
      </c>
      <c r="D217" s="137">
        <v>46580.758394547447</v>
      </c>
      <c r="E217" s="137">
        <v>0</v>
      </c>
      <c r="F217" s="137">
        <v>0</v>
      </c>
      <c r="G217" s="137">
        <v>0</v>
      </c>
      <c r="H217" s="137">
        <v>46580.758394547447</v>
      </c>
      <c r="I217" s="137">
        <v>285779.13930372859</v>
      </c>
    </row>
    <row r="218" spans="1:9" x14ac:dyDescent="0.3">
      <c r="A218" s="34">
        <v>13</v>
      </c>
      <c r="B218" s="34" t="s">
        <v>1656</v>
      </c>
      <c r="C218" s="137">
        <v>0</v>
      </c>
      <c r="D218" s="137">
        <v>46580.758394547447</v>
      </c>
      <c r="E218" s="137">
        <v>0</v>
      </c>
      <c r="F218" s="137">
        <v>0</v>
      </c>
      <c r="G218" s="137">
        <v>0</v>
      </c>
      <c r="H218" s="137">
        <v>46580.758394547447</v>
      </c>
      <c r="I218" s="137">
        <v>285779.13930372859</v>
      </c>
    </row>
    <row r="219" spans="1:9" x14ac:dyDescent="0.3">
      <c r="A219" s="34">
        <v>14</v>
      </c>
      <c r="B219" s="34" t="s">
        <v>1641</v>
      </c>
      <c r="C219" s="137">
        <v>1971.5092803013679</v>
      </c>
      <c r="D219" s="137">
        <v>44609.249114246079</v>
      </c>
      <c r="E219" s="137">
        <v>0</v>
      </c>
      <c r="F219" s="137">
        <v>197150.9280301368</v>
      </c>
      <c r="G219" s="137">
        <v>7500.0150000000003</v>
      </c>
      <c r="H219" s="137">
        <v>44609.249114246079</v>
      </c>
      <c r="I219" s="137">
        <v>287750.64858402999</v>
      </c>
    </row>
    <row r="220" spans="1:9" x14ac:dyDescent="0.3">
      <c r="A220" s="34">
        <v>15</v>
      </c>
      <c r="B220" s="34" t="s">
        <v>1637</v>
      </c>
      <c r="C220" s="137">
        <v>3733.109579950129</v>
      </c>
      <c r="D220" s="137">
        <v>42847.64881459732</v>
      </c>
      <c r="E220" s="137">
        <v>249999.6</v>
      </c>
      <c r="F220" s="137">
        <v>249999.6000000003</v>
      </c>
      <c r="G220" s="137">
        <v>7499.9880000000003</v>
      </c>
      <c r="H220" s="137">
        <v>292847.24881459732</v>
      </c>
      <c r="I220" s="137">
        <v>39512.648883678718</v>
      </c>
    </row>
    <row r="221" spans="1:9" x14ac:dyDescent="0.3">
      <c r="A221" s="34">
        <v>16</v>
      </c>
      <c r="B221" s="34" t="s">
        <v>1659</v>
      </c>
      <c r="C221" s="137">
        <v>0</v>
      </c>
      <c r="D221" s="137">
        <v>46580.758394547447</v>
      </c>
      <c r="E221" s="137">
        <v>0</v>
      </c>
      <c r="F221" s="137">
        <v>0</v>
      </c>
      <c r="G221" s="137">
        <v>0</v>
      </c>
      <c r="H221" s="137">
        <v>46580.758394547447</v>
      </c>
      <c r="I221" s="137">
        <v>285779.13930372859</v>
      </c>
    </row>
    <row r="222" spans="1:9" x14ac:dyDescent="0.3">
      <c r="A222" s="34">
        <v>17</v>
      </c>
      <c r="B222" s="34" t="s">
        <v>1657</v>
      </c>
      <c r="C222" s="137">
        <v>0</v>
      </c>
      <c r="D222" s="137">
        <v>46580.758394547447</v>
      </c>
      <c r="E222" s="137">
        <v>0</v>
      </c>
      <c r="F222" s="137">
        <v>0</v>
      </c>
      <c r="G222" s="137">
        <v>0</v>
      </c>
      <c r="H222" s="137">
        <v>46580.758394547447</v>
      </c>
      <c r="I222" s="137">
        <v>285779.13930372859</v>
      </c>
    </row>
    <row r="223" spans="1:9" x14ac:dyDescent="0.3">
      <c r="A223" s="34">
        <v>18</v>
      </c>
      <c r="B223" s="34" t="s">
        <v>1658</v>
      </c>
      <c r="C223" s="137">
        <v>153.18208328999415</v>
      </c>
      <c r="D223" s="137">
        <v>46427.57631125745</v>
      </c>
      <c r="E223" s="137">
        <v>0</v>
      </c>
      <c r="F223" s="137">
        <v>15318.208328999415</v>
      </c>
      <c r="G223" s="137">
        <v>0</v>
      </c>
      <c r="H223" s="137">
        <v>46427.57631125745</v>
      </c>
      <c r="I223" s="137">
        <v>285932.3213870186</v>
      </c>
    </row>
    <row r="224" spans="1:9" x14ac:dyDescent="0.3">
      <c r="A224" s="34">
        <v>19</v>
      </c>
      <c r="B224" s="34" t="s">
        <v>1652</v>
      </c>
      <c r="C224" s="137">
        <v>0</v>
      </c>
      <c r="D224" s="137">
        <v>46580.758394547447</v>
      </c>
      <c r="E224" s="137">
        <v>0</v>
      </c>
      <c r="F224" s="137">
        <v>0</v>
      </c>
      <c r="G224" s="137">
        <v>0</v>
      </c>
      <c r="H224" s="137">
        <v>46580.758394547447</v>
      </c>
      <c r="I224" s="137">
        <v>285779.13930372859</v>
      </c>
    </row>
    <row r="225" spans="1:13" x14ac:dyDescent="0.3">
      <c r="A225" s="34">
        <v>20</v>
      </c>
      <c r="B225" s="34" t="s">
        <v>1654</v>
      </c>
      <c r="C225" s="137">
        <v>0</v>
      </c>
      <c r="D225" s="137">
        <v>46580.758394547447</v>
      </c>
      <c r="E225" s="137">
        <v>0</v>
      </c>
      <c r="F225" s="137">
        <v>0</v>
      </c>
      <c r="G225" s="137">
        <v>0</v>
      </c>
      <c r="H225" s="137">
        <v>46580.758394547447</v>
      </c>
      <c r="I225" s="137">
        <v>285779.13930372859</v>
      </c>
    </row>
    <row r="226" spans="1:13" x14ac:dyDescent="0.3">
      <c r="A226" s="34">
        <v>21</v>
      </c>
      <c r="B226" s="34" t="s">
        <v>1655</v>
      </c>
      <c r="C226" s="137">
        <v>2306.25</v>
      </c>
      <c r="D226" s="137">
        <v>44274.508394547447</v>
      </c>
      <c r="E226" s="137">
        <v>62500</v>
      </c>
      <c r="F226" s="137">
        <v>222500</v>
      </c>
      <c r="G226" s="137">
        <v>6562.5</v>
      </c>
      <c r="H226" s="137">
        <v>106774.50839454745</v>
      </c>
      <c r="I226" s="137">
        <v>225585.38930372859</v>
      </c>
    </row>
    <row r="227" spans="1:13" x14ac:dyDescent="0.3">
      <c r="A227" s="34">
        <v>22</v>
      </c>
      <c r="B227" s="34" t="s">
        <v>1647</v>
      </c>
      <c r="C227" s="137">
        <v>0</v>
      </c>
      <c r="D227" s="137">
        <v>46580.758394547447</v>
      </c>
      <c r="E227" s="137">
        <v>0</v>
      </c>
      <c r="F227" s="137">
        <v>0</v>
      </c>
      <c r="G227" s="137">
        <v>0</v>
      </c>
      <c r="H227" s="137">
        <v>46580.758394547447</v>
      </c>
      <c r="I227" s="137">
        <v>285779.13930372859</v>
      </c>
    </row>
    <row r="228" spans="1:13" x14ac:dyDescent="0.3">
      <c r="A228" s="34">
        <v>23</v>
      </c>
      <c r="B228" s="34" t="s">
        <v>1642</v>
      </c>
      <c r="C228" s="137">
        <v>246.63203597893323</v>
      </c>
      <c r="D228" s="137">
        <v>46334.126358568516</v>
      </c>
      <c r="E228" s="137">
        <v>0</v>
      </c>
      <c r="F228" s="137">
        <v>24663.203597893324</v>
      </c>
      <c r="G228" s="137">
        <v>4391.4989459445987</v>
      </c>
      <c r="H228" s="137">
        <v>46334.126358568516</v>
      </c>
      <c r="I228" s="137">
        <v>286025.77133970754</v>
      </c>
    </row>
    <row r="229" spans="1:13" x14ac:dyDescent="0.3">
      <c r="A229" s="34">
        <v>24</v>
      </c>
      <c r="B229" s="34" t="s">
        <v>1643</v>
      </c>
      <c r="C229" s="137">
        <v>407.71612961045969</v>
      </c>
      <c r="D229" s="137">
        <v>46173.042264936987</v>
      </c>
      <c r="E229" s="137">
        <v>0</v>
      </c>
      <c r="F229" s="137">
        <v>40771.612961045968</v>
      </c>
      <c r="G229" s="137">
        <v>31816.476163591524</v>
      </c>
      <c r="H229" s="137">
        <v>46173.042264936987</v>
      </c>
      <c r="I229" s="137">
        <v>286186.85543333902</v>
      </c>
    </row>
    <row r="233" spans="1:13" x14ac:dyDescent="0.3">
      <c r="A233" s="134" t="s">
        <v>3</v>
      </c>
      <c r="B233" s="141" t="s">
        <v>1736</v>
      </c>
      <c r="C233" s="141" t="s">
        <v>1737</v>
      </c>
      <c r="D233" s="141" t="s">
        <v>1738</v>
      </c>
      <c r="E233" s="141" t="s">
        <v>1739</v>
      </c>
      <c r="F233" s="141" t="s">
        <v>1740</v>
      </c>
      <c r="G233" s="141" t="s">
        <v>1741</v>
      </c>
      <c r="H233" s="141" t="s">
        <v>1742</v>
      </c>
      <c r="I233" s="141" t="s">
        <v>1743</v>
      </c>
      <c r="J233" s="141" t="s">
        <v>1744</v>
      </c>
      <c r="K233" s="141" t="s">
        <v>1745</v>
      </c>
      <c r="L233" s="141" t="s">
        <v>1746</v>
      </c>
      <c r="M233" s="142" t="s">
        <v>1747</v>
      </c>
    </row>
    <row r="234" spans="1:13" x14ac:dyDescent="0.3">
      <c r="A234" s="134" t="s">
        <v>1748</v>
      </c>
      <c r="B234" s="143">
        <v>1.8951090509795591E-2</v>
      </c>
      <c r="C234" s="143">
        <v>2.0072390161271235E-2</v>
      </c>
      <c r="D234" s="143">
        <v>2.0398899897059994E-2</v>
      </c>
      <c r="E234" s="143">
        <v>3.0194042605155524E-2</v>
      </c>
      <c r="F234" s="143">
        <v>3.7573329011428187E-2</v>
      </c>
      <c r="G234" s="143">
        <v>2.7340351107841054E-2</v>
      </c>
      <c r="H234" s="143">
        <v>9.4125991843117374E-2</v>
      </c>
      <c r="I234" s="143">
        <v>0.18811213010117264</v>
      </c>
      <c r="J234" s="143">
        <v>0.27279731424309567</v>
      </c>
      <c r="K234" s="143">
        <v>0.19303273435048965</v>
      </c>
      <c r="L234" s="143">
        <v>5.4662422643812901E-2</v>
      </c>
      <c r="M234" s="89">
        <v>4.0985893111665443E-2</v>
      </c>
    </row>
    <row r="235" spans="1:13" x14ac:dyDescent="0.3">
      <c r="A235" s="134" t="s">
        <v>373</v>
      </c>
      <c r="B235" s="143">
        <v>0</v>
      </c>
      <c r="C235" s="143">
        <v>0</v>
      </c>
      <c r="D235" s="143">
        <v>0</v>
      </c>
      <c r="E235" s="143">
        <v>0</v>
      </c>
      <c r="F235" s="143">
        <v>0</v>
      </c>
      <c r="G235" s="143">
        <v>5.4819306478374333E-3</v>
      </c>
      <c r="H235" s="143">
        <v>3.4157243342015836E-2</v>
      </c>
      <c r="I235" s="143">
        <v>0.16027457696472894</v>
      </c>
      <c r="J235" s="143">
        <v>0.43169154418002015</v>
      </c>
      <c r="K235" s="143">
        <v>0.32120038164391129</v>
      </c>
      <c r="L235" s="143">
        <v>4.7194575398971872E-2</v>
      </c>
      <c r="M235" s="89">
        <v>0</v>
      </c>
    </row>
    <row r="236" spans="1:13" x14ac:dyDescent="0.3">
      <c r="A236" s="134" t="s">
        <v>418</v>
      </c>
      <c r="B236" s="143">
        <v>9.2125361825374716E-3</v>
      </c>
      <c r="C236" s="143">
        <v>0</v>
      </c>
      <c r="D236" s="143">
        <v>1.9233949749381626E-2</v>
      </c>
      <c r="E236" s="143">
        <v>0</v>
      </c>
      <c r="F236" s="143">
        <v>0</v>
      </c>
      <c r="G236" s="143">
        <v>4.0765256499497547E-3</v>
      </c>
      <c r="H236" s="143">
        <v>0.16716078752946567</v>
      </c>
      <c r="I236" s="143">
        <v>0.22471629386534661</v>
      </c>
      <c r="J236" s="143">
        <v>0.35611373176918232</v>
      </c>
      <c r="K236" s="143">
        <v>0.16864073673426583</v>
      </c>
      <c r="L236" s="143">
        <v>1.9444030984041197E-2</v>
      </c>
      <c r="M236" s="89">
        <v>0</v>
      </c>
    </row>
    <row r="237" spans="1:13" x14ac:dyDescent="0.3">
      <c r="A237" s="134" t="s">
        <v>538</v>
      </c>
      <c r="B237" s="143">
        <v>4.8176636987198262E-2</v>
      </c>
      <c r="C237" s="143">
        <v>6.1353751309187965E-2</v>
      </c>
      <c r="D237" s="143">
        <v>4.4904507704114215E-2</v>
      </c>
      <c r="E237" s="143">
        <v>9.1901069863100232E-2</v>
      </c>
      <c r="F237" s="143">
        <v>0.13240248223293577</v>
      </c>
      <c r="G237" s="143">
        <v>4.5109511183203096E-2</v>
      </c>
      <c r="H237" s="143">
        <v>5.0862839715260739E-2</v>
      </c>
      <c r="I237" s="143">
        <v>0.11852107260909181</v>
      </c>
      <c r="J237" s="143">
        <v>0.13008821881123089</v>
      </c>
      <c r="K237" s="143">
        <v>0.10149987755724875</v>
      </c>
      <c r="L237" s="143">
        <v>6.5887900839373667E-2</v>
      </c>
      <c r="M237" s="89">
        <v>0.1092919508293112</v>
      </c>
    </row>
    <row r="238" spans="1:13" x14ac:dyDescent="0.3">
      <c r="A238" s="134" t="s">
        <v>625</v>
      </c>
      <c r="B238" s="143">
        <v>4.581253407546073E-2</v>
      </c>
      <c r="C238" s="143">
        <v>8.836598711913872E-2</v>
      </c>
      <c r="D238" s="143">
        <v>6.3362474244213512E-2</v>
      </c>
      <c r="E238" s="143">
        <v>8.641559410637624E-2</v>
      </c>
      <c r="F238" s="143">
        <v>0.11523574104142741</v>
      </c>
      <c r="G238" s="143">
        <v>5.5050758765482849E-2</v>
      </c>
      <c r="H238" s="143">
        <v>7.5561662881372033E-2</v>
      </c>
      <c r="I238" s="143">
        <v>9.2981530731386958E-2</v>
      </c>
      <c r="J238" s="143">
        <v>9.8228070762673883E-2</v>
      </c>
      <c r="K238" s="143">
        <v>9.2985816983488262E-2</v>
      </c>
      <c r="L238" s="143">
        <v>7.9982604019048262E-2</v>
      </c>
      <c r="M238" s="89">
        <v>0.10601659168163574</v>
      </c>
    </row>
    <row r="239" spans="1:13" x14ac:dyDescent="0.3">
      <c r="A239" s="134" t="s">
        <v>668</v>
      </c>
      <c r="B239" s="143">
        <v>0</v>
      </c>
      <c r="C239" s="143">
        <v>0</v>
      </c>
      <c r="D239" s="143">
        <v>0</v>
      </c>
      <c r="E239" s="143">
        <v>0</v>
      </c>
      <c r="F239" s="143">
        <v>0</v>
      </c>
      <c r="G239" s="143">
        <v>1.2844111929466618E-2</v>
      </c>
      <c r="H239" s="143">
        <v>0.14927831065365926</v>
      </c>
      <c r="I239" s="143">
        <v>0.27728413875629065</v>
      </c>
      <c r="J239" s="143">
        <v>0.32860553610692789</v>
      </c>
      <c r="K239" s="143">
        <v>0.21968485499684401</v>
      </c>
      <c r="L239" s="143">
        <v>1.2303020067228294E-2</v>
      </c>
      <c r="M239" s="89">
        <v>0</v>
      </c>
    </row>
    <row r="240" spans="1:13" x14ac:dyDescent="0.3">
      <c r="A240" s="134" t="s">
        <v>695</v>
      </c>
      <c r="B240" s="143">
        <v>0</v>
      </c>
      <c r="C240" s="143">
        <v>0</v>
      </c>
      <c r="D240" s="143">
        <v>0</v>
      </c>
      <c r="E240" s="143">
        <v>0</v>
      </c>
      <c r="F240" s="143">
        <v>0</v>
      </c>
      <c r="G240" s="143">
        <v>2.8890804664116584E-2</v>
      </c>
      <c r="H240" s="143">
        <v>0.12019187534366529</v>
      </c>
      <c r="I240" s="143">
        <v>0.32100494741491814</v>
      </c>
      <c r="J240" s="143">
        <v>0.30145733327674495</v>
      </c>
      <c r="K240" s="143">
        <v>0.20428271733016184</v>
      </c>
      <c r="L240" s="143">
        <v>2.4172593623600375E-2</v>
      </c>
      <c r="M240" s="89">
        <v>0</v>
      </c>
    </row>
    <row r="241" spans="1:13" x14ac:dyDescent="0.3">
      <c r="A241" s="134" t="s">
        <v>711</v>
      </c>
      <c r="B241" s="143">
        <v>8.1890927706282896E-2</v>
      </c>
      <c r="C241" s="143">
        <v>6.1007284919591821E-2</v>
      </c>
      <c r="D241" s="143">
        <v>3.8041983048526261E-2</v>
      </c>
      <c r="E241" s="143">
        <v>0.10144528812940336</v>
      </c>
      <c r="F241" s="143">
        <v>0.14170089737115671</v>
      </c>
      <c r="G241" s="143">
        <v>2.7135170086679074E-2</v>
      </c>
      <c r="H241" s="143">
        <v>0.13948727117792958</v>
      </c>
      <c r="I241" s="143">
        <v>7.3870339903825397E-2</v>
      </c>
      <c r="J241" s="143">
        <v>0.11412594914557878</v>
      </c>
      <c r="K241" s="143">
        <v>0.10144528812940336</v>
      </c>
      <c r="L241" s="143">
        <v>7.6083966097052522E-2</v>
      </c>
      <c r="M241" s="89">
        <v>4.3765269235124804E-2</v>
      </c>
    </row>
    <row r="242" spans="1:13" x14ac:dyDescent="0.3">
      <c r="A242" s="134" t="s">
        <v>856</v>
      </c>
      <c r="B242" s="143">
        <v>1.3216618073489799E-2</v>
      </c>
      <c r="C242" s="143">
        <v>6.6083090367449002E-3</v>
      </c>
      <c r="D242" s="143">
        <v>2.5158196307004468E-2</v>
      </c>
      <c r="E242" s="143">
        <v>4.625816325721431E-2</v>
      </c>
      <c r="F242" s="143">
        <v>3.3041545183724499E-2</v>
      </c>
      <c r="G242" s="143">
        <v>4.2062562708936588E-2</v>
      </c>
      <c r="H242" s="143">
        <v>7.6911864271459837E-2</v>
      </c>
      <c r="I242" s="143">
        <v>0.14538279880838778</v>
      </c>
      <c r="J242" s="143">
        <v>0.2621267870600123</v>
      </c>
      <c r="K242" s="143">
        <v>0.18026948642761917</v>
      </c>
      <c r="L242" s="143">
        <v>8.7004588065098379E-2</v>
      </c>
      <c r="M242" s="89">
        <v>8.1958948620730762E-2</v>
      </c>
    </row>
    <row r="243" spans="1:13" x14ac:dyDescent="0.3">
      <c r="A243" s="134" t="s">
        <v>895</v>
      </c>
      <c r="B243" s="143">
        <v>9.3495934959349589E-2</v>
      </c>
      <c r="C243" s="143">
        <v>5.0135501355013552E-2</v>
      </c>
      <c r="D243" s="143">
        <v>0.12330623306233063</v>
      </c>
      <c r="E243" s="143">
        <v>5.4200542005420058E-2</v>
      </c>
      <c r="F243" s="143">
        <v>7.7235772357723581E-2</v>
      </c>
      <c r="G243" s="143">
        <v>8.943089430894309E-2</v>
      </c>
      <c r="H243" s="143">
        <v>0.1043360433604336</v>
      </c>
      <c r="I243" s="143">
        <v>6.097560975609756E-2</v>
      </c>
      <c r="J243" s="143">
        <v>7.4525745257452577E-2</v>
      </c>
      <c r="K243" s="143">
        <v>7.9945799457994585E-2</v>
      </c>
      <c r="L243" s="143">
        <v>9.0785907859078585E-2</v>
      </c>
      <c r="M243" s="89">
        <v>0.1016260162601626</v>
      </c>
    </row>
    <row r="244" spans="1:13" x14ac:dyDescent="0.3">
      <c r="A244" s="134" t="s">
        <v>963</v>
      </c>
      <c r="B244" s="143">
        <v>0</v>
      </c>
      <c r="C244" s="143">
        <v>0</v>
      </c>
      <c r="D244" s="143">
        <v>0</v>
      </c>
      <c r="E244" s="143">
        <v>0</v>
      </c>
      <c r="F244" s="143">
        <v>0</v>
      </c>
      <c r="G244" s="143">
        <v>0</v>
      </c>
      <c r="H244" s="143">
        <v>0.18257463723928827</v>
      </c>
      <c r="I244" s="143">
        <v>0.44955123663210012</v>
      </c>
      <c r="J244" s="143">
        <v>0.3173122104274802</v>
      </c>
      <c r="K244" s="143">
        <v>5.0560963345151165E-2</v>
      </c>
      <c r="L244" s="143">
        <v>0</v>
      </c>
      <c r="M244" s="89">
        <v>0</v>
      </c>
    </row>
    <row r="245" spans="1:13" x14ac:dyDescent="0.3">
      <c r="A245" s="134" t="s">
        <v>1000</v>
      </c>
      <c r="B245" s="143">
        <v>5.1364336785009859E-2</v>
      </c>
      <c r="C245" s="143">
        <v>7.0625963079388551E-2</v>
      </c>
      <c r="D245" s="143">
        <v>3.5312981539694276E-2</v>
      </c>
      <c r="E245" s="143">
        <v>0.12841084196252464</v>
      </c>
      <c r="F245" s="143">
        <v>0.15890841692862426</v>
      </c>
      <c r="G245" s="143">
        <v>5.9390014407667648E-2</v>
      </c>
      <c r="H245" s="143">
        <v>5.1364336785009859E-2</v>
      </c>
      <c r="I245" s="143">
        <v>5.778487888313609E-2</v>
      </c>
      <c r="J245" s="143">
        <v>7.8651640702046346E-2</v>
      </c>
      <c r="K245" s="143">
        <v>5.2969472309541417E-2</v>
      </c>
      <c r="L245" s="143">
        <v>0.11556975776627218</v>
      </c>
      <c r="M245" s="89">
        <v>0.13964679063424557</v>
      </c>
    </row>
    <row r="246" spans="1:13" x14ac:dyDescent="0.3">
      <c r="A246" s="134" t="s">
        <v>1028</v>
      </c>
      <c r="B246" s="143">
        <v>4.3735347898384923E-2</v>
      </c>
      <c r="C246" s="143">
        <v>9.4374240213367072E-2</v>
      </c>
      <c r="D246" s="143">
        <v>6.1890438631671194E-2</v>
      </c>
      <c r="E246" s="143">
        <v>8.9384982769975169E-2</v>
      </c>
      <c r="F246" s="143">
        <v>0.13936094181496883</v>
      </c>
      <c r="G246" s="143">
        <v>5.5489542349181797E-2</v>
      </c>
      <c r="H246" s="143">
        <v>6.1890438631671194E-2</v>
      </c>
      <c r="I246" s="143">
        <v>7.4268526358005432E-2</v>
      </c>
      <c r="J246" s="143">
        <v>0.10530929808580219</v>
      </c>
      <c r="K246" s="143">
        <v>8.6647575183294967E-2</v>
      </c>
      <c r="L246" s="143">
        <v>6.189808734715168E-2</v>
      </c>
      <c r="M246" s="89">
        <v>0.12574883266459574</v>
      </c>
    </row>
    <row r="247" spans="1:13" x14ac:dyDescent="0.3">
      <c r="A247" s="134" t="s">
        <v>1061</v>
      </c>
      <c r="B247" s="143">
        <v>1.5830227966883187E-2</v>
      </c>
      <c r="C247" s="143">
        <v>1.0826294478235103E-2</v>
      </c>
      <c r="D247" s="143">
        <v>5.6708710995920075E-3</v>
      </c>
      <c r="E247" s="143">
        <v>2.7102224155545231E-2</v>
      </c>
      <c r="F247" s="143">
        <v>2.4754509219873645E-2</v>
      </c>
      <c r="G247" s="143">
        <v>1.6937075732515589E-2</v>
      </c>
      <c r="H247" s="143">
        <v>0.16154035304061698</v>
      </c>
      <c r="I247" s="143">
        <v>0.19111398508563199</v>
      </c>
      <c r="J247" s="143">
        <v>0.29687046097564374</v>
      </c>
      <c r="K247" s="143">
        <v>0.17433226590123937</v>
      </c>
      <c r="L247" s="143">
        <v>4.4602319850973425E-2</v>
      </c>
      <c r="M247" s="89">
        <v>3.041876042941748E-2</v>
      </c>
    </row>
    <row r="248" spans="1:13" x14ac:dyDescent="0.3">
      <c r="A248" s="134" t="s">
        <v>1114</v>
      </c>
      <c r="B248" s="143">
        <v>0</v>
      </c>
      <c r="C248" s="143">
        <v>0</v>
      </c>
      <c r="D248" s="143">
        <v>3.3018529063594091E-3</v>
      </c>
      <c r="E248" s="143">
        <v>8.416856649148383E-3</v>
      </c>
      <c r="F248" s="143">
        <v>0</v>
      </c>
      <c r="G248" s="143">
        <v>2.0936960691526809E-2</v>
      </c>
      <c r="H248" s="143">
        <v>9.9258793391909572E-2</v>
      </c>
      <c r="I248" s="143">
        <v>0.31643059286727909</v>
      </c>
      <c r="J248" s="143">
        <v>0.30321525519668618</v>
      </c>
      <c r="K248" s="143">
        <v>0.18952189746469894</v>
      </c>
      <c r="L248" s="143">
        <v>4.2084283245741913E-2</v>
      </c>
      <c r="M248" s="89">
        <v>1.6833713298296762E-2</v>
      </c>
    </row>
    <row r="249" spans="1:13" x14ac:dyDescent="0.3">
      <c r="A249" s="134" t="s">
        <v>1120</v>
      </c>
      <c r="B249" s="143">
        <v>0</v>
      </c>
      <c r="C249" s="143">
        <v>0</v>
      </c>
      <c r="D249" s="143">
        <v>0</v>
      </c>
      <c r="E249" s="143">
        <v>0</v>
      </c>
      <c r="F249" s="143">
        <v>0</v>
      </c>
      <c r="G249" s="143">
        <v>1.0381811336111969E-2</v>
      </c>
      <c r="H249" s="143">
        <v>3.6057237318996876E-2</v>
      </c>
      <c r="I249" s="143">
        <v>0.18521528110323587</v>
      </c>
      <c r="J249" s="143">
        <v>0.36622742578220591</v>
      </c>
      <c r="K249" s="143">
        <v>0.30866859243901684</v>
      </c>
      <c r="L249" s="143">
        <v>7.0566935656581398E-2</v>
      </c>
      <c r="M249" s="89">
        <v>2.2883070068887252E-2</v>
      </c>
    </row>
    <row r="252" spans="1:13" x14ac:dyDescent="0.3">
      <c r="A252" s="134" t="s">
        <v>1750</v>
      </c>
      <c r="B252" s="146" t="s">
        <v>1751</v>
      </c>
      <c r="C252" s="147" t="s">
        <v>1752</v>
      </c>
    </row>
    <row r="253" spans="1:13" x14ac:dyDescent="0.3">
      <c r="A253" s="34">
        <v>1</v>
      </c>
      <c r="B253" s="116">
        <v>6462.2121464691199</v>
      </c>
      <c r="C253" s="123">
        <v>1.8951090509795591E-2</v>
      </c>
    </row>
    <row r="254" spans="1:13" x14ac:dyDescent="0.3">
      <c r="A254" s="34">
        <v>2</v>
      </c>
      <c r="B254" s="116">
        <v>6844.5688358560483</v>
      </c>
      <c r="C254" s="123">
        <v>2.0072390161271235E-2</v>
      </c>
    </row>
    <row r="255" spans="1:13" x14ac:dyDescent="0.3">
      <c r="A255" s="34">
        <v>3</v>
      </c>
      <c r="B255" s="116">
        <v>6955.9067654313376</v>
      </c>
      <c r="C255" s="123">
        <v>2.0398899897059994E-2</v>
      </c>
    </row>
    <row r="256" spans="1:13" x14ac:dyDescent="0.3">
      <c r="A256" s="34">
        <v>4</v>
      </c>
      <c r="B256" s="116">
        <v>10295.993719896318</v>
      </c>
      <c r="C256" s="123">
        <v>3.0194042605155524E-2</v>
      </c>
    </row>
    <row r="257" spans="1:38" x14ac:dyDescent="0.3">
      <c r="A257" s="34">
        <v>5</v>
      </c>
      <c r="B257" s="116">
        <v>12812.287662043926</v>
      </c>
      <c r="C257" s="123">
        <v>3.7573329011428187E-2</v>
      </c>
    </row>
    <row r="258" spans="1:38" x14ac:dyDescent="0.3">
      <c r="A258" s="34">
        <v>6</v>
      </c>
      <c r="B258" s="116">
        <v>9322.9014407639279</v>
      </c>
      <c r="C258" s="123">
        <v>2.7340351107841054E-2</v>
      </c>
    </row>
    <row r="259" spans="1:38" x14ac:dyDescent="0.3">
      <c r="A259" s="34">
        <v>7</v>
      </c>
      <c r="B259" s="116">
        <v>32096.418275910979</v>
      </c>
      <c r="C259" s="123">
        <v>9.4125991843117374E-2</v>
      </c>
    </row>
    <row r="260" spans="1:38" x14ac:dyDescent="0.3">
      <c r="A260" s="34">
        <v>8</v>
      </c>
      <c r="B260" s="116">
        <v>64145.147288998356</v>
      </c>
      <c r="C260" s="123">
        <v>0.18811213010117264</v>
      </c>
    </row>
    <row r="261" spans="1:38" x14ac:dyDescent="0.3">
      <c r="A261" s="34">
        <v>9</v>
      </c>
      <c r="B261" s="116">
        <v>93022.304796374519</v>
      </c>
      <c r="C261" s="123">
        <v>0.27279731424309567</v>
      </c>
    </row>
    <row r="262" spans="1:38" x14ac:dyDescent="0.3">
      <c r="A262" s="34">
        <v>10</v>
      </c>
      <c r="B262" s="116">
        <v>65823.044850168662</v>
      </c>
      <c r="C262" s="123">
        <v>0.19303273435048965</v>
      </c>
    </row>
    <row r="263" spans="1:38" x14ac:dyDescent="0.3">
      <c r="A263" s="34">
        <v>11</v>
      </c>
      <c r="B263" s="116">
        <v>18639.569653350067</v>
      </c>
      <c r="C263" s="123">
        <v>5.4662422643812901E-2</v>
      </c>
    </row>
    <row r="264" spans="1:38" x14ac:dyDescent="0.3">
      <c r="A264" s="34">
        <v>12</v>
      </c>
      <c r="B264" s="116">
        <v>13975.952263179088</v>
      </c>
      <c r="C264" s="123">
        <v>4.0985893111665443E-2</v>
      </c>
    </row>
    <row r="267" spans="1:38" x14ac:dyDescent="0.3">
      <c r="A267" s="156" t="s">
        <v>3</v>
      </c>
      <c r="B267" s="156" t="s">
        <v>1389</v>
      </c>
      <c r="C267" s="156" t="s">
        <v>1391</v>
      </c>
      <c r="D267" s="134" t="s">
        <v>1318</v>
      </c>
      <c r="E267" s="134" t="s">
        <v>1392</v>
      </c>
      <c r="F267" s="134" t="s">
        <v>1393</v>
      </c>
      <c r="G267" s="134" t="s">
        <v>1394</v>
      </c>
      <c r="H267" s="134" t="s">
        <v>1395</v>
      </c>
      <c r="I267" s="134" t="s">
        <v>1322</v>
      </c>
      <c r="J267" s="134" t="s">
        <v>1397</v>
      </c>
      <c r="K267" s="134" t="s">
        <v>1398</v>
      </c>
      <c r="L267" s="134" t="s">
        <v>1321</v>
      </c>
      <c r="M267" s="134" t="s">
        <v>1427</v>
      </c>
      <c r="N267" s="134" t="s">
        <v>1399</v>
      </c>
      <c r="O267" s="134" t="s">
        <v>1400</v>
      </c>
      <c r="P267" s="134" t="s">
        <v>1445</v>
      </c>
      <c r="Q267" s="134" t="s">
        <v>1401</v>
      </c>
      <c r="R267" s="134" t="s">
        <v>1441</v>
      </c>
      <c r="S267" s="134" t="s">
        <v>1440</v>
      </c>
      <c r="T267" s="134" t="s">
        <v>1426</v>
      </c>
      <c r="U267" s="134" t="s">
        <v>1322</v>
      </c>
      <c r="V267" s="134" t="s">
        <v>1428</v>
      </c>
      <c r="W267" s="156" t="s">
        <v>1402</v>
      </c>
      <c r="X267" s="156" t="s">
        <v>1403</v>
      </c>
      <c r="Y267" s="184"/>
      <c r="Z267" s="150"/>
      <c r="AA267" s="150"/>
      <c r="AB267" s="150" t="s">
        <v>1407</v>
      </c>
      <c r="AC267" s="151" t="s">
        <v>1408</v>
      </c>
      <c r="AD267" s="151" t="s">
        <v>1410</v>
      </c>
      <c r="AE267" s="151" t="s">
        <v>1411</v>
      </c>
      <c r="AF267" s="151" t="s">
        <v>71</v>
      </c>
      <c r="AG267" s="151" t="s">
        <v>1419</v>
      </c>
      <c r="AH267" s="151" t="s">
        <v>1420</v>
      </c>
      <c r="AI267" s="151" t="s">
        <v>1421</v>
      </c>
      <c r="AJ267" s="151" t="s">
        <v>1422</v>
      </c>
      <c r="AK267" s="151" t="s">
        <v>1423</v>
      </c>
      <c r="AL267" s="151" t="s">
        <v>1416</v>
      </c>
    </row>
    <row r="268" spans="1:38" x14ac:dyDescent="0.3">
      <c r="A268" s="34" t="s">
        <v>1000</v>
      </c>
      <c r="B268" s="137"/>
      <c r="C268" s="152">
        <v>46332</v>
      </c>
      <c r="D268" s="153">
        <v>129</v>
      </c>
      <c r="E268" s="34"/>
      <c r="F268" s="34" t="s">
        <v>1325</v>
      </c>
      <c r="G268" s="34">
        <v>0</v>
      </c>
      <c r="H268" s="137">
        <v>150000000</v>
      </c>
      <c r="I268" s="137">
        <v>12256230</v>
      </c>
      <c r="J268" s="137">
        <v>250000.5</v>
      </c>
      <c r="K268" s="137">
        <v>250000.5</v>
      </c>
      <c r="L268" s="137">
        <v>250000</v>
      </c>
      <c r="M268" s="137"/>
      <c r="N268" s="34">
        <v>0</v>
      </c>
      <c r="O268" s="34">
        <v>102.4</v>
      </c>
      <c r="P268" s="154">
        <v>8.1708199999999995E-2</v>
      </c>
      <c r="Q268" s="155">
        <v>1.6666700000000001E-3</v>
      </c>
      <c r="R268" s="155">
        <v>4.3428769999999998E-2</v>
      </c>
      <c r="S268" s="155">
        <v>0</v>
      </c>
      <c r="T268" s="34">
        <v>6.8990380000000004E-2</v>
      </c>
      <c r="U268" s="155">
        <v>20427.090854099999</v>
      </c>
      <c r="V268" s="137">
        <v>87500.175000000003</v>
      </c>
      <c r="W268" s="137">
        <v>256000.51200000002</v>
      </c>
      <c r="X268" s="137">
        <v>1946.8788937500001</v>
      </c>
      <c r="Y268" s="185">
        <v>20829.125148716455</v>
      </c>
      <c r="Z268" s="137">
        <v>0</v>
      </c>
      <c r="AA268" s="137">
        <v>250000.5</v>
      </c>
      <c r="AB268" s="137">
        <v>6.2500125000000004E-2</v>
      </c>
      <c r="AC268" s="155">
        <v>0</v>
      </c>
      <c r="AD268" s="34">
        <v>0</v>
      </c>
      <c r="AE268" s="34">
        <v>0</v>
      </c>
      <c r="AF268" s="34">
        <v>0</v>
      </c>
      <c r="AG268" s="34">
        <v>0</v>
      </c>
      <c r="AH268" s="34">
        <v>9.5308671589877159E-2</v>
      </c>
      <c r="AI268" s="155">
        <v>57500.114999999998</v>
      </c>
      <c r="AJ268" s="137">
        <v>18480.21196035</v>
      </c>
      <c r="AK268" s="137">
        <v>0.32139434782608695</v>
      </c>
      <c r="AL268" s="155" t="s">
        <v>1003</v>
      </c>
    </row>
    <row r="269" spans="1:38" x14ac:dyDescent="0.3">
      <c r="A269" s="34" t="s">
        <v>538</v>
      </c>
      <c r="B269" s="137"/>
      <c r="C269" s="152">
        <v>46484</v>
      </c>
      <c r="D269" s="153">
        <v>281</v>
      </c>
      <c r="E269" s="34"/>
      <c r="F269" s="34" t="s">
        <v>1325</v>
      </c>
      <c r="G269" s="34">
        <v>0</v>
      </c>
      <c r="H269" s="137">
        <v>250000000</v>
      </c>
      <c r="I269" s="137">
        <v>9300714</v>
      </c>
      <c r="J269" s="137">
        <v>250000</v>
      </c>
      <c r="K269" s="137">
        <v>250000</v>
      </c>
      <c r="L269" s="137">
        <v>250000</v>
      </c>
      <c r="M269" s="137"/>
      <c r="N269" s="34">
        <v>0</v>
      </c>
      <c r="O269" s="34">
        <v>103.85</v>
      </c>
      <c r="P269" s="154">
        <v>9.3007140000000002E-2</v>
      </c>
      <c r="Q269" s="155">
        <v>2.5000000000000001E-3</v>
      </c>
      <c r="R269" s="155">
        <v>5.4388600000000002E-2</v>
      </c>
      <c r="S269" s="155">
        <v>0</v>
      </c>
      <c r="T269" s="34">
        <v>7.5250440000000002E-2</v>
      </c>
      <c r="U269" s="155">
        <v>23251.785</v>
      </c>
      <c r="V269" s="137">
        <v>139570.60800681467</v>
      </c>
      <c r="W269" s="137">
        <v>259625</v>
      </c>
      <c r="X269" s="137">
        <v>1669.5596988802561</v>
      </c>
      <c r="Y269" s="185">
        <v>19286.86242884555</v>
      </c>
      <c r="Z269" s="137">
        <v>0</v>
      </c>
      <c r="AA269" s="137">
        <v>250000</v>
      </c>
      <c r="AB269" s="137">
        <v>6.25E-2</v>
      </c>
      <c r="AC269" s="155">
        <v>0</v>
      </c>
      <c r="AD269" s="34">
        <v>0</v>
      </c>
      <c r="AE269" s="34">
        <v>0</v>
      </c>
      <c r="AF269" s="34">
        <v>0</v>
      </c>
      <c r="AG269" s="34">
        <v>0</v>
      </c>
      <c r="AH269" s="34">
        <v>7.1803506650360657E-2</v>
      </c>
      <c r="AI269" s="155">
        <v>99626.58540696316</v>
      </c>
      <c r="AJ269" s="137">
        <v>21582.225301119743</v>
      </c>
      <c r="AK269" s="137">
        <v>0.21663118547081414</v>
      </c>
      <c r="AL269" s="155" t="s">
        <v>541</v>
      </c>
    </row>
    <row r="270" spans="1:38" x14ac:dyDescent="0.3">
      <c r="A270" s="34" t="s">
        <v>668</v>
      </c>
      <c r="B270" s="137"/>
      <c r="C270" s="152">
        <v>46395</v>
      </c>
      <c r="D270" s="153">
        <v>192</v>
      </c>
      <c r="E270" s="34"/>
      <c r="F270" s="34" t="s">
        <v>1325</v>
      </c>
      <c r="G270" s="34">
        <v>0</v>
      </c>
      <c r="H270" s="137">
        <v>600000000</v>
      </c>
      <c r="I270" s="137">
        <v>18120000</v>
      </c>
      <c r="J270" s="137">
        <v>250000</v>
      </c>
      <c r="K270" s="137">
        <v>250000</v>
      </c>
      <c r="L270" s="137">
        <v>250000</v>
      </c>
      <c r="M270" s="137"/>
      <c r="N270" s="34">
        <v>0</v>
      </c>
      <c r="O270" s="34">
        <v>102.85</v>
      </c>
      <c r="P270" s="154">
        <v>9.06E-2</v>
      </c>
      <c r="Q270" s="155">
        <v>1.25E-3</v>
      </c>
      <c r="R270" s="155">
        <v>5.2493049999999999E-2</v>
      </c>
      <c r="S270" s="155">
        <v>0</v>
      </c>
      <c r="T270" s="34">
        <v>7.6703099999999996E-2</v>
      </c>
      <c r="U270" s="155">
        <v>22650</v>
      </c>
      <c r="V270" s="137">
        <v>124999.99875000003</v>
      </c>
      <c r="W270" s="137">
        <v>257125</v>
      </c>
      <c r="X270" s="137">
        <v>5261.3498553676918</v>
      </c>
      <c r="Y270" s="185">
        <v>34138.576508037746</v>
      </c>
      <c r="Z270" s="137">
        <v>249999.99750000006</v>
      </c>
      <c r="AA270" s="137">
        <v>249999.99750000008</v>
      </c>
      <c r="AB270" s="137">
        <v>6.25E-2</v>
      </c>
      <c r="AC270" s="155">
        <v>0</v>
      </c>
      <c r="AD270" s="34">
        <v>0</v>
      </c>
      <c r="AE270" s="34">
        <v>0</v>
      </c>
      <c r="AF270" s="34">
        <v>0</v>
      </c>
      <c r="AG270" s="34">
        <v>0</v>
      </c>
      <c r="AH270" s="34">
        <v>0.2322891768374257</v>
      </c>
      <c r="AI270" s="155">
        <v>42756.66036757746</v>
      </c>
      <c r="AJ270" s="137">
        <v>17388.650144632309</v>
      </c>
      <c r="AK270" s="137">
        <v>0.40668868885321524</v>
      </c>
      <c r="AL270" s="155" t="s">
        <v>671</v>
      </c>
    </row>
    <row r="271" spans="1:38" x14ac:dyDescent="0.3">
      <c r="A271" s="34" t="s">
        <v>963</v>
      </c>
      <c r="B271" s="137"/>
      <c r="C271" s="152">
        <v>46395</v>
      </c>
      <c r="D271" s="153">
        <v>192</v>
      </c>
      <c r="E271" s="34"/>
      <c r="F271" s="34" t="s">
        <v>1325</v>
      </c>
      <c r="G271" s="34">
        <v>0</v>
      </c>
      <c r="H271" s="137">
        <v>400000000</v>
      </c>
      <c r="I271" s="137">
        <v>20017500</v>
      </c>
      <c r="J271" s="137">
        <v>249999.45</v>
      </c>
      <c r="K271" s="137">
        <v>249999.45</v>
      </c>
      <c r="L271" s="137">
        <v>250000</v>
      </c>
      <c r="M271" s="137"/>
      <c r="N271" s="34">
        <v>0</v>
      </c>
      <c r="O271" s="34">
        <v>102.3</v>
      </c>
      <c r="P271" s="154">
        <v>7.85E-2</v>
      </c>
      <c r="Q271" s="155">
        <v>9.8039000000000004E-4</v>
      </c>
      <c r="R271" s="155">
        <v>4.0195000000000002E-2</v>
      </c>
      <c r="S271" s="155">
        <v>0</v>
      </c>
      <c r="T271" s="34">
        <v>6.7969870000000002E-2</v>
      </c>
      <c r="U271" s="155">
        <v>19624.956825000001</v>
      </c>
      <c r="V271" s="137">
        <v>0</v>
      </c>
      <c r="W271" s="137">
        <v>255749.43734999999</v>
      </c>
      <c r="X271" s="137">
        <v>407.35961204826805</v>
      </c>
      <c r="Y271" s="185">
        <v>9001.9858960103265</v>
      </c>
      <c r="Z271" s="137">
        <v>0</v>
      </c>
      <c r="AA271" s="137">
        <v>97412.904708811286</v>
      </c>
      <c r="AB271" s="137">
        <v>6.2499862500000003E-2</v>
      </c>
      <c r="AC271" s="155">
        <v>0</v>
      </c>
      <c r="AD271" s="34">
        <v>0</v>
      </c>
      <c r="AE271" s="34">
        <v>0</v>
      </c>
      <c r="AF271" s="34">
        <v>0</v>
      </c>
      <c r="AG271" s="34">
        <v>0</v>
      </c>
      <c r="AH271" s="34">
        <v>2.0757223349879551E-2</v>
      </c>
      <c r="AI271" s="155">
        <v>1203.7957702624742</v>
      </c>
      <c r="AJ271" s="137">
        <v>19217.597212951732</v>
      </c>
      <c r="AK271" s="137">
        <v>15.964167417502679</v>
      </c>
      <c r="AL271" s="155" t="s">
        <v>966</v>
      </c>
    </row>
    <row r="272" spans="1:38" x14ac:dyDescent="0.3">
      <c r="A272" s="34" t="s">
        <v>1061</v>
      </c>
      <c r="B272" s="137"/>
      <c r="C272" s="152">
        <v>46395</v>
      </c>
      <c r="D272" s="153">
        <v>192</v>
      </c>
      <c r="E272" s="34"/>
      <c r="F272" s="34" t="s">
        <v>1325</v>
      </c>
      <c r="G272" s="34">
        <v>0</v>
      </c>
      <c r="H272" s="137">
        <v>301000000</v>
      </c>
      <c r="I272" s="137">
        <v>20180000</v>
      </c>
      <c r="J272" s="137">
        <v>250000</v>
      </c>
      <c r="K272" s="137">
        <v>250000</v>
      </c>
      <c r="L272" s="137">
        <v>250000</v>
      </c>
      <c r="M272" s="137"/>
      <c r="N272" s="34">
        <v>0</v>
      </c>
      <c r="O272" s="34">
        <v>103.1</v>
      </c>
      <c r="P272" s="154">
        <v>0.1009</v>
      </c>
      <c r="Q272" s="155">
        <v>1.25E-3</v>
      </c>
      <c r="R272" s="155">
        <v>6.2344139999999999E-2</v>
      </c>
      <c r="S272" s="155">
        <v>0</v>
      </c>
      <c r="T272" s="34">
        <v>8.4681469999999995E-2</v>
      </c>
      <c r="U272" s="155">
        <v>25225.000000000004</v>
      </c>
      <c r="V272" s="137">
        <v>231719.34507808808</v>
      </c>
      <c r="W272" s="137">
        <v>257750</v>
      </c>
      <c r="X272" s="137">
        <v>3592.3576575519778</v>
      </c>
      <c r="Y272" s="185">
        <v>28646.096371683623</v>
      </c>
      <c r="Z272" s="137">
        <v>250000.00103749998</v>
      </c>
      <c r="AA272" s="137">
        <v>250000.00103749998</v>
      </c>
      <c r="AB272" s="137">
        <v>6.25E-2</v>
      </c>
      <c r="AC272" s="155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0.14241259296539058</v>
      </c>
      <c r="AI272" s="155">
        <v>142091.66784942264</v>
      </c>
      <c r="AJ272" s="137">
        <v>21632.642342448027</v>
      </c>
      <c r="AK272" s="137">
        <v>0.15224427068709312</v>
      </c>
      <c r="AL272" s="155" t="s">
        <v>1064</v>
      </c>
    </row>
    <row r="273" spans="1:86" x14ac:dyDescent="0.3">
      <c r="A273" s="34" t="s">
        <v>1114</v>
      </c>
      <c r="B273" s="137"/>
      <c r="C273" s="152">
        <v>46849</v>
      </c>
      <c r="D273" s="153">
        <v>646</v>
      </c>
      <c r="E273" s="34"/>
      <c r="F273" s="34" t="s">
        <v>1325</v>
      </c>
      <c r="G273" s="34">
        <v>0</v>
      </c>
      <c r="H273" s="137">
        <v>300000000</v>
      </c>
      <c r="I273" s="137">
        <v>17920000</v>
      </c>
      <c r="J273" s="137">
        <v>250000</v>
      </c>
      <c r="K273" s="137">
        <v>250000</v>
      </c>
      <c r="L273" s="137">
        <v>250000</v>
      </c>
      <c r="M273" s="137"/>
      <c r="N273" s="34">
        <v>0</v>
      </c>
      <c r="O273" s="34">
        <v>100.65</v>
      </c>
      <c r="P273" s="154">
        <v>8.9599999999999999E-2</v>
      </c>
      <c r="Q273" s="155">
        <v>1.25E-3</v>
      </c>
      <c r="R273" s="155">
        <v>5.1341879999999999E-2</v>
      </c>
      <c r="S273" s="155">
        <v>0</v>
      </c>
      <c r="T273" s="34">
        <v>9.0424110000000002E-2</v>
      </c>
      <c r="U273" s="155">
        <v>22400</v>
      </c>
      <c r="V273" s="137">
        <v>187890.09220890724</v>
      </c>
      <c r="W273" s="137">
        <v>251625</v>
      </c>
      <c r="X273" s="137">
        <v>2970.2306110109012</v>
      </c>
      <c r="Y273" s="185">
        <v>25886.925799512042</v>
      </c>
      <c r="Z273" s="137">
        <v>212102.31331062448</v>
      </c>
      <c r="AA273" s="137">
        <v>250000.00125</v>
      </c>
      <c r="AB273" s="137">
        <v>6.25E-2</v>
      </c>
      <c r="AC273" s="155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0.13259958084870094</v>
      </c>
      <c r="AI273" s="155">
        <v>79021.406869956365</v>
      </c>
      <c r="AJ273" s="137">
        <v>19429.769388989098</v>
      </c>
      <c r="AK273" s="137">
        <v>0.24587982115990675</v>
      </c>
      <c r="AL273" s="155" t="s">
        <v>1117</v>
      </c>
    </row>
    <row r="274" spans="1:86" x14ac:dyDescent="0.3">
      <c r="A274" s="34" t="s">
        <v>373</v>
      </c>
      <c r="B274" s="137"/>
      <c r="C274" s="152">
        <v>46575</v>
      </c>
      <c r="D274" s="153">
        <v>372</v>
      </c>
      <c r="E274" s="34"/>
      <c r="F274" s="34" t="s">
        <v>1325</v>
      </c>
      <c r="G274" s="34">
        <v>200000000</v>
      </c>
      <c r="H274" s="137">
        <v>200000000</v>
      </c>
      <c r="I274" s="137">
        <v>20049718.5</v>
      </c>
      <c r="J274" s="137">
        <v>250000.5</v>
      </c>
      <c r="K274" s="137">
        <v>250000.5</v>
      </c>
      <c r="L274" s="137">
        <v>250000</v>
      </c>
      <c r="M274" s="137"/>
      <c r="N274" s="34">
        <v>0</v>
      </c>
      <c r="O274" s="34">
        <v>100.1</v>
      </c>
      <c r="P274" s="154">
        <v>0.13366479000000001</v>
      </c>
      <c r="Q274" s="155">
        <v>1.6666700000000001E-3</v>
      </c>
      <c r="R274" s="155">
        <v>9.4942250000000006E-2</v>
      </c>
      <c r="S274" s="155">
        <v>0</v>
      </c>
      <c r="T274" s="34">
        <v>0.13305328999999999</v>
      </c>
      <c r="U274" s="155">
        <v>33416.264332395003</v>
      </c>
      <c r="V274" s="137">
        <v>73727.295183409253</v>
      </c>
      <c r="W274" s="137">
        <v>250250.50049999997</v>
      </c>
      <c r="X274" s="137">
        <v>4186.0910556376521</v>
      </c>
      <c r="Y274" s="185">
        <v>28308.701808495542</v>
      </c>
      <c r="Z274" s="137">
        <v>209612.74096868146</v>
      </c>
      <c r="AA274" s="137">
        <v>250000.5</v>
      </c>
      <c r="AB274" s="137">
        <v>6.2500125000000004E-2</v>
      </c>
      <c r="AC274" s="155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0.12527106602934954</v>
      </c>
      <c r="AI274" s="155">
        <v>76091.341941543214</v>
      </c>
      <c r="AJ274" s="137">
        <v>29230.173276757352</v>
      </c>
      <c r="AK274" s="137">
        <v>0.38414585064373402</v>
      </c>
      <c r="AL274" s="155" t="s">
        <v>375</v>
      </c>
    </row>
    <row r="275" spans="1:86" x14ac:dyDescent="0.3">
      <c r="A275" s="34" t="s">
        <v>895</v>
      </c>
      <c r="B275" s="137"/>
      <c r="C275" s="152">
        <v>46762</v>
      </c>
      <c r="D275" s="153">
        <v>559</v>
      </c>
      <c r="E275" s="34"/>
      <c r="F275" s="34" t="s">
        <v>1325</v>
      </c>
      <c r="G275" s="34">
        <v>0</v>
      </c>
      <c r="H275" s="137">
        <v>100000000</v>
      </c>
      <c r="I275" s="137">
        <v>7310000</v>
      </c>
      <c r="J275" s="137">
        <v>250000</v>
      </c>
      <c r="K275" s="137">
        <v>250000</v>
      </c>
      <c r="L275" s="137">
        <v>250000</v>
      </c>
      <c r="M275" s="137"/>
      <c r="N275" s="34">
        <v>0</v>
      </c>
      <c r="O275" s="34">
        <v>101.6</v>
      </c>
      <c r="P275" s="154">
        <v>7.3099999999999998E-2</v>
      </c>
      <c r="Q275" s="155">
        <v>2.5000000000000001E-3</v>
      </c>
      <c r="R275" s="155">
        <v>3.4997439999999998E-2</v>
      </c>
      <c r="S275" s="155">
        <v>0</v>
      </c>
      <c r="T275" s="34">
        <v>6.9968119999999995E-2</v>
      </c>
      <c r="U275" s="155">
        <v>18275</v>
      </c>
      <c r="V275" s="137">
        <v>0</v>
      </c>
      <c r="W275" s="137">
        <v>254000</v>
      </c>
      <c r="X275" s="137">
        <v>2306.25</v>
      </c>
      <c r="Y275" s="185">
        <v>22853.282055047777</v>
      </c>
      <c r="Z275" s="137">
        <v>62500</v>
      </c>
      <c r="AA275" s="137">
        <v>250000</v>
      </c>
      <c r="AB275" s="137">
        <v>6.25E-2</v>
      </c>
      <c r="AC275" s="155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0.12619699042407662</v>
      </c>
      <c r="AI275" s="155">
        <v>6562.5</v>
      </c>
      <c r="AJ275" s="137">
        <v>15968.75</v>
      </c>
      <c r="AK275" s="137">
        <v>2.4333333333333331</v>
      </c>
      <c r="AL275" s="155" t="s">
        <v>898</v>
      </c>
    </row>
    <row r="276" spans="1:86" x14ac:dyDescent="0.3">
      <c r="A276" s="34" t="s">
        <v>1120</v>
      </c>
      <c r="B276" s="137"/>
      <c r="C276" s="152">
        <v>46850</v>
      </c>
      <c r="D276" s="153">
        <v>647</v>
      </c>
      <c r="E276" s="34"/>
      <c r="F276" s="34" t="s">
        <v>1325</v>
      </c>
      <c r="G276" s="34">
        <v>5000000</v>
      </c>
      <c r="H276" s="137">
        <v>5000000</v>
      </c>
      <c r="I276" s="137">
        <v>3142943.6999999997</v>
      </c>
      <c r="J276" s="137">
        <v>249999.9</v>
      </c>
      <c r="K276" s="137">
        <v>249999.9</v>
      </c>
      <c r="L276" s="137">
        <v>250000</v>
      </c>
      <c r="M276" s="137"/>
      <c r="N276" s="34">
        <v>0</v>
      </c>
      <c r="O276" s="34">
        <v>100.2</v>
      </c>
      <c r="P276" s="154">
        <v>0.10476479</v>
      </c>
      <c r="Q276" s="155">
        <v>8.3333299999999999E-3</v>
      </c>
      <c r="R276" s="155">
        <v>6.6102750000000002E-2</v>
      </c>
      <c r="S276" s="155">
        <v>0</v>
      </c>
      <c r="T276" s="34">
        <v>0.10367698</v>
      </c>
      <c r="U276" s="155">
        <v>26191.187023521001</v>
      </c>
      <c r="V276" s="137">
        <v>124999.95</v>
      </c>
      <c r="W276" s="137">
        <v>250499.89980000001</v>
      </c>
      <c r="X276" s="137">
        <v>7224.172555225301</v>
      </c>
      <c r="Y276" s="185">
        <v>40913.053250054218</v>
      </c>
      <c r="Z276" s="137">
        <v>249999.9</v>
      </c>
      <c r="AA276" s="137">
        <v>249999.90000000005</v>
      </c>
      <c r="AB276" s="137">
        <v>6.2499974999999999E-2</v>
      </c>
      <c r="AC276" s="155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0.27582455689150825</v>
      </c>
      <c r="AI276" s="155">
        <v>112873.97377722297</v>
      </c>
      <c r="AJ276" s="137">
        <v>18967.0144682957</v>
      </c>
      <c r="AK276" s="137">
        <v>0.16803709334917635</v>
      </c>
      <c r="AL276" s="155" t="s">
        <v>1121</v>
      </c>
    </row>
    <row r="277" spans="1:86" x14ac:dyDescent="0.3">
      <c r="A277" s="34" t="s">
        <v>711</v>
      </c>
      <c r="B277" s="137"/>
      <c r="C277" s="152">
        <v>47212</v>
      </c>
      <c r="D277" s="153">
        <v>1009</v>
      </c>
      <c r="E277" s="34"/>
      <c r="F277" s="34" t="s">
        <v>1325</v>
      </c>
      <c r="G277" s="34">
        <v>0</v>
      </c>
      <c r="H277" s="137">
        <v>150000000</v>
      </c>
      <c r="I277" s="137">
        <v>9324720</v>
      </c>
      <c r="J277" s="137">
        <v>250000.5</v>
      </c>
      <c r="K277" s="137">
        <v>250000.5</v>
      </c>
      <c r="L277" s="137">
        <v>250000</v>
      </c>
      <c r="M277" s="137"/>
      <c r="N277" s="34">
        <v>0</v>
      </c>
      <c r="O277" s="34">
        <v>101</v>
      </c>
      <c r="P277" s="154">
        <v>6.2164799999999999E-2</v>
      </c>
      <c r="Q277" s="155">
        <v>1.6666700000000001E-3</v>
      </c>
      <c r="R277" s="155">
        <v>2.3430280000000001E-2</v>
      </c>
      <c r="S277" s="155">
        <v>0</v>
      </c>
      <c r="T277" s="34">
        <v>5.6722120000000001E-2</v>
      </c>
      <c r="U277" s="155">
        <v>15541.2310824</v>
      </c>
      <c r="V277" s="137">
        <v>0</v>
      </c>
      <c r="W277" s="137">
        <v>252500.505</v>
      </c>
      <c r="X277" s="137">
        <v>1971.5092803013679</v>
      </c>
      <c r="Y277" s="185">
        <v>22005.247728234022</v>
      </c>
      <c r="Z277" s="137">
        <v>0</v>
      </c>
      <c r="AA277" s="137">
        <v>250000.5</v>
      </c>
      <c r="AB277" s="137">
        <v>6.2500125000000004E-2</v>
      </c>
      <c r="AC277" s="155">
        <v>0</v>
      </c>
      <c r="AD277" s="34">
        <v>0</v>
      </c>
      <c r="AE277" s="34">
        <v>0</v>
      </c>
      <c r="AF277" s="34">
        <v>0</v>
      </c>
      <c r="AG277" s="34">
        <v>0</v>
      </c>
      <c r="AH277" s="34">
        <v>0.12685669943702502</v>
      </c>
      <c r="AI277" s="155">
        <v>7500.0150000000003</v>
      </c>
      <c r="AJ277" s="137">
        <v>13569.721802098631</v>
      </c>
      <c r="AK277" s="137">
        <v>1.8092926216945739</v>
      </c>
      <c r="AL277" s="155" t="s">
        <v>714</v>
      </c>
    </row>
    <row r="278" spans="1:86" x14ac:dyDescent="0.3">
      <c r="A278" s="137" t="s">
        <v>695</v>
      </c>
      <c r="B278" s="137"/>
      <c r="C278" s="152">
        <v>46545</v>
      </c>
      <c r="D278" s="152">
        <v>342</v>
      </c>
      <c r="E278" s="137"/>
      <c r="F278" s="137" t="s">
        <v>1325</v>
      </c>
      <c r="G278" s="154">
        <v>0</v>
      </c>
      <c r="H278" s="137">
        <v>300000000</v>
      </c>
      <c r="I278" s="137">
        <v>27228600</v>
      </c>
      <c r="J278" s="137">
        <v>250000.80000000002</v>
      </c>
      <c r="K278" s="137">
        <v>250000.80000000002</v>
      </c>
      <c r="L278" s="137">
        <v>250000</v>
      </c>
      <c r="M278" s="137"/>
      <c r="N278" s="137">
        <v>0</v>
      </c>
      <c r="O278" s="137">
        <v>102.6</v>
      </c>
      <c r="P278" s="137">
        <v>0.12966</v>
      </c>
      <c r="Q278" s="137">
        <v>1.1904800000000001E-3</v>
      </c>
      <c r="R278" s="180">
        <v>9.1247229999999999E-2</v>
      </c>
      <c r="S278" s="180">
        <v>0</v>
      </c>
      <c r="T278" s="137">
        <v>0.11921872999999999</v>
      </c>
      <c r="U278" s="180">
        <v>32415.103728000002</v>
      </c>
      <c r="V278" s="137">
        <v>100000.32000000001</v>
      </c>
      <c r="W278" s="137">
        <v>256500.82080000002</v>
      </c>
      <c r="X278" s="137">
        <v>4326.6511753483428</v>
      </c>
      <c r="Y278" s="149">
        <v>31900.149926613594</v>
      </c>
      <c r="Z278" s="149">
        <v>250000.80000000002</v>
      </c>
      <c r="AA278" s="149">
        <v>250000.80000000002</v>
      </c>
      <c r="AB278" s="149">
        <v>6.2500200000000006E-2</v>
      </c>
      <c r="AC278" s="149">
        <v>0</v>
      </c>
      <c r="AD278" s="149">
        <v>0</v>
      </c>
      <c r="AE278" s="149">
        <v>0</v>
      </c>
      <c r="AF278" s="149">
        <v>0</v>
      </c>
      <c r="AG278" s="149">
        <v>0</v>
      </c>
      <c r="AH278" s="164">
        <v>0.13347639457377405</v>
      </c>
      <c r="AI278" s="165">
        <v>60224.635716295859</v>
      </c>
      <c r="AJ278" s="149">
        <v>28088.452552651659</v>
      </c>
      <c r="AK278" s="149">
        <v>0.46639472731673753</v>
      </c>
      <c r="AL278" s="179" t="s">
        <v>697</v>
      </c>
    </row>
    <row r="279" spans="1:86" x14ac:dyDescent="0.3">
      <c r="A279" s="137" t="s">
        <v>418</v>
      </c>
      <c r="B279" s="137"/>
      <c r="C279" s="152">
        <v>46484</v>
      </c>
      <c r="D279" s="152">
        <v>281</v>
      </c>
      <c r="E279" s="137"/>
      <c r="F279" s="137" t="s">
        <v>1325</v>
      </c>
      <c r="G279" s="154">
        <v>0</v>
      </c>
      <c r="H279" s="137">
        <v>750000000</v>
      </c>
      <c r="I279" s="137">
        <v>9300000</v>
      </c>
      <c r="J279" s="137">
        <v>250000</v>
      </c>
      <c r="K279" s="137">
        <v>250000</v>
      </c>
      <c r="L279" s="137">
        <v>250000</v>
      </c>
      <c r="M279" s="137"/>
      <c r="N279" s="137">
        <v>0</v>
      </c>
      <c r="O279" s="137">
        <v>102.6</v>
      </c>
      <c r="P279" s="137">
        <v>9.2999999999999999E-2</v>
      </c>
      <c r="Q279" s="137">
        <v>2.5000000000000001E-3</v>
      </c>
      <c r="R279" s="180">
        <v>5.4591849999999997E-2</v>
      </c>
      <c r="S279" s="180">
        <v>0</v>
      </c>
      <c r="T279" s="137">
        <v>8.2214540000000003E-2</v>
      </c>
      <c r="U279" s="180">
        <v>23250</v>
      </c>
      <c r="V279" s="137">
        <v>74999.998124999998</v>
      </c>
      <c r="W279" s="137">
        <v>256500</v>
      </c>
      <c r="X279" s="137">
        <v>2599.5734973763851</v>
      </c>
      <c r="Y279" s="149">
        <v>24816.248146518767</v>
      </c>
      <c r="Z279" s="149">
        <v>179115.24229819802</v>
      </c>
      <c r="AA279" s="149">
        <v>249999.99375000005</v>
      </c>
      <c r="AB279" s="149">
        <v>6.25E-2</v>
      </c>
      <c r="AC279" s="149">
        <v>0</v>
      </c>
      <c r="AD279" s="149">
        <v>0</v>
      </c>
      <c r="AE279" s="149">
        <v>0</v>
      </c>
      <c r="AF279" s="149">
        <v>0</v>
      </c>
      <c r="AG279" s="149">
        <v>0</v>
      </c>
      <c r="AH279" s="164">
        <v>0.11180961279038215</v>
      </c>
      <c r="AI279" s="165">
        <v>57838.544831926039</v>
      </c>
      <c r="AJ279" s="149">
        <v>20650.426502623613</v>
      </c>
      <c r="AK279" s="149">
        <v>0.35703572008306955</v>
      </c>
      <c r="AL279" s="179" t="s">
        <v>419</v>
      </c>
    </row>
    <row r="280" spans="1:86" x14ac:dyDescent="0.3">
      <c r="A280" s="137" t="s">
        <v>856</v>
      </c>
      <c r="B280" s="137"/>
      <c r="C280" s="152">
        <v>46119</v>
      </c>
      <c r="D280" s="152">
        <v>-84</v>
      </c>
      <c r="E280" s="137"/>
      <c r="F280" s="137" t="s">
        <v>1325</v>
      </c>
      <c r="G280" s="154">
        <v>0</v>
      </c>
      <c r="H280" s="137">
        <v>100000000</v>
      </c>
      <c r="I280" s="137">
        <v>7992000.0000000019</v>
      </c>
      <c r="J280" s="137">
        <v>249999.60000000003</v>
      </c>
      <c r="K280" s="137">
        <v>249999.60000000003</v>
      </c>
      <c r="L280" s="137">
        <v>250000</v>
      </c>
      <c r="M280" s="137"/>
      <c r="N280" s="137">
        <v>0</v>
      </c>
      <c r="O280" s="137">
        <v>101</v>
      </c>
      <c r="P280" s="137">
        <v>6.6600000000000006E-2</v>
      </c>
      <c r="Q280" s="137">
        <v>2.08333E-3</v>
      </c>
      <c r="R280" s="180">
        <v>2.8000799999999999E-2</v>
      </c>
      <c r="S280" s="180">
        <v>0</v>
      </c>
      <c r="T280" s="137">
        <v>5.962858E-2</v>
      </c>
      <c r="U280" s="180">
        <v>16649.973360000004</v>
      </c>
      <c r="V280" s="137">
        <v>0</v>
      </c>
      <c r="W280" s="137">
        <v>252499.59600000005</v>
      </c>
      <c r="X280" s="137">
        <v>3783.1094999501302</v>
      </c>
      <c r="Y280" s="149">
        <v>30259.525223829878</v>
      </c>
      <c r="Z280" s="149">
        <v>249999.6</v>
      </c>
      <c r="AA280" s="149">
        <v>249999.60000000003</v>
      </c>
      <c r="AB280" s="149">
        <v>6.2499900000000011E-2</v>
      </c>
      <c r="AC280" s="149">
        <v>0</v>
      </c>
      <c r="AD280" s="149">
        <v>0</v>
      </c>
      <c r="AE280" s="149">
        <v>0</v>
      </c>
      <c r="AF280" s="149">
        <v>0</v>
      </c>
      <c r="AG280" s="149">
        <v>0</v>
      </c>
      <c r="AH280" s="164">
        <v>0.22721414732342426</v>
      </c>
      <c r="AI280" s="165">
        <v>7499.9880000000003</v>
      </c>
      <c r="AJ280" s="149">
        <v>12866.863860049874</v>
      </c>
      <c r="AK280" s="149">
        <v>1.7155845929419986</v>
      </c>
      <c r="AL280" s="179" t="s">
        <v>858</v>
      </c>
    </row>
    <row r="281" spans="1:86" x14ac:dyDescent="0.3">
      <c r="A281" s="137" t="s">
        <v>1028</v>
      </c>
      <c r="B281" s="137"/>
      <c r="C281" s="152">
        <v>46363</v>
      </c>
      <c r="D281" s="152">
        <v>160</v>
      </c>
      <c r="E281" s="137"/>
      <c r="F281" s="137" t="s">
        <v>1325</v>
      </c>
      <c r="G281" s="154">
        <v>0</v>
      </c>
      <c r="H281" s="137">
        <v>1000000000</v>
      </c>
      <c r="I281" s="137">
        <v>27960000</v>
      </c>
      <c r="J281" s="137">
        <v>249999</v>
      </c>
      <c r="K281" s="137">
        <v>249999</v>
      </c>
      <c r="L281" s="137">
        <v>250000</v>
      </c>
      <c r="M281" s="137"/>
      <c r="N281" s="137">
        <v>0</v>
      </c>
      <c r="O281" s="137">
        <v>103.95</v>
      </c>
      <c r="P281" s="137">
        <v>9.3200000000000005E-2</v>
      </c>
      <c r="Q281" s="137">
        <v>8.3332999999999996E-4</v>
      </c>
      <c r="R281" s="180">
        <v>5.500062E-2</v>
      </c>
      <c r="S281" s="180">
        <v>0</v>
      </c>
      <c r="T281" s="137">
        <v>7.1253140000000006E-2</v>
      </c>
      <c r="U281" s="180">
        <v>23299.906800000001</v>
      </c>
      <c r="V281" s="137">
        <v>124999.5</v>
      </c>
      <c r="W281" s="137">
        <v>259873.96050000002</v>
      </c>
      <c r="X281" s="137">
        <v>2019.6864694769979</v>
      </c>
      <c r="Y281" s="149">
        <v>22128.200213811611</v>
      </c>
      <c r="Z281" s="149">
        <v>0</v>
      </c>
      <c r="AA281" s="149">
        <v>249999</v>
      </c>
      <c r="AB281" s="149">
        <v>6.249975E-2</v>
      </c>
      <c r="AC281" s="149">
        <v>0</v>
      </c>
      <c r="AD281" s="149">
        <v>0</v>
      </c>
      <c r="AE281" s="149">
        <v>0</v>
      </c>
      <c r="AF281" s="149">
        <v>0</v>
      </c>
      <c r="AG281" s="149">
        <v>0</v>
      </c>
      <c r="AH281" s="164">
        <v>8.6682169453012478E-2</v>
      </c>
      <c r="AI281" s="165">
        <v>107499.57</v>
      </c>
      <c r="AJ281" s="149">
        <v>21280.220330523003</v>
      </c>
      <c r="AK281" s="149">
        <v>0.19795632978367264</v>
      </c>
      <c r="AL281" s="179" t="s">
        <v>1029</v>
      </c>
    </row>
    <row r="282" spans="1:86" x14ac:dyDescent="0.3">
      <c r="A282" s="137" t="s">
        <v>625</v>
      </c>
      <c r="B282" s="137"/>
      <c r="C282" s="152">
        <v>46820</v>
      </c>
      <c r="D282" s="152">
        <v>617</v>
      </c>
      <c r="E282" s="137"/>
      <c r="F282" s="137" t="s">
        <v>1325</v>
      </c>
      <c r="G282" s="154">
        <v>0</v>
      </c>
      <c r="H282" s="137">
        <v>300000000</v>
      </c>
      <c r="I282" s="137">
        <v>22052142</v>
      </c>
      <c r="J282" s="137">
        <v>249999</v>
      </c>
      <c r="K282" s="137">
        <v>249999</v>
      </c>
      <c r="L282" s="137">
        <v>250000</v>
      </c>
      <c r="M282" s="137"/>
      <c r="N282" s="137">
        <v>0</v>
      </c>
      <c r="O282" s="137">
        <v>100.25</v>
      </c>
      <c r="P282" s="137">
        <v>7.3507139999999999E-2</v>
      </c>
      <c r="Q282" s="137">
        <v>8.3332999999999996E-4</v>
      </c>
      <c r="R282" s="180">
        <v>3.496664E-2</v>
      </c>
      <c r="S282" s="180">
        <v>0</v>
      </c>
      <c r="T282" s="137">
        <v>7.558753E-2</v>
      </c>
      <c r="U282" s="180">
        <v>18376.711492859999</v>
      </c>
      <c r="V282" s="137">
        <v>124999.5</v>
      </c>
      <c r="W282" s="137">
        <v>250623.9975</v>
      </c>
      <c r="X282" s="137">
        <v>2315.97853262218</v>
      </c>
      <c r="Y282" s="149">
        <v>23132.702715101103</v>
      </c>
      <c r="Z282" s="149">
        <v>101536.98720045778</v>
      </c>
      <c r="AA282" s="149">
        <v>249999</v>
      </c>
      <c r="AB282" s="149">
        <v>6.249975E-2</v>
      </c>
      <c r="AC282" s="149">
        <v>0</v>
      </c>
      <c r="AD282" s="149">
        <v>0</v>
      </c>
      <c r="AE282" s="149">
        <v>0</v>
      </c>
      <c r="AF282" s="149">
        <v>0</v>
      </c>
      <c r="AG282" s="149">
        <v>0</v>
      </c>
      <c r="AH282" s="164">
        <v>0.12602790948326198</v>
      </c>
      <c r="AI282" s="165">
        <v>114879.53819761775</v>
      </c>
      <c r="AJ282" s="149">
        <v>16060.732960237819</v>
      </c>
      <c r="AK282" s="149">
        <v>0.13980499236173696</v>
      </c>
      <c r="AL282" s="179" t="s">
        <v>626</v>
      </c>
    </row>
    <row r="285" spans="1:86" x14ac:dyDescent="0.3">
      <c r="A285" s="134" t="s">
        <v>1753</v>
      </c>
      <c r="B285" s="134" t="s">
        <v>1585</v>
      </c>
      <c r="C285" s="134" t="s">
        <v>1315</v>
      </c>
      <c r="D285" s="134" t="s">
        <v>14</v>
      </c>
      <c r="E285" s="134" t="s">
        <v>13</v>
      </c>
      <c r="F285" s="134" t="s">
        <v>1316</v>
      </c>
      <c r="G285" s="134" t="s">
        <v>1442</v>
      </c>
      <c r="H285" s="134" t="s">
        <v>1572</v>
      </c>
      <c r="I285" s="134" t="s">
        <v>1754</v>
      </c>
      <c r="J285" s="134" t="s">
        <v>1317</v>
      </c>
      <c r="K285" s="134" t="s">
        <v>1755</v>
      </c>
      <c r="L285" s="134" t="s">
        <v>1323</v>
      </c>
      <c r="M285" s="134" t="s">
        <v>1324</v>
      </c>
      <c r="N285" s="134" t="s">
        <v>1320</v>
      </c>
      <c r="O285" s="134" t="s">
        <v>1756</v>
      </c>
      <c r="P285" s="134" t="s">
        <v>1389</v>
      </c>
      <c r="Q285" s="134" t="s">
        <v>1757</v>
      </c>
      <c r="R285" s="134" t="s">
        <v>1758</v>
      </c>
      <c r="S285" s="134" t="s">
        <v>1318</v>
      </c>
      <c r="T285" s="134" t="s">
        <v>1392</v>
      </c>
      <c r="U285" s="134" t="s">
        <v>1759</v>
      </c>
      <c r="V285" s="134" t="s">
        <v>1760</v>
      </c>
      <c r="W285" s="134" t="s">
        <v>1761</v>
      </c>
      <c r="X285" s="134" t="s">
        <v>1762</v>
      </c>
      <c r="Y285" s="156" t="s">
        <v>1763</v>
      </c>
      <c r="Z285" s="156" t="s">
        <v>1764</v>
      </c>
      <c r="AA285" s="156" t="s">
        <v>1765</v>
      </c>
      <c r="AB285" s="156" t="s">
        <v>1766</v>
      </c>
      <c r="AC285" s="134" t="s">
        <v>1767</v>
      </c>
      <c r="AD285" s="157" t="s">
        <v>1768</v>
      </c>
      <c r="AE285" s="156" t="s">
        <v>1769</v>
      </c>
      <c r="AF285" s="156" t="s">
        <v>1770</v>
      </c>
      <c r="AG285" s="156" t="s">
        <v>1321</v>
      </c>
      <c r="AH285" s="156" t="s">
        <v>1427</v>
      </c>
      <c r="AI285" s="156" t="s">
        <v>1771</v>
      </c>
      <c r="AJ285" s="158" t="s">
        <v>1772</v>
      </c>
      <c r="AK285" s="159" t="s">
        <v>1773</v>
      </c>
      <c r="AL285" s="160" t="s">
        <v>1774</v>
      </c>
      <c r="AM285" s="160" t="s">
        <v>1319</v>
      </c>
      <c r="AN285" s="156" t="s">
        <v>1573</v>
      </c>
      <c r="AO285" s="156" t="s">
        <v>1775</v>
      </c>
      <c r="AP285" s="160" t="s">
        <v>1448</v>
      </c>
      <c r="AQ285" s="134" t="s">
        <v>1576</v>
      </c>
      <c r="AR285" s="161" t="s">
        <v>1776</v>
      </c>
      <c r="AS285" s="162" t="s">
        <v>1777</v>
      </c>
      <c r="AT285" s="156" t="s">
        <v>1778</v>
      </c>
      <c r="AU285" s="156" t="s">
        <v>1426</v>
      </c>
      <c r="AV285" s="157" t="s">
        <v>1779</v>
      </c>
      <c r="AW285" s="156" t="s">
        <v>1322</v>
      </c>
      <c r="AX285" s="156" t="s">
        <v>1780</v>
      </c>
      <c r="AY285" s="156" t="s">
        <v>1781</v>
      </c>
      <c r="AZ285" s="156" t="s">
        <v>1782</v>
      </c>
      <c r="BA285" s="156" t="s">
        <v>1783</v>
      </c>
      <c r="BB285" s="163" t="s">
        <v>1784</v>
      </c>
      <c r="BC285" s="163" t="s">
        <v>1785</v>
      </c>
      <c r="BD285" s="156" t="s">
        <v>1786</v>
      </c>
      <c r="BE285" s="163" t="s">
        <v>1787</v>
      </c>
      <c r="BF285" s="163" t="s">
        <v>1788</v>
      </c>
      <c r="BG285" s="156" t="s">
        <v>1789</v>
      </c>
      <c r="BH285" s="163" t="s">
        <v>1790</v>
      </c>
      <c r="BI285" s="163" t="s">
        <v>1791</v>
      </c>
      <c r="BJ285" s="156" t="s">
        <v>1792</v>
      </c>
      <c r="BK285" s="156" t="s">
        <v>1718</v>
      </c>
      <c r="BL285" s="134" t="s">
        <v>1793</v>
      </c>
      <c r="BM285" s="134" t="s">
        <v>1712</v>
      </c>
      <c r="BN285" s="134" t="s">
        <v>1794</v>
      </c>
      <c r="BO285" s="134" t="s">
        <v>1795</v>
      </c>
      <c r="BP285" s="134" t="s">
        <v>1686</v>
      </c>
      <c r="BQ285" s="156" t="s">
        <v>1796</v>
      </c>
      <c r="BR285" s="156" t="s">
        <v>1797</v>
      </c>
      <c r="BS285" s="134" t="s">
        <v>1798</v>
      </c>
      <c r="BT285" s="134" t="s">
        <v>1799</v>
      </c>
      <c r="BU285" s="156" t="s">
        <v>1800</v>
      </c>
      <c r="BV285" s="156" t="s">
        <v>1422</v>
      </c>
      <c r="BW285" s="156" t="s">
        <v>1801</v>
      </c>
      <c r="BX285" s="142" t="s">
        <v>1802</v>
      </c>
      <c r="BY285" s="142" t="s">
        <v>1582</v>
      </c>
      <c r="BZ285" s="134" t="s">
        <v>1803</v>
      </c>
      <c r="CA285" s="134" t="s">
        <v>1804</v>
      </c>
      <c r="CB285" s="134" t="s">
        <v>1434</v>
      </c>
      <c r="CC285" s="134" t="s">
        <v>1435</v>
      </c>
      <c r="CD285" s="134" t="s">
        <v>1436</v>
      </c>
      <c r="CE285" s="134" t="s">
        <v>1437</v>
      </c>
      <c r="CF285" s="134" t="s">
        <v>1438</v>
      </c>
      <c r="CG285" s="134" t="s">
        <v>1439</v>
      </c>
      <c r="CH285" s="134" t="s">
        <v>1433</v>
      </c>
    </row>
    <row r="286" spans="1:86" x14ac:dyDescent="0.3">
      <c r="A286" s="34">
        <v>1</v>
      </c>
      <c r="B286" s="34" t="s">
        <v>373</v>
      </c>
      <c r="C286" s="34" t="s">
        <v>1348</v>
      </c>
      <c r="D286" s="34" t="s">
        <v>159</v>
      </c>
      <c r="E286" s="34" t="s">
        <v>1349</v>
      </c>
      <c r="F286" s="34"/>
      <c r="G286" s="34"/>
      <c r="H286" s="34" t="s">
        <v>1456</v>
      </c>
      <c r="I286" s="34" t="s">
        <v>375</v>
      </c>
      <c r="J286" s="34" t="s">
        <v>1806</v>
      </c>
      <c r="K286" s="34"/>
      <c r="L286" s="34">
        <v>3.0200000000000001E-2</v>
      </c>
      <c r="M286" s="34">
        <v>0</v>
      </c>
      <c r="N286" s="153">
        <v>1</v>
      </c>
      <c r="O286" s="34">
        <v>0</v>
      </c>
      <c r="P286" s="34"/>
      <c r="Q286" s="153">
        <v>45715</v>
      </c>
      <c r="R286" s="153">
        <v>46575</v>
      </c>
      <c r="S286" s="153">
        <v>372</v>
      </c>
      <c r="T286" s="34"/>
      <c r="U286" s="153" t="s">
        <v>1325</v>
      </c>
      <c r="V286" s="153" t="s">
        <v>1809</v>
      </c>
      <c r="W286" s="153">
        <v>1</v>
      </c>
      <c r="X286" s="166"/>
      <c r="Y286" s="137"/>
      <c r="Z286" s="137"/>
      <c r="AA286" s="137"/>
      <c r="AB286" s="137">
        <v>200000000</v>
      </c>
      <c r="AC286" s="137">
        <v>200000000</v>
      </c>
      <c r="AD286" s="137">
        <v>20049718.5</v>
      </c>
      <c r="AE286" s="137">
        <v>250000.5</v>
      </c>
      <c r="AF286" s="137">
        <v>250000.5</v>
      </c>
      <c r="AG286" s="137">
        <v>250000</v>
      </c>
      <c r="AH286" s="153"/>
      <c r="AI286" s="167">
        <v>0</v>
      </c>
      <c r="AJ286" s="153"/>
      <c r="AK286" s="153"/>
      <c r="AL286" s="154">
        <v>100.1</v>
      </c>
      <c r="AM286" s="154">
        <v>0.13366479000000001</v>
      </c>
      <c r="AN286" s="168" t="s">
        <v>1326</v>
      </c>
      <c r="AO286" s="168">
        <v>45758</v>
      </c>
      <c r="AP286" s="154">
        <v>0</v>
      </c>
      <c r="AQ286" s="168"/>
      <c r="AR286" s="155">
        <v>1.6666700000000001E-3</v>
      </c>
      <c r="AS286" s="152">
        <v>9.4942250000000006E-2</v>
      </c>
      <c r="AT286" s="154">
        <v>0</v>
      </c>
      <c r="AU286" s="137">
        <v>0.13305328999999999</v>
      </c>
      <c r="AV286" s="137">
        <v>0</v>
      </c>
      <c r="AW286" s="137">
        <v>33416.264332395003</v>
      </c>
      <c r="AX286" s="137">
        <v>73727.295183409253</v>
      </c>
      <c r="AY286" s="137">
        <v>250250.50049999997</v>
      </c>
      <c r="AZ286" s="137">
        <v>4186.0910556376521</v>
      </c>
      <c r="BA286" s="137">
        <v>28308.701808495542</v>
      </c>
      <c r="BB286" s="137">
        <v>0</v>
      </c>
      <c r="BC286" s="137">
        <v>0</v>
      </c>
      <c r="BD286" s="137">
        <v>0</v>
      </c>
      <c r="BE286" s="137">
        <v>0</v>
      </c>
      <c r="BF286" s="137">
        <v>83367.349968107068</v>
      </c>
      <c r="BG286" s="137">
        <v>148795.63124470395</v>
      </c>
      <c r="BH286" s="137">
        <v>209612.74096868146</v>
      </c>
      <c r="BI286" s="137">
        <v>250000.5</v>
      </c>
      <c r="BJ286" s="137">
        <v>0.9748</v>
      </c>
      <c r="BK286" s="137">
        <v>6.2500125000000004E-2</v>
      </c>
      <c r="BL286" s="113">
        <v>0</v>
      </c>
      <c r="BM286" s="113" t="s">
        <v>1663</v>
      </c>
      <c r="BN286" s="168">
        <v>0</v>
      </c>
      <c r="BO286" s="152">
        <v>0</v>
      </c>
      <c r="BP286" s="152">
        <v>0</v>
      </c>
      <c r="BQ286" s="137">
        <v>250000.5</v>
      </c>
      <c r="BR286" s="137">
        <v>0</v>
      </c>
      <c r="BS286" s="166" t="s">
        <v>1806</v>
      </c>
      <c r="BT286" s="168">
        <v>0.12527106602934954</v>
      </c>
      <c r="BU286" s="137">
        <v>76091.341941543214</v>
      </c>
      <c r="BV286" s="137">
        <v>29230.173276757352</v>
      </c>
      <c r="BW286" s="137">
        <v>0.38414585064373402</v>
      </c>
      <c r="BX286" s="89">
        <v>0.87472893397065055</v>
      </c>
      <c r="BY286" s="89">
        <v>0</v>
      </c>
      <c r="BZ286" s="153">
        <v>0</v>
      </c>
      <c r="CA286" s="153">
        <v>0</v>
      </c>
      <c r="CB286" s="153">
        <v>45758</v>
      </c>
      <c r="CC286" s="153">
        <v>45758</v>
      </c>
      <c r="CD286" s="153"/>
      <c r="CE286" s="153"/>
      <c r="CF286" s="153"/>
      <c r="CG286" s="34" t="s">
        <v>139</v>
      </c>
      <c r="CH286" s="34" t="s">
        <v>1350</v>
      </c>
    </row>
    <row r="287" spans="1:86" x14ac:dyDescent="0.3">
      <c r="A287" s="34">
        <v>2</v>
      </c>
      <c r="B287" s="34" t="s">
        <v>418</v>
      </c>
      <c r="C287" s="34" t="s">
        <v>1344</v>
      </c>
      <c r="D287" s="34" t="s">
        <v>133</v>
      </c>
      <c r="E287" s="34" t="s">
        <v>1336</v>
      </c>
      <c r="F287" s="34" t="s">
        <v>1805</v>
      </c>
      <c r="G287" s="34"/>
      <c r="H287" s="34" t="s">
        <v>1456</v>
      </c>
      <c r="I287" s="34" t="s">
        <v>419</v>
      </c>
      <c r="J287" s="34" t="s">
        <v>1806</v>
      </c>
      <c r="K287" s="34"/>
      <c r="L287" s="34">
        <v>1.24E-2</v>
      </c>
      <c r="M287" s="34">
        <v>9.1999999999999998E-3</v>
      </c>
      <c r="N287" s="153">
        <v>1</v>
      </c>
      <c r="O287" s="34">
        <v>0</v>
      </c>
      <c r="P287" s="34"/>
      <c r="Q287" s="153">
        <v>45016</v>
      </c>
      <c r="R287" s="153">
        <v>46484</v>
      </c>
      <c r="S287" s="153">
        <v>281</v>
      </c>
      <c r="T287" s="34"/>
      <c r="U287" s="153" t="s">
        <v>1325</v>
      </c>
      <c r="V287" s="153" t="s">
        <v>1807</v>
      </c>
      <c r="W287" s="153">
        <v>1</v>
      </c>
      <c r="X287" s="166"/>
      <c r="Y287" s="137"/>
      <c r="Z287" s="137"/>
      <c r="AA287" s="137"/>
      <c r="AB287" s="137">
        <v>0</v>
      </c>
      <c r="AC287" s="137">
        <v>750000000</v>
      </c>
      <c r="AD287" s="137">
        <v>9300000</v>
      </c>
      <c r="AE287" s="137">
        <v>250000</v>
      </c>
      <c r="AF287" s="137">
        <v>250000</v>
      </c>
      <c r="AG287" s="137">
        <v>250000</v>
      </c>
      <c r="AH287" s="153"/>
      <c r="AI287" s="167">
        <v>0</v>
      </c>
      <c r="AJ287" s="153"/>
      <c r="AK287" s="153"/>
      <c r="AL287" s="154">
        <v>102.6</v>
      </c>
      <c r="AM287" s="154">
        <v>9.2999999999999999E-2</v>
      </c>
      <c r="AN287" s="168" t="s">
        <v>1326</v>
      </c>
      <c r="AO287" s="168">
        <v>45756</v>
      </c>
      <c r="AP287" s="154">
        <v>0</v>
      </c>
      <c r="AQ287" s="168"/>
      <c r="AR287" s="155">
        <v>2.5000000000000001E-3</v>
      </c>
      <c r="AS287" s="152">
        <v>5.4591849999999997E-2</v>
      </c>
      <c r="AT287" s="154">
        <v>0</v>
      </c>
      <c r="AU287" s="137">
        <v>8.2214540000000003E-2</v>
      </c>
      <c r="AV287" s="137">
        <v>0</v>
      </c>
      <c r="AW287" s="137">
        <v>23250</v>
      </c>
      <c r="AX287" s="137">
        <v>74999.998124999998</v>
      </c>
      <c r="AY287" s="137">
        <v>256500</v>
      </c>
      <c r="AZ287" s="137">
        <v>2599.5734973763851</v>
      </c>
      <c r="BA287" s="137">
        <v>24816.248146518767</v>
      </c>
      <c r="BB287" s="137">
        <v>0</v>
      </c>
      <c r="BC287" s="137">
        <v>0</v>
      </c>
      <c r="BD287" s="137">
        <v>0</v>
      </c>
      <c r="BE287" s="137">
        <v>0</v>
      </c>
      <c r="BF287" s="137">
        <v>0</v>
      </c>
      <c r="BG287" s="137">
        <v>0</v>
      </c>
      <c r="BH287" s="137">
        <v>179115.24229819802</v>
      </c>
      <c r="BI287" s="137">
        <v>249999.99375000005</v>
      </c>
      <c r="BJ287" s="137">
        <v>0.98829999999999996</v>
      </c>
      <c r="BK287" s="137">
        <v>6.25E-2</v>
      </c>
      <c r="BL287" s="113">
        <v>0</v>
      </c>
      <c r="BM287" s="113" t="s">
        <v>1663</v>
      </c>
      <c r="BN287" s="168">
        <v>0</v>
      </c>
      <c r="BO287" s="152">
        <v>0</v>
      </c>
      <c r="BP287" s="152">
        <v>0</v>
      </c>
      <c r="BQ287" s="137">
        <v>250000</v>
      </c>
      <c r="BR287" s="137">
        <v>0</v>
      </c>
      <c r="BS287" s="166" t="s">
        <v>1806</v>
      </c>
      <c r="BT287" s="168">
        <v>0.11180961279038215</v>
      </c>
      <c r="BU287" s="137">
        <v>57838.544831926039</v>
      </c>
      <c r="BV287" s="137">
        <v>20650.426502623613</v>
      </c>
      <c r="BW287" s="137">
        <v>0.35703572008306955</v>
      </c>
      <c r="BX287" s="89">
        <v>0.88819038720961774</v>
      </c>
      <c r="BY287" s="89">
        <v>0</v>
      </c>
      <c r="BZ287" s="153">
        <v>0</v>
      </c>
      <c r="CA287" s="153">
        <v>0</v>
      </c>
      <c r="CB287" s="153">
        <v>45756</v>
      </c>
      <c r="CC287" s="153">
        <v>45756</v>
      </c>
      <c r="CD287" s="153"/>
      <c r="CE287" s="153"/>
      <c r="CF287" s="153"/>
      <c r="CG287" s="34" t="s">
        <v>139</v>
      </c>
      <c r="CH287" s="34" t="s">
        <v>1333</v>
      </c>
    </row>
    <row r="288" spans="1:86" x14ac:dyDescent="0.3">
      <c r="A288" s="34">
        <v>3</v>
      </c>
      <c r="B288" s="34" t="s">
        <v>538</v>
      </c>
      <c r="C288" s="34" t="s">
        <v>1352</v>
      </c>
      <c r="D288" s="34" t="s">
        <v>150</v>
      </c>
      <c r="E288" s="34" t="s">
        <v>1336</v>
      </c>
      <c r="F288" s="34" t="s">
        <v>1805</v>
      </c>
      <c r="G288" s="34"/>
      <c r="H288" s="34" t="s">
        <v>1456</v>
      </c>
      <c r="I288" s="34" t="s">
        <v>541</v>
      </c>
      <c r="J288" s="34" t="s">
        <v>1806</v>
      </c>
      <c r="K288" s="34"/>
      <c r="L288" s="34">
        <v>8.9999999999999993E-3</v>
      </c>
      <c r="M288" s="34">
        <v>5.1000000000000004E-3</v>
      </c>
      <c r="N288" s="153">
        <v>1</v>
      </c>
      <c r="O288" s="34">
        <v>0</v>
      </c>
      <c r="P288" s="34"/>
      <c r="Q288" s="153">
        <v>45379</v>
      </c>
      <c r="R288" s="153">
        <v>46484</v>
      </c>
      <c r="S288" s="153">
        <v>281</v>
      </c>
      <c r="T288" s="34"/>
      <c r="U288" s="153" t="s">
        <v>1325</v>
      </c>
      <c r="V288" s="153" t="s">
        <v>1807</v>
      </c>
      <c r="W288" s="153">
        <v>1</v>
      </c>
      <c r="X288" s="166"/>
      <c r="Y288" s="137"/>
      <c r="Z288" s="137"/>
      <c r="AA288" s="137"/>
      <c r="AB288" s="137">
        <v>0</v>
      </c>
      <c r="AC288" s="137">
        <v>250000000</v>
      </c>
      <c r="AD288" s="137">
        <v>9300714</v>
      </c>
      <c r="AE288" s="137">
        <v>250000</v>
      </c>
      <c r="AF288" s="137">
        <v>250000</v>
      </c>
      <c r="AG288" s="137">
        <v>250000</v>
      </c>
      <c r="AH288" s="153"/>
      <c r="AI288" s="167">
        <v>0</v>
      </c>
      <c r="AJ288" s="153"/>
      <c r="AK288" s="153"/>
      <c r="AL288" s="154">
        <v>103.85</v>
      </c>
      <c r="AM288" s="154">
        <v>9.3007140000000002E-2</v>
      </c>
      <c r="AN288" s="168" t="s">
        <v>1326</v>
      </c>
      <c r="AO288" s="168">
        <v>45763</v>
      </c>
      <c r="AP288" s="154">
        <v>0</v>
      </c>
      <c r="AQ288" s="168"/>
      <c r="AR288" s="155">
        <v>2.5000000000000001E-3</v>
      </c>
      <c r="AS288" s="152">
        <v>5.4388600000000002E-2</v>
      </c>
      <c r="AT288" s="154">
        <v>0</v>
      </c>
      <c r="AU288" s="137">
        <v>7.5250440000000002E-2</v>
      </c>
      <c r="AV288" s="137">
        <v>0</v>
      </c>
      <c r="AW288" s="137">
        <v>23251.785</v>
      </c>
      <c r="AX288" s="137">
        <v>139570.60800681467</v>
      </c>
      <c r="AY288" s="137">
        <v>259625</v>
      </c>
      <c r="AZ288" s="137">
        <v>1669.5596988802561</v>
      </c>
      <c r="BA288" s="137">
        <v>19286.86242884555</v>
      </c>
      <c r="BB288" s="137">
        <v>0</v>
      </c>
      <c r="BC288" s="137">
        <v>0</v>
      </c>
      <c r="BD288" s="137">
        <v>0</v>
      </c>
      <c r="BE288" s="137">
        <v>0</v>
      </c>
      <c r="BF288" s="137">
        <v>0</v>
      </c>
      <c r="BG288" s="137">
        <v>0</v>
      </c>
      <c r="BH288" s="137">
        <v>0</v>
      </c>
      <c r="BI288" s="137">
        <v>250000</v>
      </c>
      <c r="BJ288" s="137">
        <v>0.99170000000000003</v>
      </c>
      <c r="BK288" s="137">
        <v>6.25E-2</v>
      </c>
      <c r="BL288" s="113">
        <v>0</v>
      </c>
      <c r="BM288" s="113" t="s">
        <v>1663</v>
      </c>
      <c r="BN288" s="168">
        <v>0</v>
      </c>
      <c r="BO288" s="152">
        <v>0</v>
      </c>
      <c r="BP288" s="152">
        <v>0</v>
      </c>
      <c r="BQ288" s="137">
        <v>250000</v>
      </c>
      <c r="BR288" s="137">
        <v>0</v>
      </c>
      <c r="BS288" s="166" t="s">
        <v>1806</v>
      </c>
      <c r="BT288" s="168">
        <v>7.1803506650360657E-2</v>
      </c>
      <c r="BU288" s="137">
        <v>99626.58540696316</v>
      </c>
      <c r="BV288" s="137">
        <v>21582.225301119743</v>
      </c>
      <c r="BW288" s="137">
        <v>0.21663118547081414</v>
      </c>
      <c r="BX288" s="89">
        <v>0.92819649334963927</v>
      </c>
      <c r="BY288" s="89">
        <v>0</v>
      </c>
      <c r="BZ288" s="153">
        <v>0</v>
      </c>
      <c r="CA288" s="153">
        <v>0</v>
      </c>
      <c r="CB288" s="153">
        <v>45763</v>
      </c>
      <c r="CC288" s="153">
        <v>45763</v>
      </c>
      <c r="CD288" s="153"/>
      <c r="CE288" s="153"/>
      <c r="CF288" s="153"/>
      <c r="CG288" s="34" t="s">
        <v>139</v>
      </c>
      <c r="CH288" s="34" t="s">
        <v>1333</v>
      </c>
    </row>
    <row r="289" spans="1:86" x14ac:dyDescent="0.3">
      <c r="A289" s="34">
        <v>4</v>
      </c>
      <c r="B289" s="34" t="s">
        <v>625</v>
      </c>
      <c r="C289" s="34" t="s">
        <v>1341</v>
      </c>
      <c r="D289" s="34" t="s">
        <v>159</v>
      </c>
      <c r="E289" s="34" t="s">
        <v>1336</v>
      </c>
      <c r="F289" s="34"/>
      <c r="G289" s="34"/>
      <c r="H289" s="34" t="s">
        <v>1456</v>
      </c>
      <c r="I289" s="34" t="s">
        <v>626</v>
      </c>
      <c r="J289" s="34" t="s">
        <v>1806</v>
      </c>
      <c r="K289" s="34"/>
      <c r="L289" s="34">
        <v>1.11E-2</v>
      </c>
      <c r="M289" s="34">
        <v>0</v>
      </c>
      <c r="N289" s="153">
        <v>1</v>
      </c>
      <c r="O289" s="34">
        <v>0</v>
      </c>
      <c r="P289" s="34"/>
      <c r="Q289" s="153">
        <v>45693</v>
      </c>
      <c r="R289" s="153">
        <v>46820</v>
      </c>
      <c r="S289" s="153">
        <v>617</v>
      </c>
      <c r="T289" s="34"/>
      <c r="U289" s="153" t="s">
        <v>1325</v>
      </c>
      <c r="V289" s="153" t="s">
        <v>1807</v>
      </c>
      <c r="W289" s="153">
        <v>1</v>
      </c>
      <c r="X289" s="169"/>
      <c r="Y289" s="170"/>
      <c r="Z289" s="170"/>
      <c r="AA289" s="170"/>
      <c r="AB289" s="170">
        <v>0</v>
      </c>
      <c r="AC289" s="170">
        <v>300000000</v>
      </c>
      <c r="AD289" s="170">
        <v>22052142</v>
      </c>
      <c r="AE289" s="170">
        <v>249999</v>
      </c>
      <c r="AF289" s="170">
        <v>249999</v>
      </c>
      <c r="AG289" s="170">
        <v>250000</v>
      </c>
      <c r="AH289" s="153"/>
      <c r="AI289" s="171">
        <v>0</v>
      </c>
      <c r="AJ289" s="153"/>
      <c r="AK289" s="153"/>
      <c r="AL289" s="172">
        <v>100.25</v>
      </c>
      <c r="AM289" s="172">
        <v>7.3507139999999999E-2</v>
      </c>
      <c r="AN289" s="173" t="s">
        <v>1326</v>
      </c>
      <c r="AO289" s="173">
        <v>45755</v>
      </c>
      <c r="AP289" s="172">
        <v>0</v>
      </c>
      <c r="AQ289" s="173"/>
      <c r="AR289" s="174">
        <v>8.3332999999999996E-4</v>
      </c>
      <c r="AS289" s="175">
        <v>3.496664E-2</v>
      </c>
      <c r="AT289" s="134">
        <v>0</v>
      </c>
      <c r="AU289" s="134">
        <v>7.558753E-2</v>
      </c>
      <c r="AV289" s="170">
        <v>0</v>
      </c>
      <c r="AW289" s="170">
        <v>18376.711492859999</v>
      </c>
      <c r="AX289" s="170">
        <v>124999.5</v>
      </c>
      <c r="AY289" s="170">
        <v>250623.9975</v>
      </c>
      <c r="AZ289" s="170">
        <v>2315.97853262218</v>
      </c>
      <c r="BA289" s="170">
        <v>23132.702715101103</v>
      </c>
      <c r="BB289" s="170">
        <v>0</v>
      </c>
      <c r="BC289" s="170">
        <v>0</v>
      </c>
      <c r="BD289" s="170">
        <v>0</v>
      </c>
      <c r="BE289" s="170">
        <v>0</v>
      </c>
      <c r="BF289" s="170">
        <v>0</v>
      </c>
      <c r="BG289" s="170">
        <v>0</v>
      </c>
      <c r="BH289" s="170">
        <v>101536.98720045778</v>
      </c>
      <c r="BI289" s="170">
        <v>249999</v>
      </c>
      <c r="BJ289" s="170">
        <v>0.98939999999999995</v>
      </c>
      <c r="BK289" s="170">
        <v>6.249975E-2</v>
      </c>
      <c r="BL289" s="176">
        <v>0</v>
      </c>
      <c r="BM289" s="176" t="s">
        <v>1663</v>
      </c>
      <c r="BN289" s="173">
        <v>0</v>
      </c>
      <c r="BO289" s="175">
        <v>0</v>
      </c>
      <c r="BP289" s="175">
        <v>0</v>
      </c>
      <c r="BQ289" s="170">
        <v>249999</v>
      </c>
      <c r="BR289" s="170">
        <v>0</v>
      </c>
      <c r="BS289" s="169" t="s">
        <v>1806</v>
      </c>
      <c r="BT289" s="173">
        <v>0.12602790948326198</v>
      </c>
      <c r="BU289" s="170">
        <v>114879.53819761775</v>
      </c>
      <c r="BV289" s="170">
        <v>16060.732960237819</v>
      </c>
      <c r="BW289" s="170">
        <v>0.13980499236173696</v>
      </c>
      <c r="BX289" s="177">
        <v>0.87397209051673808</v>
      </c>
      <c r="BY289" s="177">
        <v>0</v>
      </c>
      <c r="BZ289" s="153">
        <v>0</v>
      </c>
      <c r="CA289" s="153">
        <v>0</v>
      </c>
      <c r="CB289" s="153">
        <v>45755</v>
      </c>
      <c r="CC289" s="153">
        <v>45755</v>
      </c>
      <c r="CD289" s="153"/>
      <c r="CE289" s="153"/>
      <c r="CF289" s="153"/>
      <c r="CG289" s="34" t="s">
        <v>139</v>
      </c>
      <c r="CH289" s="34" t="s">
        <v>1333</v>
      </c>
    </row>
    <row r="290" spans="1:86" x14ac:dyDescent="0.3">
      <c r="A290" s="34">
        <v>5</v>
      </c>
      <c r="B290" s="34" t="s">
        <v>668</v>
      </c>
      <c r="C290" s="34" t="s">
        <v>1335</v>
      </c>
      <c r="D290" s="34" t="s">
        <v>133</v>
      </c>
      <c r="E290" s="34" t="s">
        <v>1336</v>
      </c>
      <c r="F290" s="34" t="s">
        <v>1805</v>
      </c>
      <c r="G290" s="34"/>
      <c r="H290" s="34" t="s">
        <v>1456</v>
      </c>
      <c r="I290" s="34" t="s">
        <v>671</v>
      </c>
      <c r="J290" s="34" t="s">
        <v>1806</v>
      </c>
      <c r="K290" s="34"/>
      <c r="L290" s="34">
        <v>2.8000000000000001E-2</v>
      </c>
      <c r="M290" s="34">
        <v>1.6E-2</v>
      </c>
      <c r="N290" s="153">
        <v>1</v>
      </c>
      <c r="O290" s="34">
        <v>0</v>
      </c>
      <c r="P290" s="34"/>
      <c r="Q290" s="153">
        <v>45252</v>
      </c>
      <c r="R290" s="153">
        <v>46395</v>
      </c>
      <c r="S290" s="153">
        <v>192</v>
      </c>
      <c r="T290" s="34"/>
      <c r="U290" s="153" t="s">
        <v>1325</v>
      </c>
      <c r="V290" s="153" t="s">
        <v>1807</v>
      </c>
      <c r="W290" s="153">
        <v>1</v>
      </c>
      <c r="X290" s="169"/>
      <c r="Y290" s="170"/>
      <c r="Z290" s="170"/>
      <c r="AA290" s="170"/>
      <c r="AB290" s="170">
        <v>0</v>
      </c>
      <c r="AC290" s="170">
        <v>600000000</v>
      </c>
      <c r="AD290" s="170">
        <v>18120000</v>
      </c>
      <c r="AE290" s="170">
        <v>250000</v>
      </c>
      <c r="AF290" s="170">
        <v>250000</v>
      </c>
      <c r="AG290" s="170">
        <v>250000</v>
      </c>
      <c r="AH290" s="153"/>
      <c r="AI290" s="171">
        <v>0</v>
      </c>
      <c r="AJ290" s="153"/>
      <c r="AK290" s="153"/>
      <c r="AL290" s="172">
        <v>102.85</v>
      </c>
      <c r="AM290" s="172">
        <v>9.06E-2</v>
      </c>
      <c r="AN290" s="173" t="s">
        <v>1326</v>
      </c>
      <c r="AO290" s="173">
        <v>45751</v>
      </c>
      <c r="AP290" s="172">
        <v>0</v>
      </c>
      <c r="AQ290" s="173"/>
      <c r="AR290" s="174">
        <v>1.25E-3</v>
      </c>
      <c r="AS290" s="175">
        <v>5.2493049999999999E-2</v>
      </c>
      <c r="AT290" s="34">
        <v>0</v>
      </c>
      <c r="AU290" s="34">
        <v>7.6703099999999996E-2</v>
      </c>
      <c r="AV290" s="170">
        <v>0</v>
      </c>
      <c r="AW290" s="170">
        <v>22650</v>
      </c>
      <c r="AX290" s="170">
        <v>124999.99875000003</v>
      </c>
      <c r="AY290" s="170">
        <v>257125</v>
      </c>
      <c r="AZ290" s="170">
        <v>5261.3498553676918</v>
      </c>
      <c r="BA290" s="170">
        <v>34138.576508037746</v>
      </c>
      <c r="BB290" s="170">
        <v>0</v>
      </c>
      <c r="BC290" s="170">
        <v>0</v>
      </c>
      <c r="BD290" s="170">
        <v>0</v>
      </c>
      <c r="BE290" s="170">
        <v>0</v>
      </c>
      <c r="BF290" s="170">
        <v>135707.53001740572</v>
      </c>
      <c r="BG290" s="170">
        <v>249999.99749999997</v>
      </c>
      <c r="BH290" s="170">
        <v>249999.99750000006</v>
      </c>
      <c r="BI290" s="170">
        <v>249999.99750000008</v>
      </c>
      <c r="BJ290" s="170">
        <v>0.97360000000000002</v>
      </c>
      <c r="BK290" s="170">
        <v>6.25E-2</v>
      </c>
      <c r="BL290" s="176">
        <v>0</v>
      </c>
      <c r="BM290" s="176" t="s">
        <v>1663</v>
      </c>
      <c r="BN290" s="173">
        <v>0</v>
      </c>
      <c r="BO290" s="175">
        <v>0</v>
      </c>
      <c r="BP290" s="175">
        <v>0</v>
      </c>
      <c r="BQ290" s="170">
        <v>250000</v>
      </c>
      <c r="BR290" s="170">
        <v>0</v>
      </c>
      <c r="BS290" s="169" t="s">
        <v>1806</v>
      </c>
      <c r="BT290" s="173">
        <v>0.2322891768374257</v>
      </c>
      <c r="BU290" s="170">
        <v>42756.66036757746</v>
      </c>
      <c r="BV290" s="170">
        <v>17388.650144632309</v>
      </c>
      <c r="BW290" s="170">
        <v>0.40668868885321524</v>
      </c>
      <c r="BX290" s="177">
        <v>0.76771082316257433</v>
      </c>
      <c r="BY290" s="177">
        <v>0</v>
      </c>
      <c r="BZ290" s="153">
        <v>0</v>
      </c>
      <c r="CA290" s="153">
        <v>0</v>
      </c>
      <c r="CB290" s="153">
        <v>45751</v>
      </c>
      <c r="CC290" s="153">
        <v>45751</v>
      </c>
      <c r="CD290" s="153"/>
      <c r="CE290" s="153"/>
      <c r="CF290" s="153"/>
      <c r="CG290" s="34" t="s">
        <v>139</v>
      </c>
      <c r="CH290" s="34" t="s">
        <v>1333</v>
      </c>
    </row>
    <row r="291" spans="1:86" x14ac:dyDescent="0.3">
      <c r="A291" s="34">
        <v>6</v>
      </c>
      <c r="B291" s="34" t="s">
        <v>695</v>
      </c>
      <c r="C291" s="34" t="s">
        <v>1351</v>
      </c>
      <c r="D291" s="34" t="s">
        <v>150</v>
      </c>
      <c r="E291" s="34" t="s">
        <v>1336</v>
      </c>
      <c r="F291" s="34" t="s">
        <v>1805</v>
      </c>
      <c r="G291" s="34"/>
      <c r="H291" s="34" t="s">
        <v>1456</v>
      </c>
      <c r="I291" s="34" t="s">
        <v>697</v>
      </c>
      <c r="J291" s="34" t="s">
        <v>1806</v>
      </c>
      <c r="K291" s="34"/>
      <c r="L291" s="34">
        <v>0.02</v>
      </c>
      <c r="M291" s="34">
        <v>0</v>
      </c>
      <c r="N291" s="153">
        <v>1</v>
      </c>
      <c r="O291" s="34">
        <v>0</v>
      </c>
      <c r="P291" s="34"/>
      <c r="Q291" s="153">
        <v>45391</v>
      </c>
      <c r="R291" s="153">
        <v>46545</v>
      </c>
      <c r="S291" s="153">
        <v>342</v>
      </c>
      <c r="T291" s="34"/>
      <c r="U291" s="153" t="s">
        <v>1325</v>
      </c>
      <c r="V291" s="153" t="s">
        <v>1809</v>
      </c>
      <c r="W291" s="153">
        <v>1</v>
      </c>
      <c r="X291" s="169"/>
      <c r="Y291" s="170"/>
      <c r="Z291" s="170"/>
      <c r="AA291" s="170"/>
      <c r="AB291" s="170">
        <v>0</v>
      </c>
      <c r="AC291" s="170">
        <v>300000000</v>
      </c>
      <c r="AD291" s="170">
        <v>27228600</v>
      </c>
      <c r="AE291" s="170">
        <v>250000.80000000002</v>
      </c>
      <c r="AF291" s="170">
        <v>250000.80000000002</v>
      </c>
      <c r="AG291" s="170">
        <v>250000</v>
      </c>
      <c r="AH291" s="153"/>
      <c r="AI291" s="171">
        <v>0</v>
      </c>
      <c r="AJ291" s="153"/>
      <c r="AK291" s="153"/>
      <c r="AL291" s="172">
        <v>102.6</v>
      </c>
      <c r="AM291" s="172">
        <v>0.12966</v>
      </c>
      <c r="AN291" s="173" t="s">
        <v>1326</v>
      </c>
      <c r="AO291" s="173">
        <v>45761</v>
      </c>
      <c r="AP291" s="172">
        <v>0</v>
      </c>
      <c r="AQ291" s="173"/>
      <c r="AR291" s="174">
        <v>1.1904800000000001E-3</v>
      </c>
      <c r="AS291" s="175">
        <v>9.1247229999999999E-2</v>
      </c>
      <c r="AT291" s="34">
        <v>0</v>
      </c>
      <c r="AU291" s="34">
        <v>0.11921872999999999</v>
      </c>
      <c r="AV291" s="170">
        <v>0</v>
      </c>
      <c r="AW291" s="170">
        <v>32415.103728000002</v>
      </c>
      <c r="AX291" s="170">
        <v>100000.32000000001</v>
      </c>
      <c r="AY291" s="170">
        <v>256500.82080000002</v>
      </c>
      <c r="AZ291" s="170">
        <v>4326.6511753483428</v>
      </c>
      <c r="BA291" s="170">
        <v>31900.149926613594</v>
      </c>
      <c r="BB291" s="170">
        <v>0</v>
      </c>
      <c r="BC291" s="170">
        <v>0</v>
      </c>
      <c r="BD291" s="170">
        <v>0</v>
      </c>
      <c r="BE291" s="170">
        <v>0</v>
      </c>
      <c r="BF291" s="170">
        <v>4762.8987747345946</v>
      </c>
      <c r="BG291" s="170">
        <v>250000.80000000002</v>
      </c>
      <c r="BH291" s="170">
        <v>250000.80000000002</v>
      </c>
      <c r="BI291" s="170">
        <v>250000.80000000002</v>
      </c>
      <c r="BJ291" s="170">
        <v>0.98089999999999999</v>
      </c>
      <c r="BK291" s="170">
        <v>6.2500200000000006E-2</v>
      </c>
      <c r="BL291" s="176">
        <v>0</v>
      </c>
      <c r="BM291" s="176" t="s">
        <v>1663</v>
      </c>
      <c r="BN291" s="173">
        <v>0</v>
      </c>
      <c r="BO291" s="175">
        <v>0</v>
      </c>
      <c r="BP291" s="175">
        <v>0</v>
      </c>
      <c r="BQ291" s="170">
        <v>250000.80000000002</v>
      </c>
      <c r="BR291" s="170">
        <v>0</v>
      </c>
      <c r="BS291" s="169" t="s">
        <v>1806</v>
      </c>
      <c r="BT291" s="173">
        <v>0.13347639457377405</v>
      </c>
      <c r="BU291" s="170">
        <v>60224.635716295859</v>
      </c>
      <c r="BV291" s="170">
        <v>28088.452552651659</v>
      </c>
      <c r="BW291" s="170">
        <v>0.46639472731673753</v>
      </c>
      <c r="BX291" s="177">
        <v>0.86652360542622597</v>
      </c>
      <c r="BY291" s="177">
        <v>0</v>
      </c>
      <c r="BZ291" s="153">
        <v>0</v>
      </c>
      <c r="CA291" s="153">
        <v>0</v>
      </c>
      <c r="CB291" s="153">
        <v>45761</v>
      </c>
      <c r="CC291" s="153">
        <v>45761</v>
      </c>
      <c r="CD291" s="153"/>
      <c r="CE291" s="153"/>
      <c r="CF291" s="153"/>
      <c r="CG291" s="34" t="s">
        <v>139</v>
      </c>
      <c r="CH291" s="34" t="s">
        <v>1333</v>
      </c>
    </row>
    <row r="292" spans="1:86" x14ac:dyDescent="0.3">
      <c r="A292" s="34">
        <v>7</v>
      </c>
      <c r="B292" s="34" t="s">
        <v>711</v>
      </c>
      <c r="C292" s="34" t="s">
        <v>1327</v>
      </c>
      <c r="D292" s="34" t="s">
        <v>150</v>
      </c>
      <c r="E292" s="34" t="s">
        <v>1328</v>
      </c>
      <c r="F292" s="34" t="s">
        <v>1805</v>
      </c>
      <c r="G292" s="34"/>
      <c r="H292" s="34" t="s">
        <v>1456</v>
      </c>
      <c r="I292" s="34" t="s">
        <v>714</v>
      </c>
      <c r="J292" s="34" t="s">
        <v>1806</v>
      </c>
      <c r="K292" s="34"/>
      <c r="L292" s="34">
        <v>8.0999999999999996E-3</v>
      </c>
      <c r="M292" s="34">
        <v>7.7000000000000002E-3</v>
      </c>
      <c r="N292" s="153">
        <v>1</v>
      </c>
      <c r="O292" s="34">
        <v>0</v>
      </c>
      <c r="P292" s="34"/>
      <c r="Q292" s="153">
        <v>45405</v>
      </c>
      <c r="R292" s="153">
        <v>47212</v>
      </c>
      <c r="S292" s="153">
        <v>1009</v>
      </c>
      <c r="T292" s="34"/>
      <c r="U292" s="153" t="s">
        <v>1325</v>
      </c>
      <c r="V292" s="153" t="s">
        <v>1807</v>
      </c>
      <c r="W292" s="153">
        <v>1</v>
      </c>
      <c r="X292" s="169"/>
      <c r="Y292" s="170"/>
      <c r="Z292" s="170"/>
      <c r="AA292" s="170"/>
      <c r="AB292" s="170">
        <v>0</v>
      </c>
      <c r="AC292" s="170">
        <v>150000000</v>
      </c>
      <c r="AD292" s="170">
        <v>9324720</v>
      </c>
      <c r="AE292" s="170">
        <v>250000.5</v>
      </c>
      <c r="AF292" s="170">
        <v>250000.5</v>
      </c>
      <c r="AG292" s="170">
        <v>250000</v>
      </c>
      <c r="AH292" s="153"/>
      <c r="AI292" s="171">
        <v>0</v>
      </c>
      <c r="AJ292" s="153"/>
      <c r="AK292" s="153"/>
      <c r="AL292" s="172">
        <v>101</v>
      </c>
      <c r="AM292" s="172">
        <v>6.2164799999999999E-2</v>
      </c>
      <c r="AN292" s="173" t="s">
        <v>1326</v>
      </c>
      <c r="AO292" s="173">
        <v>45749</v>
      </c>
      <c r="AP292" s="172">
        <v>0</v>
      </c>
      <c r="AQ292" s="173"/>
      <c r="AR292" s="174">
        <v>1.6666700000000001E-3</v>
      </c>
      <c r="AS292" s="175">
        <v>2.3430280000000001E-2</v>
      </c>
      <c r="AT292" s="34">
        <v>0</v>
      </c>
      <c r="AU292" s="34">
        <v>5.6722120000000001E-2</v>
      </c>
      <c r="AV292" s="170">
        <v>0</v>
      </c>
      <c r="AW292" s="170">
        <v>15541.2310824</v>
      </c>
      <c r="AX292" s="170">
        <v>0</v>
      </c>
      <c r="AY292" s="170">
        <v>252500.505</v>
      </c>
      <c r="AZ292" s="170">
        <v>1971.5092803013679</v>
      </c>
      <c r="BA292" s="170">
        <v>22005.247728234022</v>
      </c>
      <c r="BB292" s="170">
        <v>0</v>
      </c>
      <c r="BC292" s="170">
        <v>0</v>
      </c>
      <c r="BD292" s="170">
        <v>0</v>
      </c>
      <c r="BE292" s="170">
        <v>0</v>
      </c>
      <c r="BF292" s="170">
        <v>0</v>
      </c>
      <c r="BG292" s="170">
        <v>0</v>
      </c>
      <c r="BH292" s="170">
        <v>0</v>
      </c>
      <c r="BI292" s="170">
        <v>250000.5</v>
      </c>
      <c r="BJ292" s="170">
        <v>0.9919</v>
      </c>
      <c r="BK292" s="170">
        <v>6.2500125000000004E-2</v>
      </c>
      <c r="BL292" s="176">
        <v>0</v>
      </c>
      <c r="BM292" s="176" t="s">
        <v>1663</v>
      </c>
      <c r="BN292" s="173">
        <v>0</v>
      </c>
      <c r="BO292" s="175">
        <v>0</v>
      </c>
      <c r="BP292" s="175">
        <v>0</v>
      </c>
      <c r="BQ292" s="170">
        <v>250000.5</v>
      </c>
      <c r="BR292" s="170">
        <v>0</v>
      </c>
      <c r="BS292" s="169" t="s">
        <v>1806</v>
      </c>
      <c r="BT292" s="173">
        <v>0.12685669943702502</v>
      </c>
      <c r="BU292" s="170">
        <v>7500.0150000000003</v>
      </c>
      <c r="BV292" s="170">
        <v>13569.721802098631</v>
      </c>
      <c r="BW292" s="170">
        <v>1.8092926216945739</v>
      </c>
      <c r="BX292" s="177">
        <v>0.87314330056297496</v>
      </c>
      <c r="BY292" s="177">
        <v>0</v>
      </c>
      <c r="BZ292" s="153">
        <v>0</v>
      </c>
      <c r="CA292" s="153">
        <v>0</v>
      </c>
      <c r="CB292" s="153">
        <v>45749</v>
      </c>
      <c r="CC292" s="153">
        <v>45749</v>
      </c>
      <c r="CD292" s="153"/>
      <c r="CE292" s="153"/>
      <c r="CF292" s="153"/>
      <c r="CG292" s="34" t="s">
        <v>139</v>
      </c>
      <c r="CH292" s="34" t="s">
        <v>1329</v>
      </c>
    </row>
    <row r="293" spans="1:86" x14ac:dyDescent="0.3">
      <c r="A293" s="34">
        <v>8</v>
      </c>
      <c r="B293" s="34" t="s">
        <v>856</v>
      </c>
      <c r="C293" s="34" t="s">
        <v>1337</v>
      </c>
      <c r="D293" s="34" t="s">
        <v>167</v>
      </c>
      <c r="E293" s="34" t="s">
        <v>1338</v>
      </c>
      <c r="F293" s="34" t="s">
        <v>1805</v>
      </c>
      <c r="G293" s="34"/>
      <c r="H293" s="34" t="s">
        <v>1456</v>
      </c>
      <c r="I293" s="34" t="s">
        <v>858</v>
      </c>
      <c r="J293" s="34" t="s">
        <v>1806</v>
      </c>
      <c r="K293" s="34"/>
      <c r="L293" s="34">
        <v>1.5900000000000001E-2</v>
      </c>
      <c r="M293" s="34">
        <v>0</v>
      </c>
      <c r="N293" s="153">
        <v>1</v>
      </c>
      <c r="O293" s="34">
        <v>0</v>
      </c>
      <c r="P293" s="34"/>
      <c r="Q293" s="153">
        <v>44650</v>
      </c>
      <c r="R293" s="153">
        <v>46119</v>
      </c>
      <c r="S293" s="153">
        <v>-84</v>
      </c>
      <c r="T293" s="34"/>
      <c r="U293" s="153" t="s">
        <v>1325</v>
      </c>
      <c r="V293" s="153" t="s">
        <v>1807</v>
      </c>
      <c r="W293" s="153">
        <v>1</v>
      </c>
      <c r="X293" s="169"/>
      <c r="Y293" s="170"/>
      <c r="Z293" s="170"/>
      <c r="AA293" s="170"/>
      <c r="AB293" s="170">
        <v>0</v>
      </c>
      <c r="AC293" s="170">
        <v>100000000</v>
      </c>
      <c r="AD293" s="170">
        <v>7992000.0000000019</v>
      </c>
      <c r="AE293" s="170">
        <v>249999.60000000003</v>
      </c>
      <c r="AF293" s="170">
        <v>249999.60000000003</v>
      </c>
      <c r="AG293" s="170">
        <v>250000</v>
      </c>
      <c r="AH293" s="153"/>
      <c r="AI293" s="171">
        <v>0</v>
      </c>
      <c r="AJ293" s="153"/>
      <c r="AK293" s="153"/>
      <c r="AL293" s="172">
        <v>101</v>
      </c>
      <c r="AM293" s="172">
        <v>6.6600000000000006E-2</v>
      </c>
      <c r="AN293" s="173" t="s">
        <v>1326</v>
      </c>
      <c r="AO293" s="173">
        <v>45751</v>
      </c>
      <c r="AP293" s="172">
        <v>0</v>
      </c>
      <c r="AQ293" s="173"/>
      <c r="AR293" s="174">
        <v>2.08333E-3</v>
      </c>
      <c r="AS293" s="175">
        <v>2.8000799999999999E-2</v>
      </c>
      <c r="AT293" s="34">
        <v>0</v>
      </c>
      <c r="AU293" s="34">
        <v>5.962858E-2</v>
      </c>
      <c r="AV293" s="170">
        <v>0</v>
      </c>
      <c r="AW293" s="170">
        <v>16649.973360000004</v>
      </c>
      <c r="AX293" s="170">
        <v>0</v>
      </c>
      <c r="AY293" s="170">
        <v>252499.59600000005</v>
      </c>
      <c r="AZ293" s="170">
        <v>3783.1094999501302</v>
      </c>
      <c r="BA293" s="170">
        <v>30259.525223829878</v>
      </c>
      <c r="BB293" s="170">
        <v>0</v>
      </c>
      <c r="BC293" s="170">
        <v>0</v>
      </c>
      <c r="BD293" s="170">
        <v>0</v>
      </c>
      <c r="BE293" s="170">
        <v>0</v>
      </c>
      <c r="BF293" s="170">
        <v>0</v>
      </c>
      <c r="BG293" s="170">
        <v>249999.59999999998</v>
      </c>
      <c r="BH293" s="170">
        <v>249999.6</v>
      </c>
      <c r="BI293" s="170">
        <v>249999.60000000003</v>
      </c>
      <c r="BJ293" s="170">
        <v>0.98429999999999995</v>
      </c>
      <c r="BK293" s="170">
        <v>6.2499900000000011E-2</v>
      </c>
      <c r="BL293" s="176">
        <v>0</v>
      </c>
      <c r="BM293" s="176" t="s">
        <v>1663</v>
      </c>
      <c r="BN293" s="173">
        <v>0</v>
      </c>
      <c r="BO293" s="175">
        <v>0</v>
      </c>
      <c r="BP293" s="175">
        <v>0</v>
      </c>
      <c r="BQ293" s="170">
        <v>249999.60000000003</v>
      </c>
      <c r="BR293" s="170">
        <v>0</v>
      </c>
      <c r="BS293" s="169" t="s">
        <v>1806</v>
      </c>
      <c r="BT293" s="173">
        <v>0.22721414732342426</v>
      </c>
      <c r="BU293" s="170">
        <v>7499.9880000000003</v>
      </c>
      <c r="BV293" s="170">
        <v>12866.863860049874</v>
      </c>
      <c r="BW293" s="170">
        <v>1.7155845929419986</v>
      </c>
      <c r="BX293" s="177">
        <v>0.77278585267657574</v>
      </c>
      <c r="BY293" s="177">
        <v>0</v>
      </c>
      <c r="BZ293" s="153">
        <v>0</v>
      </c>
      <c r="CA293" s="153">
        <v>0</v>
      </c>
      <c r="CB293" s="153">
        <v>45751</v>
      </c>
      <c r="CC293" s="153">
        <v>45751</v>
      </c>
      <c r="CD293" s="153"/>
      <c r="CE293" s="153"/>
      <c r="CF293" s="153"/>
      <c r="CG293" s="34" t="s">
        <v>139</v>
      </c>
      <c r="CH293" s="34" t="s">
        <v>1333</v>
      </c>
    </row>
    <row r="294" spans="1:86" x14ac:dyDescent="0.3">
      <c r="A294" s="34">
        <v>9</v>
      </c>
      <c r="B294" s="34" t="s">
        <v>895</v>
      </c>
      <c r="C294" s="34" t="s">
        <v>1345</v>
      </c>
      <c r="D294" s="34" t="s">
        <v>150</v>
      </c>
      <c r="E294" s="34" t="s">
        <v>1336</v>
      </c>
      <c r="F294" s="34"/>
      <c r="G294" s="34"/>
      <c r="H294" s="34" t="s">
        <v>1456</v>
      </c>
      <c r="I294" s="34" t="s">
        <v>898</v>
      </c>
      <c r="J294" s="34" t="s">
        <v>1806</v>
      </c>
      <c r="K294" s="34"/>
      <c r="L294" s="34">
        <v>1.1299999999999999E-2</v>
      </c>
      <c r="M294" s="34">
        <v>0</v>
      </c>
      <c r="N294" s="153">
        <v>1</v>
      </c>
      <c r="O294" s="34">
        <v>0</v>
      </c>
      <c r="P294" s="34"/>
      <c r="Q294" s="153">
        <v>45630</v>
      </c>
      <c r="R294" s="153">
        <v>46762</v>
      </c>
      <c r="S294" s="153">
        <v>559</v>
      </c>
      <c r="T294" s="34"/>
      <c r="U294" s="153" t="s">
        <v>1325</v>
      </c>
      <c r="V294" s="153" t="s">
        <v>1807</v>
      </c>
      <c r="W294" s="153">
        <v>1</v>
      </c>
      <c r="X294" s="169"/>
      <c r="Y294" s="170"/>
      <c r="Z294" s="170"/>
      <c r="AA294" s="170"/>
      <c r="AB294" s="170">
        <v>0</v>
      </c>
      <c r="AC294" s="170">
        <v>100000000</v>
      </c>
      <c r="AD294" s="170">
        <v>7310000</v>
      </c>
      <c r="AE294" s="170">
        <v>250000</v>
      </c>
      <c r="AF294" s="170">
        <v>250000</v>
      </c>
      <c r="AG294" s="170">
        <v>250000</v>
      </c>
      <c r="AH294" s="153"/>
      <c r="AI294" s="171">
        <v>0</v>
      </c>
      <c r="AJ294" s="153"/>
      <c r="AK294" s="153"/>
      <c r="AL294" s="172">
        <v>101.6</v>
      </c>
      <c r="AM294" s="172">
        <v>7.3099999999999998E-2</v>
      </c>
      <c r="AN294" s="173" t="s">
        <v>1326</v>
      </c>
      <c r="AO294" s="173">
        <v>45756</v>
      </c>
      <c r="AP294" s="172">
        <v>0</v>
      </c>
      <c r="AQ294" s="173"/>
      <c r="AR294" s="174">
        <v>2.5000000000000001E-3</v>
      </c>
      <c r="AS294" s="175">
        <v>3.4997439999999998E-2</v>
      </c>
      <c r="AT294" s="172">
        <v>0</v>
      </c>
      <c r="AU294" s="170">
        <v>6.9968119999999995E-2</v>
      </c>
      <c r="AV294" s="170">
        <v>0</v>
      </c>
      <c r="AW294" s="170">
        <v>18275</v>
      </c>
      <c r="AX294" s="170">
        <v>0</v>
      </c>
      <c r="AY294" s="170">
        <v>254000</v>
      </c>
      <c r="AZ294" s="170">
        <v>2306.25</v>
      </c>
      <c r="BA294" s="170">
        <v>22853.282055047777</v>
      </c>
      <c r="BB294" s="170">
        <v>0</v>
      </c>
      <c r="BC294" s="170">
        <v>0</v>
      </c>
      <c r="BD294" s="170">
        <v>0</v>
      </c>
      <c r="BE294" s="170">
        <v>0</v>
      </c>
      <c r="BF294" s="170">
        <v>0</v>
      </c>
      <c r="BG294" s="170">
        <v>0</v>
      </c>
      <c r="BH294" s="170">
        <v>62500</v>
      </c>
      <c r="BI294" s="170">
        <v>250000</v>
      </c>
      <c r="BJ294" s="170">
        <v>0.98870000000000002</v>
      </c>
      <c r="BK294" s="170">
        <v>6.25E-2</v>
      </c>
      <c r="BL294" s="176">
        <v>0</v>
      </c>
      <c r="BM294" s="176" t="s">
        <v>1663</v>
      </c>
      <c r="BN294" s="173">
        <v>0</v>
      </c>
      <c r="BO294" s="175">
        <v>0</v>
      </c>
      <c r="BP294" s="175">
        <v>0</v>
      </c>
      <c r="BQ294" s="170">
        <v>250000</v>
      </c>
      <c r="BR294" s="170">
        <v>0</v>
      </c>
      <c r="BS294" s="169" t="s">
        <v>1806</v>
      </c>
      <c r="BT294" s="173">
        <v>0.12619699042407662</v>
      </c>
      <c r="BU294" s="170">
        <v>6562.5</v>
      </c>
      <c r="BV294" s="170">
        <v>15968.75</v>
      </c>
      <c r="BW294" s="170">
        <v>2.4333333333333331</v>
      </c>
      <c r="BX294" s="177">
        <v>0.87380300957592338</v>
      </c>
      <c r="BY294" s="177">
        <v>0</v>
      </c>
      <c r="BZ294" s="153">
        <v>0</v>
      </c>
      <c r="CA294" s="153">
        <v>0</v>
      </c>
      <c r="CB294" s="153">
        <v>45756</v>
      </c>
      <c r="CC294" s="153">
        <v>45756</v>
      </c>
      <c r="CD294" s="153"/>
      <c r="CE294" s="153"/>
      <c r="CF294" s="153"/>
      <c r="CG294" s="34" t="s">
        <v>1347</v>
      </c>
      <c r="CH294" s="34" t="s">
        <v>1333</v>
      </c>
    </row>
    <row r="295" spans="1:86" x14ac:dyDescent="0.3">
      <c r="A295" s="34">
        <v>10</v>
      </c>
      <c r="B295" s="34" t="s">
        <v>963</v>
      </c>
      <c r="C295" s="34" t="s">
        <v>1343</v>
      </c>
      <c r="D295" s="34" t="s">
        <v>150</v>
      </c>
      <c r="E295" s="34" t="s">
        <v>1336</v>
      </c>
      <c r="F295" s="34" t="s">
        <v>1805</v>
      </c>
      <c r="G295" s="34"/>
      <c r="H295" s="34" t="s">
        <v>1456</v>
      </c>
      <c r="I295" s="34" t="s">
        <v>966</v>
      </c>
      <c r="J295" s="34" t="s">
        <v>1806</v>
      </c>
      <c r="K295" s="34"/>
      <c r="L295" s="34">
        <v>2.5000000000000001E-3</v>
      </c>
      <c r="M295" s="34">
        <v>8.0000000000000004E-4</v>
      </c>
      <c r="N295" s="153">
        <v>1</v>
      </c>
      <c r="O295" s="34">
        <v>0</v>
      </c>
      <c r="P295" s="34"/>
      <c r="Q295" s="153">
        <v>45300</v>
      </c>
      <c r="R295" s="153">
        <v>46395</v>
      </c>
      <c r="S295" s="153">
        <v>192</v>
      </c>
      <c r="T295" s="34"/>
      <c r="U295" s="153" t="s">
        <v>1325</v>
      </c>
      <c r="V295" s="153" t="s">
        <v>1807</v>
      </c>
      <c r="W295" s="153">
        <v>1</v>
      </c>
      <c r="X295" s="166"/>
      <c r="Y295" s="137"/>
      <c r="Z295" s="137"/>
      <c r="AA295" s="137"/>
      <c r="AB295" s="137">
        <v>0</v>
      </c>
      <c r="AC295" s="137">
        <v>400000000</v>
      </c>
      <c r="AD295" s="137">
        <v>20017500</v>
      </c>
      <c r="AE295" s="137">
        <v>249999.45</v>
      </c>
      <c r="AF295" s="137">
        <v>249999.45</v>
      </c>
      <c r="AG295" s="137">
        <v>250000</v>
      </c>
      <c r="AH295" s="153"/>
      <c r="AI295" s="167">
        <v>0</v>
      </c>
      <c r="AJ295" s="153"/>
      <c r="AK295" s="153"/>
      <c r="AL295" s="154">
        <v>102.3</v>
      </c>
      <c r="AM295" s="154">
        <v>7.85E-2</v>
      </c>
      <c r="AN295" s="168" t="s">
        <v>1326</v>
      </c>
      <c r="AO295" s="168">
        <v>45756</v>
      </c>
      <c r="AP295" s="154">
        <v>0</v>
      </c>
      <c r="AQ295" s="168"/>
      <c r="AR295" s="155">
        <v>9.8039000000000004E-4</v>
      </c>
      <c r="AS295" s="152">
        <v>4.0195000000000002E-2</v>
      </c>
      <c r="AT295" s="154">
        <v>0</v>
      </c>
      <c r="AU295" s="137">
        <v>6.7969870000000002E-2</v>
      </c>
      <c r="AV295" s="137">
        <v>0</v>
      </c>
      <c r="AW295" s="137">
        <v>19624.956825000001</v>
      </c>
      <c r="AX295" s="137">
        <v>0</v>
      </c>
      <c r="AY295" s="137">
        <v>255749.43734999999</v>
      </c>
      <c r="AZ295" s="137">
        <v>407.35961204826805</v>
      </c>
      <c r="BA295" s="137">
        <v>9001.9858960103265</v>
      </c>
      <c r="BB295" s="137">
        <v>0</v>
      </c>
      <c r="BC295" s="137">
        <v>0</v>
      </c>
      <c r="BD295" s="137">
        <v>0</v>
      </c>
      <c r="BE295" s="137">
        <v>0</v>
      </c>
      <c r="BF295" s="137">
        <v>0</v>
      </c>
      <c r="BG295" s="137">
        <v>0</v>
      </c>
      <c r="BH295" s="137">
        <v>0</v>
      </c>
      <c r="BI295" s="137">
        <v>97412.904708811286</v>
      </c>
      <c r="BJ295" s="137">
        <v>0.99760000000000004</v>
      </c>
      <c r="BK295" s="137">
        <v>6.2499862500000003E-2</v>
      </c>
      <c r="BL295" s="113">
        <v>0</v>
      </c>
      <c r="BM295" s="113" t="s">
        <v>1663</v>
      </c>
      <c r="BN295" s="168">
        <v>0</v>
      </c>
      <c r="BO295" s="152">
        <v>0</v>
      </c>
      <c r="BP295" s="152">
        <v>0</v>
      </c>
      <c r="BQ295" s="137">
        <v>249999.45</v>
      </c>
      <c r="BR295" s="137">
        <v>0</v>
      </c>
      <c r="BS295" s="166" t="s">
        <v>1806</v>
      </c>
      <c r="BT295" s="168">
        <v>2.0757223349879551E-2</v>
      </c>
      <c r="BU295" s="137">
        <v>1203.7957702624742</v>
      </c>
      <c r="BV295" s="137">
        <v>19217.597212951732</v>
      </c>
      <c r="BW295" s="137">
        <v>15.964167417502679</v>
      </c>
      <c r="BX295" s="89">
        <v>0.97924277665012038</v>
      </c>
      <c r="BY295" s="89">
        <v>0</v>
      </c>
      <c r="BZ295" s="153">
        <v>0</v>
      </c>
      <c r="CA295" s="153">
        <v>0</v>
      </c>
      <c r="CB295" s="153">
        <v>45756</v>
      </c>
      <c r="CC295" s="153">
        <v>45756</v>
      </c>
      <c r="CD295" s="153"/>
      <c r="CE295" s="153"/>
      <c r="CF295" s="153"/>
      <c r="CG295" s="34" t="s">
        <v>139</v>
      </c>
      <c r="CH295" s="34" t="s">
        <v>1333</v>
      </c>
    </row>
    <row r="296" spans="1:86" x14ac:dyDescent="0.3">
      <c r="A296" s="34">
        <v>11</v>
      </c>
      <c r="B296" s="34" t="s">
        <v>1000</v>
      </c>
      <c r="C296" s="34" t="s">
        <v>1353</v>
      </c>
      <c r="D296" s="34" t="s">
        <v>133</v>
      </c>
      <c r="E296" s="34" t="s">
        <v>1336</v>
      </c>
      <c r="F296" s="34"/>
      <c r="G296" s="34"/>
      <c r="H296" s="34" t="s">
        <v>1456</v>
      </c>
      <c r="I296" s="34" t="s">
        <v>1003</v>
      </c>
      <c r="J296" s="34" t="s">
        <v>1806</v>
      </c>
      <c r="K296" s="34"/>
      <c r="L296" s="34">
        <v>9.7000000000000003E-3</v>
      </c>
      <c r="M296" s="34">
        <v>6.0000000000000001E-3</v>
      </c>
      <c r="N296" s="153">
        <v>1</v>
      </c>
      <c r="O296" s="34">
        <v>0</v>
      </c>
      <c r="P296" s="34"/>
      <c r="Q296" s="153">
        <v>45104</v>
      </c>
      <c r="R296" s="153">
        <v>46332</v>
      </c>
      <c r="S296" s="153">
        <v>129</v>
      </c>
      <c r="T296" s="34"/>
      <c r="U296" s="153" t="s">
        <v>1325</v>
      </c>
      <c r="V296" s="153" t="s">
        <v>1807</v>
      </c>
      <c r="W296" s="153">
        <v>1</v>
      </c>
      <c r="X296" s="166"/>
      <c r="Y296" s="137"/>
      <c r="Z296" s="137"/>
      <c r="AA296" s="137"/>
      <c r="AB296" s="137">
        <v>0</v>
      </c>
      <c r="AC296" s="137">
        <v>150000000</v>
      </c>
      <c r="AD296" s="137">
        <v>12256230</v>
      </c>
      <c r="AE296" s="137">
        <v>250000.5</v>
      </c>
      <c r="AF296" s="137">
        <v>250000.5</v>
      </c>
      <c r="AG296" s="137">
        <v>250000</v>
      </c>
      <c r="AH296" s="153"/>
      <c r="AI296" s="167">
        <v>0</v>
      </c>
      <c r="AJ296" s="153"/>
      <c r="AK296" s="153"/>
      <c r="AL296" s="154">
        <v>102.4</v>
      </c>
      <c r="AM296" s="154">
        <v>8.1708199999999995E-2</v>
      </c>
      <c r="AN296" s="168" t="s">
        <v>1326</v>
      </c>
      <c r="AO296" s="168">
        <v>45763</v>
      </c>
      <c r="AP296" s="154">
        <v>0</v>
      </c>
      <c r="AQ296" s="168"/>
      <c r="AR296" s="155">
        <v>1.6666700000000001E-3</v>
      </c>
      <c r="AS296" s="152">
        <v>4.3428769999999998E-2</v>
      </c>
      <c r="AT296" s="154">
        <v>0</v>
      </c>
      <c r="AU296" s="137">
        <v>6.8990380000000004E-2</v>
      </c>
      <c r="AV296" s="137">
        <v>0</v>
      </c>
      <c r="AW296" s="137">
        <v>20427.090854099999</v>
      </c>
      <c r="AX296" s="137">
        <v>87500.175000000003</v>
      </c>
      <c r="AY296" s="137">
        <v>256000.51200000002</v>
      </c>
      <c r="AZ296" s="137">
        <v>1946.8788937500001</v>
      </c>
      <c r="BA296" s="137">
        <v>20829.125148716455</v>
      </c>
      <c r="BB296" s="137">
        <v>0</v>
      </c>
      <c r="BC296" s="137">
        <v>0</v>
      </c>
      <c r="BD296" s="137">
        <v>0</v>
      </c>
      <c r="BE296" s="137">
        <v>0</v>
      </c>
      <c r="BF296" s="137">
        <v>0</v>
      </c>
      <c r="BG296" s="137">
        <v>0</v>
      </c>
      <c r="BH296" s="137">
        <v>0</v>
      </c>
      <c r="BI296" s="137">
        <v>250000.5</v>
      </c>
      <c r="BJ296" s="137">
        <v>0.99029999999999996</v>
      </c>
      <c r="BK296" s="137">
        <v>6.2500125000000004E-2</v>
      </c>
      <c r="BL296" s="113">
        <v>0</v>
      </c>
      <c r="BM296" s="113" t="s">
        <v>1663</v>
      </c>
      <c r="BN296" s="168">
        <v>0</v>
      </c>
      <c r="BO296" s="152">
        <v>0</v>
      </c>
      <c r="BP296" s="152">
        <v>0</v>
      </c>
      <c r="BQ296" s="137">
        <v>250000.5</v>
      </c>
      <c r="BR296" s="137">
        <v>0</v>
      </c>
      <c r="BS296" s="166" t="s">
        <v>1806</v>
      </c>
      <c r="BT296" s="168">
        <v>9.5308671589877159E-2</v>
      </c>
      <c r="BU296" s="137">
        <v>57500.114999999998</v>
      </c>
      <c r="BV296" s="137">
        <v>18480.21196035</v>
      </c>
      <c r="BW296" s="137">
        <v>0.32139434782608695</v>
      </c>
      <c r="BX296" s="89">
        <v>0.9046913284101229</v>
      </c>
      <c r="BY296" s="89">
        <v>0</v>
      </c>
      <c r="BZ296" s="153">
        <v>0</v>
      </c>
      <c r="CA296" s="153">
        <v>0</v>
      </c>
      <c r="CB296" s="153">
        <v>45763</v>
      </c>
      <c r="CC296" s="153">
        <v>45763</v>
      </c>
      <c r="CD296" s="153"/>
      <c r="CE296" s="153"/>
      <c r="CF296" s="153"/>
      <c r="CG296" s="34" t="s">
        <v>1347</v>
      </c>
      <c r="CH296" s="34" t="s">
        <v>1333</v>
      </c>
    </row>
    <row r="297" spans="1:86" x14ac:dyDescent="0.3">
      <c r="A297" s="34">
        <v>12</v>
      </c>
      <c r="B297" s="34" t="s">
        <v>1028</v>
      </c>
      <c r="C297" s="34" t="s">
        <v>1339</v>
      </c>
      <c r="D297" s="34" t="s">
        <v>528</v>
      </c>
      <c r="E297" s="34" t="s">
        <v>1340</v>
      </c>
      <c r="F297" s="34" t="s">
        <v>1808</v>
      </c>
      <c r="G297" s="34"/>
      <c r="H297" s="34" t="s">
        <v>1456</v>
      </c>
      <c r="I297" s="34" t="s">
        <v>1029</v>
      </c>
      <c r="J297" s="34" t="s">
        <v>1806</v>
      </c>
      <c r="K297" s="34"/>
      <c r="L297" s="34">
        <v>8.5000000000000006E-3</v>
      </c>
      <c r="M297" s="34">
        <v>7.7000000000000002E-3</v>
      </c>
      <c r="N297" s="153">
        <v>1</v>
      </c>
      <c r="O297" s="34">
        <v>0</v>
      </c>
      <c r="P297" s="34"/>
      <c r="Q297" s="153">
        <v>45267</v>
      </c>
      <c r="R297" s="153">
        <v>46363</v>
      </c>
      <c r="S297" s="153">
        <v>160</v>
      </c>
      <c r="T297" s="34"/>
      <c r="U297" s="153" t="s">
        <v>1325</v>
      </c>
      <c r="V297" s="153" t="s">
        <v>1807</v>
      </c>
      <c r="W297" s="153">
        <v>1</v>
      </c>
      <c r="X297" s="166"/>
      <c r="Y297" s="137"/>
      <c r="Z297" s="137"/>
      <c r="AA297" s="137"/>
      <c r="AB297" s="137">
        <v>0</v>
      </c>
      <c r="AC297" s="137">
        <v>1000000000</v>
      </c>
      <c r="AD297" s="137">
        <v>27960000</v>
      </c>
      <c r="AE297" s="137">
        <v>249999</v>
      </c>
      <c r="AF297" s="137">
        <v>249999</v>
      </c>
      <c r="AG297" s="137">
        <v>250000</v>
      </c>
      <c r="AH297" s="153"/>
      <c r="AI297" s="167">
        <v>0</v>
      </c>
      <c r="AJ297" s="153"/>
      <c r="AK297" s="153"/>
      <c r="AL297" s="154">
        <v>103.95</v>
      </c>
      <c r="AM297" s="154">
        <v>9.3200000000000005E-2</v>
      </c>
      <c r="AN297" s="168" t="s">
        <v>1326</v>
      </c>
      <c r="AO297" s="168">
        <v>45751</v>
      </c>
      <c r="AP297" s="154">
        <v>0</v>
      </c>
      <c r="AQ297" s="168"/>
      <c r="AR297" s="155">
        <v>8.3332999999999996E-4</v>
      </c>
      <c r="AS297" s="152">
        <v>5.500062E-2</v>
      </c>
      <c r="AT297" s="154">
        <v>0</v>
      </c>
      <c r="AU297" s="137">
        <v>7.1253140000000006E-2</v>
      </c>
      <c r="AV297" s="137">
        <v>0</v>
      </c>
      <c r="AW297" s="137">
        <v>23299.906800000001</v>
      </c>
      <c r="AX297" s="137">
        <v>124999.5</v>
      </c>
      <c r="AY297" s="137">
        <v>259873.96050000002</v>
      </c>
      <c r="AZ297" s="137">
        <v>2019.6864694769979</v>
      </c>
      <c r="BA297" s="137">
        <v>22128.200213811611</v>
      </c>
      <c r="BB297" s="137">
        <v>0</v>
      </c>
      <c r="BC297" s="137">
        <v>0</v>
      </c>
      <c r="BD297" s="137">
        <v>0</v>
      </c>
      <c r="BE297" s="137">
        <v>0</v>
      </c>
      <c r="BF297" s="137">
        <v>0</v>
      </c>
      <c r="BG297" s="137">
        <v>0</v>
      </c>
      <c r="BH297" s="137">
        <v>0</v>
      </c>
      <c r="BI297" s="137">
        <v>249999</v>
      </c>
      <c r="BJ297" s="137">
        <v>0.99150000000000005</v>
      </c>
      <c r="BK297" s="137">
        <v>6.249975E-2</v>
      </c>
      <c r="BL297" s="113">
        <v>0</v>
      </c>
      <c r="BM297" s="113" t="s">
        <v>1663</v>
      </c>
      <c r="BN297" s="168">
        <v>0</v>
      </c>
      <c r="BO297" s="152">
        <v>0</v>
      </c>
      <c r="BP297" s="152">
        <v>0</v>
      </c>
      <c r="BQ297" s="137">
        <v>249999</v>
      </c>
      <c r="BR297" s="137">
        <v>0</v>
      </c>
      <c r="BS297" s="166" t="s">
        <v>1806</v>
      </c>
      <c r="BT297" s="168">
        <v>8.6682169453012478E-2</v>
      </c>
      <c r="BU297" s="137">
        <v>107499.57</v>
      </c>
      <c r="BV297" s="137">
        <v>21280.220330523003</v>
      </c>
      <c r="BW297" s="137">
        <v>0.19795632978367264</v>
      </c>
      <c r="BX297" s="89">
        <v>0.91331783054698756</v>
      </c>
      <c r="BY297" s="89">
        <v>0</v>
      </c>
      <c r="BZ297" s="153">
        <v>0</v>
      </c>
      <c r="CA297" s="153">
        <v>0</v>
      </c>
      <c r="CB297" s="153">
        <v>45751</v>
      </c>
      <c r="CC297" s="153">
        <v>45751</v>
      </c>
      <c r="CD297" s="153"/>
      <c r="CE297" s="153"/>
      <c r="CF297" s="153"/>
      <c r="CG297" s="34" t="s">
        <v>139</v>
      </c>
      <c r="CH297" s="34" t="s">
        <v>1329</v>
      </c>
    </row>
    <row r="298" spans="1:86" x14ac:dyDescent="0.3">
      <c r="A298" s="34">
        <v>13</v>
      </c>
      <c r="B298" s="34" t="s">
        <v>1061</v>
      </c>
      <c r="C298" s="34" t="s">
        <v>1354</v>
      </c>
      <c r="D298" s="34" t="s">
        <v>133</v>
      </c>
      <c r="E298" s="34" t="s">
        <v>1336</v>
      </c>
      <c r="F298" s="34" t="s">
        <v>1805</v>
      </c>
      <c r="G298" s="34"/>
      <c r="H298" s="34" t="s">
        <v>1456</v>
      </c>
      <c r="I298" s="34" t="s">
        <v>1064</v>
      </c>
      <c r="J298" s="34" t="s">
        <v>1806</v>
      </c>
      <c r="K298" s="34"/>
      <c r="L298" s="34">
        <v>1.7600000000000001E-2</v>
      </c>
      <c r="M298" s="34">
        <v>0</v>
      </c>
      <c r="N298" s="153">
        <v>1</v>
      </c>
      <c r="O298" s="34">
        <v>0</v>
      </c>
      <c r="P298" s="34"/>
      <c r="Q298" s="153">
        <v>45287</v>
      </c>
      <c r="R298" s="153">
        <v>46395</v>
      </c>
      <c r="S298" s="153">
        <v>192</v>
      </c>
      <c r="T298" s="34"/>
      <c r="U298" s="153" t="s">
        <v>1325</v>
      </c>
      <c r="V298" s="153" t="s">
        <v>1807</v>
      </c>
      <c r="W298" s="153">
        <v>1</v>
      </c>
      <c r="X298" s="166"/>
      <c r="Y298" s="137"/>
      <c r="Z298" s="137"/>
      <c r="AA298" s="137"/>
      <c r="AB298" s="137">
        <v>0</v>
      </c>
      <c r="AC298" s="137">
        <v>301000000</v>
      </c>
      <c r="AD298" s="137">
        <v>20180000</v>
      </c>
      <c r="AE298" s="137">
        <v>250000</v>
      </c>
      <c r="AF298" s="137">
        <v>250000</v>
      </c>
      <c r="AG298" s="137">
        <v>250000</v>
      </c>
      <c r="AH298" s="153"/>
      <c r="AI298" s="167">
        <v>0</v>
      </c>
      <c r="AJ298" s="153"/>
      <c r="AK298" s="153"/>
      <c r="AL298" s="154">
        <v>103.1</v>
      </c>
      <c r="AM298" s="154">
        <v>0.1009</v>
      </c>
      <c r="AN298" s="168" t="s">
        <v>1326</v>
      </c>
      <c r="AO298" s="168">
        <v>45770</v>
      </c>
      <c r="AP298" s="154">
        <v>0</v>
      </c>
      <c r="AQ298" s="168"/>
      <c r="AR298" s="155">
        <v>1.25E-3</v>
      </c>
      <c r="AS298" s="152">
        <v>6.2344139999999999E-2</v>
      </c>
      <c r="AT298" s="154">
        <v>0</v>
      </c>
      <c r="AU298" s="137">
        <v>8.4681469999999995E-2</v>
      </c>
      <c r="AV298" s="137">
        <v>0</v>
      </c>
      <c r="AW298" s="137">
        <v>25225.000000000004</v>
      </c>
      <c r="AX298" s="137">
        <v>231719.34507808808</v>
      </c>
      <c r="AY298" s="137">
        <v>257750</v>
      </c>
      <c r="AZ298" s="137">
        <v>3592.3576575519778</v>
      </c>
      <c r="BA298" s="137">
        <v>28646.096371683623</v>
      </c>
      <c r="BB298" s="137">
        <v>0</v>
      </c>
      <c r="BC298" s="137">
        <v>0</v>
      </c>
      <c r="BD298" s="137">
        <v>0</v>
      </c>
      <c r="BE298" s="137">
        <v>0</v>
      </c>
      <c r="BF298" s="137">
        <v>0</v>
      </c>
      <c r="BG298" s="137">
        <v>175034.94974073794</v>
      </c>
      <c r="BH298" s="137">
        <v>250000.00103749998</v>
      </c>
      <c r="BI298" s="137">
        <v>250000.00103749998</v>
      </c>
      <c r="BJ298" s="137">
        <v>0.9829</v>
      </c>
      <c r="BK298" s="137">
        <v>6.25E-2</v>
      </c>
      <c r="BL298" s="113">
        <v>0</v>
      </c>
      <c r="BM298" s="113" t="s">
        <v>1663</v>
      </c>
      <c r="BN298" s="168">
        <v>0</v>
      </c>
      <c r="BO298" s="152">
        <v>0</v>
      </c>
      <c r="BP298" s="152">
        <v>0</v>
      </c>
      <c r="BQ298" s="137">
        <v>250000</v>
      </c>
      <c r="BR298" s="137">
        <v>0</v>
      </c>
      <c r="BS298" s="166" t="s">
        <v>1806</v>
      </c>
      <c r="BT298" s="168">
        <v>0.14241259296539058</v>
      </c>
      <c r="BU298" s="137">
        <v>142091.66784942264</v>
      </c>
      <c r="BV298" s="137">
        <v>21632.642342448027</v>
      </c>
      <c r="BW298" s="137">
        <v>0.15224427068709312</v>
      </c>
      <c r="BX298" s="89">
        <v>0.85758740703460945</v>
      </c>
      <c r="BY298" s="89">
        <v>0</v>
      </c>
      <c r="BZ298" s="153">
        <v>0</v>
      </c>
      <c r="CA298" s="153">
        <v>0</v>
      </c>
      <c r="CB298" s="153">
        <v>45770</v>
      </c>
      <c r="CC298" s="153">
        <v>45770</v>
      </c>
      <c r="CD298" s="153"/>
      <c r="CE298" s="153"/>
      <c r="CF298" s="153"/>
      <c r="CG298" s="34" t="s">
        <v>139</v>
      </c>
      <c r="CH298" s="34" t="s">
        <v>1333</v>
      </c>
    </row>
    <row r="299" spans="1:86" x14ac:dyDescent="0.3">
      <c r="A299" s="34">
        <v>14</v>
      </c>
      <c r="B299" s="34" t="s">
        <v>1114</v>
      </c>
      <c r="C299" s="34" t="s">
        <v>1342</v>
      </c>
      <c r="D299" s="34" t="s">
        <v>150</v>
      </c>
      <c r="E299" s="34" t="s">
        <v>1336</v>
      </c>
      <c r="F299" s="34" t="s">
        <v>1805</v>
      </c>
      <c r="G299" s="34"/>
      <c r="H299" s="34" t="s">
        <v>1456</v>
      </c>
      <c r="I299" s="34" t="s">
        <v>1117</v>
      </c>
      <c r="J299" s="34" t="s">
        <v>1806</v>
      </c>
      <c r="K299" s="34"/>
      <c r="L299" s="34">
        <v>1.4999999999999999E-2</v>
      </c>
      <c r="M299" s="34">
        <v>9.1999999999999998E-3</v>
      </c>
      <c r="N299" s="153">
        <v>1</v>
      </c>
      <c r="O299" s="34">
        <v>0</v>
      </c>
      <c r="P299" s="34"/>
      <c r="Q299" s="153">
        <v>45649</v>
      </c>
      <c r="R299" s="153">
        <v>46849</v>
      </c>
      <c r="S299" s="153">
        <v>646</v>
      </c>
      <c r="T299" s="34"/>
      <c r="U299" s="153" t="s">
        <v>1325</v>
      </c>
      <c r="V299" s="153" t="s">
        <v>1807</v>
      </c>
      <c r="W299" s="153">
        <v>1</v>
      </c>
      <c r="X299" s="166"/>
      <c r="Y299" s="137"/>
      <c r="Z299" s="137"/>
      <c r="AA299" s="137"/>
      <c r="AB299" s="137">
        <v>0</v>
      </c>
      <c r="AC299" s="137">
        <v>300000000</v>
      </c>
      <c r="AD299" s="137">
        <v>17920000</v>
      </c>
      <c r="AE299" s="137">
        <v>250000</v>
      </c>
      <c r="AF299" s="137">
        <v>250000</v>
      </c>
      <c r="AG299" s="137">
        <v>250000</v>
      </c>
      <c r="AH299" s="153"/>
      <c r="AI299" s="167">
        <v>0</v>
      </c>
      <c r="AJ299" s="153"/>
      <c r="AK299" s="153"/>
      <c r="AL299" s="154">
        <v>100.65</v>
      </c>
      <c r="AM299" s="154">
        <v>8.9599999999999999E-2</v>
      </c>
      <c r="AN299" s="168" t="s">
        <v>1326</v>
      </c>
      <c r="AO299" s="168">
        <v>45755</v>
      </c>
      <c r="AP299" s="154">
        <v>0</v>
      </c>
      <c r="AQ299" s="168"/>
      <c r="AR299" s="155">
        <v>1.25E-3</v>
      </c>
      <c r="AS299" s="152">
        <v>5.1341879999999999E-2</v>
      </c>
      <c r="AT299" s="154">
        <v>0</v>
      </c>
      <c r="AU299" s="137">
        <v>9.0424110000000002E-2</v>
      </c>
      <c r="AV299" s="137">
        <v>0</v>
      </c>
      <c r="AW299" s="137">
        <v>22400</v>
      </c>
      <c r="AX299" s="137">
        <v>187890.09220890724</v>
      </c>
      <c r="AY299" s="137">
        <v>251625</v>
      </c>
      <c r="AZ299" s="137">
        <v>2970.2306110109012</v>
      </c>
      <c r="BA299" s="137">
        <v>25886.925799512042</v>
      </c>
      <c r="BB299" s="137">
        <v>0</v>
      </c>
      <c r="BC299" s="137">
        <v>0</v>
      </c>
      <c r="BD299" s="137">
        <v>0</v>
      </c>
      <c r="BE299" s="137">
        <v>0</v>
      </c>
      <c r="BF299" s="137">
        <v>0</v>
      </c>
      <c r="BG299" s="137">
        <v>75931.153607653789</v>
      </c>
      <c r="BH299" s="137">
        <v>212102.31331062448</v>
      </c>
      <c r="BI299" s="137">
        <v>250000.00125</v>
      </c>
      <c r="BJ299" s="137">
        <v>0.98550000000000004</v>
      </c>
      <c r="BK299" s="137">
        <v>6.25E-2</v>
      </c>
      <c r="BL299" s="113">
        <v>0</v>
      </c>
      <c r="BM299" s="113" t="s">
        <v>1663</v>
      </c>
      <c r="BN299" s="168">
        <v>0</v>
      </c>
      <c r="BO299" s="152">
        <v>0</v>
      </c>
      <c r="BP299" s="152">
        <v>0</v>
      </c>
      <c r="BQ299" s="137">
        <v>250000</v>
      </c>
      <c r="BR299" s="137">
        <v>0</v>
      </c>
      <c r="BS299" s="166" t="s">
        <v>1806</v>
      </c>
      <c r="BT299" s="168">
        <v>0.13259958084870094</v>
      </c>
      <c r="BU299" s="137">
        <v>79021.406869956365</v>
      </c>
      <c r="BV299" s="137">
        <v>19429.769388989098</v>
      </c>
      <c r="BW299" s="137">
        <v>0.24587982115990675</v>
      </c>
      <c r="BX299" s="89">
        <v>0.86740041915129906</v>
      </c>
      <c r="BY299" s="89">
        <v>0</v>
      </c>
      <c r="BZ299" s="153">
        <v>0</v>
      </c>
      <c r="CA299" s="153">
        <v>0</v>
      </c>
      <c r="CB299" s="153">
        <v>45755</v>
      </c>
      <c r="CC299" s="153">
        <v>45755</v>
      </c>
      <c r="CD299" s="153"/>
      <c r="CE299" s="153"/>
      <c r="CF299" s="153"/>
      <c r="CG299" s="34" t="s">
        <v>139</v>
      </c>
      <c r="CH299" s="34" t="s">
        <v>1333</v>
      </c>
    </row>
    <row r="300" spans="1:86" x14ac:dyDescent="0.3">
      <c r="A300" s="34">
        <v>15</v>
      </c>
      <c r="B300" s="34" t="s">
        <v>1120</v>
      </c>
      <c r="C300" s="34" t="s">
        <v>1331</v>
      </c>
      <c r="D300" s="34" t="s">
        <v>159</v>
      </c>
      <c r="E300" s="34" t="s">
        <v>1332</v>
      </c>
      <c r="F300" s="34" t="s">
        <v>1805</v>
      </c>
      <c r="G300" s="34"/>
      <c r="H300" s="34" t="s">
        <v>1456</v>
      </c>
      <c r="I300" s="34" t="s">
        <v>1121</v>
      </c>
      <c r="J300" s="34" t="s">
        <v>1806</v>
      </c>
      <c r="K300" s="34"/>
      <c r="L300" s="34">
        <v>3.3399999999999999E-2</v>
      </c>
      <c r="M300" s="34">
        <v>3.1300000000000001E-2</v>
      </c>
      <c r="N300" s="153">
        <v>1</v>
      </c>
      <c r="O300" s="34">
        <v>0</v>
      </c>
      <c r="P300" s="34"/>
      <c r="Q300" s="153">
        <v>45686</v>
      </c>
      <c r="R300" s="153">
        <v>46850</v>
      </c>
      <c r="S300" s="153">
        <v>647</v>
      </c>
      <c r="T300" s="34"/>
      <c r="U300" s="153" t="s">
        <v>1325</v>
      </c>
      <c r="V300" s="153" t="s">
        <v>1809</v>
      </c>
      <c r="W300" s="153">
        <v>1</v>
      </c>
      <c r="X300" s="166"/>
      <c r="Y300" s="137"/>
      <c r="Z300" s="137"/>
      <c r="AA300" s="137"/>
      <c r="AB300" s="137">
        <v>5000000</v>
      </c>
      <c r="AC300" s="137">
        <v>5000000</v>
      </c>
      <c r="AD300" s="137">
        <v>3142943.6999999997</v>
      </c>
      <c r="AE300" s="137">
        <v>249999.9</v>
      </c>
      <c r="AF300" s="137">
        <v>249999.9</v>
      </c>
      <c r="AG300" s="137">
        <v>250000</v>
      </c>
      <c r="AH300" s="153"/>
      <c r="AI300" s="167">
        <v>0</v>
      </c>
      <c r="AJ300" s="153"/>
      <c r="AK300" s="153"/>
      <c r="AL300" s="154">
        <v>100.2</v>
      </c>
      <c r="AM300" s="154">
        <v>0.10476479</v>
      </c>
      <c r="AN300" s="168" t="s">
        <v>1326</v>
      </c>
      <c r="AO300" s="168">
        <v>45751</v>
      </c>
      <c r="AP300" s="154">
        <v>0</v>
      </c>
      <c r="AQ300" s="168"/>
      <c r="AR300" s="155">
        <v>8.3333299999999999E-3</v>
      </c>
      <c r="AS300" s="152">
        <v>6.6102750000000002E-2</v>
      </c>
      <c r="AT300" s="154">
        <v>0</v>
      </c>
      <c r="AU300" s="137">
        <v>0.10367698</v>
      </c>
      <c r="AV300" s="137">
        <v>0</v>
      </c>
      <c r="AW300" s="137">
        <v>26191.187023521001</v>
      </c>
      <c r="AX300" s="137">
        <v>124999.95</v>
      </c>
      <c r="AY300" s="137">
        <v>250499.89980000001</v>
      </c>
      <c r="AZ300" s="137">
        <v>7224.172555225301</v>
      </c>
      <c r="BA300" s="137">
        <v>40913.053250054218</v>
      </c>
      <c r="BB300" s="137">
        <v>0</v>
      </c>
      <c r="BC300" s="137">
        <v>0</v>
      </c>
      <c r="BD300" s="137">
        <v>0</v>
      </c>
      <c r="BE300" s="137">
        <v>0</v>
      </c>
      <c r="BF300" s="137">
        <v>249999.89999999994</v>
      </c>
      <c r="BG300" s="137">
        <v>249999.9</v>
      </c>
      <c r="BH300" s="137">
        <v>249999.9</v>
      </c>
      <c r="BI300" s="137">
        <v>249999.90000000005</v>
      </c>
      <c r="BJ300" s="137">
        <v>0.96840000000000004</v>
      </c>
      <c r="BK300" s="137">
        <v>6.2499974999999999E-2</v>
      </c>
      <c r="BL300" s="113">
        <v>0</v>
      </c>
      <c r="BM300" s="113" t="s">
        <v>1663</v>
      </c>
      <c r="BN300" s="168">
        <v>0</v>
      </c>
      <c r="BO300" s="152">
        <v>0</v>
      </c>
      <c r="BP300" s="152">
        <v>0</v>
      </c>
      <c r="BQ300" s="137">
        <v>249999.9</v>
      </c>
      <c r="BR300" s="137">
        <v>0</v>
      </c>
      <c r="BS300" s="166" t="s">
        <v>1806</v>
      </c>
      <c r="BT300" s="168">
        <v>0.27582455689150825</v>
      </c>
      <c r="BU300" s="137">
        <v>112873.97377722297</v>
      </c>
      <c r="BV300" s="137">
        <v>18967.0144682957</v>
      </c>
      <c r="BW300" s="137">
        <v>0.16803709334917635</v>
      </c>
      <c r="BX300" s="89">
        <v>0.72417544310849169</v>
      </c>
      <c r="BY300" s="89">
        <v>0</v>
      </c>
      <c r="BZ300" s="153">
        <v>0</v>
      </c>
      <c r="CA300" s="153">
        <v>0</v>
      </c>
      <c r="CB300" s="153">
        <v>45751</v>
      </c>
      <c r="CC300" s="153">
        <v>45751</v>
      </c>
      <c r="CD300" s="153"/>
      <c r="CE300" s="153"/>
      <c r="CF300" s="153"/>
      <c r="CG300" s="34" t="s">
        <v>1334</v>
      </c>
      <c r="CH300" s="34" t="s">
        <v>1333</v>
      </c>
    </row>
  </sheetData>
  <mergeCells count="2">
    <mergeCell ref="A116:A117"/>
    <mergeCell ref="B116:B1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4996-E832-480F-9E0A-908EE8F83D77}">
  <sheetPr codeName="Sheet6"/>
  <dimension ref="A1:CC204"/>
  <sheetViews>
    <sheetView workbookViewId="0">
      <selection activeCell="K2" sqref="K2"/>
    </sheetView>
  </sheetViews>
  <sheetFormatPr defaultRowHeight="14.4" x14ac:dyDescent="0.3"/>
  <cols>
    <col min="1" max="1" width="24.44140625" bestFit="1" customWidth="1"/>
    <col min="2" max="2" width="21.109375" customWidth="1"/>
    <col min="3" max="3" width="12.77734375" bestFit="1" customWidth="1"/>
    <col min="4" max="4" width="13.33203125" customWidth="1"/>
    <col min="5" max="5" width="16.88671875" bestFit="1" customWidth="1"/>
    <col min="6" max="6" width="13.88671875" bestFit="1" customWidth="1"/>
    <col min="7" max="7" width="12.5546875" bestFit="1" customWidth="1"/>
    <col min="8" max="8" width="16.6640625" bestFit="1" customWidth="1"/>
    <col min="9" max="9" width="14.33203125" bestFit="1" customWidth="1"/>
    <col min="10" max="10" width="15.88671875" bestFit="1" customWidth="1"/>
    <col min="11" max="11" width="12.33203125" bestFit="1" customWidth="1"/>
    <col min="12" max="12" width="22.77734375" bestFit="1" customWidth="1"/>
  </cols>
  <sheetData>
    <row r="1" spans="1:19" x14ac:dyDescent="0.3">
      <c r="A1" t="s">
        <v>1432</v>
      </c>
      <c r="B1" t="s">
        <v>1584</v>
      </c>
      <c r="C1" t="s">
        <v>1585</v>
      </c>
      <c r="D1" t="s">
        <v>1586</v>
      </c>
      <c r="E1" t="s">
        <v>1408</v>
      </c>
      <c r="F1" t="s">
        <v>1409</v>
      </c>
      <c r="G1" t="s">
        <v>1444</v>
      </c>
      <c r="H1" t="s">
        <v>1587</v>
      </c>
      <c r="I1" t="s">
        <v>1588</v>
      </c>
      <c r="J1" t="s">
        <v>1589</v>
      </c>
      <c r="K1" t="s">
        <v>1590</v>
      </c>
      <c r="L1" t="s">
        <v>76</v>
      </c>
      <c r="M1" t="s">
        <v>1591</v>
      </c>
      <c r="N1" t="s">
        <v>1592</v>
      </c>
      <c r="O1" t="s">
        <v>1593</v>
      </c>
      <c r="P1" t="s">
        <v>1594</v>
      </c>
      <c r="Q1" t="s">
        <v>1595</v>
      </c>
      <c r="R1" t="s">
        <v>1596</v>
      </c>
      <c r="S1" t="s">
        <v>1429</v>
      </c>
    </row>
    <row r="2" spans="1:19" x14ac:dyDescent="0.3">
      <c r="A2">
        <v>108</v>
      </c>
      <c r="B2">
        <v>1</v>
      </c>
      <c r="C2" t="s">
        <v>1812</v>
      </c>
      <c r="D2">
        <v>4000000</v>
      </c>
      <c r="E2" t="s">
        <v>123</v>
      </c>
      <c r="F2" t="s">
        <v>123</v>
      </c>
      <c r="G2" t="s">
        <v>1330</v>
      </c>
      <c r="H2" t="s">
        <v>123</v>
      </c>
      <c r="I2" t="s">
        <v>123</v>
      </c>
      <c r="J2" s="1">
        <v>46203</v>
      </c>
      <c r="K2" t="s">
        <v>1815</v>
      </c>
      <c r="L2" s="1">
        <v>46203.653030671296</v>
      </c>
      <c r="M2">
        <v>1</v>
      </c>
      <c r="N2">
        <v>0</v>
      </c>
      <c r="O2" t="s">
        <v>1599</v>
      </c>
      <c r="P2" t="s">
        <v>1600</v>
      </c>
      <c r="Q2">
        <v>3830344</v>
      </c>
      <c r="R2" t="s">
        <v>123</v>
      </c>
      <c r="S2">
        <v>108</v>
      </c>
    </row>
    <row r="4" spans="1:19" x14ac:dyDescent="0.3">
      <c r="A4" t="s">
        <v>1601</v>
      </c>
      <c r="B4" t="s">
        <v>1602</v>
      </c>
      <c r="C4" t="s">
        <v>1603</v>
      </c>
      <c r="D4" t="s">
        <v>1604</v>
      </c>
      <c r="E4" t="s">
        <v>1605</v>
      </c>
      <c r="F4" t="s">
        <v>63</v>
      </c>
      <c r="G4" t="s">
        <v>71</v>
      </c>
      <c r="H4" t="s">
        <v>1606</v>
      </c>
      <c r="I4" t="s">
        <v>67</v>
      </c>
      <c r="J4" t="s">
        <v>1607</v>
      </c>
      <c r="K4" t="s">
        <v>1608</v>
      </c>
      <c r="L4" t="s">
        <v>1429</v>
      </c>
      <c r="M4" t="s">
        <v>1609</v>
      </c>
      <c r="N4" t="s">
        <v>1610</v>
      </c>
      <c r="O4" t="s">
        <v>1611</v>
      </c>
      <c r="P4" t="s">
        <v>1612</v>
      </c>
    </row>
    <row r="5" spans="1:19" x14ac:dyDescent="0.3">
      <c r="A5">
        <v>91</v>
      </c>
      <c r="B5">
        <v>1</v>
      </c>
      <c r="C5">
        <v>1.2E-2</v>
      </c>
      <c r="D5">
        <v>0</v>
      </c>
      <c r="E5" t="s">
        <v>1613</v>
      </c>
      <c r="F5">
        <v>0.01</v>
      </c>
      <c r="G5">
        <v>0</v>
      </c>
      <c r="H5">
        <v>0</v>
      </c>
      <c r="I5">
        <v>0</v>
      </c>
      <c r="J5">
        <v>0</v>
      </c>
      <c r="K5">
        <v>3.8E-3</v>
      </c>
      <c r="L5">
        <v>108</v>
      </c>
      <c r="M5">
        <v>3.8699999999999998E-2</v>
      </c>
      <c r="N5">
        <v>0</v>
      </c>
      <c r="O5">
        <v>0</v>
      </c>
      <c r="P5">
        <v>0</v>
      </c>
    </row>
    <row r="7" spans="1:19" x14ac:dyDescent="0.3">
      <c r="A7" s="34" t="s">
        <v>1432</v>
      </c>
      <c r="B7" s="34" t="s">
        <v>1584</v>
      </c>
      <c r="C7" s="34" t="s">
        <v>1614</v>
      </c>
      <c r="D7" s="34" t="s">
        <v>1615</v>
      </c>
      <c r="E7" s="34" t="s">
        <v>1616</v>
      </c>
      <c r="F7" s="34" t="s">
        <v>1617</v>
      </c>
      <c r="G7" s="34" t="s">
        <v>1618</v>
      </c>
      <c r="H7" s="34" t="s">
        <v>1619</v>
      </c>
      <c r="I7" s="34" t="s">
        <v>1429</v>
      </c>
    </row>
    <row r="8" spans="1:19" x14ac:dyDescent="0.3">
      <c r="A8" s="34">
        <v>5748</v>
      </c>
      <c r="B8" s="34">
        <v>1</v>
      </c>
      <c r="C8" s="34" t="s">
        <v>1620</v>
      </c>
      <c r="D8" s="34" t="s">
        <v>1621</v>
      </c>
      <c r="E8" s="34">
        <v>0</v>
      </c>
      <c r="F8" s="34">
        <v>0.15</v>
      </c>
      <c r="G8" s="34"/>
      <c r="H8" s="34">
        <v>0</v>
      </c>
      <c r="I8" s="34">
        <v>108</v>
      </c>
    </row>
    <row r="9" spans="1:19" x14ac:dyDescent="0.3">
      <c r="A9" s="34">
        <v>5749</v>
      </c>
      <c r="B9" s="34">
        <v>1</v>
      </c>
      <c r="C9" s="34" t="s">
        <v>1620</v>
      </c>
      <c r="D9" s="34" t="s">
        <v>1622</v>
      </c>
      <c r="E9" s="34">
        <v>0</v>
      </c>
      <c r="F9" s="34">
        <v>0.3</v>
      </c>
      <c r="G9" s="34"/>
      <c r="H9" s="34">
        <v>0</v>
      </c>
      <c r="I9" s="34">
        <v>108</v>
      </c>
    </row>
    <row r="10" spans="1:19" x14ac:dyDescent="0.3">
      <c r="A10" s="34">
        <v>5750</v>
      </c>
      <c r="B10" s="34">
        <v>1</v>
      </c>
      <c r="C10" s="34" t="s">
        <v>1315</v>
      </c>
      <c r="D10" s="34" t="s">
        <v>1344</v>
      </c>
      <c r="E10" s="34">
        <v>0</v>
      </c>
      <c r="F10" s="34">
        <v>0.3</v>
      </c>
      <c r="G10" s="34"/>
      <c r="H10" s="34">
        <v>0</v>
      </c>
      <c r="I10" s="34">
        <v>108</v>
      </c>
    </row>
    <row r="11" spans="1:19" x14ac:dyDescent="0.3">
      <c r="A11" s="34">
        <v>5751</v>
      </c>
      <c r="B11" s="34">
        <v>1</v>
      </c>
      <c r="C11" s="34" t="s">
        <v>1315</v>
      </c>
      <c r="D11" s="34" t="s">
        <v>1342</v>
      </c>
      <c r="E11" s="34">
        <v>0</v>
      </c>
      <c r="F11" s="34">
        <v>0.3</v>
      </c>
      <c r="G11" s="34"/>
      <c r="H11" s="34">
        <v>0</v>
      </c>
      <c r="I11" s="34">
        <v>108</v>
      </c>
    </row>
    <row r="12" spans="1:19" x14ac:dyDescent="0.3">
      <c r="A12" s="34">
        <v>5752</v>
      </c>
      <c r="B12" s="34">
        <v>1</v>
      </c>
      <c r="C12" s="34" t="s">
        <v>1315</v>
      </c>
      <c r="D12" s="34" t="s">
        <v>1339</v>
      </c>
      <c r="E12" s="34">
        <v>0</v>
      </c>
      <c r="F12" s="34">
        <v>0.3</v>
      </c>
      <c r="G12" s="34"/>
      <c r="H12" s="34">
        <v>0</v>
      </c>
      <c r="I12" s="34">
        <v>108</v>
      </c>
    </row>
    <row r="13" spans="1:19" x14ac:dyDescent="0.3">
      <c r="A13" s="34">
        <v>5753</v>
      </c>
      <c r="B13" s="34">
        <v>1</v>
      </c>
      <c r="C13" s="34" t="s">
        <v>1315</v>
      </c>
      <c r="D13" s="34" t="s">
        <v>1341</v>
      </c>
      <c r="E13" s="34">
        <v>0</v>
      </c>
      <c r="F13" s="34">
        <v>0.3</v>
      </c>
      <c r="G13" s="34"/>
      <c r="H13" s="34">
        <v>0</v>
      </c>
      <c r="I13" s="34">
        <v>108</v>
      </c>
    </row>
    <row r="14" spans="1:19" x14ac:dyDescent="0.3">
      <c r="A14" s="34">
        <v>5754</v>
      </c>
      <c r="B14" s="34">
        <v>1</v>
      </c>
      <c r="C14" s="34" t="s">
        <v>1315</v>
      </c>
      <c r="D14" s="34" t="s">
        <v>1331</v>
      </c>
      <c r="E14" s="34">
        <v>0</v>
      </c>
      <c r="F14" s="34">
        <v>0.3</v>
      </c>
      <c r="G14" s="34"/>
      <c r="H14" s="34">
        <v>0</v>
      </c>
      <c r="I14" s="34">
        <v>108</v>
      </c>
    </row>
    <row r="15" spans="1:19" x14ac:dyDescent="0.3">
      <c r="A15" s="34">
        <v>5755</v>
      </c>
      <c r="B15" s="34">
        <v>1</v>
      </c>
      <c r="C15" s="34" t="s">
        <v>1315</v>
      </c>
      <c r="D15" s="34" t="s">
        <v>1337</v>
      </c>
      <c r="E15" s="34">
        <v>0</v>
      </c>
      <c r="F15" s="34">
        <v>0.3</v>
      </c>
      <c r="G15" s="34"/>
      <c r="H15" s="34">
        <v>0</v>
      </c>
      <c r="I15" s="34">
        <v>108</v>
      </c>
    </row>
    <row r="16" spans="1:19" x14ac:dyDescent="0.3">
      <c r="A16" s="34">
        <v>5756</v>
      </c>
      <c r="B16" s="34">
        <v>1</v>
      </c>
      <c r="C16" s="34" t="s">
        <v>1315</v>
      </c>
      <c r="D16" s="34" t="s">
        <v>1335</v>
      </c>
      <c r="E16" s="34">
        <v>0</v>
      </c>
      <c r="F16" s="34">
        <v>0.3</v>
      </c>
      <c r="G16" s="34"/>
      <c r="H16" s="34">
        <v>0</v>
      </c>
      <c r="I16" s="34">
        <v>108</v>
      </c>
    </row>
    <row r="17" spans="1:9" x14ac:dyDescent="0.3">
      <c r="A17" s="34">
        <v>5757</v>
      </c>
      <c r="B17" s="34">
        <v>1</v>
      </c>
      <c r="C17" s="34" t="s">
        <v>1315</v>
      </c>
      <c r="D17" s="34" t="s">
        <v>1345</v>
      </c>
      <c r="E17" s="34">
        <v>0</v>
      </c>
      <c r="F17" s="34">
        <v>0.3</v>
      </c>
      <c r="G17" s="34"/>
      <c r="H17" s="34">
        <v>0</v>
      </c>
      <c r="I17" s="34">
        <v>108</v>
      </c>
    </row>
    <row r="18" spans="1:9" x14ac:dyDescent="0.3">
      <c r="A18" s="34">
        <v>5758</v>
      </c>
      <c r="B18" s="34">
        <v>1</v>
      </c>
      <c r="C18" s="34" t="s">
        <v>1315</v>
      </c>
      <c r="D18" s="34" t="s">
        <v>1343</v>
      </c>
      <c r="E18" s="34">
        <v>0</v>
      </c>
      <c r="F18" s="34">
        <v>0.3</v>
      </c>
      <c r="G18" s="34"/>
      <c r="H18" s="34">
        <v>0</v>
      </c>
      <c r="I18" s="34">
        <v>108</v>
      </c>
    </row>
    <row r="19" spans="1:9" x14ac:dyDescent="0.3">
      <c r="A19" s="34">
        <v>5759</v>
      </c>
      <c r="B19" s="34">
        <v>1</v>
      </c>
      <c r="C19" s="34" t="s">
        <v>1315</v>
      </c>
      <c r="D19" s="34" t="s">
        <v>1327</v>
      </c>
      <c r="E19" s="34">
        <v>0</v>
      </c>
      <c r="F19" s="34">
        <v>0.3</v>
      </c>
      <c r="G19" s="34"/>
      <c r="H19" s="34">
        <v>0</v>
      </c>
      <c r="I19" s="34">
        <v>108</v>
      </c>
    </row>
    <row r="20" spans="1:9" x14ac:dyDescent="0.3">
      <c r="A20" s="34">
        <v>5760</v>
      </c>
      <c r="B20" s="34">
        <v>1</v>
      </c>
      <c r="C20" s="34" t="s">
        <v>1315</v>
      </c>
      <c r="D20" s="34" t="s">
        <v>1348</v>
      </c>
      <c r="E20" s="34">
        <v>0</v>
      </c>
      <c r="F20" s="34">
        <v>0.3</v>
      </c>
      <c r="G20" s="34"/>
      <c r="H20" s="34">
        <v>0</v>
      </c>
      <c r="I20" s="34">
        <v>108</v>
      </c>
    </row>
    <row r="21" spans="1:9" x14ac:dyDescent="0.3">
      <c r="A21" s="34">
        <v>5761</v>
      </c>
      <c r="B21" s="34">
        <v>1</v>
      </c>
      <c r="C21" s="34" t="s">
        <v>1315</v>
      </c>
      <c r="D21" s="34" t="s">
        <v>1351</v>
      </c>
      <c r="E21" s="34">
        <v>0</v>
      </c>
      <c r="F21" s="34">
        <v>0.3</v>
      </c>
      <c r="G21" s="34"/>
      <c r="H21" s="34">
        <v>0</v>
      </c>
      <c r="I21" s="34">
        <v>108</v>
      </c>
    </row>
    <row r="22" spans="1:9" x14ac:dyDescent="0.3">
      <c r="A22" s="34">
        <v>5762</v>
      </c>
      <c r="B22" s="34">
        <v>1</v>
      </c>
      <c r="C22" s="34" t="s">
        <v>1315</v>
      </c>
      <c r="D22" s="34" t="s">
        <v>1352</v>
      </c>
      <c r="E22" s="34">
        <v>0</v>
      </c>
      <c r="F22" s="34">
        <v>0.3</v>
      </c>
      <c r="G22" s="34"/>
      <c r="H22" s="34">
        <v>0</v>
      </c>
      <c r="I22" s="34">
        <v>108</v>
      </c>
    </row>
    <row r="23" spans="1:9" x14ac:dyDescent="0.3">
      <c r="A23" s="34">
        <v>5763</v>
      </c>
      <c r="B23" s="34">
        <v>1</v>
      </c>
      <c r="C23" s="34" t="s">
        <v>1315</v>
      </c>
      <c r="D23" s="34" t="s">
        <v>1353</v>
      </c>
      <c r="E23" s="34">
        <v>0</v>
      </c>
      <c r="F23" s="34">
        <v>0.3</v>
      </c>
      <c r="G23" s="34"/>
      <c r="H23" s="34">
        <v>0</v>
      </c>
      <c r="I23" s="34">
        <v>108</v>
      </c>
    </row>
    <row r="24" spans="1:9" x14ac:dyDescent="0.3">
      <c r="A24" s="34">
        <v>5764</v>
      </c>
      <c r="B24" s="34">
        <v>1</v>
      </c>
      <c r="C24" s="34" t="s">
        <v>1315</v>
      </c>
      <c r="D24" s="34" t="s">
        <v>1354</v>
      </c>
      <c r="E24" s="34">
        <v>0</v>
      </c>
      <c r="F24" s="34">
        <v>0.3</v>
      </c>
      <c r="G24" s="34"/>
      <c r="H24" s="34">
        <v>0</v>
      </c>
      <c r="I24" s="34">
        <v>108</v>
      </c>
    </row>
    <row r="25" spans="1:9" x14ac:dyDescent="0.3">
      <c r="A25" s="34">
        <v>5765</v>
      </c>
      <c r="B25" s="34">
        <v>1</v>
      </c>
      <c r="C25" s="34" t="s">
        <v>1630</v>
      </c>
      <c r="D25" s="34" t="s">
        <v>130</v>
      </c>
      <c r="E25" s="34">
        <v>0</v>
      </c>
      <c r="F25" s="34">
        <v>0.05</v>
      </c>
      <c r="G25" s="34"/>
      <c r="H25" s="34">
        <v>0</v>
      </c>
      <c r="I25" s="34">
        <v>108</v>
      </c>
    </row>
    <row r="26" spans="1:9" x14ac:dyDescent="0.3">
      <c r="A26" s="34">
        <v>5766</v>
      </c>
      <c r="B26" s="34">
        <v>1</v>
      </c>
      <c r="C26" s="34" t="s">
        <v>1630</v>
      </c>
      <c r="D26" s="34" t="s">
        <v>1624</v>
      </c>
      <c r="E26" s="34">
        <v>0</v>
      </c>
      <c r="F26" s="34">
        <v>2.5000000000000001E-2</v>
      </c>
      <c r="G26" s="34"/>
      <c r="H26" s="34">
        <v>0</v>
      </c>
      <c r="I26" s="34">
        <v>108</v>
      </c>
    </row>
    <row r="27" spans="1:9" x14ac:dyDescent="0.3">
      <c r="A27" s="34">
        <v>5767</v>
      </c>
      <c r="B27" s="34">
        <v>1</v>
      </c>
      <c r="C27" s="34" t="s">
        <v>1630</v>
      </c>
      <c r="D27" s="34" t="s">
        <v>1625</v>
      </c>
      <c r="E27" s="34">
        <v>0</v>
      </c>
      <c r="F27" s="34">
        <v>0.4</v>
      </c>
      <c r="G27" s="34"/>
      <c r="H27" s="34">
        <v>0</v>
      </c>
      <c r="I27" s="34">
        <v>108</v>
      </c>
    </row>
    <row r="28" spans="1:9" x14ac:dyDescent="0.3">
      <c r="A28" s="34">
        <v>5768</v>
      </c>
      <c r="B28" s="34">
        <v>1</v>
      </c>
      <c r="C28" s="34" t="s">
        <v>1630</v>
      </c>
      <c r="D28" s="34" t="s">
        <v>1627</v>
      </c>
      <c r="E28" s="34">
        <v>0</v>
      </c>
      <c r="F28" s="34">
        <v>0.4</v>
      </c>
      <c r="G28" s="34"/>
      <c r="H28" s="34">
        <v>0</v>
      </c>
      <c r="I28" s="34">
        <v>108</v>
      </c>
    </row>
    <row r="29" spans="1:9" x14ac:dyDescent="0.3">
      <c r="A29" s="34">
        <v>5769</v>
      </c>
      <c r="B29" s="34">
        <v>1</v>
      </c>
      <c r="C29" s="34" t="s">
        <v>1630</v>
      </c>
      <c r="D29" s="34" t="s">
        <v>1626</v>
      </c>
      <c r="E29" s="34">
        <v>0</v>
      </c>
      <c r="F29" s="34">
        <v>0.05</v>
      </c>
      <c r="G29" s="34"/>
      <c r="H29" s="34">
        <v>0</v>
      </c>
      <c r="I29" s="34">
        <v>108</v>
      </c>
    </row>
    <row r="30" spans="1:9" x14ac:dyDescent="0.3">
      <c r="A30" s="34">
        <v>5770</v>
      </c>
      <c r="B30" s="34">
        <v>1</v>
      </c>
      <c r="C30" s="34" t="s">
        <v>1630</v>
      </c>
      <c r="D30" s="34" t="s">
        <v>1629</v>
      </c>
      <c r="E30" s="34">
        <v>0</v>
      </c>
      <c r="F30" s="34">
        <v>0.1</v>
      </c>
      <c r="G30" s="34"/>
      <c r="H30" s="34">
        <v>0</v>
      </c>
      <c r="I30" s="34">
        <v>108</v>
      </c>
    </row>
    <row r="31" spans="1:9" x14ac:dyDescent="0.3">
      <c r="A31" s="34">
        <v>5771</v>
      </c>
      <c r="B31" s="34">
        <v>1</v>
      </c>
      <c r="C31" s="34" t="s">
        <v>1630</v>
      </c>
      <c r="D31" s="34" t="s">
        <v>1623</v>
      </c>
      <c r="E31" s="34">
        <v>0</v>
      </c>
      <c r="F31" s="34">
        <v>0.1</v>
      </c>
      <c r="G31" s="34"/>
      <c r="H31" s="34">
        <v>0</v>
      </c>
      <c r="I31" s="34">
        <v>108</v>
      </c>
    </row>
    <row r="32" spans="1:9" x14ac:dyDescent="0.3">
      <c r="A32" s="34">
        <v>5772</v>
      </c>
      <c r="B32" s="34">
        <v>1</v>
      </c>
      <c r="C32" s="34" t="s">
        <v>1630</v>
      </c>
      <c r="D32" s="34" t="s">
        <v>1631</v>
      </c>
      <c r="E32" s="34">
        <v>0</v>
      </c>
      <c r="F32" s="34">
        <v>0</v>
      </c>
      <c r="G32" s="34"/>
      <c r="H32" s="34">
        <v>0</v>
      </c>
      <c r="I32" s="34">
        <v>108</v>
      </c>
    </row>
    <row r="33" spans="1:9" x14ac:dyDescent="0.3">
      <c r="A33" s="34">
        <v>5773</v>
      </c>
      <c r="B33" s="34">
        <v>1</v>
      </c>
      <c r="C33" s="34" t="s">
        <v>1632</v>
      </c>
      <c r="D33" s="34" t="s">
        <v>1633</v>
      </c>
      <c r="E33" s="34">
        <v>0</v>
      </c>
      <c r="F33" s="34">
        <v>0.35</v>
      </c>
      <c r="G33" s="34" t="s">
        <v>1634</v>
      </c>
      <c r="H33" s="34">
        <v>100</v>
      </c>
      <c r="I33" s="34">
        <v>108</v>
      </c>
    </row>
    <row r="34" spans="1:9" x14ac:dyDescent="0.3">
      <c r="A34" s="34">
        <v>5774</v>
      </c>
      <c r="B34" s="34">
        <v>1</v>
      </c>
      <c r="C34" s="34" t="s">
        <v>1632</v>
      </c>
      <c r="D34" s="34" t="s">
        <v>1635</v>
      </c>
      <c r="E34" s="34">
        <v>0</v>
      </c>
      <c r="F34" s="34">
        <v>0.3</v>
      </c>
      <c r="G34" s="34" t="s">
        <v>1634</v>
      </c>
      <c r="H34" s="34">
        <v>100</v>
      </c>
      <c r="I34" s="34">
        <v>108</v>
      </c>
    </row>
    <row r="35" spans="1:9" x14ac:dyDescent="0.3">
      <c r="A35" s="34">
        <v>5775</v>
      </c>
      <c r="B35" s="34">
        <v>1</v>
      </c>
      <c r="C35" s="34" t="s">
        <v>1632</v>
      </c>
      <c r="D35" s="34" t="s">
        <v>1636</v>
      </c>
      <c r="E35" s="34">
        <v>0</v>
      </c>
      <c r="F35" s="34">
        <v>0.3</v>
      </c>
      <c r="G35" s="34" t="s">
        <v>1634</v>
      </c>
      <c r="H35" s="34">
        <v>100</v>
      </c>
      <c r="I35" s="34">
        <v>108</v>
      </c>
    </row>
    <row r="36" spans="1:9" x14ac:dyDescent="0.3">
      <c r="A36" s="34">
        <v>5776</v>
      </c>
      <c r="B36" s="34">
        <v>1</v>
      </c>
      <c r="C36" s="34" t="s">
        <v>1632</v>
      </c>
      <c r="D36" s="34" t="s">
        <v>1637</v>
      </c>
      <c r="E36" s="34">
        <v>0</v>
      </c>
      <c r="F36" s="34">
        <v>0.3</v>
      </c>
      <c r="G36" s="34" t="s">
        <v>1634</v>
      </c>
      <c r="H36" s="34">
        <v>100</v>
      </c>
      <c r="I36" s="34">
        <v>108</v>
      </c>
    </row>
    <row r="37" spans="1:9" x14ac:dyDescent="0.3">
      <c r="A37" s="34">
        <v>5777</v>
      </c>
      <c r="B37" s="34">
        <v>1</v>
      </c>
      <c r="C37" s="34" t="s">
        <v>1632</v>
      </c>
      <c r="D37" s="34" t="s">
        <v>1638</v>
      </c>
      <c r="E37" s="34">
        <v>0</v>
      </c>
      <c r="F37" s="34">
        <v>0.3</v>
      </c>
      <c r="G37" s="34" t="s">
        <v>1634</v>
      </c>
      <c r="H37" s="34">
        <v>100</v>
      </c>
      <c r="I37" s="34">
        <v>108</v>
      </c>
    </row>
    <row r="38" spans="1:9" x14ac:dyDescent="0.3">
      <c r="A38" s="34">
        <v>5778</v>
      </c>
      <c r="B38" s="34">
        <v>1</v>
      </c>
      <c r="C38" s="34" t="s">
        <v>1632</v>
      </c>
      <c r="D38" s="34" t="s">
        <v>1639</v>
      </c>
      <c r="E38" s="34">
        <v>0</v>
      </c>
      <c r="F38" s="34">
        <v>0.3</v>
      </c>
      <c r="G38" s="34" t="s">
        <v>1634</v>
      </c>
      <c r="H38" s="34">
        <v>100</v>
      </c>
      <c r="I38" s="34">
        <v>108</v>
      </c>
    </row>
    <row r="39" spans="1:9" x14ac:dyDescent="0.3">
      <c r="A39" s="34">
        <v>5779</v>
      </c>
      <c r="B39" s="34">
        <v>1</v>
      </c>
      <c r="C39" s="34" t="s">
        <v>1632</v>
      </c>
      <c r="D39" s="34" t="s">
        <v>1640</v>
      </c>
      <c r="E39" s="34">
        <v>0</v>
      </c>
      <c r="F39" s="34">
        <v>0.2</v>
      </c>
      <c r="G39" s="34" t="s">
        <v>1634</v>
      </c>
      <c r="H39" s="34">
        <v>100</v>
      </c>
      <c r="I39" s="34">
        <v>108</v>
      </c>
    </row>
    <row r="40" spans="1:9" x14ac:dyDescent="0.3">
      <c r="A40" s="34">
        <v>5780</v>
      </c>
      <c r="B40" s="34">
        <v>1</v>
      </c>
      <c r="C40" s="34" t="s">
        <v>1632</v>
      </c>
      <c r="D40" s="34" t="s">
        <v>1641</v>
      </c>
      <c r="E40" s="34">
        <v>0</v>
      </c>
      <c r="F40" s="34">
        <v>0.2</v>
      </c>
      <c r="G40" s="34" t="s">
        <v>1634</v>
      </c>
      <c r="H40" s="34">
        <v>100</v>
      </c>
      <c r="I40" s="34">
        <v>108</v>
      </c>
    </row>
    <row r="41" spans="1:9" x14ac:dyDescent="0.3">
      <c r="A41" s="34">
        <v>5781</v>
      </c>
      <c r="B41" s="34">
        <v>1</v>
      </c>
      <c r="C41" s="34" t="s">
        <v>1632</v>
      </c>
      <c r="D41" s="34" t="s">
        <v>1642</v>
      </c>
      <c r="E41" s="34">
        <v>0</v>
      </c>
      <c r="F41" s="34">
        <v>0.3</v>
      </c>
      <c r="G41" s="34" t="s">
        <v>1634</v>
      </c>
      <c r="H41" s="34">
        <v>100</v>
      </c>
      <c r="I41" s="34">
        <v>108</v>
      </c>
    </row>
    <row r="42" spans="1:9" x14ac:dyDescent="0.3">
      <c r="A42" s="34">
        <v>5782</v>
      </c>
      <c r="B42" s="34">
        <v>1</v>
      </c>
      <c r="C42" s="34" t="s">
        <v>1632</v>
      </c>
      <c r="D42" s="34" t="s">
        <v>1643</v>
      </c>
      <c r="E42" s="34">
        <v>0</v>
      </c>
      <c r="F42" s="34">
        <v>0.2</v>
      </c>
      <c r="G42" s="34" t="s">
        <v>1634</v>
      </c>
      <c r="H42" s="34">
        <v>100</v>
      </c>
      <c r="I42" s="34">
        <v>108</v>
      </c>
    </row>
    <row r="43" spans="1:9" x14ac:dyDescent="0.3">
      <c r="A43" s="34">
        <v>5783</v>
      </c>
      <c r="B43" s="34">
        <v>1</v>
      </c>
      <c r="C43" s="34" t="s">
        <v>1632</v>
      </c>
      <c r="D43" s="34" t="s">
        <v>1644</v>
      </c>
      <c r="E43" s="34">
        <v>0</v>
      </c>
      <c r="F43" s="34">
        <v>0.15</v>
      </c>
      <c r="G43" s="34" t="s">
        <v>1634</v>
      </c>
      <c r="H43" s="34">
        <v>100</v>
      </c>
      <c r="I43" s="34">
        <v>108</v>
      </c>
    </row>
    <row r="44" spans="1:9" x14ac:dyDescent="0.3">
      <c r="A44" s="34">
        <v>5784</v>
      </c>
      <c r="B44" s="34">
        <v>1</v>
      </c>
      <c r="C44" s="34" t="s">
        <v>1632</v>
      </c>
      <c r="D44" s="34" t="s">
        <v>1645</v>
      </c>
      <c r="E44" s="34">
        <v>0</v>
      </c>
      <c r="F44" s="34">
        <v>0.15</v>
      </c>
      <c r="G44" s="34" t="s">
        <v>1634</v>
      </c>
      <c r="H44" s="34">
        <v>100</v>
      </c>
      <c r="I44" s="34">
        <v>108</v>
      </c>
    </row>
    <row r="45" spans="1:9" x14ac:dyDescent="0.3">
      <c r="A45" s="34">
        <v>5785</v>
      </c>
      <c r="B45" s="34">
        <v>1</v>
      </c>
      <c r="C45" s="34" t="s">
        <v>1632</v>
      </c>
      <c r="D45" s="34" t="s">
        <v>1646</v>
      </c>
      <c r="E45" s="34">
        <v>0</v>
      </c>
      <c r="F45" s="34">
        <v>0.15</v>
      </c>
      <c r="G45" s="34" t="s">
        <v>1634</v>
      </c>
      <c r="H45" s="34">
        <v>100</v>
      </c>
      <c r="I45" s="34">
        <v>108</v>
      </c>
    </row>
    <row r="46" spans="1:9" x14ac:dyDescent="0.3">
      <c r="A46" s="34">
        <v>5786</v>
      </c>
      <c r="B46" s="34">
        <v>1</v>
      </c>
      <c r="C46" s="34" t="s">
        <v>1632</v>
      </c>
      <c r="D46" s="34" t="s">
        <v>1647</v>
      </c>
      <c r="E46" s="34">
        <v>0</v>
      </c>
      <c r="F46" s="34">
        <v>0.15</v>
      </c>
      <c r="G46" s="34" t="s">
        <v>1634</v>
      </c>
      <c r="H46" s="34">
        <v>100</v>
      </c>
      <c r="I46" s="34">
        <v>108</v>
      </c>
    </row>
    <row r="47" spans="1:9" x14ac:dyDescent="0.3">
      <c r="A47" s="34">
        <v>5787</v>
      </c>
      <c r="B47" s="34">
        <v>1</v>
      </c>
      <c r="C47" s="34" t="s">
        <v>1632</v>
      </c>
      <c r="D47" s="34" t="s">
        <v>1633</v>
      </c>
      <c r="E47" s="34">
        <v>0</v>
      </c>
      <c r="F47" s="34">
        <v>0.5</v>
      </c>
      <c r="G47" s="34" t="s">
        <v>1648</v>
      </c>
      <c r="H47" s="34">
        <v>500</v>
      </c>
      <c r="I47" s="34">
        <v>108</v>
      </c>
    </row>
    <row r="48" spans="1:9" x14ac:dyDescent="0.3">
      <c r="A48" s="34">
        <v>5788</v>
      </c>
      <c r="B48" s="34">
        <v>1</v>
      </c>
      <c r="C48" s="34" t="s">
        <v>1632</v>
      </c>
      <c r="D48" s="34" t="s">
        <v>1635</v>
      </c>
      <c r="E48" s="34">
        <v>0</v>
      </c>
      <c r="F48" s="34">
        <v>0.5</v>
      </c>
      <c r="G48" s="34" t="s">
        <v>1648</v>
      </c>
      <c r="H48" s="34">
        <v>500</v>
      </c>
      <c r="I48" s="34">
        <v>108</v>
      </c>
    </row>
    <row r="49" spans="1:9" x14ac:dyDescent="0.3">
      <c r="A49" s="34">
        <v>5789</v>
      </c>
      <c r="B49" s="34">
        <v>1</v>
      </c>
      <c r="C49" s="34" t="s">
        <v>1632</v>
      </c>
      <c r="D49" s="34" t="s">
        <v>1636</v>
      </c>
      <c r="E49" s="34">
        <v>0</v>
      </c>
      <c r="F49" s="34">
        <v>0.5</v>
      </c>
      <c r="G49" s="34" t="s">
        <v>1648</v>
      </c>
      <c r="H49" s="34">
        <v>500</v>
      </c>
      <c r="I49" s="34">
        <v>108</v>
      </c>
    </row>
    <row r="50" spans="1:9" x14ac:dyDescent="0.3">
      <c r="A50" s="34">
        <v>5790</v>
      </c>
      <c r="B50" s="34">
        <v>1</v>
      </c>
      <c r="C50" s="34" t="s">
        <v>1632</v>
      </c>
      <c r="D50" s="34" t="s">
        <v>1637</v>
      </c>
      <c r="E50" s="34">
        <v>0</v>
      </c>
      <c r="F50" s="34">
        <v>0.5</v>
      </c>
      <c r="G50" s="34" t="s">
        <v>1648</v>
      </c>
      <c r="H50" s="34">
        <v>500</v>
      </c>
      <c r="I50" s="34">
        <v>108</v>
      </c>
    </row>
    <row r="51" spans="1:9" x14ac:dyDescent="0.3">
      <c r="A51" s="34">
        <v>5791</v>
      </c>
      <c r="B51" s="34">
        <v>1</v>
      </c>
      <c r="C51" s="34" t="s">
        <v>1632</v>
      </c>
      <c r="D51" s="34" t="s">
        <v>1638</v>
      </c>
      <c r="E51" s="34">
        <v>0</v>
      </c>
      <c r="F51" s="34">
        <v>0.5</v>
      </c>
      <c r="G51" s="34" t="s">
        <v>1648</v>
      </c>
      <c r="H51" s="34">
        <v>500</v>
      </c>
      <c r="I51" s="34">
        <v>108</v>
      </c>
    </row>
    <row r="52" spans="1:9" x14ac:dyDescent="0.3">
      <c r="A52" s="34">
        <v>5792</v>
      </c>
      <c r="B52" s="34">
        <v>1</v>
      </c>
      <c r="C52" s="34" t="s">
        <v>1632</v>
      </c>
      <c r="D52" s="34" t="s">
        <v>1639</v>
      </c>
      <c r="E52" s="34">
        <v>0</v>
      </c>
      <c r="F52" s="34">
        <v>0.5</v>
      </c>
      <c r="G52" s="34" t="s">
        <v>1648</v>
      </c>
      <c r="H52" s="34">
        <v>500</v>
      </c>
      <c r="I52" s="34">
        <v>108</v>
      </c>
    </row>
    <row r="53" spans="1:9" x14ac:dyDescent="0.3">
      <c r="A53" s="34">
        <v>5793</v>
      </c>
      <c r="B53" s="34">
        <v>1</v>
      </c>
      <c r="C53" s="34" t="s">
        <v>1632</v>
      </c>
      <c r="D53" s="34" t="s">
        <v>1640</v>
      </c>
      <c r="E53" s="34">
        <v>0</v>
      </c>
      <c r="F53" s="34">
        <v>0.35</v>
      </c>
      <c r="G53" s="34" t="s">
        <v>1648</v>
      </c>
      <c r="H53" s="34">
        <v>500</v>
      </c>
      <c r="I53" s="34">
        <v>108</v>
      </c>
    </row>
    <row r="54" spans="1:9" x14ac:dyDescent="0.3">
      <c r="A54" s="34">
        <v>5794</v>
      </c>
      <c r="B54" s="34">
        <v>1</v>
      </c>
      <c r="C54" s="34" t="s">
        <v>1632</v>
      </c>
      <c r="D54" s="34" t="s">
        <v>1641</v>
      </c>
      <c r="E54" s="34">
        <v>0</v>
      </c>
      <c r="F54" s="34">
        <v>0.3</v>
      </c>
      <c r="G54" s="34" t="s">
        <v>1648</v>
      </c>
      <c r="H54" s="34">
        <v>500</v>
      </c>
      <c r="I54" s="34">
        <v>108</v>
      </c>
    </row>
    <row r="55" spans="1:9" x14ac:dyDescent="0.3">
      <c r="A55" s="34">
        <v>5795</v>
      </c>
      <c r="B55" s="34">
        <v>1</v>
      </c>
      <c r="C55" s="34" t="s">
        <v>1632</v>
      </c>
      <c r="D55" s="34" t="s">
        <v>1642</v>
      </c>
      <c r="E55" s="34">
        <v>0</v>
      </c>
      <c r="F55" s="34">
        <v>0.5</v>
      </c>
      <c r="G55" s="34" t="s">
        <v>1648</v>
      </c>
      <c r="H55" s="34">
        <v>500</v>
      </c>
      <c r="I55" s="34">
        <v>108</v>
      </c>
    </row>
    <row r="56" spans="1:9" x14ac:dyDescent="0.3">
      <c r="A56" s="34">
        <v>5796</v>
      </c>
      <c r="B56" s="34">
        <v>1</v>
      </c>
      <c r="C56" s="34" t="s">
        <v>1632</v>
      </c>
      <c r="D56" s="34" t="s">
        <v>1643</v>
      </c>
      <c r="E56" s="34">
        <v>0</v>
      </c>
      <c r="F56" s="34">
        <v>0.3</v>
      </c>
      <c r="G56" s="34" t="s">
        <v>1648</v>
      </c>
      <c r="H56" s="34">
        <v>500</v>
      </c>
      <c r="I56" s="34">
        <v>108</v>
      </c>
    </row>
    <row r="57" spans="1:9" x14ac:dyDescent="0.3">
      <c r="A57" s="34">
        <v>5797</v>
      </c>
      <c r="B57" s="34">
        <v>1</v>
      </c>
      <c r="C57" s="34" t="s">
        <v>1632</v>
      </c>
      <c r="D57" s="34" t="s">
        <v>1644</v>
      </c>
      <c r="E57" s="34">
        <v>0</v>
      </c>
      <c r="F57" s="34">
        <v>0.25</v>
      </c>
      <c r="G57" s="34" t="s">
        <v>1648</v>
      </c>
      <c r="H57" s="34">
        <v>500</v>
      </c>
      <c r="I57" s="34">
        <v>108</v>
      </c>
    </row>
    <row r="58" spans="1:9" x14ac:dyDescent="0.3">
      <c r="A58" s="34">
        <v>5798</v>
      </c>
      <c r="B58" s="34">
        <v>1</v>
      </c>
      <c r="C58" s="34" t="s">
        <v>1632</v>
      </c>
      <c r="D58" s="34" t="s">
        <v>1645</v>
      </c>
      <c r="E58" s="34">
        <v>0</v>
      </c>
      <c r="F58" s="34">
        <v>0.25</v>
      </c>
      <c r="G58" s="34" t="s">
        <v>1648</v>
      </c>
      <c r="H58" s="34">
        <v>500</v>
      </c>
      <c r="I58" s="34">
        <v>108</v>
      </c>
    </row>
    <row r="59" spans="1:9" x14ac:dyDescent="0.3">
      <c r="A59" s="34">
        <v>5799</v>
      </c>
      <c r="B59" s="34">
        <v>1</v>
      </c>
      <c r="C59" s="34" t="s">
        <v>1632</v>
      </c>
      <c r="D59" s="34" t="s">
        <v>1646</v>
      </c>
      <c r="E59" s="34">
        <v>0</v>
      </c>
      <c r="F59" s="34">
        <v>0.25</v>
      </c>
      <c r="G59" s="34" t="s">
        <v>1648</v>
      </c>
      <c r="H59" s="34">
        <v>500</v>
      </c>
      <c r="I59" s="34">
        <v>108</v>
      </c>
    </row>
    <row r="60" spans="1:9" x14ac:dyDescent="0.3">
      <c r="A60" s="34">
        <v>5800</v>
      </c>
      <c r="B60" s="34">
        <v>1</v>
      </c>
      <c r="C60" s="34" t="s">
        <v>1632</v>
      </c>
      <c r="D60" s="34" t="s">
        <v>1647</v>
      </c>
      <c r="E60" s="34">
        <v>0</v>
      </c>
      <c r="F60" s="34">
        <v>0.25</v>
      </c>
      <c r="G60" s="34" t="s">
        <v>1648</v>
      </c>
      <c r="H60" s="34">
        <v>500</v>
      </c>
      <c r="I60" s="34">
        <v>108</v>
      </c>
    </row>
    <row r="61" spans="1:9" x14ac:dyDescent="0.3">
      <c r="A61" s="34">
        <v>5801</v>
      </c>
      <c r="B61" s="34">
        <v>1</v>
      </c>
      <c r="C61" s="34" t="s">
        <v>1632</v>
      </c>
      <c r="D61" s="34" t="s">
        <v>1649</v>
      </c>
      <c r="E61" s="34">
        <v>0</v>
      </c>
      <c r="F61" s="34">
        <v>0.4</v>
      </c>
      <c r="G61" s="34" t="s">
        <v>1634</v>
      </c>
      <c r="H61" s="34">
        <v>100</v>
      </c>
      <c r="I61" s="34">
        <v>108</v>
      </c>
    </row>
    <row r="62" spans="1:9" x14ac:dyDescent="0.3">
      <c r="A62" s="34">
        <v>5802</v>
      </c>
      <c r="B62" s="34">
        <v>1</v>
      </c>
      <c r="C62" s="34" t="s">
        <v>1632</v>
      </c>
      <c r="D62" s="34" t="s">
        <v>1649</v>
      </c>
      <c r="E62" s="34">
        <v>0</v>
      </c>
      <c r="F62" s="34">
        <v>0.65</v>
      </c>
      <c r="G62" s="34" t="s">
        <v>1648</v>
      </c>
      <c r="H62" s="34">
        <v>500</v>
      </c>
      <c r="I62" s="34">
        <v>108</v>
      </c>
    </row>
    <row r="63" spans="1:9" x14ac:dyDescent="0.3">
      <c r="A63" s="34">
        <v>5803</v>
      </c>
      <c r="B63" s="34">
        <v>1</v>
      </c>
      <c r="C63" s="34" t="s">
        <v>1632</v>
      </c>
      <c r="D63" s="34" t="s">
        <v>1650</v>
      </c>
      <c r="E63" s="34">
        <v>0</v>
      </c>
      <c r="F63" s="34">
        <v>0.65</v>
      </c>
      <c r="G63" s="34" t="s">
        <v>1648</v>
      </c>
      <c r="H63" s="34">
        <v>500</v>
      </c>
      <c r="I63" s="34">
        <v>108</v>
      </c>
    </row>
    <row r="64" spans="1:9" x14ac:dyDescent="0.3">
      <c r="A64" s="34">
        <v>5804</v>
      </c>
      <c r="B64" s="34">
        <v>1</v>
      </c>
      <c r="C64" s="34" t="s">
        <v>1632</v>
      </c>
      <c r="D64" s="34" t="s">
        <v>1650</v>
      </c>
      <c r="E64" s="34">
        <v>0</v>
      </c>
      <c r="F64" s="34">
        <v>0.4</v>
      </c>
      <c r="G64" s="34" t="s">
        <v>1634</v>
      </c>
      <c r="H64" s="34">
        <v>100</v>
      </c>
      <c r="I64" s="34">
        <v>108</v>
      </c>
    </row>
    <row r="65" spans="1:9" x14ac:dyDescent="0.3">
      <c r="A65" s="34">
        <v>5805</v>
      </c>
      <c r="B65" s="34">
        <v>1</v>
      </c>
      <c r="C65" s="34" t="s">
        <v>1632</v>
      </c>
      <c r="D65" s="34" t="s">
        <v>1651</v>
      </c>
      <c r="E65" s="34">
        <v>0</v>
      </c>
      <c r="F65" s="34">
        <v>0.4</v>
      </c>
      <c r="G65" s="34" t="s">
        <v>1634</v>
      </c>
      <c r="H65" s="34">
        <v>100</v>
      </c>
      <c r="I65" s="34">
        <v>108</v>
      </c>
    </row>
    <row r="66" spans="1:9" x14ac:dyDescent="0.3">
      <c r="A66" s="34">
        <v>5806</v>
      </c>
      <c r="B66" s="34">
        <v>1</v>
      </c>
      <c r="C66" s="34" t="s">
        <v>1632</v>
      </c>
      <c r="D66" s="34" t="s">
        <v>1651</v>
      </c>
      <c r="E66" s="34">
        <v>0</v>
      </c>
      <c r="F66" s="34">
        <v>0.65</v>
      </c>
      <c r="G66" s="34" t="s">
        <v>1648</v>
      </c>
      <c r="H66" s="34">
        <v>500</v>
      </c>
      <c r="I66" s="34">
        <v>108</v>
      </c>
    </row>
    <row r="67" spans="1:9" x14ac:dyDescent="0.3">
      <c r="A67" s="34">
        <v>5807</v>
      </c>
      <c r="B67" s="34">
        <v>1</v>
      </c>
      <c r="C67" s="34" t="s">
        <v>1632</v>
      </c>
      <c r="D67" s="34" t="s">
        <v>1652</v>
      </c>
      <c r="E67" s="34">
        <v>0</v>
      </c>
      <c r="F67" s="34">
        <v>0.65</v>
      </c>
      <c r="G67" s="34" t="s">
        <v>1648</v>
      </c>
      <c r="H67" s="34">
        <v>500</v>
      </c>
      <c r="I67" s="34">
        <v>108</v>
      </c>
    </row>
    <row r="68" spans="1:9" x14ac:dyDescent="0.3">
      <c r="A68" s="34">
        <v>5808</v>
      </c>
      <c r="B68" s="34">
        <v>1</v>
      </c>
      <c r="C68" s="34" t="s">
        <v>1632</v>
      </c>
      <c r="D68" s="34" t="s">
        <v>1652</v>
      </c>
      <c r="E68" s="34">
        <v>0</v>
      </c>
      <c r="F68" s="34">
        <v>0.4</v>
      </c>
      <c r="G68" s="34" t="s">
        <v>1634</v>
      </c>
      <c r="H68" s="34">
        <v>100</v>
      </c>
      <c r="I68" s="34">
        <v>108</v>
      </c>
    </row>
    <row r="69" spans="1:9" x14ac:dyDescent="0.3">
      <c r="A69" s="34">
        <v>5809</v>
      </c>
      <c r="B69" s="34">
        <v>1</v>
      </c>
      <c r="C69" s="34" t="s">
        <v>1632</v>
      </c>
      <c r="D69" s="34" t="s">
        <v>1653</v>
      </c>
      <c r="E69" s="34">
        <v>0</v>
      </c>
      <c r="F69" s="34">
        <v>0.3</v>
      </c>
      <c r="G69" s="34" t="s">
        <v>1634</v>
      </c>
      <c r="H69" s="34">
        <v>100</v>
      </c>
      <c r="I69" s="34">
        <v>108</v>
      </c>
    </row>
    <row r="70" spans="1:9" x14ac:dyDescent="0.3">
      <c r="A70" s="34">
        <v>5810</v>
      </c>
      <c r="B70" s="34">
        <v>1</v>
      </c>
      <c r="C70" s="34" t="s">
        <v>1632</v>
      </c>
      <c r="D70" s="34" t="s">
        <v>1653</v>
      </c>
      <c r="E70" s="34">
        <v>0</v>
      </c>
      <c r="F70" s="34">
        <v>0.45</v>
      </c>
      <c r="G70" s="34" t="s">
        <v>1648</v>
      </c>
      <c r="H70" s="34">
        <v>500</v>
      </c>
      <c r="I70" s="34">
        <v>108</v>
      </c>
    </row>
    <row r="71" spans="1:9" x14ac:dyDescent="0.3">
      <c r="A71" s="34">
        <v>5811</v>
      </c>
      <c r="B71" s="34">
        <v>1</v>
      </c>
      <c r="C71" s="34" t="s">
        <v>1632</v>
      </c>
      <c r="D71" s="34" t="s">
        <v>1654</v>
      </c>
      <c r="E71" s="34">
        <v>0</v>
      </c>
      <c r="F71" s="34">
        <v>0.45</v>
      </c>
      <c r="G71" s="34" t="s">
        <v>1648</v>
      </c>
      <c r="H71" s="34">
        <v>500</v>
      </c>
      <c r="I71" s="34">
        <v>108</v>
      </c>
    </row>
    <row r="72" spans="1:9" x14ac:dyDescent="0.3">
      <c r="A72" s="34">
        <v>5812</v>
      </c>
      <c r="B72" s="34">
        <v>1</v>
      </c>
      <c r="C72" s="34" t="s">
        <v>1632</v>
      </c>
      <c r="D72" s="34" t="s">
        <v>1654</v>
      </c>
      <c r="E72" s="34">
        <v>0</v>
      </c>
      <c r="F72" s="34">
        <v>0.3</v>
      </c>
      <c r="G72" s="34" t="s">
        <v>1634</v>
      </c>
      <c r="H72" s="34">
        <v>100</v>
      </c>
      <c r="I72" s="34">
        <v>108</v>
      </c>
    </row>
    <row r="73" spans="1:9" x14ac:dyDescent="0.3">
      <c r="A73" s="34">
        <v>5813</v>
      </c>
      <c r="B73" s="34">
        <v>1</v>
      </c>
      <c r="C73" s="34" t="s">
        <v>1632</v>
      </c>
      <c r="D73" s="34" t="s">
        <v>1655</v>
      </c>
      <c r="E73" s="34">
        <v>0</v>
      </c>
      <c r="F73" s="34">
        <v>0.3</v>
      </c>
      <c r="G73" s="34" t="s">
        <v>1634</v>
      </c>
      <c r="H73" s="34">
        <v>100</v>
      </c>
      <c r="I73" s="34">
        <v>108</v>
      </c>
    </row>
    <row r="74" spans="1:9" x14ac:dyDescent="0.3">
      <c r="A74" s="34">
        <v>5814</v>
      </c>
      <c r="B74" s="34">
        <v>1</v>
      </c>
      <c r="C74" s="34" t="s">
        <v>1632</v>
      </c>
      <c r="D74" s="34" t="s">
        <v>1655</v>
      </c>
      <c r="E74" s="34">
        <v>0</v>
      </c>
      <c r="F74" s="34">
        <v>0.45</v>
      </c>
      <c r="G74" s="34" t="s">
        <v>1648</v>
      </c>
      <c r="H74" s="34">
        <v>500</v>
      </c>
      <c r="I74" s="34">
        <v>108</v>
      </c>
    </row>
    <row r="75" spans="1:9" x14ac:dyDescent="0.3">
      <c r="A75" s="34">
        <v>5815</v>
      </c>
      <c r="B75" s="34">
        <v>1</v>
      </c>
      <c r="C75" s="34" t="s">
        <v>1632</v>
      </c>
      <c r="D75" s="34" t="s">
        <v>1656</v>
      </c>
      <c r="E75" s="34">
        <v>0</v>
      </c>
      <c r="F75" s="34">
        <v>0.3</v>
      </c>
      <c r="G75" s="34" t="s">
        <v>1634</v>
      </c>
      <c r="H75" s="34">
        <v>100</v>
      </c>
      <c r="I75" s="34">
        <v>108</v>
      </c>
    </row>
    <row r="76" spans="1:9" x14ac:dyDescent="0.3">
      <c r="A76" s="34">
        <v>5816</v>
      </c>
      <c r="B76" s="34">
        <v>1</v>
      </c>
      <c r="C76" s="34" t="s">
        <v>1632</v>
      </c>
      <c r="D76" s="34" t="s">
        <v>1657</v>
      </c>
      <c r="E76" s="34">
        <v>0</v>
      </c>
      <c r="F76" s="34">
        <v>0.2</v>
      </c>
      <c r="G76" s="34" t="s">
        <v>1634</v>
      </c>
      <c r="H76" s="34">
        <v>100</v>
      </c>
      <c r="I76" s="34">
        <v>108</v>
      </c>
    </row>
    <row r="77" spans="1:9" x14ac:dyDescent="0.3">
      <c r="A77" s="34">
        <v>5817</v>
      </c>
      <c r="B77" s="34">
        <v>1</v>
      </c>
      <c r="C77" s="34" t="s">
        <v>1632</v>
      </c>
      <c r="D77" s="34" t="s">
        <v>1658</v>
      </c>
      <c r="E77" s="34">
        <v>0</v>
      </c>
      <c r="F77" s="34">
        <v>0.2</v>
      </c>
      <c r="G77" s="34" t="s">
        <v>1634</v>
      </c>
      <c r="H77" s="34">
        <v>100</v>
      </c>
      <c r="I77" s="34">
        <v>108</v>
      </c>
    </row>
    <row r="78" spans="1:9" x14ac:dyDescent="0.3">
      <c r="A78" s="34">
        <v>5818</v>
      </c>
      <c r="B78" s="34">
        <v>1</v>
      </c>
      <c r="C78" s="34" t="s">
        <v>1632</v>
      </c>
      <c r="D78" s="34" t="s">
        <v>1659</v>
      </c>
      <c r="E78" s="34">
        <v>0</v>
      </c>
      <c r="F78" s="34">
        <v>0.2</v>
      </c>
      <c r="G78" s="34" t="s">
        <v>1634</v>
      </c>
      <c r="H78" s="34">
        <v>100</v>
      </c>
      <c r="I78" s="34">
        <v>108</v>
      </c>
    </row>
    <row r="79" spans="1:9" x14ac:dyDescent="0.3">
      <c r="A79" s="34">
        <v>5819</v>
      </c>
      <c r="B79" s="34">
        <v>1</v>
      </c>
      <c r="C79" s="34" t="s">
        <v>1632</v>
      </c>
      <c r="D79" s="34" t="s">
        <v>1660</v>
      </c>
      <c r="E79" s="34">
        <v>0</v>
      </c>
      <c r="F79" s="34">
        <v>0.2</v>
      </c>
      <c r="G79" s="34" t="s">
        <v>1634</v>
      </c>
      <c r="H79" s="34">
        <v>100</v>
      </c>
      <c r="I79" s="34">
        <v>108</v>
      </c>
    </row>
    <row r="80" spans="1:9" x14ac:dyDescent="0.3">
      <c r="A80" s="34">
        <v>5820</v>
      </c>
      <c r="B80" s="34">
        <v>1</v>
      </c>
      <c r="C80" s="34" t="s">
        <v>1632</v>
      </c>
      <c r="D80" s="34" t="s">
        <v>1656</v>
      </c>
      <c r="E80" s="34">
        <v>0</v>
      </c>
      <c r="F80" s="34">
        <v>0.45</v>
      </c>
      <c r="G80" s="34" t="s">
        <v>1648</v>
      </c>
      <c r="H80" s="34">
        <v>500</v>
      </c>
      <c r="I80" s="34">
        <v>108</v>
      </c>
    </row>
    <row r="81" spans="1:81" x14ac:dyDescent="0.3">
      <c r="A81" s="34">
        <v>5821</v>
      </c>
      <c r="B81" s="34">
        <v>1</v>
      </c>
      <c r="C81" s="34" t="s">
        <v>1632</v>
      </c>
      <c r="D81" s="34" t="s">
        <v>1657</v>
      </c>
      <c r="E81" s="34">
        <v>0</v>
      </c>
      <c r="F81" s="34">
        <v>0.35</v>
      </c>
      <c r="G81" s="34" t="s">
        <v>1648</v>
      </c>
      <c r="H81" s="34">
        <v>500</v>
      </c>
      <c r="I81" s="34">
        <v>108</v>
      </c>
    </row>
    <row r="82" spans="1:81" x14ac:dyDescent="0.3">
      <c r="A82" s="34">
        <v>5822</v>
      </c>
      <c r="B82" s="34">
        <v>1</v>
      </c>
      <c r="C82" s="34" t="s">
        <v>1632</v>
      </c>
      <c r="D82" s="34" t="s">
        <v>1658</v>
      </c>
      <c r="E82" s="34">
        <v>0</v>
      </c>
      <c r="F82" s="34">
        <v>0.35</v>
      </c>
      <c r="G82" s="34" t="s">
        <v>1648</v>
      </c>
      <c r="H82" s="34">
        <v>500</v>
      </c>
      <c r="I82" s="34">
        <v>108</v>
      </c>
    </row>
    <row r="83" spans="1:81" x14ac:dyDescent="0.3">
      <c r="A83" s="34">
        <v>5823</v>
      </c>
      <c r="B83" s="34">
        <v>1</v>
      </c>
      <c r="C83" s="34" t="s">
        <v>1632</v>
      </c>
      <c r="D83" s="34" t="s">
        <v>1659</v>
      </c>
      <c r="E83" s="34">
        <v>0</v>
      </c>
      <c r="F83" s="34">
        <v>0.35</v>
      </c>
      <c r="G83" s="34" t="s">
        <v>1648</v>
      </c>
      <c r="H83" s="34">
        <v>500</v>
      </c>
      <c r="I83" s="34">
        <v>108</v>
      </c>
    </row>
    <row r="84" spans="1:81" x14ac:dyDescent="0.3">
      <c r="A84" s="34">
        <v>5824</v>
      </c>
      <c r="B84" s="34">
        <v>1</v>
      </c>
      <c r="C84" s="34" t="s">
        <v>1632</v>
      </c>
      <c r="D84" s="34" t="s">
        <v>1660</v>
      </c>
      <c r="E84" s="34">
        <v>0</v>
      </c>
      <c r="F84" s="34">
        <v>0.35</v>
      </c>
      <c r="G84" s="34" t="s">
        <v>1648</v>
      </c>
      <c r="H84" s="34">
        <v>500</v>
      </c>
      <c r="I84" s="34">
        <v>108</v>
      </c>
    </row>
    <row r="85" spans="1:81" x14ac:dyDescent="0.3">
      <c r="A85" s="34">
        <v>5825</v>
      </c>
      <c r="B85" s="34">
        <v>1</v>
      </c>
      <c r="C85" s="34" t="s">
        <v>1632</v>
      </c>
      <c r="D85" s="34" t="s">
        <v>1661</v>
      </c>
      <c r="E85" s="34">
        <v>0</v>
      </c>
      <c r="F85" s="34">
        <v>0.45</v>
      </c>
      <c r="G85" s="34" t="s">
        <v>1634</v>
      </c>
      <c r="H85" s="34">
        <v>100</v>
      </c>
      <c r="I85" s="34">
        <v>108</v>
      </c>
    </row>
    <row r="86" spans="1:81" x14ac:dyDescent="0.3">
      <c r="A86" s="34">
        <v>5826</v>
      </c>
      <c r="B86" s="34">
        <v>1</v>
      </c>
      <c r="C86" s="34" t="s">
        <v>1632</v>
      </c>
      <c r="D86" s="34" t="s">
        <v>1661</v>
      </c>
      <c r="E86" s="34">
        <v>0</v>
      </c>
      <c r="F86" s="34">
        <v>0.45</v>
      </c>
      <c r="G86" s="34" t="s">
        <v>1648</v>
      </c>
      <c r="H86" s="34">
        <v>500</v>
      </c>
      <c r="I86" s="34">
        <v>108</v>
      </c>
    </row>
    <row r="87" spans="1:81" x14ac:dyDescent="0.3">
      <c r="A87" s="34">
        <v>5827</v>
      </c>
      <c r="B87" s="34">
        <v>1</v>
      </c>
      <c r="C87" s="34" t="s">
        <v>1662</v>
      </c>
      <c r="D87" s="34" t="s">
        <v>130</v>
      </c>
      <c r="E87" s="34">
        <v>0</v>
      </c>
      <c r="F87" s="34">
        <v>0.5</v>
      </c>
      <c r="G87" s="34"/>
      <c r="H87" s="34">
        <v>0</v>
      </c>
      <c r="I87" s="34">
        <v>108</v>
      </c>
    </row>
    <row r="88" spans="1:81" x14ac:dyDescent="0.3">
      <c r="A88" s="34">
        <v>5828</v>
      </c>
      <c r="B88" s="34">
        <v>1</v>
      </c>
      <c r="C88" s="34" t="s">
        <v>1662</v>
      </c>
      <c r="D88" s="34" t="s">
        <v>1624</v>
      </c>
      <c r="E88" s="34">
        <v>0</v>
      </c>
      <c r="F88" s="34">
        <v>0.3</v>
      </c>
      <c r="G88" s="34"/>
      <c r="H88" s="34">
        <v>0</v>
      </c>
      <c r="I88" s="34">
        <v>108</v>
      </c>
    </row>
    <row r="89" spans="1:81" x14ac:dyDescent="0.3">
      <c r="A89" s="34">
        <v>5829</v>
      </c>
      <c r="B89" s="34">
        <v>1</v>
      </c>
      <c r="C89" s="34" t="s">
        <v>1662</v>
      </c>
      <c r="D89" s="34" t="s">
        <v>1625</v>
      </c>
      <c r="E89" s="34">
        <v>0</v>
      </c>
      <c r="F89" s="34">
        <v>0.7</v>
      </c>
      <c r="G89" s="34"/>
      <c r="H89" s="34">
        <v>0</v>
      </c>
      <c r="I89" s="34">
        <v>108</v>
      </c>
    </row>
    <row r="90" spans="1:81" x14ac:dyDescent="0.3">
      <c r="A90" s="34">
        <v>5830</v>
      </c>
      <c r="B90" s="34">
        <v>1</v>
      </c>
      <c r="C90" s="34" t="s">
        <v>1662</v>
      </c>
      <c r="D90" s="34" t="s">
        <v>1627</v>
      </c>
      <c r="E90" s="34">
        <v>0</v>
      </c>
      <c r="F90" s="34">
        <v>0.7</v>
      </c>
      <c r="G90" s="34"/>
      <c r="H90" s="34">
        <v>0</v>
      </c>
      <c r="I90" s="34">
        <v>108</v>
      </c>
    </row>
    <row r="91" spans="1:81" x14ac:dyDescent="0.3">
      <c r="A91" s="34">
        <v>5831</v>
      </c>
      <c r="B91" s="34">
        <v>1</v>
      </c>
      <c r="C91" s="34" t="s">
        <v>1662</v>
      </c>
      <c r="D91" s="34" t="s">
        <v>1626</v>
      </c>
      <c r="E91" s="34">
        <v>0</v>
      </c>
      <c r="F91" s="34">
        <v>0.3</v>
      </c>
      <c r="G91" s="34"/>
      <c r="H91" s="34">
        <v>0</v>
      </c>
      <c r="I91" s="34">
        <v>108</v>
      </c>
    </row>
    <row r="92" spans="1:81" x14ac:dyDescent="0.3">
      <c r="A92" s="34">
        <v>5832</v>
      </c>
      <c r="B92" s="34">
        <v>1</v>
      </c>
      <c r="C92" s="34" t="s">
        <v>1662</v>
      </c>
      <c r="D92" s="34" t="s">
        <v>1629</v>
      </c>
      <c r="E92" s="34">
        <v>0</v>
      </c>
      <c r="F92" s="34">
        <v>0.75</v>
      </c>
      <c r="G92" s="34"/>
      <c r="H92" s="34">
        <v>0</v>
      </c>
      <c r="I92" s="34">
        <v>108</v>
      </c>
    </row>
    <row r="93" spans="1:81" x14ac:dyDescent="0.3">
      <c r="A93" s="34">
        <v>5833</v>
      </c>
      <c r="B93" s="34">
        <v>1</v>
      </c>
      <c r="C93" s="34" t="s">
        <v>1662</v>
      </c>
      <c r="D93" s="34" t="s">
        <v>1623</v>
      </c>
      <c r="E93" s="34">
        <v>0</v>
      </c>
      <c r="F93" s="34">
        <v>0.15</v>
      </c>
      <c r="G93" s="34"/>
      <c r="H93" s="34">
        <v>0</v>
      </c>
      <c r="I93" s="34">
        <v>108</v>
      </c>
    </row>
    <row r="96" spans="1:81" x14ac:dyDescent="0.3">
      <c r="A96" s="34" t="s">
        <v>2</v>
      </c>
      <c r="B96" s="34" t="s">
        <v>3</v>
      </c>
      <c r="C96" s="34" t="s">
        <v>1315</v>
      </c>
      <c r="D96" s="34" t="s">
        <v>1389</v>
      </c>
      <c r="E96" s="34" t="s">
        <v>1390</v>
      </c>
      <c r="F96" s="34" t="s">
        <v>1391</v>
      </c>
      <c r="G96" s="34" t="s">
        <v>1392</v>
      </c>
      <c r="H96" s="34" t="s">
        <v>1393</v>
      </c>
      <c r="I96" s="34" t="s">
        <v>1394</v>
      </c>
      <c r="J96" s="34" t="s">
        <v>1395</v>
      </c>
      <c r="K96" s="34" t="s">
        <v>1396</v>
      </c>
      <c r="L96" s="34" t="s">
        <v>1397</v>
      </c>
      <c r="M96" s="34" t="s">
        <v>1398</v>
      </c>
      <c r="N96" s="34" t="s">
        <v>1399</v>
      </c>
      <c r="O96" s="34" t="s">
        <v>1400</v>
      </c>
      <c r="P96" s="34" t="s">
        <v>1401</v>
      </c>
      <c r="Q96" s="34" t="s">
        <v>1322</v>
      </c>
      <c r="R96" s="34" t="s">
        <v>1402</v>
      </c>
      <c r="S96" s="34" t="s">
        <v>1403</v>
      </c>
      <c r="T96" s="34" t="s">
        <v>1404</v>
      </c>
      <c r="U96" s="34" t="s">
        <v>1405</v>
      </c>
      <c r="V96" s="34" t="s">
        <v>1406</v>
      </c>
      <c r="W96" s="34" t="s">
        <v>1407</v>
      </c>
      <c r="X96" s="34" t="s">
        <v>1408</v>
      </c>
      <c r="Y96" s="34" t="s">
        <v>1409</v>
      </c>
      <c r="Z96" s="34" t="s">
        <v>1410</v>
      </c>
      <c r="AA96" s="34" t="s">
        <v>1411</v>
      </c>
      <c r="AB96" s="34" t="s">
        <v>1412</v>
      </c>
      <c r="AC96" s="34" t="s">
        <v>1413</v>
      </c>
      <c r="AD96" s="34" t="s">
        <v>1414</v>
      </c>
      <c r="AE96" s="34" t="s">
        <v>1415</v>
      </c>
      <c r="AF96" s="34" t="s">
        <v>1416</v>
      </c>
      <c r="AG96" s="34" t="s">
        <v>1417</v>
      </c>
      <c r="AH96" s="34" t="s">
        <v>1418</v>
      </c>
      <c r="AI96" s="34" t="s">
        <v>71</v>
      </c>
      <c r="AJ96" s="34" t="s">
        <v>1419</v>
      </c>
      <c r="AK96" s="34" t="s">
        <v>1420</v>
      </c>
      <c r="AL96" s="34" t="s">
        <v>1421</v>
      </c>
      <c r="AM96" s="34" t="s">
        <v>1422</v>
      </c>
      <c r="AN96" s="34" t="s">
        <v>1423</v>
      </c>
      <c r="AO96" s="34" t="s">
        <v>1424</v>
      </c>
      <c r="AP96" s="34" t="s">
        <v>1425</v>
      </c>
      <c r="AQ96" s="34" t="s">
        <v>1318</v>
      </c>
      <c r="AR96" s="34" t="s">
        <v>1426</v>
      </c>
      <c r="AS96" s="34" t="s">
        <v>1427</v>
      </c>
      <c r="AT96" s="34" t="s">
        <v>1428</v>
      </c>
      <c r="AU96" s="34" t="s">
        <v>1429</v>
      </c>
      <c r="AV96" s="34" t="s">
        <v>1430</v>
      </c>
      <c r="AW96" s="34" t="s">
        <v>1431</v>
      </c>
      <c r="AX96" s="34" t="s">
        <v>1432</v>
      </c>
      <c r="AY96" s="34" t="s">
        <v>1433</v>
      </c>
      <c r="AZ96" s="34" t="s">
        <v>1434</v>
      </c>
      <c r="BA96" s="34" t="s">
        <v>1435</v>
      </c>
      <c r="BB96" s="34" t="s">
        <v>1436</v>
      </c>
      <c r="BC96" s="34" t="s">
        <v>1437</v>
      </c>
      <c r="BD96" s="34" t="s">
        <v>1438</v>
      </c>
      <c r="BE96" s="34" t="s">
        <v>1439</v>
      </c>
      <c r="BF96" s="34" t="s">
        <v>0</v>
      </c>
      <c r="BG96" s="34" t="s">
        <v>1440</v>
      </c>
      <c r="BH96" s="34" t="s">
        <v>1441</v>
      </c>
      <c r="BI96" s="34" t="s">
        <v>14</v>
      </c>
      <c r="BJ96" s="34" t="s">
        <v>13</v>
      </c>
      <c r="BK96" s="34" t="s">
        <v>1316</v>
      </c>
      <c r="BL96" s="34" t="s">
        <v>35</v>
      </c>
      <c r="BM96" s="34" t="s">
        <v>1442</v>
      </c>
      <c r="BN96" s="34" t="s">
        <v>1443</v>
      </c>
      <c r="BO96" s="34" t="s">
        <v>1444</v>
      </c>
      <c r="BP96" s="34" t="s">
        <v>1445</v>
      </c>
      <c r="BQ96" s="34" t="s">
        <v>1446</v>
      </c>
      <c r="BR96" s="34" t="s">
        <v>1447</v>
      </c>
      <c r="BS96" s="34" t="s">
        <v>1448</v>
      </c>
      <c r="BT96" s="34" t="s">
        <v>1449</v>
      </c>
      <c r="BU96" s="34" t="s">
        <v>1450</v>
      </c>
      <c r="BV96" s="34" t="s">
        <v>1321</v>
      </c>
      <c r="BW96" s="34" t="s">
        <v>1451</v>
      </c>
      <c r="BX96" s="34" t="s">
        <v>1452</v>
      </c>
      <c r="BY96" s="34" t="s">
        <v>1317</v>
      </c>
      <c r="BZ96" s="34" t="s">
        <v>1320</v>
      </c>
      <c r="CA96" s="34" t="s">
        <v>1453</v>
      </c>
      <c r="CB96" s="34" t="s">
        <v>1323</v>
      </c>
      <c r="CC96" s="34" t="s">
        <v>1324</v>
      </c>
    </row>
    <row r="97" spans="1:81" x14ac:dyDescent="0.3">
      <c r="A97" s="34" t="s">
        <v>1563</v>
      </c>
      <c r="B97" s="34" t="s">
        <v>711</v>
      </c>
      <c r="C97" s="34" t="s">
        <v>1327</v>
      </c>
      <c r="D97" s="34"/>
      <c r="E97" s="35">
        <v>45405</v>
      </c>
      <c r="F97" s="35">
        <v>47212</v>
      </c>
      <c r="G97" s="34"/>
      <c r="H97" s="34" t="s">
        <v>1325</v>
      </c>
      <c r="I97" s="34">
        <v>0</v>
      </c>
      <c r="J97" s="34">
        <v>150000000</v>
      </c>
      <c r="K97" s="34" t="s">
        <v>123</v>
      </c>
      <c r="L97" s="34" t="s">
        <v>123</v>
      </c>
      <c r="M97" s="34" t="s">
        <v>123</v>
      </c>
      <c r="N97" s="34" t="s">
        <v>123</v>
      </c>
      <c r="O97" s="34">
        <v>101</v>
      </c>
      <c r="P97" s="34">
        <v>1.6666700000000001E-3</v>
      </c>
      <c r="Q97" s="34" t="s">
        <v>123</v>
      </c>
      <c r="R97" s="34" t="s">
        <v>123</v>
      </c>
      <c r="S97" s="34" t="s">
        <v>123</v>
      </c>
      <c r="T97" s="34" t="s">
        <v>123</v>
      </c>
      <c r="U97" s="34" t="s">
        <v>123</v>
      </c>
      <c r="V97" s="34" t="s">
        <v>123</v>
      </c>
      <c r="W97" s="34" t="s">
        <v>123</v>
      </c>
      <c r="X97" s="34" t="s">
        <v>123</v>
      </c>
      <c r="Y97" s="34" t="s">
        <v>123</v>
      </c>
      <c r="Z97" s="34">
        <v>0</v>
      </c>
      <c r="AA97" s="34" t="s">
        <v>123</v>
      </c>
      <c r="AB97" s="34">
        <v>0</v>
      </c>
      <c r="AC97" s="34">
        <v>1</v>
      </c>
      <c r="AD97" s="34" t="s">
        <v>123</v>
      </c>
      <c r="AE97" s="34" t="s">
        <v>123</v>
      </c>
      <c r="AF97" s="34" t="s">
        <v>714</v>
      </c>
      <c r="AG97" s="34" t="s">
        <v>123</v>
      </c>
      <c r="AH97" s="34" t="s">
        <v>123</v>
      </c>
      <c r="AI97" s="34" t="s">
        <v>123</v>
      </c>
      <c r="AJ97" s="34" t="s">
        <v>123</v>
      </c>
      <c r="AK97" s="34" t="s">
        <v>123</v>
      </c>
      <c r="AL97" s="34" t="s">
        <v>123</v>
      </c>
      <c r="AM97" s="34" t="s">
        <v>123</v>
      </c>
      <c r="AN97" s="34" t="s">
        <v>123</v>
      </c>
      <c r="AO97" s="34" t="s">
        <v>123</v>
      </c>
      <c r="AP97" s="34">
        <v>0</v>
      </c>
      <c r="AQ97" s="34" t="s">
        <v>123</v>
      </c>
      <c r="AR97" s="34">
        <v>5.6722120000000001E-2</v>
      </c>
      <c r="AS97" s="34"/>
      <c r="AT97" s="34" t="s">
        <v>123</v>
      </c>
      <c r="AU97" s="34">
        <v>108</v>
      </c>
      <c r="AV97" s="34" t="s">
        <v>1564</v>
      </c>
      <c r="AW97" s="34">
        <v>0</v>
      </c>
      <c r="AX97" s="34">
        <v>1397</v>
      </c>
      <c r="AY97" s="34" t="s">
        <v>1329</v>
      </c>
      <c r="AZ97" s="35">
        <v>45749</v>
      </c>
      <c r="BA97" s="35">
        <v>45749</v>
      </c>
      <c r="BB97" s="34" t="s">
        <v>123</v>
      </c>
      <c r="BC97" s="34" t="s">
        <v>123</v>
      </c>
      <c r="BD97" s="34" t="s">
        <v>123</v>
      </c>
      <c r="BE97" s="34" t="s">
        <v>139</v>
      </c>
      <c r="BF97" s="34">
        <v>151</v>
      </c>
      <c r="BG97" s="34">
        <v>0</v>
      </c>
      <c r="BH97" s="34">
        <v>2.3430280000000001E-2</v>
      </c>
      <c r="BI97" s="34" t="s">
        <v>150</v>
      </c>
      <c r="BJ97" s="34" t="s">
        <v>1328</v>
      </c>
      <c r="BK97" s="34">
        <v>2025</v>
      </c>
      <c r="BL97" s="34" t="s">
        <v>1456</v>
      </c>
      <c r="BM97" s="34"/>
      <c r="BN97" s="34">
        <v>0</v>
      </c>
      <c r="BO97" s="34" t="s">
        <v>1330</v>
      </c>
      <c r="BP97" s="34">
        <v>6.2164799999999999E-2</v>
      </c>
      <c r="BQ97" s="34" t="s">
        <v>1326</v>
      </c>
      <c r="BR97" s="35">
        <v>45749</v>
      </c>
      <c r="BS97" s="34">
        <v>0</v>
      </c>
      <c r="BT97" s="34" t="s">
        <v>123</v>
      </c>
      <c r="BU97" s="34">
        <v>0</v>
      </c>
      <c r="BV97" s="34">
        <v>250000</v>
      </c>
      <c r="BW97" s="34">
        <v>0</v>
      </c>
      <c r="BX97" s="34">
        <v>151</v>
      </c>
      <c r="BY97" s="34">
        <v>0</v>
      </c>
      <c r="BZ97" s="34">
        <v>1</v>
      </c>
      <c r="CA97" s="34" t="s">
        <v>123</v>
      </c>
      <c r="CB97" s="34" t="s">
        <v>123</v>
      </c>
      <c r="CC97" s="34" t="s">
        <v>123</v>
      </c>
    </row>
    <row r="98" spans="1:81" x14ac:dyDescent="0.3">
      <c r="A98" s="34" t="s">
        <v>1565</v>
      </c>
      <c r="B98" s="34" t="s">
        <v>1120</v>
      </c>
      <c r="C98" s="34" t="s">
        <v>1331</v>
      </c>
      <c r="D98" s="34"/>
      <c r="E98" s="35">
        <v>45686</v>
      </c>
      <c r="F98" s="35">
        <v>46850</v>
      </c>
      <c r="G98" s="34"/>
      <c r="H98" s="34" t="s">
        <v>1325</v>
      </c>
      <c r="I98" s="34">
        <v>5000000</v>
      </c>
      <c r="J98" s="34">
        <v>5000000</v>
      </c>
      <c r="K98" s="34" t="s">
        <v>123</v>
      </c>
      <c r="L98" s="34" t="s">
        <v>123</v>
      </c>
      <c r="M98" s="34" t="s">
        <v>123</v>
      </c>
      <c r="N98" s="34" t="s">
        <v>123</v>
      </c>
      <c r="O98" s="34">
        <v>100.2</v>
      </c>
      <c r="P98" s="34">
        <v>8.3333299999999999E-3</v>
      </c>
      <c r="Q98" s="34" t="s">
        <v>123</v>
      </c>
      <c r="R98" s="34" t="s">
        <v>123</v>
      </c>
      <c r="S98" s="34" t="s">
        <v>123</v>
      </c>
      <c r="T98" s="34" t="s">
        <v>123</v>
      </c>
      <c r="U98" s="34" t="s">
        <v>123</v>
      </c>
      <c r="V98" s="34" t="s">
        <v>123</v>
      </c>
      <c r="W98" s="34" t="s">
        <v>123</v>
      </c>
      <c r="X98" s="34" t="s">
        <v>123</v>
      </c>
      <c r="Y98" s="34" t="s">
        <v>123</v>
      </c>
      <c r="Z98" s="34">
        <v>0</v>
      </c>
      <c r="AA98" s="34" t="s">
        <v>123</v>
      </c>
      <c r="AB98" s="34">
        <v>0</v>
      </c>
      <c r="AC98" s="34">
        <v>1</v>
      </c>
      <c r="AD98" s="34" t="s">
        <v>123</v>
      </c>
      <c r="AE98" s="34" t="s">
        <v>123</v>
      </c>
      <c r="AF98" s="34" t="s">
        <v>1121</v>
      </c>
      <c r="AG98" s="34" t="s">
        <v>123</v>
      </c>
      <c r="AH98" s="34" t="s">
        <v>123</v>
      </c>
      <c r="AI98" s="34" t="s">
        <v>123</v>
      </c>
      <c r="AJ98" s="34" t="s">
        <v>123</v>
      </c>
      <c r="AK98" s="34" t="s">
        <v>123</v>
      </c>
      <c r="AL98" s="34" t="s">
        <v>123</v>
      </c>
      <c r="AM98" s="34" t="s">
        <v>123</v>
      </c>
      <c r="AN98" s="34" t="s">
        <v>123</v>
      </c>
      <c r="AO98" s="34" t="s">
        <v>123</v>
      </c>
      <c r="AP98" s="34">
        <v>0</v>
      </c>
      <c r="AQ98" s="34" t="s">
        <v>123</v>
      </c>
      <c r="AR98" s="34">
        <v>0.10367698</v>
      </c>
      <c r="AS98" s="34"/>
      <c r="AT98" s="34" t="s">
        <v>123</v>
      </c>
      <c r="AU98" s="34">
        <v>108</v>
      </c>
      <c r="AV98" s="34" t="s">
        <v>1566</v>
      </c>
      <c r="AW98" s="34">
        <v>0</v>
      </c>
      <c r="AX98" s="34">
        <v>1398</v>
      </c>
      <c r="AY98" s="34" t="s">
        <v>1333</v>
      </c>
      <c r="AZ98" s="35">
        <v>45751</v>
      </c>
      <c r="BA98" s="35">
        <v>45751</v>
      </c>
      <c r="BB98" s="34" t="s">
        <v>123</v>
      </c>
      <c r="BC98" s="34" t="s">
        <v>123</v>
      </c>
      <c r="BD98" s="34" t="s">
        <v>123</v>
      </c>
      <c r="BE98" s="34" t="s">
        <v>1334</v>
      </c>
      <c r="BF98" s="34">
        <v>268</v>
      </c>
      <c r="BG98" s="34">
        <v>0</v>
      </c>
      <c r="BH98" s="34">
        <v>6.6102750000000002E-2</v>
      </c>
      <c r="BI98" s="34" t="s">
        <v>159</v>
      </c>
      <c r="BJ98" s="34" t="s">
        <v>1332</v>
      </c>
      <c r="BK98" s="34">
        <v>2025</v>
      </c>
      <c r="BL98" s="34" t="s">
        <v>1456</v>
      </c>
      <c r="BM98" s="34"/>
      <c r="BN98" s="34">
        <v>0</v>
      </c>
      <c r="BO98" s="34" t="s">
        <v>1330</v>
      </c>
      <c r="BP98" s="34">
        <v>0.10476479</v>
      </c>
      <c r="BQ98" s="34" t="s">
        <v>1326</v>
      </c>
      <c r="BR98" s="35">
        <v>45751</v>
      </c>
      <c r="BS98" s="34">
        <v>0</v>
      </c>
      <c r="BT98" s="34" t="s">
        <v>123</v>
      </c>
      <c r="BU98" s="34">
        <v>0</v>
      </c>
      <c r="BV98" s="34">
        <v>250000</v>
      </c>
      <c r="BW98" s="34">
        <v>0</v>
      </c>
      <c r="BX98" s="34">
        <v>268</v>
      </c>
      <c r="BY98" s="34">
        <v>0</v>
      </c>
      <c r="BZ98" s="34">
        <v>1</v>
      </c>
      <c r="CA98" s="34" t="s">
        <v>123</v>
      </c>
      <c r="CB98" s="34" t="s">
        <v>123</v>
      </c>
      <c r="CC98" s="34" t="s">
        <v>123</v>
      </c>
    </row>
    <row r="99" spans="1:81" x14ac:dyDescent="0.3">
      <c r="A99" s="34" t="s">
        <v>1567</v>
      </c>
      <c r="B99" s="34" t="s">
        <v>668</v>
      </c>
      <c r="C99" s="34" t="s">
        <v>1335</v>
      </c>
      <c r="D99" s="34"/>
      <c r="E99" s="35">
        <v>45252</v>
      </c>
      <c r="F99" s="35">
        <v>46395</v>
      </c>
      <c r="G99" s="34"/>
      <c r="H99" s="34" t="s">
        <v>1325</v>
      </c>
      <c r="I99" s="34">
        <v>0</v>
      </c>
      <c r="J99" s="34">
        <v>600000000</v>
      </c>
      <c r="K99" s="34" t="s">
        <v>123</v>
      </c>
      <c r="L99" s="34" t="s">
        <v>123</v>
      </c>
      <c r="M99" s="34" t="s">
        <v>123</v>
      </c>
      <c r="N99" s="34" t="s">
        <v>123</v>
      </c>
      <c r="O99" s="34">
        <v>102.85</v>
      </c>
      <c r="P99" s="34">
        <v>1.25E-3</v>
      </c>
      <c r="Q99" s="34" t="s">
        <v>123</v>
      </c>
      <c r="R99" s="34" t="s">
        <v>123</v>
      </c>
      <c r="S99" s="34" t="s">
        <v>123</v>
      </c>
      <c r="T99" s="34" t="s">
        <v>123</v>
      </c>
      <c r="U99" s="34" t="s">
        <v>123</v>
      </c>
      <c r="V99" s="34" t="s">
        <v>123</v>
      </c>
      <c r="W99" s="34" t="s">
        <v>123</v>
      </c>
      <c r="X99" s="34" t="s">
        <v>123</v>
      </c>
      <c r="Y99" s="34" t="s">
        <v>123</v>
      </c>
      <c r="Z99" s="34">
        <v>0</v>
      </c>
      <c r="AA99" s="34" t="s">
        <v>123</v>
      </c>
      <c r="AB99" s="34">
        <v>0</v>
      </c>
      <c r="AC99" s="34">
        <v>1</v>
      </c>
      <c r="AD99" s="34" t="s">
        <v>123</v>
      </c>
      <c r="AE99" s="34" t="s">
        <v>123</v>
      </c>
      <c r="AF99" s="34" t="s">
        <v>671</v>
      </c>
      <c r="AG99" s="34" t="s">
        <v>123</v>
      </c>
      <c r="AH99" s="34" t="s">
        <v>123</v>
      </c>
      <c r="AI99" s="34" t="s">
        <v>123</v>
      </c>
      <c r="AJ99" s="34" t="s">
        <v>123</v>
      </c>
      <c r="AK99" s="34" t="s">
        <v>123</v>
      </c>
      <c r="AL99" s="34" t="s">
        <v>123</v>
      </c>
      <c r="AM99" s="34" t="s">
        <v>123</v>
      </c>
      <c r="AN99" s="34" t="s">
        <v>123</v>
      </c>
      <c r="AO99" s="34" t="s">
        <v>123</v>
      </c>
      <c r="AP99" s="34">
        <v>0</v>
      </c>
      <c r="AQ99" s="34" t="s">
        <v>123</v>
      </c>
      <c r="AR99" s="34">
        <v>7.6703099999999996E-2</v>
      </c>
      <c r="AS99" s="34"/>
      <c r="AT99" s="34" t="s">
        <v>123</v>
      </c>
      <c r="AU99" s="34">
        <v>108</v>
      </c>
      <c r="AV99" s="34" t="s">
        <v>1568</v>
      </c>
      <c r="AW99" s="34">
        <v>0</v>
      </c>
      <c r="AX99" s="34">
        <v>1399</v>
      </c>
      <c r="AY99" s="34" t="s">
        <v>1333</v>
      </c>
      <c r="AZ99" s="35">
        <v>45751</v>
      </c>
      <c r="BA99" s="35">
        <v>45751</v>
      </c>
      <c r="BB99" s="34" t="s">
        <v>123</v>
      </c>
      <c r="BC99" s="34" t="s">
        <v>123</v>
      </c>
      <c r="BD99" s="34" t="s">
        <v>123</v>
      </c>
      <c r="BE99" s="34" t="s">
        <v>139</v>
      </c>
      <c r="BF99" s="34">
        <v>138</v>
      </c>
      <c r="BG99" s="34">
        <v>0</v>
      </c>
      <c r="BH99" s="34">
        <v>5.2493049999999999E-2</v>
      </c>
      <c r="BI99" s="34" t="s">
        <v>133</v>
      </c>
      <c r="BJ99" s="34" t="s">
        <v>1336</v>
      </c>
      <c r="BK99" s="34">
        <v>2025</v>
      </c>
      <c r="BL99" s="34" t="s">
        <v>1456</v>
      </c>
      <c r="BM99" s="34"/>
      <c r="BN99" s="34">
        <v>0</v>
      </c>
      <c r="BO99" s="34" t="s">
        <v>1330</v>
      </c>
      <c r="BP99" s="34">
        <v>9.06E-2</v>
      </c>
      <c r="BQ99" s="34" t="s">
        <v>1326</v>
      </c>
      <c r="BR99" s="35">
        <v>45751</v>
      </c>
      <c r="BS99" s="34">
        <v>0</v>
      </c>
      <c r="BT99" s="34" t="s">
        <v>123</v>
      </c>
      <c r="BU99" s="34">
        <v>0</v>
      </c>
      <c r="BV99" s="34">
        <v>250000</v>
      </c>
      <c r="BW99" s="34">
        <v>0</v>
      </c>
      <c r="BX99" s="34">
        <v>138</v>
      </c>
      <c r="BY99" s="34">
        <v>0</v>
      </c>
      <c r="BZ99" s="34">
        <v>1</v>
      </c>
      <c r="CA99" s="34" t="s">
        <v>123</v>
      </c>
      <c r="CB99" s="34" t="s">
        <v>123</v>
      </c>
      <c r="CC99" s="34" t="s">
        <v>123</v>
      </c>
    </row>
    <row r="100" spans="1:81" x14ac:dyDescent="0.3">
      <c r="A100" s="34" t="s">
        <v>1569</v>
      </c>
      <c r="B100" s="34" t="s">
        <v>856</v>
      </c>
      <c r="C100" s="34" t="s">
        <v>1337</v>
      </c>
      <c r="D100" s="34"/>
      <c r="E100" s="35">
        <v>44650</v>
      </c>
      <c r="F100" s="35">
        <v>46119</v>
      </c>
      <c r="G100" s="34"/>
      <c r="H100" s="34" t="s">
        <v>1325</v>
      </c>
      <c r="I100" s="34">
        <v>0</v>
      </c>
      <c r="J100" s="34">
        <v>100000000</v>
      </c>
      <c r="K100" s="34" t="s">
        <v>123</v>
      </c>
      <c r="L100" s="34" t="s">
        <v>123</v>
      </c>
      <c r="M100" s="34" t="s">
        <v>123</v>
      </c>
      <c r="N100" s="34" t="s">
        <v>123</v>
      </c>
      <c r="O100" s="34">
        <v>101</v>
      </c>
      <c r="P100" s="34">
        <v>2.08333E-3</v>
      </c>
      <c r="Q100" s="34" t="s">
        <v>123</v>
      </c>
      <c r="R100" s="34" t="s">
        <v>123</v>
      </c>
      <c r="S100" s="34" t="s">
        <v>123</v>
      </c>
      <c r="T100" s="34" t="s">
        <v>123</v>
      </c>
      <c r="U100" s="34" t="s">
        <v>123</v>
      </c>
      <c r="V100" s="34" t="s">
        <v>123</v>
      </c>
      <c r="W100" s="34" t="s">
        <v>123</v>
      </c>
      <c r="X100" s="34" t="s">
        <v>123</v>
      </c>
      <c r="Y100" s="34" t="s">
        <v>123</v>
      </c>
      <c r="Z100" s="34">
        <v>0</v>
      </c>
      <c r="AA100" s="34" t="s">
        <v>123</v>
      </c>
      <c r="AB100" s="34">
        <v>0</v>
      </c>
      <c r="AC100" s="34">
        <v>1</v>
      </c>
      <c r="AD100" s="34" t="s">
        <v>123</v>
      </c>
      <c r="AE100" s="34" t="s">
        <v>123</v>
      </c>
      <c r="AF100" s="34" t="s">
        <v>858</v>
      </c>
      <c r="AG100" s="34" t="s">
        <v>123</v>
      </c>
      <c r="AH100" s="34" t="s">
        <v>123</v>
      </c>
      <c r="AI100" s="34" t="s">
        <v>123</v>
      </c>
      <c r="AJ100" s="34" t="s">
        <v>123</v>
      </c>
      <c r="AK100" s="34" t="s">
        <v>123</v>
      </c>
      <c r="AL100" s="34" t="s">
        <v>123</v>
      </c>
      <c r="AM100" s="34" t="s">
        <v>123</v>
      </c>
      <c r="AN100" s="34" t="s">
        <v>123</v>
      </c>
      <c r="AO100" s="34" t="s">
        <v>123</v>
      </c>
      <c r="AP100" s="34">
        <v>0</v>
      </c>
      <c r="AQ100" s="34" t="s">
        <v>123</v>
      </c>
      <c r="AR100" s="34">
        <v>5.962858E-2</v>
      </c>
      <c r="AS100" s="34"/>
      <c r="AT100" s="34" t="s">
        <v>123</v>
      </c>
      <c r="AU100" s="34">
        <v>108</v>
      </c>
      <c r="AV100" s="34" t="s">
        <v>1570</v>
      </c>
      <c r="AW100" s="34">
        <v>0</v>
      </c>
      <c r="AX100" s="34">
        <v>1400</v>
      </c>
      <c r="AY100" s="34" t="s">
        <v>1333</v>
      </c>
      <c r="AZ100" s="35">
        <v>45751</v>
      </c>
      <c r="BA100" s="35">
        <v>45751</v>
      </c>
      <c r="BB100" s="34" t="s">
        <v>123</v>
      </c>
      <c r="BC100" s="34" t="s">
        <v>123</v>
      </c>
      <c r="BD100" s="34" t="s">
        <v>123</v>
      </c>
      <c r="BE100" s="34" t="s">
        <v>139</v>
      </c>
      <c r="BF100" s="34">
        <v>196</v>
      </c>
      <c r="BG100" s="34">
        <v>0</v>
      </c>
      <c r="BH100" s="34">
        <v>2.8000799999999999E-2</v>
      </c>
      <c r="BI100" s="34" t="s">
        <v>167</v>
      </c>
      <c r="BJ100" s="34" t="s">
        <v>1338</v>
      </c>
      <c r="BK100" s="34">
        <v>2025</v>
      </c>
      <c r="BL100" s="34" t="s">
        <v>1456</v>
      </c>
      <c r="BM100" s="34"/>
      <c r="BN100" s="34">
        <v>0</v>
      </c>
      <c r="BO100" s="34" t="s">
        <v>1330</v>
      </c>
      <c r="BP100" s="34">
        <v>6.6600000000000006E-2</v>
      </c>
      <c r="BQ100" s="34" t="s">
        <v>1326</v>
      </c>
      <c r="BR100" s="35">
        <v>45751</v>
      </c>
      <c r="BS100" s="34">
        <v>0</v>
      </c>
      <c r="BT100" s="34" t="s">
        <v>123</v>
      </c>
      <c r="BU100" s="34">
        <v>0</v>
      </c>
      <c r="BV100" s="34">
        <v>250000</v>
      </c>
      <c r="BW100" s="34">
        <v>0</v>
      </c>
      <c r="BX100" s="34">
        <v>196</v>
      </c>
      <c r="BY100" s="34">
        <v>0</v>
      </c>
      <c r="BZ100" s="34">
        <v>1</v>
      </c>
      <c r="CA100" s="34" t="s">
        <v>123</v>
      </c>
      <c r="CB100" s="34" t="s">
        <v>123</v>
      </c>
      <c r="CC100" s="34" t="s">
        <v>123</v>
      </c>
    </row>
    <row r="101" spans="1:81" x14ac:dyDescent="0.3">
      <c r="A101" s="34" t="s">
        <v>1454</v>
      </c>
      <c r="B101" s="34" t="s">
        <v>1028</v>
      </c>
      <c r="C101" s="34" t="s">
        <v>1339</v>
      </c>
      <c r="D101" s="34"/>
      <c r="E101" s="35">
        <v>45267</v>
      </c>
      <c r="F101" s="35">
        <v>46363</v>
      </c>
      <c r="G101" s="34"/>
      <c r="H101" s="34" t="s">
        <v>1325</v>
      </c>
      <c r="I101" s="34">
        <v>0</v>
      </c>
      <c r="J101" s="34">
        <v>1000000000</v>
      </c>
      <c r="K101" s="34" t="s">
        <v>123</v>
      </c>
      <c r="L101" s="34" t="s">
        <v>123</v>
      </c>
      <c r="M101" s="34" t="s">
        <v>123</v>
      </c>
      <c r="N101" s="34" t="s">
        <v>123</v>
      </c>
      <c r="O101" s="34">
        <v>103.95</v>
      </c>
      <c r="P101" s="34">
        <v>8.3332999999999996E-4</v>
      </c>
      <c r="Q101" s="34" t="s">
        <v>123</v>
      </c>
      <c r="R101" s="34" t="s">
        <v>123</v>
      </c>
      <c r="S101" s="34" t="s">
        <v>123</v>
      </c>
      <c r="T101" s="34" t="s">
        <v>123</v>
      </c>
      <c r="U101" s="34" t="s">
        <v>123</v>
      </c>
      <c r="V101" s="34" t="s">
        <v>123</v>
      </c>
      <c r="W101" s="34" t="s">
        <v>123</v>
      </c>
      <c r="X101" s="34" t="s">
        <v>123</v>
      </c>
      <c r="Y101" s="34" t="s">
        <v>123</v>
      </c>
      <c r="Z101" s="34">
        <v>0</v>
      </c>
      <c r="AA101" s="34" t="s">
        <v>123</v>
      </c>
      <c r="AB101" s="34">
        <v>0</v>
      </c>
      <c r="AC101" s="34">
        <v>1</v>
      </c>
      <c r="AD101" s="34" t="s">
        <v>123</v>
      </c>
      <c r="AE101" s="34" t="s">
        <v>123</v>
      </c>
      <c r="AF101" s="34" t="s">
        <v>1029</v>
      </c>
      <c r="AG101" s="34" t="s">
        <v>123</v>
      </c>
      <c r="AH101" s="34" t="s">
        <v>123</v>
      </c>
      <c r="AI101" s="34" t="s">
        <v>123</v>
      </c>
      <c r="AJ101" s="34" t="s">
        <v>123</v>
      </c>
      <c r="AK101" s="34" t="s">
        <v>123</v>
      </c>
      <c r="AL101" s="34" t="s">
        <v>123</v>
      </c>
      <c r="AM101" s="34" t="s">
        <v>123</v>
      </c>
      <c r="AN101" s="34" t="s">
        <v>123</v>
      </c>
      <c r="AO101" s="34" t="s">
        <v>123</v>
      </c>
      <c r="AP101" s="34">
        <v>0</v>
      </c>
      <c r="AQ101" s="34" t="s">
        <v>123</v>
      </c>
      <c r="AR101" s="34">
        <v>7.1253140000000006E-2</v>
      </c>
      <c r="AS101" s="34"/>
      <c r="AT101" s="34" t="s">
        <v>123</v>
      </c>
      <c r="AU101" s="34">
        <v>108</v>
      </c>
      <c r="AV101" s="34" t="s">
        <v>1455</v>
      </c>
      <c r="AW101" s="34">
        <v>0</v>
      </c>
      <c r="AX101" s="34">
        <v>1401</v>
      </c>
      <c r="AY101" s="34" t="s">
        <v>1329</v>
      </c>
      <c r="AZ101" s="35">
        <v>45751</v>
      </c>
      <c r="BA101" s="35">
        <v>45751</v>
      </c>
      <c r="BB101" s="34" t="s">
        <v>123</v>
      </c>
      <c r="BC101" s="34" t="s">
        <v>123</v>
      </c>
      <c r="BD101" s="34" t="s">
        <v>123</v>
      </c>
      <c r="BE101" s="34" t="s">
        <v>139</v>
      </c>
      <c r="BF101" s="34">
        <v>243</v>
      </c>
      <c r="BG101" s="34">
        <v>0</v>
      </c>
      <c r="BH101" s="34">
        <v>5.500062E-2</v>
      </c>
      <c r="BI101" s="34" t="s">
        <v>528</v>
      </c>
      <c r="BJ101" s="34" t="s">
        <v>1340</v>
      </c>
      <c r="BK101" s="34">
        <v>2024</v>
      </c>
      <c r="BL101" s="34" t="s">
        <v>1456</v>
      </c>
      <c r="BM101" s="34"/>
      <c r="BN101" s="34">
        <v>0</v>
      </c>
      <c r="BO101" s="34" t="s">
        <v>1330</v>
      </c>
      <c r="BP101" s="34">
        <v>9.3200000000000005E-2</v>
      </c>
      <c r="BQ101" s="34" t="s">
        <v>1326</v>
      </c>
      <c r="BR101" s="35">
        <v>45751</v>
      </c>
      <c r="BS101" s="34">
        <v>0</v>
      </c>
      <c r="BT101" s="34" t="s">
        <v>123</v>
      </c>
      <c r="BU101" s="34">
        <v>0</v>
      </c>
      <c r="BV101" s="34">
        <v>250000</v>
      </c>
      <c r="BW101" s="34">
        <v>0</v>
      </c>
      <c r="BX101" s="34">
        <v>243</v>
      </c>
      <c r="BY101" s="34">
        <v>0</v>
      </c>
      <c r="BZ101" s="34">
        <v>1</v>
      </c>
      <c r="CA101" s="34" t="s">
        <v>123</v>
      </c>
      <c r="CB101" s="34" t="s">
        <v>123</v>
      </c>
      <c r="CC101" s="34" t="s">
        <v>123</v>
      </c>
    </row>
    <row r="102" spans="1:81" x14ac:dyDescent="0.3">
      <c r="A102" s="34" t="s">
        <v>1457</v>
      </c>
      <c r="B102" s="34" t="s">
        <v>625</v>
      </c>
      <c r="C102" s="34" t="s">
        <v>1341</v>
      </c>
      <c r="D102" s="34"/>
      <c r="E102" s="35">
        <v>45693</v>
      </c>
      <c r="F102" s="35">
        <v>46820</v>
      </c>
      <c r="G102" s="34"/>
      <c r="H102" s="34" t="s">
        <v>1325</v>
      </c>
      <c r="I102" s="34">
        <v>0</v>
      </c>
      <c r="J102" s="34">
        <v>300000000</v>
      </c>
      <c r="K102" s="34" t="s">
        <v>123</v>
      </c>
      <c r="L102" s="34" t="s">
        <v>123</v>
      </c>
      <c r="M102" s="34" t="s">
        <v>123</v>
      </c>
      <c r="N102" s="34" t="s">
        <v>123</v>
      </c>
      <c r="O102" s="34">
        <v>100.25</v>
      </c>
      <c r="P102" s="34">
        <v>8.3332999999999996E-4</v>
      </c>
      <c r="Q102" s="34" t="s">
        <v>123</v>
      </c>
      <c r="R102" s="34" t="s">
        <v>123</v>
      </c>
      <c r="S102" s="34" t="s">
        <v>123</v>
      </c>
      <c r="T102" s="34" t="s">
        <v>123</v>
      </c>
      <c r="U102" s="34" t="s">
        <v>123</v>
      </c>
      <c r="V102" s="34" t="s">
        <v>123</v>
      </c>
      <c r="W102" s="34" t="s">
        <v>123</v>
      </c>
      <c r="X102" s="34" t="s">
        <v>123</v>
      </c>
      <c r="Y102" s="34" t="s">
        <v>123</v>
      </c>
      <c r="Z102" s="34">
        <v>0</v>
      </c>
      <c r="AA102" s="34" t="s">
        <v>123</v>
      </c>
      <c r="AB102" s="34">
        <v>0</v>
      </c>
      <c r="AC102" s="34">
        <v>1</v>
      </c>
      <c r="AD102" s="34" t="s">
        <v>123</v>
      </c>
      <c r="AE102" s="34" t="s">
        <v>123</v>
      </c>
      <c r="AF102" s="34" t="s">
        <v>626</v>
      </c>
      <c r="AG102" s="34" t="s">
        <v>123</v>
      </c>
      <c r="AH102" s="34" t="s">
        <v>123</v>
      </c>
      <c r="AI102" s="34" t="s">
        <v>123</v>
      </c>
      <c r="AJ102" s="34" t="s">
        <v>123</v>
      </c>
      <c r="AK102" s="34" t="s">
        <v>123</v>
      </c>
      <c r="AL102" s="34" t="s">
        <v>123</v>
      </c>
      <c r="AM102" s="34" t="s">
        <v>123</v>
      </c>
      <c r="AN102" s="34" t="s">
        <v>123</v>
      </c>
      <c r="AO102" s="34" t="s">
        <v>123</v>
      </c>
      <c r="AP102" s="34">
        <v>0</v>
      </c>
      <c r="AQ102" s="34" t="s">
        <v>123</v>
      </c>
      <c r="AR102" s="34">
        <v>7.558753E-2</v>
      </c>
      <c r="AS102" s="34"/>
      <c r="AT102" s="34" t="s">
        <v>123</v>
      </c>
      <c r="AU102" s="34">
        <v>108</v>
      </c>
      <c r="AV102" s="34" t="s">
        <v>1458</v>
      </c>
      <c r="AW102" s="34">
        <v>0</v>
      </c>
      <c r="AX102" s="34">
        <v>1402</v>
      </c>
      <c r="AY102" s="34" t="s">
        <v>1333</v>
      </c>
      <c r="AZ102" s="35">
        <v>45755</v>
      </c>
      <c r="BA102" s="35">
        <v>45755</v>
      </c>
      <c r="BB102" s="34" t="s">
        <v>123</v>
      </c>
      <c r="BC102" s="34" t="s">
        <v>123</v>
      </c>
      <c r="BD102" s="34" t="s">
        <v>123</v>
      </c>
      <c r="BE102" s="34" t="s">
        <v>139</v>
      </c>
      <c r="BF102" s="34">
        <v>127</v>
      </c>
      <c r="BG102" s="34">
        <v>0</v>
      </c>
      <c r="BH102" s="34">
        <v>3.496664E-2</v>
      </c>
      <c r="BI102" s="34" t="s">
        <v>159</v>
      </c>
      <c r="BJ102" s="34" t="s">
        <v>1336</v>
      </c>
      <c r="BK102" s="34"/>
      <c r="BL102" s="34" t="s">
        <v>1456</v>
      </c>
      <c r="BM102" s="34"/>
      <c r="BN102" s="34">
        <v>0</v>
      </c>
      <c r="BO102" s="34" t="s">
        <v>1330</v>
      </c>
      <c r="BP102" s="34">
        <v>7.3507139999999999E-2</v>
      </c>
      <c r="BQ102" s="34" t="s">
        <v>1326</v>
      </c>
      <c r="BR102" s="35">
        <v>45755</v>
      </c>
      <c r="BS102" s="34">
        <v>0</v>
      </c>
      <c r="BT102" s="34" t="s">
        <v>123</v>
      </c>
      <c r="BU102" s="34">
        <v>0</v>
      </c>
      <c r="BV102" s="34">
        <v>250000</v>
      </c>
      <c r="BW102" s="34">
        <v>0</v>
      </c>
      <c r="BX102" s="34">
        <v>127</v>
      </c>
      <c r="BY102" s="34">
        <v>0</v>
      </c>
      <c r="BZ102" s="34">
        <v>1</v>
      </c>
      <c r="CA102" s="34" t="s">
        <v>123</v>
      </c>
      <c r="CB102" s="34" t="s">
        <v>123</v>
      </c>
      <c r="CC102" s="34" t="s">
        <v>123</v>
      </c>
    </row>
    <row r="103" spans="1:81" x14ac:dyDescent="0.3">
      <c r="A103" s="34" t="s">
        <v>1549</v>
      </c>
      <c r="B103" s="34" t="s">
        <v>1114</v>
      </c>
      <c r="C103" s="34" t="s">
        <v>1342</v>
      </c>
      <c r="D103" s="34"/>
      <c r="E103" s="35">
        <v>45649</v>
      </c>
      <c r="F103" s="35">
        <v>46849</v>
      </c>
      <c r="G103" s="34"/>
      <c r="H103" s="34" t="s">
        <v>1325</v>
      </c>
      <c r="I103" s="34">
        <v>0</v>
      </c>
      <c r="J103" s="34">
        <v>300000000</v>
      </c>
      <c r="K103" s="34" t="s">
        <v>123</v>
      </c>
      <c r="L103" s="34" t="s">
        <v>123</v>
      </c>
      <c r="M103" s="34" t="s">
        <v>123</v>
      </c>
      <c r="N103" s="34" t="s">
        <v>123</v>
      </c>
      <c r="O103" s="34">
        <v>100.65</v>
      </c>
      <c r="P103" s="34">
        <v>1.25E-3</v>
      </c>
      <c r="Q103" s="34" t="s">
        <v>123</v>
      </c>
      <c r="R103" s="34" t="s">
        <v>123</v>
      </c>
      <c r="S103" s="34" t="s">
        <v>123</v>
      </c>
      <c r="T103" s="34" t="s">
        <v>123</v>
      </c>
      <c r="U103" s="34" t="s">
        <v>123</v>
      </c>
      <c r="V103" s="34" t="s">
        <v>123</v>
      </c>
      <c r="W103" s="34" t="s">
        <v>123</v>
      </c>
      <c r="X103" s="34" t="s">
        <v>123</v>
      </c>
      <c r="Y103" s="34" t="s">
        <v>123</v>
      </c>
      <c r="Z103" s="34">
        <v>0</v>
      </c>
      <c r="AA103" s="34" t="s">
        <v>123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1117</v>
      </c>
      <c r="AG103" s="34" t="s">
        <v>123</v>
      </c>
      <c r="AH103" s="34" t="s">
        <v>123</v>
      </c>
      <c r="AI103" s="34" t="s">
        <v>123</v>
      </c>
      <c r="AJ103" s="34" t="s">
        <v>123</v>
      </c>
      <c r="AK103" s="34" t="s">
        <v>123</v>
      </c>
      <c r="AL103" s="34" t="s">
        <v>123</v>
      </c>
      <c r="AM103" s="34" t="s">
        <v>123</v>
      </c>
      <c r="AN103" s="34" t="s">
        <v>123</v>
      </c>
      <c r="AO103" s="34" t="s">
        <v>123</v>
      </c>
      <c r="AP103" s="34">
        <v>0</v>
      </c>
      <c r="AQ103" s="34" t="s">
        <v>123</v>
      </c>
      <c r="AR103" s="34">
        <v>9.0424110000000002E-2</v>
      </c>
      <c r="AS103" s="34"/>
      <c r="AT103" s="34" t="s">
        <v>123</v>
      </c>
      <c r="AU103" s="34">
        <v>108</v>
      </c>
      <c r="AV103" s="34" t="s">
        <v>1550</v>
      </c>
      <c r="AW103" s="34">
        <v>0</v>
      </c>
      <c r="AX103" s="34">
        <v>1403</v>
      </c>
      <c r="AY103" s="34" t="s">
        <v>1333</v>
      </c>
      <c r="AZ103" s="35">
        <v>45755</v>
      </c>
      <c r="BA103" s="35">
        <v>45755</v>
      </c>
      <c r="BB103" s="34" t="s">
        <v>123</v>
      </c>
      <c r="BC103" s="34" t="s">
        <v>123</v>
      </c>
      <c r="BD103" s="34" t="s">
        <v>123</v>
      </c>
      <c r="BE103" s="34" t="s">
        <v>139</v>
      </c>
      <c r="BF103" s="34">
        <v>266</v>
      </c>
      <c r="BG103" s="34">
        <v>0</v>
      </c>
      <c r="BH103" s="34">
        <v>5.1341879999999999E-2</v>
      </c>
      <c r="BI103" s="34" t="s">
        <v>150</v>
      </c>
      <c r="BJ103" s="34" t="s">
        <v>1336</v>
      </c>
      <c r="BK103" s="34">
        <v>2025</v>
      </c>
      <c r="BL103" s="34" t="s">
        <v>1456</v>
      </c>
      <c r="BM103" s="34"/>
      <c r="BN103" s="34">
        <v>0</v>
      </c>
      <c r="BO103" s="34" t="s">
        <v>1330</v>
      </c>
      <c r="BP103" s="34">
        <v>8.9599999999999999E-2</v>
      </c>
      <c r="BQ103" s="34" t="s">
        <v>1326</v>
      </c>
      <c r="BR103" s="35">
        <v>45755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266</v>
      </c>
      <c r="BY103" s="34">
        <v>0</v>
      </c>
      <c r="BZ103" s="34">
        <v>1</v>
      </c>
      <c r="CA103" s="34" t="s">
        <v>123</v>
      </c>
      <c r="CB103" s="34" t="s">
        <v>123</v>
      </c>
      <c r="CC103" s="34" t="s">
        <v>123</v>
      </c>
    </row>
    <row r="104" spans="1:81" x14ac:dyDescent="0.3">
      <c r="A104" s="34" t="s">
        <v>1551</v>
      </c>
      <c r="B104" s="34" t="s">
        <v>963</v>
      </c>
      <c r="C104" s="34" t="s">
        <v>1343</v>
      </c>
      <c r="D104" s="34"/>
      <c r="E104" s="35">
        <v>45300</v>
      </c>
      <c r="F104" s="35">
        <v>46395</v>
      </c>
      <c r="G104" s="34"/>
      <c r="H104" s="34" t="s">
        <v>1325</v>
      </c>
      <c r="I104" s="34">
        <v>0</v>
      </c>
      <c r="J104" s="34">
        <v>400000000</v>
      </c>
      <c r="K104" s="34" t="s">
        <v>123</v>
      </c>
      <c r="L104" s="34" t="s">
        <v>123</v>
      </c>
      <c r="M104" s="34" t="s">
        <v>123</v>
      </c>
      <c r="N104" s="34" t="s">
        <v>123</v>
      </c>
      <c r="O104" s="34">
        <v>102.3</v>
      </c>
      <c r="P104" s="34">
        <v>9.8039000000000004E-4</v>
      </c>
      <c r="Q104" s="34" t="s">
        <v>123</v>
      </c>
      <c r="R104" s="34" t="s">
        <v>123</v>
      </c>
      <c r="S104" s="34" t="s">
        <v>123</v>
      </c>
      <c r="T104" s="34" t="s">
        <v>123</v>
      </c>
      <c r="U104" s="34" t="s">
        <v>123</v>
      </c>
      <c r="V104" s="34" t="s">
        <v>123</v>
      </c>
      <c r="W104" s="34" t="s">
        <v>123</v>
      </c>
      <c r="X104" s="34" t="s">
        <v>123</v>
      </c>
      <c r="Y104" s="34" t="s">
        <v>123</v>
      </c>
      <c r="Z104" s="34">
        <v>0</v>
      </c>
      <c r="AA104" s="34" t="s">
        <v>123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966</v>
      </c>
      <c r="AG104" s="34" t="s">
        <v>123</v>
      </c>
      <c r="AH104" s="34" t="s">
        <v>123</v>
      </c>
      <c r="AI104" s="34" t="s">
        <v>123</v>
      </c>
      <c r="AJ104" s="34" t="s">
        <v>123</v>
      </c>
      <c r="AK104" s="34" t="s">
        <v>123</v>
      </c>
      <c r="AL104" s="34" t="s">
        <v>123</v>
      </c>
      <c r="AM104" s="34" t="s">
        <v>123</v>
      </c>
      <c r="AN104" s="34" t="s">
        <v>123</v>
      </c>
      <c r="AO104" s="34" t="s">
        <v>123</v>
      </c>
      <c r="AP104" s="34">
        <v>0</v>
      </c>
      <c r="AQ104" s="34" t="s">
        <v>123</v>
      </c>
      <c r="AR104" s="34">
        <v>6.7969870000000002E-2</v>
      </c>
      <c r="AS104" s="34"/>
      <c r="AT104" s="34" t="s">
        <v>123</v>
      </c>
      <c r="AU104" s="34">
        <v>108</v>
      </c>
      <c r="AV104" s="34" t="s">
        <v>1552</v>
      </c>
      <c r="AW104" s="34">
        <v>0</v>
      </c>
      <c r="AX104" s="34">
        <v>1404</v>
      </c>
      <c r="AY104" s="34" t="s">
        <v>1333</v>
      </c>
      <c r="AZ104" s="35">
        <v>45756</v>
      </c>
      <c r="BA104" s="35">
        <v>45756</v>
      </c>
      <c r="BB104" s="34" t="s">
        <v>123</v>
      </c>
      <c r="BC104" s="34" t="s">
        <v>123</v>
      </c>
      <c r="BD104" s="34" t="s">
        <v>123</v>
      </c>
      <c r="BE104" s="34" t="s">
        <v>139</v>
      </c>
      <c r="BF104" s="34">
        <v>226</v>
      </c>
      <c r="BG104" s="34">
        <v>0</v>
      </c>
      <c r="BH104" s="34">
        <v>4.0195000000000002E-2</v>
      </c>
      <c r="BI104" s="34" t="s">
        <v>150</v>
      </c>
      <c r="BJ104" s="34" t="s">
        <v>1336</v>
      </c>
      <c r="BK104" s="34">
        <v>2025</v>
      </c>
      <c r="BL104" s="34" t="s">
        <v>1456</v>
      </c>
      <c r="BM104" s="34"/>
      <c r="BN104" s="34">
        <v>0</v>
      </c>
      <c r="BO104" s="34" t="s">
        <v>1330</v>
      </c>
      <c r="BP104" s="34">
        <v>7.85E-2</v>
      </c>
      <c r="BQ104" s="34" t="s">
        <v>1326</v>
      </c>
      <c r="BR104" s="35">
        <v>45756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226</v>
      </c>
      <c r="BY104" s="34">
        <v>0</v>
      </c>
      <c r="BZ104" s="34">
        <v>1</v>
      </c>
      <c r="CA104" s="34" t="s">
        <v>123</v>
      </c>
      <c r="CB104" s="34" t="s">
        <v>123</v>
      </c>
      <c r="CC104" s="34" t="s">
        <v>123</v>
      </c>
    </row>
    <row r="105" spans="1:81" x14ac:dyDescent="0.3">
      <c r="A105" s="34" t="s">
        <v>1459</v>
      </c>
      <c r="B105" s="34" t="s">
        <v>418</v>
      </c>
      <c r="C105" s="34" t="s">
        <v>1344</v>
      </c>
      <c r="D105" s="34"/>
      <c r="E105" s="35">
        <v>45016</v>
      </c>
      <c r="F105" s="35">
        <v>46484</v>
      </c>
      <c r="G105" s="34"/>
      <c r="H105" s="34" t="s">
        <v>1325</v>
      </c>
      <c r="I105" s="34">
        <v>0</v>
      </c>
      <c r="J105" s="34">
        <v>750000000</v>
      </c>
      <c r="K105" s="34" t="s">
        <v>123</v>
      </c>
      <c r="L105" s="34" t="s">
        <v>123</v>
      </c>
      <c r="M105" s="34" t="s">
        <v>123</v>
      </c>
      <c r="N105" s="34" t="s">
        <v>123</v>
      </c>
      <c r="O105" s="34">
        <v>102.6</v>
      </c>
      <c r="P105" s="34">
        <v>2.5000000000000001E-3</v>
      </c>
      <c r="Q105" s="34" t="s">
        <v>123</v>
      </c>
      <c r="R105" s="34" t="s">
        <v>123</v>
      </c>
      <c r="S105" s="34" t="s">
        <v>123</v>
      </c>
      <c r="T105" s="34" t="s">
        <v>123</v>
      </c>
      <c r="U105" s="34" t="s">
        <v>123</v>
      </c>
      <c r="V105" s="34" t="s">
        <v>123</v>
      </c>
      <c r="W105" s="34" t="s">
        <v>123</v>
      </c>
      <c r="X105" s="34" t="s">
        <v>123</v>
      </c>
      <c r="Y105" s="34" t="s">
        <v>123</v>
      </c>
      <c r="Z105" s="34">
        <v>0</v>
      </c>
      <c r="AA105" s="34" t="s">
        <v>123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419</v>
      </c>
      <c r="AG105" s="34" t="s">
        <v>123</v>
      </c>
      <c r="AH105" s="34" t="s">
        <v>123</v>
      </c>
      <c r="AI105" s="34" t="s">
        <v>123</v>
      </c>
      <c r="AJ105" s="34" t="s">
        <v>123</v>
      </c>
      <c r="AK105" s="34" t="s">
        <v>123</v>
      </c>
      <c r="AL105" s="34" t="s">
        <v>123</v>
      </c>
      <c r="AM105" s="34" t="s">
        <v>123</v>
      </c>
      <c r="AN105" s="34" t="s">
        <v>123</v>
      </c>
      <c r="AO105" s="34" t="s">
        <v>123</v>
      </c>
      <c r="AP105" s="34">
        <v>0</v>
      </c>
      <c r="AQ105" s="34" t="s">
        <v>123</v>
      </c>
      <c r="AR105" s="34">
        <v>8.2214540000000003E-2</v>
      </c>
      <c r="AS105" s="34"/>
      <c r="AT105" s="34" t="s">
        <v>123</v>
      </c>
      <c r="AU105" s="34">
        <v>108</v>
      </c>
      <c r="AV105" s="34" t="s">
        <v>1460</v>
      </c>
      <c r="AW105" s="34">
        <v>0</v>
      </c>
      <c r="AX105" s="34">
        <v>1405</v>
      </c>
      <c r="AY105" s="34" t="s">
        <v>1333</v>
      </c>
      <c r="AZ105" s="35">
        <v>45756</v>
      </c>
      <c r="BA105" s="35">
        <v>45756</v>
      </c>
      <c r="BB105" s="34" t="s">
        <v>123</v>
      </c>
      <c r="BC105" s="34" t="s">
        <v>123</v>
      </c>
      <c r="BD105" s="34" t="s">
        <v>123</v>
      </c>
      <c r="BE105" s="34" t="s">
        <v>139</v>
      </c>
      <c r="BF105" s="34">
        <v>65</v>
      </c>
      <c r="BG105" s="34">
        <v>0</v>
      </c>
      <c r="BH105" s="34">
        <v>5.4591849999999997E-2</v>
      </c>
      <c r="BI105" s="34" t="s">
        <v>133</v>
      </c>
      <c r="BJ105" s="34" t="s">
        <v>1336</v>
      </c>
      <c r="BK105" s="34">
        <v>2025</v>
      </c>
      <c r="BL105" s="34" t="s">
        <v>1456</v>
      </c>
      <c r="BM105" s="34"/>
      <c r="BN105" s="34">
        <v>0</v>
      </c>
      <c r="BO105" s="34" t="s">
        <v>1330</v>
      </c>
      <c r="BP105" s="34">
        <v>9.2999999999999999E-2</v>
      </c>
      <c r="BQ105" s="34" t="s">
        <v>1326</v>
      </c>
      <c r="BR105" s="35">
        <v>45756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65</v>
      </c>
      <c r="BY105" s="34">
        <v>0</v>
      </c>
      <c r="BZ105" s="34">
        <v>1</v>
      </c>
      <c r="CA105" s="34" t="s">
        <v>123</v>
      </c>
      <c r="CB105" s="34" t="s">
        <v>123</v>
      </c>
      <c r="CC105" s="34" t="s">
        <v>123</v>
      </c>
    </row>
    <row r="106" spans="1:81" x14ac:dyDescent="0.3">
      <c r="A106" s="34" t="s">
        <v>1461</v>
      </c>
      <c r="B106" s="34" t="s">
        <v>895</v>
      </c>
      <c r="C106" s="34" t="s">
        <v>1345</v>
      </c>
      <c r="D106" s="34"/>
      <c r="E106" s="35">
        <v>45630</v>
      </c>
      <c r="F106" s="35">
        <v>46762</v>
      </c>
      <c r="G106" s="34"/>
      <c r="H106" s="34" t="s">
        <v>1325</v>
      </c>
      <c r="I106" s="34">
        <v>0</v>
      </c>
      <c r="J106" s="34">
        <v>100000000</v>
      </c>
      <c r="K106" s="34" t="s">
        <v>123</v>
      </c>
      <c r="L106" s="34" t="s">
        <v>123</v>
      </c>
      <c r="M106" s="34" t="s">
        <v>123</v>
      </c>
      <c r="N106" s="34" t="s">
        <v>123</v>
      </c>
      <c r="O106" s="34">
        <v>101.6</v>
      </c>
      <c r="P106" s="34">
        <v>2.5000000000000001E-3</v>
      </c>
      <c r="Q106" s="34" t="s">
        <v>123</v>
      </c>
      <c r="R106" s="34" t="s">
        <v>123</v>
      </c>
      <c r="S106" s="34" t="s">
        <v>123</v>
      </c>
      <c r="T106" s="34" t="s">
        <v>123</v>
      </c>
      <c r="U106" s="34" t="s">
        <v>123</v>
      </c>
      <c r="V106" s="34" t="s">
        <v>123</v>
      </c>
      <c r="W106" s="34" t="s">
        <v>123</v>
      </c>
      <c r="X106" s="34" t="s">
        <v>123</v>
      </c>
      <c r="Y106" s="34" t="s">
        <v>123</v>
      </c>
      <c r="Z106" s="34">
        <v>0</v>
      </c>
      <c r="AA106" s="34" t="s">
        <v>123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1346</v>
      </c>
      <c r="AG106" s="34" t="s">
        <v>123</v>
      </c>
      <c r="AH106" s="34" t="s">
        <v>123</v>
      </c>
      <c r="AI106" s="34" t="s">
        <v>123</v>
      </c>
      <c r="AJ106" s="34" t="s">
        <v>123</v>
      </c>
      <c r="AK106" s="34" t="s">
        <v>123</v>
      </c>
      <c r="AL106" s="34" t="s">
        <v>123</v>
      </c>
      <c r="AM106" s="34" t="s">
        <v>123</v>
      </c>
      <c r="AN106" s="34" t="s">
        <v>123</v>
      </c>
      <c r="AO106" s="34" t="s">
        <v>123</v>
      </c>
      <c r="AP106" s="34">
        <v>0</v>
      </c>
      <c r="AQ106" s="34" t="s">
        <v>123</v>
      </c>
      <c r="AR106" s="34">
        <v>6.9968119999999995E-2</v>
      </c>
      <c r="AS106" s="34"/>
      <c r="AT106" s="34" t="s">
        <v>123</v>
      </c>
      <c r="AU106" s="34">
        <v>108</v>
      </c>
      <c r="AV106" s="34" t="s">
        <v>1462</v>
      </c>
      <c r="AW106" s="34">
        <v>0</v>
      </c>
      <c r="AX106" s="34">
        <v>1406</v>
      </c>
      <c r="AY106" s="34" t="s">
        <v>1333</v>
      </c>
      <c r="AZ106" s="35">
        <v>45756</v>
      </c>
      <c r="BA106" s="35">
        <v>45756</v>
      </c>
      <c r="BB106" s="34" t="s">
        <v>123</v>
      </c>
      <c r="BC106" s="34" t="s">
        <v>123</v>
      </c>
      <c r="BD106" s="34" t="s">
        <v>123</v>
      </c>
      <c r="BE106" s="34" t="s">
        <v>1347</v>
      </c>
      <c r="BF106" s="34">
        <v>208</v>
      </c>
      <c r="BG106" s="34">
        <v>0</v>
      </c>
      <c r="BH106" s="34">
        <v>3.4997439999999998E-2</v>
      </c>
      <c r="BI106" s="34" t="s">
        <v>150</v>
      </c>
      <c r="BJ106" s="34" t="s">
        <v>1336</v>
      </c>
      <c r="BK106" s="34"/>
      <c r="BL106" s="34" t="s">
        <v>1456</v>
      </c>
      <c r="BM106" s="34"/>
      <c r="BN106" s="34">
        <v>0</v>
      </c>
      <c r="BO106" s="34" t="s">
        <v>1330</v>
      </c>
      <c r="BP106" s="34">
        <v>7.3099999999999998E-2</v>
      </c>
      <c r="BQ106" s="34" t="s">
        <v>1326</v>
      </c>
      <c r="BR106" s="35">
        <v>45756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208</v>
      </c>
      <c r="BY106" s="34">
        <v>0</v>
      </c>
      <c r="BZ106" s="34">
        <v>1</v>
      </c>
      <c r="CA106" s="34" t="s">
        <v>123</v>
      </c>
      <c r="CB106" s="34" t="s">
        <v>123</v>
      </c>
      <c r="CC106" s="34" t="s">
        <v>123</v>
      </c>
    </row>
    <row r="107" spans="1:81" x14ac:dyDescent="0.3">
      <c r="A107" s="34" t="s">
        <v>1463</v>
      </c>
      <c r="B107" s="34" t="s">
        <v>373</v>
      </c>
      <c r="C107" s="34" t="s">
        <v>1348</v>
      </c>
      <c r="D107" s="34"/>
      <c r="E107" s="35">
        <v>45715</v>
      </c>
      <c r="F107" s="35">
        <v>46575</v>
      </c>
      <c r="G107" s="34"/>
      <c r="H107" s="34" t="s">
        <v>1325</v>
      </c>
      <c r="I107" s="34">
        <v>200000000</v>
      </c>
      <c r="J107" s="34">
        <v>200000000</v>
      </c>
      <c r="K107" s="34" t="s">
        <v>123</v>
      </c>
      <c r="L107" s="34" t="s">
        <v>123</v>
      </c>
      <c r="M107" s="34" t="s">
        <v>123</v>
      </c>
      <c r="N107" s="34" t="s">
        <v>123</v>
      </c>
      <c r="O107" s="34">
        <v>100.1</v>
      </c>
      <c r="P107" s="34">
        <v>1.6666700000000001E-3</v>
      </c>
      <c r="Q107" s="34" t="s">
        <v>123</v>
      </c>
      <c r="R107" s="34" t="s">
        <v>123</v>
      </c>
      <c r="S107" s="34" t="s">
        <v>123</v>
      </c>
      <c r="T107" s="34" t="s">
        <v>123</v>
      </c>
      <c r="U107" s="34" t="s">
        <v>123</v>
      </c>
      <c r="V107" s="34" t="s">
        <v>123</v>
      </c>
      <c r="W107" s="34" t="s">
        <v>123</v>
      </c>
      <c r="X107" s="34" t="s">
        <v>123</v>
      </c>
      <c r="Y107" s="34" t="s">
        <v>123</v>
      </c>
      <c r="Z107" s="34">
        <v>0</v>
      </c>
      <c r="AA107" s="34" t="s">
        <v>123</v>
      </c>
      <c r="AB107" s="34">
        <v>0</v>
      </c>
      <c r="AC107" s="34">
        <v>1</v>
      </c>
      <c r="AD107" s="34" t="s">
        <v>123</v>
      </c>
      <c r="AE107" s="34" t="s">
        <v>123</v>
      </c>
      <c r="AF107" s="34" t="s">
        <v>375</v>
      </c>
      <c r="AG107" s="34" t="s">
        <v>123</v>
      </c>
      <c r="AH107" s="34" t="s">
        <v>123</v>
      </c>
      <c r="AI107" s="34" t="s">
        <v>123</v>
      </c>
      <c r="AJ107" s="34" t="s">
        <v>123</v>
      </c>
      <c r="AK107" s="34" t="s">
        <v>123</v>
      </c>
      <c r="AL107" s="34" t="s">
        <v>123</v>
      </c>
      <c r="AM107" s="34" t="s">
        <v>123</v>
      </c>
      <c r="AN107" s="34" t="s">
        <v>123</v>
      </c>
      <c r="AO107" s="34" t="s">
        <v>123</v>
      </c>
      <c r="AP107" s="34">
        <v>0</v>
      </c>
      <c r="AQ107" s="34" t="s">
        <v>123</v>
      </c>
      <c r="AR107" s="34">
        <v>0.13305328999999999</v>
      </c>
      <c r="AS107" s="34"/>
      <c r="AT107" s="34" t="s">
        <v>123</v>
      </c>
      <c r="AU107" s="34">
        <v>108</v>
      </c>
      <c r="AV107" s="34" t="s">
        <v>1464</v>
      </c>
      <c r="AW107" s="34">
        <v>0</v>
      </c>
      <c r="AX107" s="34">
        <v>1407</v>
      </c>
      <c r="AY107" s="34" t="s">
        <v>1350</v>
      </c>
      <c r="AZ107" s="35">
        <v>45758</v>
      </c>
      <c r="BA107" s="35">
        <v>45758</v>
      </c>
      <c r="BB107" s="34" t="s">
        <v>123</v>
      </c>
      <c r="BC107" s="34" t="s">
        <v>123</v>
      </c>
      <c r="BD107" s="34" t="s">
        <v>123</v>
      </c>
      <c r="BE107" s="34" t="s">
        <v>139</v>
      </c>
      <c r="BF107" s="34">
        <v>58</v>
      </c>
      <c r="BG107" s="34">
        <v>0</v>
      </c>
      <c r="BH107" s="34">
        <v>9.4942250000000006E-2</v>
      </c>
      <c r="BI107" s="34" t="s">
        <v>159</v>
      </c>
      <c r="BJ107" s="34" t="s">
        <v>1349</v>
      </c>
      <c r="BK107" s="34"/>
      <c r="BL107" s="34" t="s">
        <v>1456</v>
      </c>
      <c r="BM107" s="34"/>
      <c r="BN107" s="34">
        <v>0</v>
      </c>
      <c r="BO107" s="34" t="s">
        <v>1330</v>
      </c>
      <c r="BP107" s="34">
        <v>0.13366479000000001</v>
      </c>
      <c r="BQ107" s="34" t="s">
        <v>1326</v>
      </c>
      <c r="BR107" s="35">
        <v>45758</v>
      </c>
      <c r="BS107" s="34">
        <v>0</v>
      </c>
      <c r="BT107" s="34" t="s">
        <v>123</v>
      </c>
      <c r="BU107" s="34">
        <v>0</v>
      </c>
      <c r="BV107" s="34">
        <v>250000</v>
      </c>
      <c r="BW107" s="34">
        <v>0</v>
      </c>
      <c r="BX107" s="34">
        <v>58</v>
      </c>
      <c r="BY107" s="34">
        <v>0</v>
      </c>
      <c r="BZ107" s="34">
        <v>1</v>
      </c>
      <c r="CA107" s="34" t="s">
        <v>123</v>
      </c>
      <c r="CB107" s="34" t="s">
        <v>123</v>
      </c>
      <c r="CC107" s="34" t="s">
        <v>123</v>
      </c>
    </row>
    <row r="108" spans="1:81" x14ac:dyDescent="0.3">
      <c r="A108" s="34" t="s">
        <v>1553</v>
      </c>
      <c r="B108" s="34" t="s">
        <v>695</v>
      </c>
      <c r="C108" s="34" t="s">
        <v>1351</v>
      </c>
      <c r="D108" s="34"/>
      <c r="E108" s="35">
        <v>45391</v>
      </c>
      <c r="F108" s="35">
        <v>46545</v>
      </c>
      <c r="G108" s="34"/>
      <c r="H108" s="34" t="s">
        <v>1325</v>
      </c>
      <c r="I108" s="34">
        <v>0</v>
      </c>
      <c r="J108" s="34">
        <v>300000000</v>
      </c>
      <c r="K108" s="34" t="s">
        <v>123</v>
      </c>
      <c r="L108" s="34" t="s">
        <v>123</v>
      </c>
      <c r="M108" s="34" t="s">
        <v>123</v>
      </c>
      <c r="N108" s="34" t="s">
        <v>123</v>
      </c>
      <c r="O108" s="34">
        <v>102.6</v>
      </c>
      <c r="P108" s="34">
        <v>1.1904800000000001E-3</v>
      </c>
      <c r="Q108" s="34" t="s">
        <v>123</v>
      </c>
      <c r="R108" s="34" t="s">
        <v>123</v>
      </c>
      <c r="S108" s="34" t="s">
        <v>123</v>
      </c>
      <c r="T108" s="34" t="s">
        <v>123</v>
      </c>
      <c r="U108" s="34" t="s">
        <v>123</v>
      </c>
      <c r="V108" s="34" t="s">
        <v>123</v>
      </c>
      <c r="W108" s="34" t="s">
        <v>123</v>
      </c>
      <c r="X108" s="34" t="s">
        <v>123</v>
      </c>
      <c r="Y108" s="34" t="s">
        <v>123</v>
      </c>
      <c r="Z108" s="34">
        <v>0</v>
      </c>
      <c r="AA108" s="34" t="s">
        <v>123</v>
      </c>
      <c r="AB108" s="34">
        <v>0</v>
      </c>
      <c r="AC108" s="34">
        <v>1</v>
      </c>
      <c r="AD108" s="34" t="s">
        <v>123</v>
      </c>
      <c r="AE108" s="34" t="s">
        <v>123</v>
      </c>
      <c r="AF108" s="34" t="s">
        <v>697</v>
      </c>
      <c r="AG108" s="34" t="s">
        <v>123</v>
      </c>
      <c r="AH108" s="34" t="s">
        <v>123</v>
      </c>
      <c r="AI108" s="34" t="s">
        <v>123</v>
      </c>
      <c r="AJ108" s="34" t="s">
        <v>123</v>
      </c>
      <c r="AK108" s="34" t="s">
        <v>123</v>
      </c>
      <c r="AL108" s="34" t="s">
        <v>123</v>
      </c>
      <c r="AM108" s="34" t="s">
        <v>123</v>
      </c>
      <c r="AN108" s="34" t="s">
        <v>123</v>
      </c>
      <c r="AO108" s="34" t="s">
        <v>123</v>
      </c>
      <c r="AP108" s="34">
        <v>0</v>
      </c>
      <c r="AQ108" s="34" t="s">
        <v>123</v>
      </c>
      <c r="AR108" s="34">
        <v>0.11921872999999999</v>
      </c>
      <c r="AS108" s="34"/>
      <c r="AT108" s="34" t="s">
        <v>123</v>
      </c>
      <c r="AU108" s="34">
        <v>108</v>
      </c>
      <c r="AV108" s="34" t="s">
        <v>1554</v>
      </c>
      <c r="AW108" s="34">
        <v>0</v>
      </c>
      <c r="AX108" s="34">
        <v>1408</v>
      </c>
      <c r="AY108" s="34" t="s">
        <v>1333</v>
      </c>
      <c r="AZ108" s="35">
        <v>45761</v>
      </c>
      <c r="BA108" s="35">
        <v>45761</v>
      </c>
      <c r="BB108" s="34" t="s">
        <v>123</v>
      </c>
      <c r="BC108" s="34" t="s">
        <v>123</v>
      </c>
      <c r="BD108" s="34" t="s">
        <v>123</v>
      </c>
      <c r="BE108" s="34" t="s">
        <v>139</v>
      </c>
      <c r="BF108" s="34">
        <v>146</v>
      </c>
      <c r="BG108" s="34">
        <v>0</v>
      </c>
      <c r="BH108" s="34">
        <v>9.1247229999999999E-2</v>
      </c>
      <c r="BI108" s="34" t="s">
        <v>150</v>
      </c>
      <c r="BJ108" s="34" t="s">
        <v>1336</v>
      </c>
      <c r="BK108" s="34">
        <v>2025</v>
      </c>
      <c r="BL108" s="34" t="s">
        <v>1456</v>
      </c>
      <c r="BM108" s="34"/>
      <c r="BN108" s="34">
        <v>0</v>
      </c>
      <c r="BO108" s="34" t="s">
        <v>1330</v>
      </c>
      <c r="BP108" s="34">
        <v>0.12966</v>
      </c>
      <c r="BQ108" s="34" t="s">
        <v>1326</v>
      </c>
      <c r="BR108" s="35">
        <v>45761</v>
      </c>
      <c r="BS108" s="34">
        <v>0</v>
      </c>
      <c r="BT108" s="34" t="s">
        <v>123</v>
      </c>
      <c r="BU108" s="34">
        <v>0</v>
      </c>
      <c r="BV108" s="34">
        <v>250000</v>
      </c>
      <c r="BW108" s="34">
        <v>0</v>
      </c>
      <c r="BX108" s="34">
        <v>146</v>
      </c>
      <c r="BY108" s="34">
        <v>0</v>
      </c>
      <c r="BZ108" s="34">
        <v>1</v>
      </c>
      <c r="CA108" s="34" t="s">
        <v>123</v>
      </c>
      <c r="CB108" s="34" t="s">
        <v>123</v>
      </c>
      <c r="CC108" s="34" t="s">
        <v>123</v>
      </c>
    </row>
    <row r="109" spans="1:81" x14ac:dyDescent="0.3">
      <c r="A109" s="34" t="s">
        <v>1465</v>
      </c>
      <c r="B109" s="34" t="s">
        <v>538</v>
      </c>
      <c r="C109" s="34" t="s">
        <v>1352</v>
      </c>
      <c r="D109" s="34"/>
      <c r="E109" s="35">
        <v>45379</v>
      </c>
      <c r="F109" s="35">
        <v>46484</v>
      </c>
      <c r="G109" s="34"/>
      <c r="H109" s="34" t="s">
        <v>1325</v>
      </c>
      <c r="I109" s="34">
        <v>0</v>
      </c>
      <c r="J109" s="34">
        <v>250000000</v>
      </c>
      <c r="K109" s="34" t="s">
        <v>123</v>
      </c>
      <c r="L109" s="34" t="s">
        <v>123</v>
      </c>
      <c r="M109" s="34" t="s">
        <v>123</v>
      </c>
      <c r="N109" s="34" t="s">
        <v>123</v>
      </c>
      <c r="O109" s="34">
        <v>103.85</v>
      </c>
      <c r="P109" s="34">
        <v>2.5000000000000001E-3</v>
      </c>
      <c r="Q109" s="34" t="s">
        <v>123</v>
      </c>
      <c r="R109" s="34" t="s">
        <v>123</v>
      </c>
      <c r="S109" s="34" t="s">
        <v>123</v>
      </c>
      <c r="T109" s="34" t="s">
        <v>123</v>
      </c>
      <c r="U109" s="34" t="s">
        <v>123</v>
      </c>
      <c r="V109" s="34" t="s">
        <v>123</v>
      </c>
      <c r="W109" s="34" t="s">
        <v>123</v>
      </c>
      <c r="X109" s="34" t="s">
        <v>123</v>
      </c>
      <c r="Y109" s="34" t="s">
        <v>123</v>
      </c>
      <c r="Z109" s="34">
        <v>0</v>
      </c>
      <c r="AA109" s="34" t="s">
        <v>123</v>
      </c>
      <c r="AB109" s="34">
        <v>0</v>
      </c>
      <c r="AC109" s="34">
        <v>1</v>
      </c>
      <c r="AD109" s="34" t="s">
        <v>123</v>
      </c>
      <c r="AE109" s="34" t="s">
        <v>123</v>
      </c>
      <c r="AF109" s="34" t="s">
        <v>541</v>
      </c>
      <c r="AG109" s="34" t="s">
        <v>123</v>
      </c>
      <c r="AH109" s="34" t="s">
        <v>123</v>
      </c>
      <c r="AI109" s="34" t="s">
        <v>123</v>
      </c>
      <c r="AJ109" s="34" t="s">
        <v>123</v>
      </c>
      <c r="AK109" s="34" t="s">
        <v>123</v>
      </c>
      <c r="AL109" s="34" t="s">
        <v>123</v>
      </c>
      <c r="AM109" s="34" t="s">
        <v>123</v>
      </c>
      <c r="AN109" s="34" t="s">
        <v>123</v>
      </c>
      <c r="AO109" s="34" t="s">
        <v>123</v>
      </c>
      <c r="AP109" s="34">
        <v>0</v>
      </c>
      <c r="AQ109" s="34" t="s">
        <v>123</v>
      </c>
      <c r="AR109" s="34">
        <v>7.5250440000000002E-2</v>
      </c>
      <c r="AS109" s="34"/>
      <c r="AT109" s="34" t="s">
        <v>123</v>
      </c>
      <c r="AU109" s="34">
        <v>108</v>
      </c>
      <c r="AV109" s="34" t="s">
        <v>1466</v>
      </c>
      <c r="AW109" s="34">
        <v>0</v>
      </c>
      <c r="AX109" s="34">
        <v>1409</v>
      </c>
      <c r="AY109" s="34" t="s">
        <v>1333</v>
      </c>
      <c r="AZ109" s="35">
        <v>45763</v>
      </c>
      <c r="BA109" s="35">
        <v>45763</v>
      </c>
      <c r="BB109" s="34" t="s">
        <v>123</v>
      </c>
      <c r="BC109" s="34" t="s">
        <v>123</v>
      </c>
      <c r="BD109" s="34" t="s">
        <v>123</v>
      </c>
      <c r="BE109" s="34" t="s">
        <v>139</v>
      </c>
      <c r="BF109" s="34">
        <v>104</v>
      </c>
      <c r="BG109" s="34">
        <v>0</v>
      </c>
      <c r="BH109" s="34">
        <v>5.4388600000000002E-2</v>
      </c>
      <c r="BI109" s="34" t="s">
        <v>150</v>
      </c>
      <c r="BJ109" s="34" t="s">
        <v>1336</v>
      </c>
      <c r="BK109" s="34">
        <v>2025</v>
      </c>
      <c r="BL109" s="34" t="s">
        <v>1456</v>
      </c>
      <c r="BM109" s="34"/>
      <c r="BN109" s="34">
        <v>0</v>
      </c>
      <c r="BO109" s="34" t="s">
        <v>1330</v>
      </c>
      <c r="BP109" s="34">
        <v>9.3007140000000002E-2</v>
      </c>
      <c r="BQ109" s="34" t="s">
        <v>1326</v>
      </c>
      <c r="BR109" s="35">
        <v>45763</v>
      </c>
      <c r="BS109" s="34">
        <v>0</v>
      </c>
      <c r="BT109" s="34" t="s">
        <v>123</v>
      </c>
      <c r="BU109" s="34">
        <v>0</v>
      </c>
      <c r="BV109" s="34">
        <v>250000</v>
      </c>
      <c r="BW109" s="34">
        <v>0</v>
      </c>
      <c r="BX109" s="34">
        <v>104</v>
      </c>
      <c r="BY109" s="34">
        <v>0</v>
      </c>
      <c r="BZ109" s="34">
        <v>1</v>
      </c>
      <c r="CA109" s="34" t="s">
        <v>123</v>
      </c>
      <c r="CB109" s="34" t="s">
        <v>123</v>
      </c>
      <c r="CC109" s="34" t="s">
        <v>123</v>
      </c>
    </row>
    <row r="110" spans="1:81" x14ac:dyDescent="0.3">
      <c r="A110" s="34" t="s">
        <v>1467</v>
      </c>
      <c r="B110" s="34" t="s">
        <v>1000</v>
      </c>
      <c r="C110" s="34" t="s">
        <v>1353</v>
      </c>
      <c r="D110" s="34"/>
      <c r="E110" s="35">
        <v>45104</v>
      </c>
      <c r="F110" s="35">
        <v>46332</v>
      </c>
      <c r="G110" s="34"/>
      <c r="H110" s="34" t="s">
        <v>1325</v>
      </c>
      <c r="I110" s="34">
        <v>0</v>
      </c>
      <c r="J110" s="34">
        <v>150000000</v>
      </c>
      <c r="K110" s="34" t="s">
        <v>123</v>
      </c>
      <c r="L110" s="34" t="s">
        <v>123</v>
      </c>
      <c r="M110" s="34" t="s">
        <v>123</v>
      </c>
      <c r="N110" s="34" t="s">
        <v>123</v>
      </c>
      <c r="O110" s="34">
        <v>102.4</v>
      </c>
      <c r="P110" s="34">
        <v>1.6666700000000001E-3</v>
      </c>
      <c r="Q110" s="34" t="s">
        <v>123</v>
      </c>
      <c r="R110" s="34" t="s">
        <v>123</v>
      </c>
      <c r="S110" s="34" t="s">
        <v>123</v>
      </c>
      <c r="T110" s="34" t="s">
        <v>123</v>
      </c>
      <c r="U110" s="34" t="s">
        <v>123</v>
      </c>
      <c r="V110" s="34" t="s">
        <v>123</v>
      </c>
      <c r="W110" s="34" t="s">
        <v>123</v>
      </c>
      <c r="X110" s="34" t="s">
        <v>123</v>
      </c>
      <c r="Y110" s="34" t="s">
        <v>123</v>
      </c>
      <c r="Z110" s="34">
        <v>0</v>
      </c>
      <c r="AA110" s="34" t="s">
        <v>123</v>
      </c>
      <c r="AB110" s="34">
        <v>0</v>
      </c>
      <c r="AC110" s="34">
        <v>1</v>
      </c>
      <c r="AD110" s="34" t="s">
        <v>123</v>
      </c>
      <c r="AE110" s="34" t="s">
        <v>123</v>
      </c>
      <c r="AF110" s="34" t="s">
        <v>1003</v>
      </c>
      <c r="AG110" s="34" t="s">
        <v>123</v>
      </c>
      <c r="AH110" s="34" t="s">
        <v>123</v>
      </c>
      <c r="AI110" s="34" t="s">
        <v>123</v>
      </c>
      <c r="AJ110" s="34" t="s">
        <v>123</v>
      </c>
      <c r="AK110" s="34" t="s">
        <v>123</v>
      </c>
      <c r="AL110" s="34" t="s">
        <v>123</v>
      </c>
      <c r="AM110" s="34" t="s">
        <v>123</v>
      </c>
      <c r="AN110" s="34" t="s">
        <v>123</v>
      </c>
      <c r="AO110" s="34" t="s">
        <v>123</v>
      </c>
      <c r="AP110" s="34">
        <v>0</v>
      </c>
      <c r="AQ110" s="34" t="s">
        <v>123</v>
      </c>
      <c r="AR110" s="34">
        <v>6.8990380000000004E-2</v>
      </c>
      <c r="AS110" s="34"/>
      <c r="AT110" s="34" t="s">
        <v>123</v>
      </c>
      <c r="AU110" s="34">
        <v>108</v>
      </c>
      <c r="AV110" s="34" t="s">
        <v>1468</v>
      </c>
      <c r="AW110" s="34">
        <v>0</v>
      </c>
      <c r="AX110" s="34">
        <v>1410</v>
      </c>
      <c r="AY110" s="34" t="s">
        <v>1333</v>
      </c>
      <c r="AZ110" s="35">
        <v>45763</v>
      </c>
      <c r="BA110" s="35">
        <v>45763</v>
      </c>
      <c r="BB110" s="34" t="s">
        <v>123</v>
      </c>
      <c r="BC110" s="34" t="s">
        <v>123</v>
      </c>
      <c r="BD110" s="34" t="s">
        <v>123</v>
      </c>
      <c r="BE110" s="34" t="s">
        <v>1347</v>
      </c>
      <c r="BF110" s="34">
        <v>236</v>
      </c>
      <c r="BG110" s="34">
        <v>0</v>
      </c>
      <c r="BH110" s="34">
        <v>4.3428769999999998E-2</v>
      </c>
      <c r="BI110" s="34" t="s">
        <v>133</v>
      </c>
      <c r="BJ110" s="34" t="s">
        <v>1336</v>
      </c>
      <c r="BK110" s="34"/>
      <c r="BL110" s="34" t="s">
        <v>1456</v>
      </c>
      <c r="BM110" s="34"/>
      <c r="BN110" s="34">
        <v>0</v>
      </c>
      <c r="BO110" s="34" t="s">
        <v>1330</v>
      </c>
      <c r="BP110" s="34">
        <v>8.1708199999999995E-2</v>
      </c>
      <c r="BQ110" s="34" t="s">
        <v>1326</v>
      </c>
      <c r="BR110" s="35">
        <v>45763</v>
      </c>
      <c r="BS110" s="34">
        <v>0</v>
      </c>
      <c r="BT110" s="34" t="s">
        <v>123</v>
      </c>
      <c r="BU110" s="34">
        <v>0</v>
      </c>
      <c r="BV110" s="34">
        <v>250000</v>
      </c>
      <c r="BW110" s="34">
        <v>0</v>
      </c>
      <c r="BX110" s="34">
        <v>236</v>
      </c>
      <c r="BY110" s="34">
        <v>0</v>
      </c>
      <c r="BZ110" s="34">
        <v>1</v>
      </c>
      <c r="CA110" s="34" t="s">
        <v>123</v>
      </c>
      <c r="CB110" s="34" t="s">
        <v>123</v>
      </c>
      <c r="CC110" s="34" t="s">
        <v>123</v>
      </c>
    </row>
    <row r="111" spans="1:81" x14ac:dyDescent="0.3">
      <c r="A111" s="34" t="s">
        <v>1469</v>
      </c>
      <c r="B111" s="34" t="s">
        <v>1061</v>
      </c>
      <c r="C111" s="34" t="s">
        <v>1354</v>
      </c>
      <c r="D111" s="34"/>
      <c r="E111" s="35">
        <v>45287</v>
      </c>
      <c r="F111" s="35">
        <v>46395</v>
      </c>
      <c r="G111" s="34"/>
      <c r="H111" s="34" t="s">
        <v>1325</v>
      </c>
      <c r="I111" s="34">
        <v>0</v>
      </c>
      <c r="J111" s="34">
        <v>301000000</v>
      </c>
      <c r="K111" s="34" t="s">
        <v>123</v>
      </c>
      <c r="L111" s="34" t="s">
        <v>123</v>
      </c>
      <c r="M111" s="34" t="s">
        <v>123</v>
      </c>
      <c r="N111" s="34" t="s">
        <v>123</v>
      </c>
      <c r="O111" s="34">
        <v>103.1</v>
      </c>
      <c r="P111" s="34">
        <v>1.25E-3</v>
      </c>
      <c r="Q111" s="34" t="s">
        <v>123</v>
      </c>
      <c r="R111" s="34" t="s">
        <v>123</v>
      </c>
      <c r="S111" s="34" t="s">
        <v>123</v>
      </c>
      <c r="T111" s="34" t="s">
        <v>123</v>
      </c>
      <c r="U111" s="34" t="s">
        <v>123</v>
      </c>
      <c r="V111" s="34" t="s">
        <v>123</v>
      </c>
      <c r="W111" s="34" t="s">
        <v>123</v>
      </c>
      <c r="X111" s="34" t="s">
        <v>123</v>
      </c>
      <c r="Y111" s="34" t="s">
        <v>123</v>
      </c>
      <c r="Z111" s="34">
        <v>0</v>
      </c>
      <c r="AA111" s="34" t="s">
        <v>123</v>
      </c>
      <c r="AB111" s="34">
        <v>0</v>
      </c>
      <c r="AC111" s="34">
        <v>1</v>
      </c>
      <c r="AD111" s="34" t="s">
        <v>123</v>
      </c>
      <c r="AE111" s="34" t="s">
        <v>123</v>
      </c>
      <c r="AF111" s="34" t="s">
        <v>1355</v>
      </c>
      <c r="AG111" s="34" t="s">
        <v>123</v>
      </c>
      <c r="AH111" s="34" t="s">
        <v>123</v>
      </c>
      <c r="AI111" s="34" t="s">
        <v>123</v>
      </c>
      <c r="AJ111" s="34" t="s">
        <v>123</v>
      </c>
      <c r="AK111" s="34" t="s">
        <v>123</v>
      </c>
      <c r="AL111" s="34" t="s">
        <v>123</v>
      </c>
      <c r="AM111" s="34" t="s">
        <v>123</v>
      </c>
      <c r="AN111" s="34" t="s">
        <v>123</v>
      </c>
      <c r="AO111" s="34" t="s">
        <v>123</v>
      </c>
      <c r="AP111" s="34">
        <v>0</v>
      </c>
      <c r="AQ111" s="34" t="s">
        <v>123</v>
      </c>
      <c r="AR111" s="34">
        <v>8.4681469999999995E-2</v>
      </c>
      <c r="AS111" s="34"/>
      <c r="AT111" s="34" t="s">
        <v>123</v>
      </c>
      <c r="AU111" s="34">
        <v>108</v>
      </c>
      <c r="AV111" s="34" t="s">
        <v>1470</v>
      </c>
      <c r="AW111" s="34">
        <v>0</v>
      </c>
      <c r="AX111" s="34">
        <v>1411</v>
      </c>
      <c r="AY111" s="34" t="s">
        <v>1333</v>
      </c>
      <c r="AZ111" s="35">
        <v>45770</v>
      </c>
      <c r="BA111" s="35">
        <v>45770</v>
      </c>
      <c r="BB111" s="34" t="s">
        <v>123</v>
      </c>
      <c r="BC111" s="34" t="s">
        <v>123</v>
      </c>
      <c r="BD111" s="34" t="s">
        <v>123</v>
      </c>
      <c r="BE111" s="34" t="s">
        <v>139</v>
      </c>
      <c r="BF111" s="34">
        <v>254</v>
      </c>
      <c r="BG111" s="34">
        <v>0</v>
      </c>
      <c r="BH111" s="34">
        <v>6.2344139999999999E-2</v>
      </c>
      <c r="BI111" s="34" t="s">
        <v>133</v>
      </c>
      <c r="BJ111" s="34" t="s">
        <v>1336</v>
      </c>
      <c r="BK111" s="34">
        <v>2025</v>
      </c>
      <c r="BL111" s="34" t="s">
        <v>1456</v>
      </c>
      <c r="BM111" s="34"/>
      <c r="BN111" s="34">
        <v>0</v>
      </c>
      <c r="BO111" s="34" t="s">
        <v>1330</v>
      </c>
      <c r="BP111" s="34">
        <v>0.1009</v>
      </c>
      <c r="BQ111" s="34" t="s">
        <v>1326</v>
      </c>
      <c r="BR111" s="35">
        <v>45770</v>
      </c>
      <c r="BS111" s="34">
        <v>0</v>
      </c>
      <c r="BT111" s="34" t="s">
        <v>123</v>
      </c>
      <c r="BU111" s="34">
        <v>0</v>
      </c>
      <c r="BV111" s="34">
        <v>250000</v>
      </c>
      <c r="BW111" s="34">
        <v>0</v>
      </c>
      <c r="BX111" s="34">
        <v>254</v>
      </c>
      <c r="BY111" s="34">
        <v>0</v>
      </c>
      <c r="BZ111" s="34">
        <v>1</v>
      </c>
      <c r="CA111" s="34" t="s">
        <v>123</v>
      </c>
      <c r="CB111" s="34" t="s">
        <v>123</v>
      </c>
      <c r="CC111" s="34" t="s">
        <v>123</v>
      </c>
    </row>
    <row r="114" spans="1:12" ht="33.6" x14ac:dyDescent="0.3">
      <c r="A114" s="36" t="s">
        <v>1664</v>
      </c>
      <c r="B114" s="37" t="s">
        <v>1665</v>
      </c>
      <c r="C114" s="137">
        <v>3830340</v>
      </c>
    </row>
    <row r="115" spans="1:12" ht="16.8" x14ac:dyDescent="0.3">
      <c r="A115" s="40"/>
      <c r="B115" s="37" t="s">
        <v>1666</v>
      </c>
      <c r="C115" s="137">
        <v>4000000</v>
      </c>
    </row>
    <row r="116" spans="1:12" ht="15" thickBot="1" x14ac:dyDescent="0.35"/>
    <row r="117" spans="1:12" ht="16.8" x14ac:dyDescent="0.3">
      <c r="A117" s="189" t="s">
        <v>1667</v>
      </c>
      <c r="B117" s="191" t="s">
        <v>1668</v>
      </c>
      <c r="C117" s="46">
        <v>0.1</v>
      </c>
      <c r="D117" s="46">
        <v>0.5</v>
      </c>
      <c r="E117" s="46">
        <v>0.8</v>
      </c>
      <c r="F117" s="46">
        <v>0.9</v>
      </c>
      <c r="G117" s="46">
        <v>0.96</v>
      </c>
      <c r="H117" s="47">
        <v>0.98</v>
      </c>
      <c r="I117" s="46">
        <v>0.99</v>
      </c>
      <c r="J117" s="48">
        <v>0.996</v>
      </c>
      <c r="K117" s="49">
        <v>0.998</v>
      </c>
      <c r="L117" s="49">
        <v>0.999</v>
      </c>
    </row>
    <row r="118" spans="1:12" ht="17.399999999999999" thickBot="1" x14ac:dyDescent="0.35">
      <c r="A118" s="190"/>
      <c r="B118" s="192"/>
      <c r="C118" s="50" t="s">
        <v>1669</v>
      </c>
      <c r="D118" s="51" t="s">
        <v>1670</v>
      </c>
      <c r="E118" s="51" t="s">
        <v>1671</v>
      </c>
      <c r="F118" s="51" t="s">
        <v>1672</v>
      </c>
      <c r="G118" s="51" t="s">
        <v>1673</v>
      </c>
      <c r="H118" s="51" t="s">
        <v>1674</v>
      </c>
      <c r="I118" s="51" t="s">
        <v>1675</v>
      </c>
      <c r="J118" s="51" t="s">
        <v>1676</v>
      </c>
      <c r="K118" s="51" t="s">
        <v>1677</v>
      </c>
      <c r="L118" s="51" t="s">
        <v>1678</v>
      </c>
    </row>
    <row r="119" spans="1:12" ht="16.8" x14ac:dyDescent="0.45">
      <c r="A119" s="52" t="s">
        <v>1679</v>
      </c>
      <c r="B119" s="53">
        <v>340994</v>
      </c>
      <c r="C119" s="53">
        <v>340994</v>
      </c>
      <c r="D119" s="53">
        <v>340994</v>
      </c>
      <c r="E119" s="53">
        <v>340994</v>
      </c>
      <c r="F119" s="53">
        <v>340994</v>
      </c>
      <c r="G119" s="53">
        <v>340994</v>
      </c>
      <c r="H119" s="53">
        <v>340994</v>
      </c>
      <c r="I119" s="53">
        <v>340994</v>
      </c>
      <c r="J119" s="53">
        <v>340994</v>
      </c>
      <c r="K119" s="54">
        <v>340994</v>
      </c>
      <c r="L119" s="54">
        <v>340994</v>
      </c>
    </row>
    <row r="120" spans="1:12" ht="16.8" x14ac:dyDescent="0.45">
      <c r="A120" s="52" t="s">
        <v>1680</v>
      </c>
      <c r="B120" s="55">
        <v>0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6">
        <v>0</v>
      </c>
      <c r="L120" s="56">
        <v>0</v>
      </c>
    </row>
    <row r="121" spans="1:12" ht="16.8" x14ac:dyDescent="0.45">
      <c r="A121" s="57" t="s">
        <v>1681</v>
      </c>
      <c r="B121" s="55">
        <v>0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6">
        <v>0</v>
      </c>
      <c r="L121" s="56">
        <v>0</v>
      </c>
    </row>
    <row r="122" spans="1:12" ht="16.8" x14ac:dyDescent="0.45">
      <c r="A122" s="58" t="s">
        <v>1682</v>
      </c>
      <c r="B122" s="59">
        <v>340994</v>
      </c>
      <c r="C122" s="59">
        <v>340994</v>
      </c>
      <c r="D122" s="59">
        <v>340994</v>
      </c>
      <c r="E122" s="59">
        <v>340994</v>
      </c>
      <c r="F122" s="59">
        <v>340994</v>
      </c>
      <c r="G122" s="59">
        <v>340994</v>
      </c>
      <c r="H122" s="59">
        <v>340994</v>
      </c>
      <c r="I122" s="59">
        <v>340994</v>
      </c>
      <c r="J122" s="59">
        <v>340994</v>
      </c>
      <c r="K122" s="60">
        <v>340994</v>
      </c>
      <c r="L122" s="60">
        <v>340994</v>
      </c>
    </row>
    <row r="123" spans="1:12" ht="16.8" x14ac:dyDescent="0.45">
      <c r="A123" s="52" t="s">
        <v>1683</v>
      </c>
      <c r="B123" s="61">
        <v>46580.800000000003</v>
      </c>
      <c r="C123" s="61">
        <v>0</v>
      </c>
      <c r="D123" s="61">
        <v>0</v>
      </c>
      <c r="E123" s="61">
        <v>0</v>
      </c>
      <c r="F123" s="61">
        <v>249999.6</v>
      </c>
      <c r="G123" s="61">
        <v>341623.4575957912</v>
      </c>
      <c r="H123" s="61">
        <v>516016.47766935325</v>
      </c>
      <c r="I123" s="61">
        <v>749999.99603749998</v>
      </c>
      <c r="J123" s="61">
        <v>999998.4</v>
      </c>
      <c r="K123" s="62">
        <v>1179116.1433356979</v>
      </c>
      <c r="L123" s="62">
        <v>1250000.3922875</v>
      </c>
    </row>
    <row r="124" spans="1:12" ht="16.8" x14ac:dyDescent="0.45">
      <c r="A124" s="57" t="s">
        <v>1684</v>
      </c>
      <c r="B124" s="55">
        <v>0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6">
        <v>0</v>
      </c>
      <c r="L124" s="56">
        <v>0</v>
      </c>
    </row>
    <row r="125" spans="1:12" ht="16.8" x14ac:dyDescent="0.45">
      <c r="A125" s="57" t="s">
        <v>1685</v>
      </c>
      <c r="B125" s="55">
        <v>0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6">
        <v>0</v>
      </c>
      <c r="L125" s="56">
        <v>0</v>
      </c>
    </row>
    <row r="126" spans="1:12" ht="16.8" x14ac:dyDescent="0.45">
      <c r="A126" s="57" t="s">
        <v>1686</v>
      </c>
      <c r="B126" s="55">
        <v>0</v>
      </c>
      <c r="C126" s="55">
        <v>0</v>
      </c>
      <c r="D126" s="55">
        <v>0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6">
        <v>0</v>
      </c>
      <c r="L126" s="56">
        <v>0</v>
      </c>
    </row>
    <row r="127" spans="1:12" ht="16.8" x14ac:dyDescent="0.45">
      <c r="A127" s="58" t="s">
        <v>1687</v>
      </c>
      <c r="B127" s="59">
        <v>294413.2</v>
      </c>
      <c r="C127" s="59">
        <v>340994</v>
      </c>
      <c r="D127" s="59">
        <v>340994</v>
      </c>
      <c r="E127" s="59">
        <v>340994</v>
      </c>
      <c r="F127" s="59">
        <v>90994.4</v>
      </c>
      <c r="G127" s="59">
        <v>-629.45759579120204</v>
      </c>
      <c r="H127" s="59">
        <v>-175022.47766935325</v>
      </c>
      <c r="I127" s="59">
        <v>-409005.99603749998</v>
      </c>
      <c r="J127" s="59">
        <v>-659004.4</v>
      </c>
      <c r="K127" s="60">
        <v>-838122.14333569794</v>
      </c>
      <c r="L127" s="60">
        <v>-909006.39228749997</v>
      </c>
    </row>
    <row r="128" spans="1:12" ht="16.8" x14ac:dyDescent="0.45">
      <c r="A128" s="52" t="s">
        <v>1688</v>
      </c>
      <c r="B128" s="63">
        <v>7.3603299999999997E-2</v>
      </c>
      <c r="C128" s="63">
        <v>8.5248500000000005E-2</v>
      </c>
      <c r="D128" s="63">
        <v>8.5248500000000005E-2</v>
      </c>
      <c r="E128" s="63">
        <v>8.5248500000000005E-2</v>
      </c>
      <c r="F128" s="63">
        <v>2.2748599999999997E-2</v>
      </c>
      <c r="G128" s="63">
        <v>-1.573643989478005E-4</v>
      </c>
      <c r="H128" s="63">
        <v>-4.3755619417338312E-2</v>
      </c>
      <c r="I128" s="63">
        <v>-0.102251499009375</v>
      </c>
      <c r="J128" s="63">
        <v>-0.16475110000000001</v>
      </c>
      <c r="K128" s="64">
        <v>-0.20953053583392448</v>
      </c>
      <c r="L128" s="64">
        <v>-0.22725159807187501</v>
      </c>
    </row>
    <row r="129" spans="1:12" ht="16.8" x14ac:dyDescent="0.45">
      <c r="A129" s="52" t="s">
        <v>1689</v>
      </c>
      <c r="B129" s="65">
        <v>6565.69</v>
      </c>
      <c r="C129" s="65">
        <v>6565.69</v>
      </c>
      <c r="D129" s="65">
        <v>6565.69</v>
      </c>
      <c r="E129" s="65">
        <v>6565.69</v>
      </c>
      <c r="F129" s="65">
        <v>6565.69</v>
      </c>
      <c r="G129" s="65">
        <v>6565.69</v>
      </c>
      <c r="H129" s="65">
        <v>6565.69</v>
      </c>
      <c r="I129" s="65">
        <v>6565.69</v>
      </c>
      <c r="J129" s="65">
        <v>6565.69</v>
      </c>
      <c r="K129" s="66">
        <v>6565.69</v>
      </c>
      <c r="L129" s="66">
        <v>6565.69</v>
      </c>
    </row>
    <row r="130" spans="1:12" ht="17.399999999999999" thickBot="1" x14ac:dyDescent="0.5">
      <c r="A130" s="67" t="s">
        <v>1690</v>
      </c>
      <c r="B130" s="68">
        <v>15200</v>
      </c>
      <c r="C130" s="68">
        <v>15200</v>
      </c>
      <c r="D130" s="68">
        <v>15200</v>
      </c>
      <c r="E130" s="68">
        <v>15200</v>
      </c>
      <c r="F130" s="68">
        <v>15200</v>
      </c>
      <c r="G130" s="68">
        <v>15200</v>
      </c>
      <c r="H130" s="68">
        <v>15200</v>
      </c>
      <c r="I130" s="68">
        <v>15200</v>
      </c>
      <c r="J130" s="68">
        <v>15200</v>
      </c>
      <c r="K130" s="69">
        <v>15200</v>
      </c>
      <c r="L130" s="69">
        <v>15200</v>
      </c>
    </row>
    <row r="131" spans="1:12" ht="17.399999999999999" thickTop="1" x14ac:dyDescent="0.45">
      <c r="A131" s="70" t="s">
        <v>1691</v>
      </c>
      <c r="B131" s="59">
        <v>48000</v>
      </c>
      <c r="C131" s="59">
        <v>48000</v>
      </c>
      <c r="D131" s="59">
        <v>48000</v>
      </c>
      <c r="E131" s="59">
        <v>48000</v>
      </c>
      <c r="F131" s="59">
        <v>48000</v>
      </c>
      <c r="G131" s="59">
        <v>48000</v>
      </c>
      <c r="H131" s="59">
        <v>48000</v>
      </c>
      <c r="I131" s="59">
        <v>48000</v>
      </c>
      <c r="J131" s="59">
        <v>48000</v>
      </c>
      <c r="K131" s="60">
        <v>48000</v>
      </c>
      <c r="L131" s="60">
        <v>48000</v>
      </c>
    </row>
    <row r="132" spans="1:12" ht="16.8" x14ac:dyDescent="0.45">
      <c r="A132" s="57" t="s">
        <v>1604</v>
      </c>
      <c r="B132" s="55">
        <v>0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6">
        <v>0</v>
      </c>
      <c r="L132" s="56">
        <v>0</v>
      </c>
    </row>
    <row r="133" spans="1:12" ht="16.8" x14ac:dyDescent="0.45">
      <c r="A133" s="52" t="s">
        <v>1692</v>
      </c>
      <c r="B133" s="61">
        <v>237778.89</v>
      </c>
      <c r="C133" s="61">
        <v>284359.69</v>
      </c>
      <c r="D133" s="61">
        <v>284359.69</v>
      </c>
      <c r="E133" s="61">
        <v>284359.69</v>
      </c>
      <c r="F133" s="61">
        <v>34360.089999999997</v>
      </c>
      <c r="G133" s="61">
        <v>-57263.7675957912</v>
      </c>
      <c r="H133" s="61">
        <v>-231656.78766935325</v>
      </c>
      <c r="I133" s="61">
        <v>-465640.30603749998</v>
      </c>
      <c r="J133" s="61">
        <v>-715638.71000000008</v>
      </c>
      <c r="K133" s="62">
        <v>-894756.453335698</v>
      </c>
      <c r="L133" s="62">
        <v>-965640.70228750003</v>
      </c>
    </row>
    <row r="134" spans="1:12" ht="17.399999999999999" thickBot="1" x14ac:dyDescent="0.5">
      <c r="A134" s="71" t="s">
        <v>1693</v>
      </c>
      <c r="B134" s="72">
        <v>5.9444722500000005E-2</v>
      </c>
      <c r="C134" s="72">
        <v>7.10899225E-2</v>
      </c>
      <c r="D134" s="72">
        <v>7.10899225E-2</v>
      </c>
      <c r="E134" s="72">
        <v>7.10899225E-2</v>
      </c>
      <c r="F134" s="72">
        <v>8.590022499999999E-3</v>
      </c>
      <c r="G134" s="72">
        <v>-1.43159418989478E-2</v>
      </c>
      <c r="H134" s="72">
        <v>-5.7914196917338311E-2</v>
      </c>
      <c r="I134" s="72">
        <v>-0.11641007650937499</v>
      </c>
      <c r="J134" s="72">
        <v>-0.17890967750000003</v>
      </c>
      <c r="K134" s="73">
        <v>-0.22368911333392449</v>
      </c>
      <c r="L134" s="73">
        <v>-0.241410175571875</v>
      </c>
    </row>
    <row r="135" spans="1:12" ht="15" thickTop="1" x14ac:dyDescent="0.3"/>
    <row r="136" spans="1:12" ht="15" thickBot="1" x14ac:dyDescent="0.35"/>
    <row r="137" spans="1:12" ht="15" thickBot="1" x14ac:dyDescent="0.35">
      <c r="A137" s="76" t="s">
        <v>1695</v>
      </c>
      <c r="B137" s="77" t="s">
        <v>1330</v>
      </c>
      <c r="C137" s="78" t="s">
        <v>1696</v>
      </c>
    </row>
    <row r="138" spans="1:12" x14ac:dyDescent="0.3">
      <c r="A138" s="79" t="s">
        <v>1697</v>
      </c>
      <c r="B138" s="80">
        <v>294413.2</v>
      </c>
      <c r="C138" s="81">
        <v>7.3603299999999997E-2</v>
      </c>
    </row>
    <row r="139" spans="1:12" x14ac:dyDescent="0.3">
      <c r="A139" s="82" t="s">
        <v>1698</v>
      </c>
      <c r="B139" s="83">
        <v>237778.89</v>
      </c>
      <c r="C139" s="84">
        <v>5.9444722500000005E-2</v>
      </c>
    </row>
    <row r="140" spans="1:12" x14ac:dyDescent="0.3">
      <c r="A140" s="82" t="s">
        <v>1699</v>
      </c>
      <c r="B140" s="85">
        <v>146086</v>
      </c>
      <c r="C140" s="84">
        <v>3.6521499999999998E-2</v>
      </c>
    </row>
    <row r="141" spans="1:12" x14ac:dyDescent="0.3">
      <c r="A141" s="82" t="s">
        <v>1700</v>
      </c>
      <c r="B141" s="86">
        <v>1.6276637733937545</v>
      </c>
      <c r="C141" s="87">
        <v>1.6276637733937545</v>
      </c>
    </row>
    <row r="142" spans="1:12" x14ac:dyDescent="0.3">
      <c r="A142" s="88" t="s">
        <v>1701</v>
      </c>
      <c r="B142" s="89">
        <v>0.61437750003795544</v>
      </c>
      <c r="C142" s="90"/>
    </row>
    <row r="143" spans="1:12" x14ac:dyDescent="0.3">
      <c r="A143" s="88" t="s">
        <v>1702</v>
      </c>
      <c r="B143" s="91">
        <v>284359.69</v>
      </c>
      <c r="C143" s="92">
        <v>7.10899225E-2</v>
      </c>
    </row>
    <row r="144" spans="1:12" x14ac:dyDescent="0.3">
      <c r="A144" s="93" t="s">
        <v>1703</v>
      </c>
      <c r="B144" s="94">
        <v>4.1000000000000002E-2</v>
      </c>
      <c r="C144" s="95"/>
    </row>
    <row r="145" spans="1:9" x14ac:dyDescent="0.3">
      <c r="A145" s="82" t="s">
        <v>1704</v>
      </c>
      <c r="B145" s="96">
        <v>-465640.30603749998</v>
      </c>
      <c r="C145" s="97">
        <v>-0.11641007650937499</v>
      </c>
    </row>
    <row r="146" spans="1:9" x14ac:dyDescent="0.3">
      <c r="A146" s="82" t="s">
        <v>1705</v>
      </c>
      <c r="B146" s="96">
        <v>-715638.71000000008</v>
      </c>
      <c r="C146" s="98">
        <v>-0.17890967750000003</v>
      </c>
    </row>
    <row r="147" spans="1:9" x14ac:dyDescent="0.3">
      <c r="A147" s="82" t="s">
        <v>1706</v>
      </c>
      <c r="B147" s="85">
        <v>-688810.64872878778</v>
      </c>
      <c r="C147" s="92">
        <v>-0.17220266218219696</v>
      </c>
    </row>
    <row r="148" spans="1:9" x14ac:dyDescent="0.3">
      <c r="A148" s="82" t="s">
        <v>1707</v>
      </c>
      <c r="B148" s="99">
        <v>0.51064928640617013</v>
      </c>
      <c r="C148" s="84"/>
    </row>
    <row r="149" spans="1:9" x14ac:dyDescent="0.3">
      <c r="A149" s="82" t="s">
        <v>1708</v>
      </c>
      <c r="B149" s="85">
        <v>3750000</v>
      </c>
      <c r="C149" s="84"/>
    </row>
    <row r="150" spans="1:9" x14ac:dyDescent="0.3">
      <c r="A150" s="82" t="s">
        <v>1709</v>
      </c>
      <c r="B150" s="85">
        <v>3750000</v>
      </c>
      <c r="C150" s="84"/>
    </row>
    <row r="151" spans="1:9" x14ac:dyDescent="0.3">
      <c r="A151" s="82" t="s">
        <v>1710</v>
      </c>
      <c r="B151" s="34"/>
      <c r="C151" s="100">
        <v>0.9375</v>
      </c>
    </row>
    <row r="152" spans="1:9" ht="15" thickBot="1" x14ac:dyDescent="0.35">
      <c r="A152" s="101" t="s">
        <v>1426</v>
      </c>
      <c r="B152" s="102"/>
      <c r="C152" s="103">
        <v>9.0931733333333334E-2</v>
      </c>
    </row>
    <row r="153" spans="1:9" x14ac:dyDescent="0.3">
      <c r="A153" s="104" t="s">
        <v>1665</v>
      </c>
      <c r="B153" s="105">
        <v>3830340</v>
      </c>
      <c r="C153" s="106"/>
    </row>
    <row r="154" spans="1:9" ht="15" thickBot="1" x14ac:dyDescent="0.35">
      <c r="A154" s="107" t="s">
        <v>1666</v>
      </c>
      <c r="B154" s="108">
        <v>4000000</v>
      </c>
      <c r="C154" s="109"/>
    </row>
    <row r="157" spans="1:9" ht="15" thickBot="1" x14ac:dyDescent="0.35"/>
    <row r="158" spans="1:9" x14ac:dyDescent="0.3">
      <c r="A158" s="115" t="s">
        <v>1393</v>
      </c>
      <c r="B158" s="110" t="s">
        <v>1717</v>
      </c>
      <c r="C158" s="110" t="s">
        <v>1718</v>
      </c>
      <c r="D158" s="110" t="s">
        <v>1711</v>
      </c>
      <c r="E158" s="110" t="s">
        <v>1712</v>
      </c>
      <c r="F158" s="110" t="s">
        <v>1713</v>
      </c>
      <c r="G158" s="110" t="s">
        <v>1714</v>
      </c>
      <c r="H158" s="110" t="s">
        <v>1715</v>
      </c>
      <c r="I158" s="111" t="s">
        <v>1716</v>
      </c>
    </row>
    <row r="159" spans="1:9" x14ac:dyDescent="0.3">
      <c r="A159" s="88" t="s">
        <v>1325</v>
      </c>
      <c r="B159" s="116">
        <v>3821124.2294500005</v>
      </c>
      <c r="C159" s="117">
        <v>0.95528105736250013</v>
      </c>
      <c r="D159" s="112">
        <v>0.05</v>
      </c>
      <c r="E159" s="112" t="s">
        <v>1663</v>
      </c>
      <c r="F159" s="113">
        <v>0.99999910681112036</v>
      </c>
      <c r="G159" s="113">
        <v>0.99759400717690871</v>
      </c>
      <c r="H159" s="113">
        <v>1.0000006173078588</v>
      </c>
      <c r="I159" s="114">
        <v>340994.21049827605</v>
      </c>
    </row>
    <row r="161" spans="1:9" ht="15" thickBot="1" x14ac:dyDescent="0.35"/>
    <row r="162" spans="1:9" x14ac:dyDescent="0.3">
      <c r="A162" s="118" t="s">
        <v>1632</v>
      </c>
      <c r="B162" s="118" t="s">
        <v>1719</v>
      </c>
      <c r="C162" s="118" t="s">
        <v>1720</v>
      </c>
      <c r="D162" s="118" t="s">
        <v>1721</v>
      </c>
      <c r="E162" s="118" t="s">
        <v>1722</v>
      </c>
      <c r="F162" s="118" t="s">
        <v>1723</v>
      </c>
      <c r="G162" s="118" t="s">
        <v>1724</v>
      </c>
      <c r="H162" s="118" t="s">
        <v>1725</v>
      </c>
      <c r="I162" s="118" t="s">
        <v>1725</v>
      </c>
    </row>
    <row r="163" spans="1:9" x14ac:dyDescent="0.3">
      <c r="A163" s="119" t="s">
        <v>1633</v>
      </c>
      <c r="B163" s="120">
        <v>500000.80125000002</v>
      </c>
      <c r="C163" s="120">
        <v>924825.95534058486</v>
      </c>
      <c r="D163" s="117">
        <v>0.1250002003125</v>
      </c>
      <c r="E163" s="117">
        <v>0.23120648883514622</v>
      </c>
      <c r="F163" s="117">
        <v>0.35</v>
      </c>
      <c r="G163" s="117">
        <v>0.5</v>
      </c>
      <c r="H163" s="112" t="s">
        <v>1571</v>
      </c>
      <c r="I163" s="121" t="s">
        <v>1571</v>
      </c>
    </row>
    <row r="164" spans="1:9" x14ac:dyDescent="0.3">
      <c r="A164" s="119" t="s">
        <v>1635</v>
      </c>
      <c r="B164" s="120">
        <v>383197.03597981401</v>
      </c>
      <c r="C164" s="120">
        <v>749096.50283622788</v>
      </c>
      <c r="D164" s="117">
        <v>9.5799258994953507E-2</v>
      </c>
      <c r="E164" s="117">
        <v>0.18727412570905697</v>
      </c>
      <c r="F164" s="117">
        <v>0.3</v>
      </c>
      <c r="G164" s="117">
        <v>0.5</v>
      </c>
      <c r="H164" s="112" t="s">
        <v>1571</v>
      </c>
      <c r="I164" s="121" t="s">
        <v>1571</v>
      </c>
    </row>
    <row r="165" spans="1:9" x14ac:dyDescent="0.3">
      <c r="A165" s="119" t="s">
        <v>1639</v>
      </c>
      <c r="B165" s="120">
        <v>90478.46921743064</v>
      </c>
      <c r="C165" s="120">
        <v>499999.99478750001</v>
      </c>
      <c r="D165" s="117">
        <v>2.2619617304357659E-2</v>
      </c>
      <c r="E165" s="117">
        <v>0.124999998696875</v>
      </c>
      <c r="F165" s="117">
        <v>0.3</v>
      </c>
      <c r="G165" s="117">
        <v>0.5</v>
      </c>
      <c r="H165" s="112" t="s">
        <v>1571</v>
      </c>
      <c r="I165" s="121" t="s">
        <v>1571</v>
      </c>
    </row>
    <row r="166" spans="1:9" x14ac:dyDescent="0.3">
      <c r="A166" s="122" t="s">
        <v>1651</v>
      </c>
      <c r="B166" s="120">
        <v>12797.484205814064</v>
      </c>
      <c r="C166" s="120">
        <v>250000.5</v>
      </c>
      <c r="D166" s="117">
        <v>3.1993710514535158E-3</v>
      </c>
      <c r="E166" s="117">
        <v>6.2500125000000004E-2</v>
      </c>
      <c r="F166" s="117">
        <v>0.4</v>
      </c>
      <c r="G166" s="117">
        <v>0.65</v>
      </c>
      <c r="H166" s="112" t="s">
        <v>1571</v>
      </c>
      <c r="I166" s="121" t="s">
        <v>1571</v>
      </c>
    </row>
    <row r="167" spans="1:9" x14ac:dyDescent="0.3">
      <c r="A167" s="119" t="s">
        <v>1649</v>
      </c>
      <c r="B167" s="120">
        <v>0</v>
      </c>
      <c r="C167" s="120">
        <v>249999.9</v>
      </c>
      <c r="D167" s="117">
        <v>0</v>
      </c>
      <c r="E167" s="117">
        <v>6.2499974999999999E-2</v>
      </c>
      <c r="F167" s="117">
        <v>0.4</v>
      </c>
      <c r="G167" s="117">
        <v>0.65</v>
      </c>
      <c r="H167" s="112" t="s">
        <v>1571</v>
      </c>
      <c r="I167" s="121" t="s">
        <v>1571</v>
      </c>
    </row>
    <row r="168" spans="1:9" x14ac:dyDescent="0.3">
      <c r="A168" s="119" t="s">
        <v>1650</v>
      </c>
      <c r="B168" s="120">
        <v>249999.99750000006</v>
      </c>
      <c r="C168" s="120">
        <v>499999.99478750001</v>
      </c>
      <c r="D168" s="117">
        <v>6.2499999375000011E-2</v>
      </c>
      <c r="E168" s="117">
        <v>0.124999998696875</v>
      </c>
      <c r="F168" s="117">
        <v>0.4</v>
      </c>
      <c r="G168" s="117">
        <v>0.65</v>
      </c>
      <c r="H168" s="112" t="s">
        <v>1571</v>
      </c>
      <c r="I168" s="121" t="s">
        <v>1571</v>
      </c>
    </row>
    <row r="169" spans="1:9" x14ac:dyDescent="0.3">
      <c r="A169" s="119" t="s">
        <v>1636</v>
      </c>
      <c r="B169" s="120">
        <v>39013.761465282805</v>
      </c>
      <c r="C169" s="120">
        <v>261564.83352664317</v>
      </c>
      <c r="D169" s="117">
        <v>9.7534403663207016E-3</v>
      </c>
      <c r="E169" s="117">
        <v>6.5391208381660793E-2</v>
      </c>
      <c r="F169" s="117">
        <v>0.3</v>
      </c>
      <c r="G169" s="117">
        <v>0.5</v>
      </c>
      <c r="H169" s="112" t="s">
        <v>1571</v>
      </c>
      <c r="I169" s="121" t="s">
        <v>1571</v>
      </c>
    </row>
    <row r="170" spans="1:9" x14ac:dyDescent="0.3">
      <c r="A170" s="119" t="s">
        <v>1640</v>
      </c>
      <c r="B170" s="120">
        <v>250000.5</v>
      </c>
      <c r="C170" s="120">
        <v>999998.00103749998</v>
      </c>
      <c r="D170" s="117">
        <v>6.2500125000000004E-2</v>
      </c>
      <c r="E170" s="117">
        <v>0.24999950025937501</v>
      </c>
      <c r="F170" s="117">
        <v>0.2</v>
      </c>
      <c r="G170" s="117">
        <v>0.35</v>
      </c>
      <c r="H170" s="112" t="s">
        <v>1571</v>
      </c>
      <c r="I170" s="121" t="s">
        <v>1571</v>
      </c>
    </row>
    <row r="171" spans="1:9" x14ac:dyDescent="0.3">
      <c r="A171" s="119" t="s">
        <v>1653</v>
      </c>
      <c r="B171" s="120">
        <v>0</v>
      </c>
      <c r="C171" s="120">
        <v>249999</v>
      </c>
      <c r="D171" s="117">
        <v>0</v>
      </c>
      <c r="E171" s="117">
        <v>6.249975E-2</v>
      </c>
      <c r="F171" s="117">
        <v>0.3</v>
      </c>
      <c r="G171" s="117">
        <v>0.45</v>
      </c>
      <c r="H171" s="112" t="s">
        <v>1571</v>
      </c>
      <c r="I171" s="121" t="s">
        <v>1571</v>
      </c>
    </row>
    <row r="172" spans="1:9" x14ac:dyDescent="0.3">
      <c r="A172" s="119" t="s">
        <v>1660</v>
      </c>
      <c r="B172" s="120">
        <v>0</v>
      </c>
      <c r="C172" s="120">
        <v>0</v>
      </c>
      <c r="D172" s="117">
        <v>0</v>
      </c>
      <c r="E172" s="117">
        <v>0</v>
      </c>
      <c r="F172" s="117">
        <v>0.2</v>
      </c>
      <c r="G172" s="117">
        <v>0.35</v>
      </c>
      <c r="H172" s="112" t="s">
        <v>1571</v>
      </c>
      <c r="I172" s="121" t="s">
        <v>1571</v>
      </c>
    </row>
    <row r="173" spans="1:9" x14ac:dyDescent="0.3">
      <c r="A173" s="119" t="s">
        <v>1638</v>
      </c>
      <c r="B173" s="120">
        <v>0</v>
      </c>
      <c r="C173" s="120">
        <v>0</v>
      </c>
      <c r="D173" s="117">
        <v>0</v>
      </c>
      <c r="E173" s="117">
        <v>0</v>
      </c>
      <c r="F173" s="117">
        <v>0.3</v>
      </c>
      <c r="G173" s="117">
        <v>0.5</v>
      </c>
      <c r="H173" s="112" t="s">
        <v>1571</v>
      </c>
      <c r="I173" s="121" t="s">
        <v>1571</v>
      </c>
    </row>
    <row r="174" spans="1:9" x14ac:dyDescent="0.3">
      <c r="A174" s="119" t="s">
        <v>1656</v>
      </c>
      <c r="B174" s="120">
        <v>0</v>
      </c>
      <c r="C174" s="120">
        <v>0</v>
      </c>
      <c r="D174" s="117">
        <v>0</v>
      </c>
      <c r="E174" s="117">
        <v>0</v>
      </c>
      <c r="F174" s="117">
        <v>0.3</v>
      </c>
      <c r="G174" s="117">
        <v>0.45</v>
      </c>
      <c r="H174" s="112" t="s">
        <v>1571</v>
      </c>
      <c r="I174" s="121" t="s">
        <v>1571</v>
      </c>
    </row>
    <row r="175" spans="1:9" x14ac:dyDescent="0.3">
      <c r="A175" s="119" t="s">
        <v>1641</v>
      </c>
      <c r="B175" s="120">
        <v>0</v>
      </c>
      <c r="C175" s="120">
        <v>250000.5</v>
      </c>
      <c r="D175" s="117">
        <v>0</v>
      </c>
      <c r="E175" s="117">
        <v>6.2500125000000004E-2</v>
      </c>
      <c r="F175" s="117">
        <v>0.2</v>
      </c>
      <c r="G175" s="117">
        <v>0.3</v>
      </c>
      <c r="H175" s="112" t="s">
        <v>1571</v>
      </c>
      <c r="I175" s="121" t="s">
        <v>1571</v>
      </c>
    </row>
    <row r="176" spans="1:9" x14ac:dyDescent="0.3">
      <c r="A176" s="119" t="s">
        <v>1637</v>
      </c>
      <c r="B176" s="120">
        <v>249999.6</v>
      </c>
      <c r="C176" s="120">
        <v>249999.60000000003</v>
      </c>
      <c r="D176" s="117">
        <v>6.2499900000000004E-2</v>
      </c>
      <c r="E176" s="117">
        <v>6.2499900000000011E-2</v>
      </c>
      <c r="F176" s="117">
        <v>0.3</v>
      </c>
      <c r="G176" s="117">
        <v>0.5</v>
      </c>
      <c r="H176" s="112" t="s">
        <v>1571</v>
      </c>
      <c r="I176" s="121" t="s">
        <v>1571</v>
      </c>
    </row>
    <row r="177" spans="1:9" x14ac:dyDescent="0.3">
      <c r="A177" s="119" t="s">
        <v>1659</v>
      </c>
      <c r="B177" s="120">
        <v>0</v>
      </c>
      <c r="C177" s="120">
        <v>0</v>
      </c>
      <c r="D177" s="117">
        <v>0</v>
      </c>
      <c r="E177" s="117">
        <v>0</v>
      </c>
      <c r="F177" s="117">
        <v>0.2</v>
      </c>
      <c r="G177" s="117">
        <v>0.35</v>
      </c>
      <c r="H177" s="112" t="s">
        <v>1571</v>
      </c>
      <c r="I177" s="121" t="s">
        <v>1571</v>
      </c>
    </row>
    <row r="178" spans="1:9" x14ac:dyDescent="0.3">
      <c r="A178" s="119" t="s">
        <v>1657</v>
      </c>
      <c r="B178" s="116">
        <v>0</v>
      </c>
      <c r="C178" s="116">
        <v>0</v>
      </c>
      <c r="D178" s="117">
        <v>0</v>
      </c>
      <c r="E178" s="117">
        <v>0</v>
      </c>
      <c r="F178" s="117">
        <v>0.2</v>
      </c>
      <c r="G178" s="117">
        <v>0.35</v>
      </c>
      <c r="H178" s="123" t="s">
        <v>1571</v>
      </c>
      <c r="I178" s="124" t="s">
        <v>1571</v>
      </c>
    </row>
    <row r="179" spans="1:9" x14ac:dyDescent="0.3">
      <c r="A179" s="119" t="s">
        <v>1658</v>
      </c>
      <c r="B179" s="116">
        <v>0</v>
      </c>
      <c r="C179" s="116">
        <v>0</v>
      </c>
      <c r="D179" s="117">
        <v>0</v>
      </c>
      <c r="E179" s="117">
        <v>0</v>
      </c>
      <c r="F179" s="117">
        <v>0.2</v>
      </c>
      <c r="G179" s="117">
        <v>0.35</v>
      </c>
      <c r="H179" s="112" t="s">
        <v>1571</v>
      </c>
      <c r="I179" s="124" t="s">
        <v>1571</v>
      </c>
    </row>
    <row r="180" spans="1:9" x14ac:dyDescent="0.3">
      <c r="A180" s="125" t="s">
        <v>1652</v>
      </c>
      <c r="B180" s="126">
        <v>0</v>
      </c>
      <c r="C180" s="126">
        <v>0</v>
      </c>
      <c r="D180" s="117">
        <v>0</v>
      </c>
      <c r="E180" s="117">
        <v>0</v>
      </c>
      <c r="F180" s="117">
        <v>0.4</v>
      </c>
      <c r="G180" s="117">
        <v>0.65</v>
      </c>
      <c r="H180" s="38" t="s">
        <v>1571</v>
      </c>
      <c r="I180" s="121" t="s">
        <v>1571</v>
      </c>
    </row>
    <row r="181" spans="1:9" x14ac:dyDescent="0.3">
      <c r="A181" s="125" t="s">
        <v>1654</v>
      </c>
      <c r="B181" s="116">
        <v>0</v>
      </c>
      <c r="C181" s="116">
        <v>0</v>
      </c>
      <c r="D181" s="117">
        <v>0</v>
      </c>
      <c r="E181" s="117">
        <v>0</v>
      </c>
      <c r="F181" s="117">
        <v>0.3</v>
      </c>
      <c r="G181" s="117">
        <v>0.45</v>
      </c>
      <c r="H181" s="42" t="s">
        <v>1571</v>
      </c>
      <c r="I181" s="124" t="s">
        <v>1571</v>
      </c>
    </row>
    <row r="182" spans="1:9" x14ac:dyDescent="0.3">
      <c r="A182" s="125" t="s">
        <v>1655</v>
      </c>
      <c r="B182" s="116">
        <v>62500</v>
      </c>
      <c r="C182" s="116">
        <v>250000</v>
      </c>
      <c r="D182" s="117">
        <v>1.5625E-2</v>
      </c>
      <c r="E182" s="117">
        <v>6.25E-2</v>
      </c>
      <c r="F182" s="117">
        <v>0.3</v>
      </c>
      <c r="G182" s="117">
        <v>0.45</v>
      </c>
      <c r="H182" s="42" t="s">
        <v>1571</v>
      </c>
      <c r="I182" s="124" t="s">
        <v>1571</v>
      </c>
    </row>
    <row r="183" spans="1:9" x14ac:dyDescent="0.3">
      <c r="A183" s="125" t="s">
        <v>1647</v>
      </c>
      <c r="B183" s="116">
        <v>0</v>
      </c>
      <c r="C183" s="116">
        <v>0</v>
      </c>
      <c r="D183" s="117">
        <v>0</v>
      </c>
      <c r="E183" s="117">
        <v>0</v>
      </c>
      <c r="F183" s="117">
        <v>0.15</v>
      </c>
      <c r="G183" s="117">
        <v>0.25</v>
      </c>
      <c r="H183" s="42" t="s">
        <v>1571</v>
      </c>
      <c r="I183" s="124" t="s">
        <v>1571</v>
      </c>
    </row>
    <row r="184" spans="1:9" x14ac:dyDescent="0.3">
      <c r="A184" s="125" t="s">
        <v>1642</v>
      </c>
      <c r="B184" s="116">
        <v>0</v>
      </c>
      <c r="C184" s="116">
        <v>0</v>
      </c>
      <c r="D184" s="117">
        <v>0</v>
      </c>
      <c r="E184" s="117">
        <v>0</v>
      </c>
      <c r="F184" s="117">
        <v>0.3</v>
      </c>
      <c r="G184" s="117">
        <v>0.5</v>
      </c>
      <c r="H184" s="42" t="s">
        <v>1571</v>
      </c>
      <c r="I184" s="124" t="s">
        <v>1571</v>
      </c>
    </row>
    <row r="185" spans="1:9" ht="15" thickBot="1" x14ac:dyDescent="0.35">
      <c r="A185" s="127" t="s">
        <v>1643</v>
      </c>
      <c r="B185" s="128">
        <v>0</v>
      </c>
      <c r="C185" s="128">
        <v>0</v>
      </c>
      <c r="D185" s="129">
        <v>0</v>
      </c>
      <c r="E185" s="129">
        <v>0</v>
      </c>
      <c r="F185" s="129">
        <v>0.2</v>
      </c>
      <c r="G185" s="129">
        <v>0.3</v>
      </c>
      <c r="H185" s="130" t="s">
        <v>1571</v>
      </c>
      <c r="I185" s="131" t="s">
        <v>1571</v>
      </c>
    </row>
    <row r="189" spans="1:9" x14ac:dyDescent="0.3">
      <c r="A189" s="132" t="s">
        <v>1315</v>
      </c>
      <c r="B189" s="132" t="s">
        <v>1717</v>
      </c>
      <c r="C189" s="132" t="s">
        <v>1718</v>
      </c>
      <c r="D189" s="132" t="s">
        <v>1711</v>
      </c>
      <c r="E189" s="132" t="s">
        <v>1712</v>
      </c>
    </row>
    <row r="190" spans="1:9" x14ac:dyDescent="0.3">
      <c r="A190" s="112" t="s">
        <v>1344</v>
      </c>
      <c r="B190" s="116">
        <v>250000</v>
      </c>
      <c r="C190" s="133">
        <v>6.25E-2</v>
      </c>
      <c r="D190" s="133">
        <v>0.3</v>
      </c>
      <c r="E190" s="112" t="s">
        <v>1726</v>
      </c>
    </row>
    <row r="191" spans="1:9" x14ac:dyDescent="0.3">
      <c r="A191" s="112" t="s">
        <v>1342</v>
      </c>
      <c r="B191" s="116">
        <v>250000</v>
      </c>
      <c r="C191" s="133">
        <v>6.25E-2</v>
      </c>
      <c r="D191" s="133">
        <v>0.3</v>
      </c>
      <c r="E191" s="112" t="s">
        <v>1726</v>
      </c>
    </row>
    <row r="192" spans="1:9" x14ac:dyDescent="0.3">
      <c r="A192" s="112" t="s">
        <v>1352</v>
      </c>
      <c r="B192" s="116">
        <v>250000</v>
      </c>
      <c r="C192" s="133">
        <v>6.25E-2</v>
      </c>
      <c r="D192" s="133">
        <v>0.3</v>
      </c>
      <c r="E192" s="112" t="s">
        <v>1726</v>
      </c>
    </row>
    <row r="193" spans="1:5" x14ac:dyDescent="0.3">
      <c r="A193" s="112" t="s">
        <v>1339</v>
      </c>
      <c r="B193" s="116">
        <v>249999</v>
      </c>
      <c r="C193" s="133">
        <v>6.249975E-2</v>
      </c>
      <c r="D193" s="133">
        <v>0.3</v>
      </c>
      <c r="E193" s="112" t="s">
        <v>1726</v>
      </c>
    </row>
    <row r="194" spans="1:5" x14ac:dyDescent="0.3">
      <c r="A194" s="112" t="s">
        <v>1341</v>
      </c>
      <c r="B194" s="116">
        <v>249999</v>
      </c>
      <c r="C194" s="133">
        <v>6.249975E-2</v>
      </c>
      <c r="D194" s="133">
        <v>0.3</v>
      </c>
      <c r="E194" s="112" t="s">
        <v>1726</v>
      </c>
    </row>
    <row r="195" spans="1:5" x14ac:dyDescent="0.3">
      <c r="A195" s="112" t="s">
        <v>1354</v>
      </c>
      <c r="B195" s="116">
        <v>250000</v>
      </c>
      <c r="C195" s="133">
        <v>6.25E-2</v>
      </c>
      <c r="D195" s="133">
        <v>0.3</v>
      </c>
      <c r="E195" s="112" t="s">
        <v>1726</v>
      </c>
    </row>
    <row r="196" spans="1:5" x14ac:dyDescent="0.3">
      <c r="A196" s="112" t="s">
        <v>1331</v>
      </c>
      <c r="B196" s="116">
        <v>249999.9</v>
      </c>
      <c r="C196" s="133">
        <v>6.2499974999999999E-2</v>
      </c>
      <c r="D196" s="133">
        <v>0.3</v>
      </c>
      <c r="E196" s="112" t="s">
        <v>1726</v>
      </c>
    </row>
    <row r="197" spans="1:5" x14ac:dyDescent="0.3">
      <c r="A197" s="112" t="s">
        <v>1337</v>
      </c>
      <c r="B197" s="116">
        <v>249999.60000000003</v>
      </c>
      <c r="C197" s="133">
        <v>6.2499900000000011E-2</v>
      </c>
      <c r="D197" s="133">
        <v>0.3</v>
      </c>
      <c r="E197" s="112" t="s">
        <v>1726</v>
      </c>
    </row>
    <row r="198" spans="1:5" x14ac:dyDescent="0.3">
      <c r="A198" s="112" t="s">
        <v>1335</v>
      </c>
      <c r="B198" s="116">
        <v>250000</v>
      </c>
      <c r="C198" s="133">
        <v>6.25E-2</v>
      </c>
      <c r="D198" s="133">
        <v>0.3</v>
      </c>
      <c r="E198" s="112" t="s">
        <v>1726</v>
      </c>
    </row>
    <row r="199" spans="1:5" x14ac:dyDescent="0.3">
      <c r="A199" s="112" t="s">
        <v>1353</v>
      </c>
      <c r="B199" s="116">
        <v>250000.5</v>
      </c>
      <c r="C199" s="133">
        <v>6.2500125000000004E-2</v>
      </c>
      <c r="D199" s="133">
        <v>0.3</v>
      </c>
      <c r="E199" s="112" t="s">
        <v>1726</v>
      </c>
    </row>
    <row r="200" spans="1:5" x14ac:dyDescent="0.3">
      <c r="A200" s="112" t="s">
        <v>1348</v>
      </c>
      <c r="B200" s="116">
        <v>250000.5</v>
      </c>
      <c r="C200" s="133">
        <v>6.2500125000000004E-2</v>
      </c>
      <c r="D200" s="133">
        <v>0.3</v>
      </c>
      <c r="E200" s="112" t="s">
        <v>1726</v>
      </c>
    </row>
    <row r="201" spans="1:5" x14ac:dyDescent="0.3">
      <c r="A201" s="112" t="s">
        <v>1351</v>
      </c>
      <c r="B201" s="116">
        <v>250000.80000000002</v>
      </c>
      <c r="C201" s="133">
        <v>6.2500200000000006E-2</v>
      </c>
      <c r="D201" s="133">
        <v>0.3</v>
      </c>
      <c r="E201" s="112" t="s">
        <v>1726</v>
      </c>
    </row>
    <row r="202" spans="1:5" x14ac:dyDescent="0.3">
      <c r="A202" s="112" t="s">
        <v>1345</v>
      </c>
      <c r="B202" s="116">
        <v>250000</v>
      </c>
      <c r="C202" s="133">
        <v>6.25E-2</v>
      </c>
      <c r="D202" s="133">
        <v>0.3</v>
      </c>
      <c r="E202" s="112" t="s">
        <v>1726</v>
      </c>
    </row>
    <row r="203" spans="1:5" x14ac:dyDescent="0.3">
      <c r="A203" s="112" t="s">
        <v>1343</v>
      </c>
      <c r="B203" s="116">
        <v>249999.45</v>
      </c>
      <c r="C203" s="133">
        <v>6.2499862500000003E-2</v>
      </c>
      <c r="D203" s="133">
        <v>0.3</v>
      </c>
      <c r="E203" s="112" t="s">
        <v>1726</v>
      </c>
    </row>
    <row r="204" spans="1:5" x14ac:dyDescent="0.3">
      <c r="A204" s="112" t="s">
        <v>1327</v>
      </c>
      <c r="B204" s="116">
        <v>250000.5</v>
      </c>
      <c r="C204" s="133">
        <v>6.2500125000000004E-2</v>
      </c>
      <c r="D204" s="133">
        <v>0.3</v>
      </c>
      <c r="E204" s="112" t="s">
        <v>1726</v>
      </c>
    </row>
  </sheetData>
  <mergeCells count="2">
    <mergeCell ref="A117:A118"/>
    <mergeCell ref="B117:B1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B6E2-662B-4DE8-94C1-F0820E239096}">
  <sheetPr codeName="Sheet7"/>
  <dimension ref="A1:CH327"/>
  <sheetViews>
    <sheetView topLeftCell="A128" workbookViewId="0">
      <selection activeCell="B116" sqref="B116"/>
    </sheetView>
  </sheetViews>
  <sheetFormatPr defaultRowHeight="14.4" x14ac:dyDescent="0.3"/>
  <cols>
    <col min="1" max="1" width="51.44140625" bestFit="1" customWidth="1"/>
    <col min="2" max="2" width="48.33203125" customWidth="1"/>
    <col min="3" max="3" width="25.88671875" bestFit="1" customWidth="1"/>
    <col min="4" max="4" width="53.88671875" bestFit="1" customWidth="1"/>
    <col min="5" max="5" width="16.88671875" bestFit="1" customWidth="1"/>
    <col min="6" max="6" width="13.88671875" bestFit="1" customWidth="1"/>
    <col min="7" max="7" width="12.5546875" bestFit="1" customWidth="1"/>
    <col min="8" max="8" width="16.6640625" bestFit="1" customWidth="1"/>
    <col min="9" max="9" width="14.33203125" bestFit="1" customWidth="1"/>
    <col min="10" max="10" width="15.88671875" bestFit="1" customWidth="1"/>
    <col min="11" max="11" width="12.44140625" bestFit="1" customWidth="1"/>
    <col min="12" max="12" width="22.77734375" bestFit="1" customWidth="1"/>
    <col min="13" max="13" width="21.77734375" bestFit="1" customWidth="1"/>
  </cols>
  <sheetData>
    <row r="1" spans="1:19" x14ac:dyDescent="0.3">
      <c r="A1" s="34" t="s">
        <v>1432</v>
      </c>
      <c r="B1" s="34" t="s">
        <v>1584</v>
      </c>
      <c r="C1" s="34" t="s">
        <v>1585</v>
      </c>
      <c r="D1" s="34" t="s">
        <v>1586</v>
      </c>
      <c r="E1" s="34" t="s">
        <v>1408</v>
      </c>
      <c r="F1" s="34" t="s">
        <v>1409</v>
      </c>
      <c r="G1" s="34" t="s">
        <v>1444</v>
      </c>
      <c r="H1" s="34" t="s">
        <v>1587</v>
      </c>
      <c r="I1" s="34" t="s">
        <v>1588</v>
      </c>
      <c r="J1" s="34" t="s">
        <v>1589</v>
      </c>
      <c r="K1" s="34" t="s">
        <v>1590</v>
      </c>
      <c r="L1" s="34" t="s">
        <v>76</v>
      </c>
      <c r="M1" s="34" t="s">
        <v>1591</v>
      </c>
      <c r="N1" s="34" t="s">
        <v>1592</v>
      </c>
      <c r="O1" s="34" t="s">
        <v>1593</v>
      </c>
      <c r="P1" s="34" t="s">
        <v>1594</v>
      </c>
      <c r="Q1" s="34" t="s">
        <v>1595</v>
      </c>
      <c r="R1" s="34" t="s">
        <v>1596</v>
      </c>
      <c r="S1" s="34" t="s">
        <v>1429</v>
      </c>
    </row>
    <row r="2" spans="1:19" x14ac:dyDescent="0.3">
      <c r="A2" s="34">
        <v>109</v>
      </c>
      <c r="B2" s="34">
        <v>1</v>
      </c>
      <c r="C2" s="34" t="s">
        <v>1816</v>
      </c>
      <c r="D2" s="34">
        <v>6000000</v>
      </c>
      <c r="E2" s="34" t="s">
        <v>123</v>
      </c>
      <c r="F2" s="34" t="s">
        <v>123</v>
      </c>
      <c r="G2" s="34" t="s">
        <v>1330</v>
      </c>
      <c r="H2" s="34" t="s">
        <v>123</v>
      </c>
      <c r="I2" s="34" t="s">
        <v>123</v>
      </c>
      <c r="J2" s="35">
        <v>46203</v>
      </c>
      <c r="K2" s="34" t="s">
        <v>1817</v>
      </c>
      <c r="L2" s="35">
        <v>46203.66350949074</v>
      </c>
      <c r="M2" s="34">
        <v>1</v>
      </c>
      <c r="N2" s="34">
        <v>0</v>
      </c>
      <c r="O2" s="34" t="s">
        <v>1599</v>
      </c>
      <c r="P2" s="34" t="s">
        <v>1600</v>
      </c>
      <c r="Q2" s="34">
        <v>5109504</v>
      </c>
      <c r="R2" s="34" t="s">
        <v>123</v>
      </c>
      <c r="S2" s="34">
        <v>109</v>
      </c>
    </row>
    <row r="4" spans="1:19" x14ac:dyDescent="0.3">
      <c r="A4" s="34" t="s">
        <v>1601</v>
      </c>
      <c r="B4" s="34" t="s">
        <v>1602</v>
      </c>
      <c r="C4" s="34" t="s">
        <v>1603</v>
      </c>
      <c r="D4" s="34" t="s">
        <v>1604</v>
      </c>
      <c r="E4" s="34" t="s">
        <v>1605</v>
      </c>
      <c r="F4" s="34" t="s">
        <v>63</v>
      </c>
      <c r="G4" s="34" t="s">
        <v>71</v>
      </c>
      <c r="H4" s="34" t="s">
        <v>1606</v>
      </c>
      <c r="I4" s="34" t="s">
        <v>67</v>
      </c>
      <c r="J4" s="34" t="s">
        <v>1607</v>
      </c>
      <c r="K4" s="34" t="s">
        <v>1608</v>
      </c>
      <c r="L4" s="34" t="s">
        <v>1429</v>
      </c>
      <c r="M4" s="34" t="s">
        <v>1609</v>
      </c>
      <c r="N4" s="34" t="s">
        <v>1610</v>
      </c>
      <c r="O4" s="34" t="s">
        <v>1611</v>
      </c>
      <c r="P4" s="34" t="s">
        <v>1612</v>
      </c>
    </row>
    <row r="5" spans="1:19" x14ac:dyDescent="0.3">
      <c r="A5" s="34">
        <v>92</v>
      </c>
      <c r="B5" s="34">
        <v>1</v>
      </c>
      <c r="C5" s="34">
        <v>1.2E-2</v>
      </c>
      <c r="D5" s="34">
        <v>0</v>
      </c>
      <c r="E5" s="34" t="s">
        <v>1613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3.8E-3</v>
      </c>
      <c r="L5" s="34">
        <v>109</v>
      </c>
      <c r="M5" s="34">
        <v>3.8699999999999998E-2</v>
      </c>
      <c r="N5" s="34">
        <v>0</v>
      </c>
      <c r="O5" s="34">
        <v>0</v>
      </c>
      <c r="P5" s="34">
        <v>0</v>
      </c>
    </row>
    <row r="7" spans="1:19" x14ac:dyDescent="0.3">
      <c r="A7" s="34" t="s">
        <v>1432</v>
      </c>
      <c r="B7" s="34" t="s">
        <v>1584</v>
      </c>
      <c r="C7" s="34" t="s">
        <v>1614</v>
      </c>
      <c r="D7" s="34" t="s">
        <v>1615</v>
      </c>
      <c r="E7" s="34" t="s">
        <v>1616</v>
      </c>
      <c r="F7" s="34" t="s">
        <v>1617</v>
      </c>
      <c r="G7" s="34" t="s">
        <v>1618</v>
      </c>
      <c r="H7" s="34" t="s">
        <v>1619</v>
      </c>
      <c r="I7" s="34" t="s">
        <v>1429</v>
      </c>
    </row>
    <row r="8" spans="1:19" x14ac:dyDescent="0.3">
      <c r="A8" s="34">
        <v>5834</v>
      </c>
      <c r="B8" s="34">
        <v>1</v>
      </c>
      <c r="C8" s="34" t="s">
        <v>1620</v>
      </c>
      <c r="D8" s="34" t="s">
        <v>1621</v>
      </c>
      <c r="E8" s="34">
        <v>0</v>
      </c>
      <c r="F8" s="34">
        <v>0.15</v>
      </c>
      <c r="G8" s="34"/>
      <c r="H8" s="34">
        <v>0</v>
      </c>
      <c r="I8" s="34">
        <v>109</v>
      </c>
    </row>
    <row r="9" spans="1:19" x14ac:dyDescent="0.3">
      <c r="A9" s="34">
        <v>5835</v>
      </c>
      <c r="B9" s="34">
        <v>1</v>
      </c>
      <c r="C9" s="34" t="s">
        <v>1620</v>
      </c>
      <c r="D9" s="34" t="s">
        <v>1622</v>
      </c>
      <c r="E9" s="34">
        <v>0</v>
      </c>
      <c r="F9" s="34">
        <v>0.3</v>
      </c>
      <c r="G9" s="34"/>
      <c r="H9" s="34">
        <v>0</v>
      </c>
      <c r="I9" s="34">
        <v>109</v>
      </c>
    </row>
    <row r="10" spans="1:19" x14ac:dyDescent="0.3">
      <c r="A10" s="34">
        <v>5836</v>
      </c>
      <c r="B10" s="34">
        <v>1</v>
      </c>
      <c r="C10" s="34" t="s">
        <v>1315</v>
      </c>
      <c r="D10" s="34" t="s">
        <v>1344</v>
      </c>
      <c r="E10" s="34">
        <v>0</v>
      </c>
      <c r="F10" s="34">
        <v>0.3</v>
      </c>
      <c r="G10" s="34"/>
      <c r="H10" s="34">
        <v>0</v>
      </c>
      <c r="I10" s="34">
        <v>109</v>
      </c>
    </row>
    <row r="11" spans="1:19" x14ac:dyDescent="0.3">
      <c r="A11" s="34">
        <v>5837</v>
      </c>
      <c r="B11" s="34">
        <v>1</v>
      </c>
      <c r="C11" s="34" t="s">
        <v>1315</v>
      </c>
      <c r="D11" s="34" t="s">
        <v>1342</v>
      </c>
      <c r="E11" s="34">
        <v>0</v>
      </c>
      <c r="F11" s="34">
        <v>0.3</v>
      </c>
      <c r="G11" s="34"/>
      <c r="H11" s="34">
        <v>0</v>
      </c>
      <c r="I11" s="34">
        <v>109</v>
      </c>
    </row>
    <row r="12" spans="1:19" x14ac:dyDescent="0.3">
      <c r="A12" s="34">
        <v>5838</v>
      </c>
      <c r="B12" s="34">
        <v>1</v>
      </c>
      <c r="C12" s="34" t="s">
        <v>1315</v>
      </c>
      <c r="D12" s="34" t="s">
        <v>1339</v>
      </c>
      <c r="E12" s="34">
        <v>0</v>
      </c>
      <c r="F12" s="34">
        <v>0.3</v>
      </c>
      <c r="G12" s="34"/>
      <c r="H12" s="34">
        <v>0</v>
      </c>
      <c r="I12" s="34">
        <v>109</v>
      </c>
    </row>
    <row r="13" spans="1:19" x14ac:dyDescent="0.3">
      <c r="A13" s="34">
        <v>5839</v>
      </c>
      <c r="B13" s="34">
        <v>1</v>
      </c>
      <c r="C13" s="34" t="s">
        <v>1315</v>
      </c>
      <c r="D13" s="34" t="s">
        <v>1341</v>
      </c>
      <c r="E13" s="34">
        <v>0</v>
      </c>
      <c r="F13" s="34">
        <v>0.3</v>
      </c>
      <c r="G13" s="34"/>
      <c r="H13" s="34">
        <v>0</v>
      </c>
      <c r="I13" s="34">
        <v>109</v>
      </c>
    </row>
    <row r="14" spans="1:19" x14ac:dyDescent="0.3">
      <c r="A14" s="34">
        <v>5840</v>
      </c>
      <c r="B14" s="34">
        <v>1</v>
      </c>
      <c r="C14" s="34" t="s">
        <v>1315</v>
      </c>
      <c r="D14" s="34" t="s">
        <v>1331</v>
      </c>
      <c r="E14" s="34">
        <v>0</v>
      </c>
      <c r="F14" s="34">
        <v>0.3</v>
      </c>
      <c r="G14" s="34"/>
      <c r="H14" s="34">
        <v>0</v>
      </c>
      <c r="I14" s="34">
        <v>109</v>
      </c>
    </row>
    <row r="15" spans="1:19" x14ac:dyDescent="0.3">
      <c r="A15" s="34">
        <v>5841</v>
      </c>
      <c r="B15" s="34">
        <v>1</v>
      </c>
      <c r="C15" s="34" t="s">
        <v>1315</v>
      </c>
      <c r="D15" s="34" t="s">
        <v>1337</v>
      </c>
      <c r="E15" s="34">
        <v>0</v>
      </c>
      <c r="F15" s="34">
        <v>0.3</v>
      </c>
      <c r="G15" s="34"/>
      <c r="H15" s="34">
        <v>0</v>
      </c>
      <c r="I15" s="34">
        <v>109</v>
      </c>
    </row>
    <row r="16" spans="1:19" x14ac:dyDescent="0.3">
      <c r="A16" s="34">
        <v>5842</v>
      </c>
      <c r="B16" s="34">
        <v>1</v>
      </c>
      <c r="C16" s="34" t="s">
        <v>1315</v>
      </c>
      <c r="D16" s="34" t="s">
        <v>1335</v>
      </c>
      <c r="E16" s="34">
        <v>0</v>
      </c>
      <c r="F16" s="34">
        <v>0.3</v>
      </c>
      <c r="G16" s="34"/>
      <c r="H16" s="34">
        <v>0</v>
      </c>
      <c r="I16" s="34">
        <v>109</v>
      </c>
    </row>
    <row r="17" spans="1:9" x14ac:dyDescent="0.3">
      <c r="A17" s="34">
        <v>5843</v>
      </c>
      <c r="B17" s="34">
        <v>1</v>
      </c>
      <c r="C17" s="34" t="s">
        <v>1315</v>
      </c>
      <c r="D17" s="34" t="s">
        <v>1345</v>
      </c>
      <c r="E17" s="34">
        <v>0</v>
      </c>
      <c r="F17" s="34">
        <v>0.3</v>
      </c>
      <c r="G17" s="34"/>
      <c r="H17" s="34">
        <v>0</v>
      </c>
      <c r="I17" s="34">
        <v>109</v>
      </c>
    </row>
    <row r="18" spans="1:9" x14ac:dyDescent="0.3">
      <c r="A18" s="34">
        <v>5844</v>
      </c>
      <c r="B18" s="34">
        <v>1</v>
      </c>
      <c r="C18" s="34" t="s">
        <v>1315</v>
      </c>
      <c r="D18" s="34" t="s">
        <v>1343</v>
      </c>
      <c r="E18" s="34">
        <v>0</v>
      </c>
      <c r="F18" s="34">
        <v>0.3</v>
      </c>
      <c r="G18" s="34"/>
      <c r="H18" s="34">
        <v>0</v>
      </c>
      <c r="I18" s="34">
        <v>109</v>
      </c>
    </row>
    <row r="19" spans="1:9" x14ac:dyDescent="0.3">
      <c r="A19" s="34">
        <v>5845</v>
      </c>
      <c r="B19" s="34">
        <v>1</v>
      </c>
      <c r="C19" s="34" t="s">
        <v>1315</v>
      </c>
      <c r="D19" s="34" t="s">
        <v>1327</v>
      </c>
      <c r="E19" s="34">
        <v>0</v>
      </c>
      <c r="F19" s="34">
        <v>0.3</v>
      </c>
      <c r="G19" s="34"/>
      <c r="H19" s="34">
        <v>0</v>
      </c>
      <c r="I19" s="34">
        <v>109</v>
      </c>
    </row>
    <row r="20" spans="1:9" x14ac:dyDescent="0.3">
      <c r="A20" s="34">
        <v>5846</v>
      </c>
      <c r="B20" s="34">
        <v>1</v>
      </c>
      <c r="C20" s="34" t="s">
        <v>1315</v>
      </c>
      <c r="D20" s="34" t="s">
        <v>1348</v>
      </c>
      <c r="E20" s="34">
        <v>0</v>
      </c>
      <c r="F20" s="34">
        <v>0.3</v>
      </c>
      <c r="G20" s="34"/>
      <c r="H20" s="34">
        <v>0</v>
      </c>
      <c r="I20" s="34">
        <v>109</v>
      </c>
    </row>
    <row r="21" spans="1:9" x14ac:dyDescent="0.3">
      <c r="A21" s="34">
        <v>5847</v>
      </c>
      <c r="B21" s="34">
        <v>1</v>
      </c>
      <c r="C21" s="34" t="s">
        <v>1315</v>
      </c>
      <c r="D21" s="34" t="s">
        <v>1351</v>
      </c>
      <c r="E21" s="34">
        <v>0</v>
      </c>
      <c r="F21" s="34">
        <v>0.3</v>
      </c>
      <c r="G21" s="34"/>
      <c r="H21" s="34">
        <v>0</v>
      </c>
      <c r="I21" s="34">
        <v>109</v>
      </c>
    </row>
    <row r="22" spans="1:9" x14ac:dyDescent="0.3">
      <c r="A22" s="34">
        <v>5848</v>
      </c>
      <c r="B22" s="34">
        <v>1</v>
      </c>
      <c r="C22" s="34" t="s">
        <v>1315</v>
      </c>
      <c r="D22" s="34" t="s">
        <v>1352</v>
      </c>
      <c r="E22" s="34">
        <v>0</v>
      </c>
      <c r="F22" s="34">
        <v>0.3</v>
      </c>
      <c r="G22" s="34"/>
      <c r="H22" s="34">
        <v>0</v>
      </c>
      <c r="I22" s="34">
        <v>109</v>
      </c>
    </row>
    <row r="23" spans="1:9" x14ac:dyDescent="0.3">
      <c r="A23" s="34">
        <v>5849</v>
      </c>
      <c r="B23" s="34">
        <v>1</v>
      </c>
      <c r="C23" s="34" t="s">
        <v>1315</v>
      </c>
      <c r="D23" s="34" t="s">
        <v>1353</v>
      </c>
      <c r="E23" s="34">
        <v>0</v>
      </c>
      <c r="F23" s="34">
        <v>0.3</v>
      </c>
      <c r="G23" s="34"/>
      <c r="H23" s="34">
        <v>0</v>
      </c>
      <c r="I23" s="34">
        <v>109</v>
      </c>
    </row>
    <row r="24" spans="1:9" x14ac:dyDescent="0.3">
      <c r="A24" s="34">
        <v>5850</v>
      </c>
      <c r="B24" s="34">
        <v>1</v>
      </c>
      <c r="C24" s="34" t="s">
        <v>1315</v>
      </c>
      <c r="D24" s="34" t="s">
        <v>1354</v>
      </c>
      <c r="E24" s="34">
        <v>0</v>
      </c>
      <c r="F24" s="34">
        <v>0.3</v>
      </c>
      <c r="G24" s="34"/>
      <c r="H24" s="34">
        <v>0</v>
      </c>
      <c r="I24" s="34">
        <v>109</v>
      </c>
    </row>
    <row r="25" spans="1:9" x14ac:dyDescent="0.3">
      <c r="A25" s="34">
        <v>5851</v>
      </c>
      <c r="B25" s="34">
        <v>1</v>
      </c>
      <c r="C25" s="34" t="s">
        <v>1315</v>
      </c>
      <c r="D25" s="34" t="s">
        <v>1357</v>
      </c>
      <c r="E25" s="34">
        <v>0</v>
      </c>
      <c r="F25" s="34">
        <v>0.3</v>
      </c>
      <c r="G25" s="34"/>
      <c r="H25" s="34">
        <v>0</v>
      </c>
      <c r="I25" s="34">
        <v>109</v>
      </c>
    </row>
    <row r="26" spans="1:9" x14ac:dyDescent="0.3">
      <c r="A26" s="34">
        <v>5852</v>
      </c>
      <c r="B26" s="34">
        <v>1</v>
      </c>
      <c r="C26" s="34" t="s">
        <v>1315</v>
      </c>
      <c r="D26" s="34" t="s">
        <v>1358</v>
      </c>
      <c r="E26" s="34">
        <v>0</v>
      </c>
      <c r="F26" s="34">
        <v>0.3</v>
      </c>
      <c r="G26" s="34"/>
      <c r="H26" s="34">
        <v>0</v>
      </c>
      <c r="I26" s="34">
        <v>109</v>
      </c>
    </row>
    <row r="27" spans="1:9" x14ac:dyDescent="0.3">
      <c r="A27" s="34">
        <v>5853</v>
      </c>
      <c r="B27" s="34">
        <v>1</v>
      </c>
      <c r="C27" s="34" t="s">
        <v>1315</v>
      </c>
      <c r="D27" s="34" t="s">
        <v>1359</v>
      </c>
      <c r="E27" s="34">
        <v>0</v>
      </c>
      <c r="F27" s="34">
        <v>0.3</v>
      </c>
      <c r="G27" s="34"/>
      <c r="H27" s="34">
        <v>0</v>
      </c>
      <c r="I27" s="34">
        <v>109</v>
      </c>
    </row>
    <row r="28" spans="1:9" x14ac:dyDescent="0.3">
      <c r="A28" s="34">
        <v>5854</v>
      </c>
      <c r="B28" s="34">
        <v>1</v>
      </c>
      <c r="C28" s="34" t="s">
        <v>1315</v>
      </c>
      <c r="D28" s="34" t="s">
        <v>1360</v>
      </c>
      <c r="E28" s="34">
        <v>0</v>
      </c>
      <c r="F28" s="34">
        <v>0.3</v>
      </c>
      <c r="G28" s="34"/>
      <c r="H28" s="34">
        <v>0</v>
      </c>
      <c r="I28" s="34">
        <v>109</v>
      </c>
    </row>
    <row r="29" spans="1:9" x14ac:dyDescent="0.3">
      <c r="A29" s="34">
        <v>5855</v>
      </c>
      <c r="B29" s="34">
        <v>1</v>
      </c>
      <c r="C29" s="34" t="s">
        <v>1630</v>
      </c>
      <c r="D29" s="34" t="s">
        <v>130</v>
      </c>
      <c r="E29" s="34">
        <v>0</v>
      </c>
      <c r="F29" s="34">
        <v>0.05</v>
      </c>
      <c r="G29" s="34"/>
      <c r="H29" s="34">
        <v>0</v>
      </c>
      <c r="I29" s="34">
        <v>109</v>
      </c>
    </row>
    <row r="30" spans="1:9" x14ac:dyDescent="0.3">
      <c r="A30" s="34">
        <v>5856</v>
      </c>
      <c r="B30" s="34">
        <v>1</v>
      </c>
      <c r="C30" s="34" t="s">
        <v>1630</v>
      </c>
      <c r="D30" s="34" t="s">
        <v>1624</v>
      </c>
      <c r="E30" s="34">
        <v>0</v>
      </c>
      <c r="F30" s="34">
        <v>2.5000000000000001E-2</v>
      </c>
      <c r="G30" s="34"/>
      <c r="H30" s="34">
        <v>0</v>
      </c>
      <c r="I30" s="34">
        <v>109</v>
      </c>
    </row>
    <row r="31" spans="1:9" x14ac:dyDescent="0.3">
      <c r="A31" s="34">
        <v>5857</v>
      </c>
      <c r="B31" s="34">
        <v>1</v>
      </c>
      <c r="C31" s="34" t="s">
        <v>1630</v>
      </c>
      <c r="D31" s="34" t="s">
        <v>1625</v>
      </c>
      <c r="E31" s="34">
        <v>0</v>
      </c>
      <c r="F31" s="34">
        <v>0.4</v>
      </c>
      <c r="G31" s="34"/>
      <c r="H31" s="34">
        <v>0</v>
      </c>
      <c r="I31" s="34">
        <v>109</v>
      </c>
    </row>
    <row r="32" spans="1:9" x14ac:dyDescent="0.3">
      <c r="A32" s="34">
        <v>5858</v>
      </c>
      <c r="B32" s="34">
        <v>1</v>
      </c>
      <c r="C32" s="34" t="s">
        <v>1630</v>
      </c>
      <c r="D32" s="34" t="s">
        <v>1627</v>
      </c>
      <c r="E32" s="34">
        <v>0</v>
      </c>
      <c r="F32" s="34">
        <v>0.4</v>
      </c>
      <c r="G32" s="34"/>
      <c r="H32" s="34">
        <v>0</v>
      </c>
      <c r="I32" s="34">
        <v>109</v>
      </c>
    </row>
    <row r="33" spans="1:9" x14ac:dyDescent="0.3">
      <c r="A33" s="34">
        <v>5859</v>
      </c>
      <c r="B33" s="34">
        <v>1</v>
      </c>
      <c r="C33" s="34" t="s">
        <v>1630</v>
      </c>
      <c r="D33" s="34" t="s">
        <v>1626</v>
      </c>
      <c r="E33" s="34">
        <v>0</v>
      </c>
      <c r="F33" s="34">
        <v>0.05</v>
      </c>
      <c r="G33" s="34"/>
      <c r="H33" s="34">
        <v>0</v>
      </c>
      <c r="I33" s="34">
        <v>109</v>
      </c>
    </row>
    <row r="34" spans="1:9" x14ac:dyDescent="0.3">
      <c r="A34" s="34">
        <v>5860</v>
      </c>
      <c r="B34" s="34">
        <v>1</v>
      </c>
      <c r="C34" s="34" t="s">
        <v>1630</v>
      </c>
      <c r="D34" s="34" t="s">
        <v>1629</v>
      </c>
      <c r="E34" s="34">
        <v>0</v>
      </c>
      <c r="F34" s="34">
        <v>0.1</v>
      </c>
      <c r="G34" s="34"/>
      <c r="H34" s="34">
        <v>0</v>
      </c>
      <c r="I34" s="34">
        <v>109</v>
      </c>
    </row>
    <row r="35" spans="1:9" x14ac:dyDescent="0.3">
      <c r="A35" s="34">
        <v>5861</v>
      </c>
      <c r="B35" s="34">
        <v>1</v>
      </c>
      <c r="C35" s="34" t="s">
        <v>1630</v>
      </c>
      <c r="D35" s="34" t="s">
        <v>1623</v>
      </c>
      <c r="E35" s="34">
        <v>0</v>
      </c>
      <c r="F35" s="34">
        <v>0.1</v>
      </c>
      <c r="G35" s="34"/>
      <c r="H35" s="34">
        <v>0</v>
      </c>
      <c r="I35" s="34">
        <v>109</v>
      </c>
    </row>
    <row r="36" spans="1:9" x14ac:dyDescent="0.3">
      <c r="A36" s="34">
        <v>5862</v>
      </c>
      <c r="B36" s="34">
        <v>1</v>
      </c>
      <c r="C36" s="34" t="s">
        <v>1630</v>
      </c>
      <c r="D36" s="34" t="s">
        <v>1631</v>
      </c>
      <c r="E36" s="34">
        <v>0</v>
      </c>
      <c r="F36" s="34">
        <v>0</v>
      </c>
      <c r="G36" s="34"/>
      <c r="H36" s="34">
        <v>0</v>
      </c>
      <c r="I36" s="34">
        <v>109</v>
      </c>
    </row>
    <row r="37" spans="1:9" x14ac:dyDescent="0.3">
      <c r="A37" s="34">
        <v>5863</v>
      </c>
      <c r="B37" s="34">
        <v>1</v>
      </c>
      <c r="C37" s="34" t="s">
        <v>1632</v>
      </c>
      <c r="D37" s="34" t="s">
        <v>1633</v>
      </c>
      <c r="E37" s="34">
        <v>0</v>
      </c>
      <c r="F37" s="34">
        <v>0.35</v>
      </c>
      <c r="G37" s="34" t="s">
        <v>1634</v>
      </c>
      <c r="H37" s="34">
        <v>100</v>
      </c>
      <c r="I37" s="34">
        <v>109</v>
      </c>
    </row>
    <row r="38" spans="1:9" x14ac:dyDescent="0.3">
      <c r="A38" s="34">
        <v>5864</v>
      </c>
      <c r="B38" s="34">
        <v>1</v>
      </c>
      <c r="C38" s="34" t="s">
        <v>1632</v>
      </c>
      <c r="D38" s="34" t="s">
        <v>1635</v>
      </c>
      <c r="E38" s="34">
        <v>0</v>
      </c>
      <c r="F38" s="34">
        <v>0.3</v>
      </c>
      <c r="G38" s="34" t="s">
        <v>1634</v>
      </c>
      <c r="H38" s="34">
        <v>100</v>
      </c>
      <c r="I38" s="34">
        <v>109</v>
      </c>
    </row>
    <row r="39" spans="1:9" x14ac:dyDescent="0.3">
      <c r="A39" s="34">
        <v>5865</v>
      </c>
      <c r="B39" s="34">
        <v>1</v>
      </c>
      <c r="C39" s="34" t="s">
        <v>1632</v>
      </c>
      <c r="D39" s="34" t="s">
        <v>1636</v>
      </c>
      <c r="E39" s="34">
        <v>0</v>
      </c>
      <c r="F39" s="34">
        <v>0.3</v>
      </c>
      <c r="G39" s="34" t="s">
        <v>1634</v>
      </c>
      <c r="H39" s="34">
        <v>100</v>
      </c>
      <c r="I39" s="34">
        <v>109</v>
      </c>
    </row>
    <row r="40" spans="1:9" x14ac:dyDescent="0.3">
      <c r="A40" s="34">
        <v>5866</v>
      </c>
      <c r="B40" s="34">
        <v>1</v>
      </c>
      <c r="C40" s="34" t="s">
        <v>1632</v>
      </c>
      <c r="D40" s="34" t="s">
        <v>1637</v>
      </c>
      <c r="E40" s="34">
        <v>0</v>
      </c>
      <c r="F40" s="34">
        <v>0.3</v>
      </c>
      <c r="G40" s="34" t="s">
        <v>1634</v>
      </c>
      <c r="H40" s="34">
        <v>100</v>
      </c>
      <c r="I40" s="34">
        <v>109</v>
      </c>
    </row>
    <row r="41" spans="1:9" x14ac:dyDescent="0.3">
      <c r="A41" s="34">
        <v>5867</v>
      </c>
      <c r="B41" s="34">
        <v>1</v>
      </c>
      <c r="C41" s="34" t="s">
        <v>1632</v>
      </c>
      <c r="D41" s="34" t="s">
        <v>1638</v>
      </c>
      <c r="E41" s="34">
        <v>0</v>
      </c>
      <c r="F41" s="34">
        <v>0.3</v>
      </c>
      <c r="G41" s="34" t="s">
        <v>1634</v>
      </c>
      <c r="H41" s="34">
        <v>100</v>
      </c>
      <c r="I41" s="34">
        <v>109</v>
      </c>
    </row>
    <row r="42" spans="1:9" x14ac:dyDescent="0.3">
      <c r="A42" s="34">
        <v>5868</v>
      </c>
      <c r="B42" s="34">
        <v>1</v>
      </c>
      <c r="C42" s="34" t="s">
        <v>1632</v>
      </c>
      <c r="D42" s="34" t="s">
        <v>1639</v>
      </c>
      <c r="E42" s="34">
        <v>0</v>
      </c>
      <c r="F42" s="34">
        <v>0.3</v>
      </c>
      <c r="G42" s="34" t="s">
        <v>1634</v>
      </c>
      <c r="H42" s="34">
        <v>100</v>
      </c>
      <c r="I42" s="34">
        <v>109</v>
      </c>
    </row>
    <row r="43" spans="1:9" x14ac:dyDescent="0.3">
      <c r="A43" s="34">
        <v>5869</v>
      </c>
      <c r="B43" s="34">
        <v>1</v>
      </c>
      <c r="C43" s="34" t="s">
        <v>1632</v>
      </c>
      <c r="D43" s="34" t="s">
        <v>1640</v>
      </c>
      <c r="E43" s="34">
        <v>0</v>
      </c>
      <c r="F43" s="34">
        <v>0.2</v>
      </c>
      <c r="G43" s="34" t="s">
        <v>1634</v>
      </c>
      <c r="H43" s="34">
        <v>100</v>
      </c>
      <c r="I43" s="34">
        <v>109</v>
      </c>
    </row>
    <row r="44" spans="1:9" x14ac:dyDescent="0.3">
      <c r="A44" s="34">
        <v>5870</v>
      </c>
      <c r="B44" s="34">
        <v>1</v>
      </c>
      <c r="C44" s="34" t="s">
        <v>1632</v>
      </c>
      <c r="D44" s="34" t="s">
        <v>1641</v>
      </c>
      <c r="E44" s="34">
        <v>0</v>
      </c>
      <c r="F44" s="34">
        <v>0.2</v>
      </c>
      <c r="G44" s="34" t="s">
        <v>1634</v>
      </c>
      <c r="H44" s="34">
        <v>100</v>
      </c>
      <c r="I44" s="34">
        <v>109</v>
      </c>
    </row>
    <row r="45" spans="1:9" x14ac:dyDescent="0.3">
      <c r="A45" s="34">
        <v>5871</v>
      </c>
      <c r="B45" s="34">
        <v>1</v>
      </c>
      <c r="C45" s="34" t="s">
        <v>1632</v>
      </c>
      <c r="D45" s="34" t="s">
        <v>1642</v>
      </c>
      <c r="E45" s="34">
        <v>0</v>
      </c>
      <c r="F45" s="34">
        <v>0.3</v>
      </c>
      <c r="G45" s="34" t="s">
        <v>1634</v>
      </c>
      <c r="H45" s="34">
        <v>100</v>
      </c>
      <c r="I45" s="34">
        <v>109</v>
      </c>
    </row>
    <row r="46" spans="1:9" x14ac:dyDescent="0.3">
      <c r="A46" s="34">
        <v>5872</v>
      </c>
      <c r="B46" s="34">
        <v>1</v>
      </c>
      <c r="C46" s="34" t="s">
        <v>1632</v>
      </c>
      <c r="D46" s="34" t="s">
        <v>1643</v>
      </c>
      <c r="E46" s="34">
        <v>0</v>
      </c>
      <c r="F46" s="34">
        <v>0.2</v>
      </c>
      <c r="G46" s="34" t="s">
        <v>1634</v>
      </c>
      <c r="H46" s="34">
        <v>100</v>
      </c>
      <c r="I46" s="34">
        <v>109</v>
      </c>
    </row>
    <row r="47" spans="1:9" x14ac:dyDescent="0.3">
      <c r="A47" s="34">
        <v>5873</v>
      </c>
      <c r="B47" s="34">
        <v>1</v>
      </c>
      <c r="C47" s="34" t="s">
        <v>1632</v>
      </c>
      <c r="D47" s="34" t="s">
        <v>1644</v>
      </c>
      <c r="E47" s="34">
        <v>0</v>
      </c>
      <c r="F47" s="34">
        <v>0.15</v>
      </c>
      <c r="G47" s="34" t="s">
        <v>1634</v>
      </c>
      <c r="H47" s="34">
        <v>100</v>
      </c>
      <c r="I47" s="34">
        <v>109</v>
      </c>
    </row>
    <row r="48" spans="1:9" x14ac:dyDescent="0.3">
      <c r="A48" s="34">
        <v>5874</v>
      </c>
      <c r="B48" s="34">
        <v>1</v>
      </c>
      <c r="C48" s="34" t="s">
        <v>1632</v>
      </c>
      <c r="D48" s="34" t="s">
        <v>1645</v>
      </c>
      <c r="E48" s="34">
        <v>0</v>
      </c>
      <c r="F48" s="34">
        <v>0.15</v>
      </c>
      <c r="G48" s="34" t="s">
        <v>1634</v>
      </c>
      <c r="H48" s="34">
        <v>100</v>
      </c>
      <c r="I48" s="34">
        <v>109</v>
      </c>
    </row>
    <row r="49" spans="1:9" x14ac:dyDescent="0.3">
      <c r="A49" s="34">
        <v>5875</v>
      </c>
      <c r="B49" s="34">
        <v>1</v>
      </c>
      <c r="C49" s="34" t="s">
        <v>1632</v>
      </c>
      <c r="D49" s="34" t="s">
        <v>1646</v>
      </c>
      <c r="E49" s="34">
        <v>0</v>
      </c>
      <c r="F49" s="34">
        <v>0.15</v>
      </c>
      <c r="G49" s="34" t="s">
        <v>1634</v>
      </c>
      <c r="H49" s="34">
        <v>100</v>
      </c>
      <c r="I49" s="34">
        <v>109</v>
      </c>
    </row>
    <row r="50" spans="1:9" x14ac:dyDescent="0.3">
      <c r="A50" s="34">
        <v>5876</v>
      </c>
      <c r="B50" s="34">
        <v>1</v>
      </c>
      <c r="C50" s="34" t="s">
        <v>1632</v>
      </c>
      <c r="D50" s="34" t="s">
        <v>1647</v>
      </c>
      <c r="E50" s="34">
        <v>0</v>
      </c>
      <c r="F50" s="34">
        <v>0.15</v>
      </c>
      <c r="G50" s="34" t="s">
        <v>1634</v>
      </c>
      <c r="H50" s="34">
        <v>100</v>
      </c>
      <c r="I50" s="34">
        <v>109</v>
      </c>
    </row>
    <row r="51" spans="1:9" x14ac:dyDescent="0.3">
      <c r="A51" s="34">
        <v>5877</v>
      </c>
      <c r="B51" s="34">
        <v>1</v>
      </c>
      <c r="C51" s="34" t="s">
        <v>1632</v>
      </c>
      <c r="D51" s="34" t="s">
        <v>1633</v>
      </c>
      <c r="E51" s="34">
        <v>0</v>
      </c>
      <c r="F51" s="34">
        <v>0.5</v>
      </c>
      <c r="G51" s="34" t="s">
        <v>1648</v>
      </c>
      <c r="H51" s="34">
        <v>500</v>
      </c>
      <c r="I51" s="34">
        <v>109</v>
      </c>
    </row>
    <row r="52" spans="1:9" x14ac:dyDescent="0.3">
      <c r="A52" s="34">
        <v>5878</v>
      </c>
      <c r="B52" s="34">
        <v>1</v>
      </c>
      <c r="C52" s="34" t="s">
        <v>1632</v>
      </c>
      <c r="D52" s="34" t="s">
        <v>1635</v>
      </c>
      <c r="E52" s="34">
        <v>0</v>
      </c>
      <c r="F52" s="34">
        <v>0.5</v>
      </c>
      <c r="G52" s="34" t="s">
        <v>1648</v>
      </c>
      <c r="H52" s="34">
        <v>500</v>
      </c>
      <c r="I52" s="34">
        <v>109</v>
      </c>
    </row>
    <row r="53" spans="1:9" x14ac:dyDescent="0.3">
      <c r="A53" s="34">
        <v>5879</v>
      </c>
      <c r="B53" s="34">
        <v>1</v>
      </c>
      <c r="C53" s="34" t="s">
        <v>1632</v>
      </c>
      <c r="D53" s="34" t="s">
        <v>1636</v>
      </c>
      <c r="E53" s="34">
        <v>0</v>
      </c>
      <c r="F53" s="34">
        <v>0.5</v>
      </c>
      <c r="G53" s="34" t="s">
        <v>1648</v>
      </c>
      <c r="H53" s="34">
        <v>500</v>
      </c>
      <c r="I53" s="34">
        <v>109</v>
      </c>
    </row>
    <row r="54" spans="1:9" x14ac:dyDescent="0.3">
      <c r="A54" s="34">
        <v>5880</v>
      </c>
      <c r="B54" s="34">
        <v>1</v>
      </c>
      <c r="C54" s="34" t="s">
        <v>1632</v>
      </c>
      <c r="D54" s="34" t="s">
        <v>1637</v>
      </c>
      <c r="E54" s="34">
        <v>0</v>
      </c>
      <c r="F54" s="34">
        <v>0.5</v>
      </c>
      <c r="G54" s="34" t="s">
        <v>1648</v>
      </c>
      <c r="H54" s="34">
        <v>500</v>
      </c>
      <c r="I54" s="34">
        <v>109</v>
      </c>
    </row>
    <row r="55" spans="1:9" x14ac:dyDescent="0.3">
      <c r="A55" s="34">
        <v>5881</v>
      </c>
      <c r="B55" s="34">
        <v>1</v>
      </c>
      <c r="C55" s="34" t="s">
        <v>1632</v>
      </c>
      <c r="D55" s="34" t="s">
        <v>1638</v>
      </c>
      <c r="E55" s="34">
        <v>0</v>
      </c>
      <c r="F55" s="34">
        <v>0.5</v>
      </c>
      <c r="G55" s="34" t="s">
        <v>1648</v>
      </c>
      <c r="H55" s="34">
        <v>500</v>
      </c>
      <c r="I55" s="34">
        <v>109</v>
      </c>
    </row>
    <row r="56" spans="1:9" x14ac:dyDescent="0.3">
      <c r="A56" s="34">
        <v>5882</v>
      </c>
      <c r="B56" s="34">
        <v>1</v>
      </c>
      <c r="C56" s="34" t="s">
        <v>1632</v>
      </c>
      <c r="D56" s="34" t="s">
        <v>1639</v>
      </c>
      <c r="E56" s="34">
        <v>0</v>
      </c>
      <c r="F56" s="34">
        <v>0.5</v>
      </c>
      <c r="G56" s="34" t="s">
        <v>1648</v>
      </c>
      <c r="H56" s="34">
        <v>500</v>
      </c>
      <c r="I56" s="34">
        <v>109</v>
      </c>
    </row>
    <row r="57" spans="1:9" x14ac:dyDescent="0.3">
      <c r="A57" s="34">
        <v>5883</v>
      </c>
      <c r="B57" s="34">
        <v>1</v>
      </c>
      <c r="C57" s="34" t="s">
        <v>1632</v>
      </c>
      <c r="D57" s="34" t="s">
        <v>1640</v>
      </c>
      <c r="E57" s="34">
        <v>0</v>
      </c>
      <c r="F57" s="34">
        <v>0.35</v>
      </c>
      <c r="G57" s="34" t="s">
        <v>1648</v>
      </c>
      <c r="H57" s="34">
        <v>500</v>
      </c>
      <c r="I57" s="34">
        <v>109</v>
      </c>
    </row>
    <row r="58" spans="1:9" x14ac:dyDescent="0.3">
      <c r="A58" s="34">
        <v>5884</v>
      </c>
      <c r="B58" s="34">
        <v>1</v>
      </c>
      <c r="C58" s="34" t="s">
        <v>1632</v>
      </c>
      <c r="D58" s="34" t="s">
        <v>1641</v>
      </c>
      <c r="E58" s="34">
        <v>0</v>
      </c>
      <c r="F58" s="34">
        <v>0.3</v>
      </c>
      <c r="G58" s="34" t="s">
        <v>1648</v>
      </c>
      <c r="H58" s="34">
        <v>500</v>
      </c>
      <c r="I58" s="34">
        <v>109</v>
      </c>
    </row>
    <row r="59" spans="1:9" x14ac:dyDescent="0.3">
      <c r="A59" s="34">
        <v>5885</v>
      </c>
      <c r="B59" s="34">
        <v>1</v>
      </c>
      <c r="C59" s="34" t="s">
        <v>1632</v>
      </c>
      <c r="D59" s="34" t="s">
        <v>1642</v>
      </c>
      <c r="E59" s="34">
        <v>0</v>
      </c>
      <c r="F59" s="34">
        <v>0.5</v>
      </c>
      <c r="G59" s="34" t="s">
        <v>1648</v>
      </c>
      <c r="H59" s="34">
        <v>500</v>
      </c>
      <c r="I59" s="34">
        <v>109</v>
      </c>
    </row>
    <row r="60" spans="1:9" x14ac:dyDescent="0.3">
      <c r="A60" s="34">
        <v>5886</v>
      </c>
      <c r="B60" s="34">
        <v>1</v>
      </c>
      <c r="C60" s="34" t="s">
        <v>1632</v>
      </c>
      <c r="D60" s="34" t="s">
        <v>1643</v>
      </c>
      <c r="E60" s="34">
        <v>0</v>
      </c>
      <c r="F60" s="34">
        <v>0.3</v>
      </c>
      <c r="G60" s="34" t="s">
        <v>1648</v>
      </c>
      <c r="H60" s="34">
        <v>500</v>
      </c>
      <c r="I60" s="34">
        <v>109</v>
      </c>
    </row>
    <row r="61" spans="1:9" x14ac:dyDescent="0.3">
      <c r="A61" s="34">
        <v>5887</v>
      </c>
      <c r="B61" s="34">
        <v>1</v>
      </c>
      <c r="C61" s="34" t="s">
        <v>1632</v>
      </c>
      <c r="D61" s="34" t="s">
        <v>1644</v>
      </c>
      <c r="E61" s="34">
        <v>0</v>
      </c>
      <c r="F61" s="34">
        <v>0.25</v>
      </c>
      <c r="G61" s="34" t="s">
        <v>1648</v>
      </c>
      <c r="H61" s="34">
        <v>500</v>
      </c>
      <c r="I61" s="34">
        <v>109</v>
      </c>
    </row>
    <row r="62" spans="1:9" x14ac:dyDescent="0.3">
      <c r="A62" s="34">
        <v>5888</v>
      </c>
      <c r="B62" s="34">
        <v>1</v>
      </c>
      <c r="C62" s="34" t="s">
        <v>1632</v>
      </c>
      <c r="D62" s="34" t="s">
        <v>1645</v>
      </c>
      <c r="E62" s="34">
        <v>0</v>
      </c>
      <c r="F62" s="34">
        <v>0.25</v>
      </c>
      <c r="G62" s="34" t="s">
        <v>1648</v>
      </c>
      <c r="H62" s="34">
        <v>500</v>
      </c>
      <c r="I62" s="34">
        <v>109</v>
      </c>
    </row>
    <row r="63" spans="1:9" x14ac:dyDescent="0.3">
      <c r="A63" s="34">
        <v>5889</v>
      </c>
      <c r="B63" s="34">
        <v>1</v>
      </c>
      <c r="C63" s="34" t="s">
        <v>1632</v>
      </c>
      <c r="D63" s="34" t="s">
        <v>1646</v>
      </c>
      <c r="E63" s="34">
        <v>0</v>
      </c>
      <c r="F63" s="34">
        <v>0.25</v>
      </c>
      <c r="G63" s="34" t="s">
        <v>1648</v>
      </c>
      <c r="H63" s="34">
        <v>500</v>
      </c>
      <c r="I63" s="34">
        <v>109</v>
      </c>
    </row>
    <row r="64" spans="1:9" x14ac:dyDescent="0.3">
      <c r="A64" s="34">
        <v>5890</v>
      </c>
      <c r="B64" s="34">
        <v>1</v>
      </c>
      <c r="C64" s="34" t="s">
        <v>1632</v>
      </c>
      <c r="D64" s="34" t="s">
        <v>1647</v>
      </c>
      <c r="E64" s="34">
        <v>0</v>
      </c>
      <c r="F64" s="34">
        <v>0.25</v>
      </c>
      <c r="G64" s="34" t="s">
        <v>1648</v>
      </c>
      <c r="H64" s="34">
        <v>500</v>
      </c>
      <c r="I64" s="34">
        <v>109</v>
      </c>
    </row>
    <row r="65" spans="1:9" x14ac:dyDescent="0.3">
      <c r="A65" s="34">
        <v>5891</v>
      </c>
      <c r="B65" s="34">
        <v>1</v>
      </c>
      <c r="C65" s="34" t="s">
        <v>1632</v>
      </c>
      <c r="D65" s="34" t="s">
        <v>1649</v>
      </c>
      <c r="E65" s="34">
        <v>0</v>
      </c>
      <c r="F65" s="34">
        <v>0.4</v>
      </c>
      <c r="G65" s="34" t="s">
        <v>1634</v>
      </c>
      <c r="H65" s="34">
        <v>100</v>
      </c>
      <c r="I65" s="34">
        <v>109</v>
      </c>
    </row>
    <row r="66" spans="1:9" x14ac:dyDescent="0.3">
      <c r="A66" s="34">
        <v>5892</v>
      </c>
      <c r="B66" s="34">
        <v>1</v>
      </c>
      <c r="C66" s="34" t="s">
        <v>1632</v>
      </c>
      <c r="D66" s="34" t="s">
        <v>1649</v>
      </c>
      <c r="E66" s="34">
        <v>0</v>
      </c>
      <c r="F66" s="34">
        <v>0.65</v>
      </c>
      <c r="G66" s="34" t="s">
        <v>1648</v>
      </c>
      <c r="H66" s="34">
        <v>500</v>
      </c>
      <c r="I66" s="34">
        <v>109</v>
      </c>
    </row>
    <row r="67" spans="1:9" x14ac:dyDescent="0.3">
      <c r="A67" s="34">
        <v>5893</v>
      </c>
      <c r="B67" s="34">
        <v>1</v>
      </c>
      <c r="C67" s="34" t="s">
        <v>1632</v>
      </c>
      <c r="D67" s="34" t="s">
        <v>1650</v>
      </c>
      <c r="E67" s="34">
        <v>0</v>
      </c>
      <c r="F67" s="34">
        <v>0.65</v>
      </c>
      <c r="G67" s="34" t="s">
        <v>1648</v>
      </c>
      <c r="H67" s="34">
        <v>500</v>
      </c>
      <c r="I67" s="34">
        <v>109</v>
      </c>
    </row>
    <row r="68" spans="1:9" x14ac:dyDescent="0.3">
      <c r="A68" s="34">
        <v>5894</v>
      </c>
      <c r="B68" s="34">
        <v>1</v>
      </c>
      <c r="C68" s="34" t="s">
        <v>1632</v>
      </c>
      <c r="D68" s="34" t="s">
        <v>1650</v>
      </c>
      <c r="E68" s="34">
        <v>0</v>
      </c>
      <c r="F68" s="34">
        <v>0.4</v>
      </c>
      <c r="G68" s="34" t="s">
        <v>1634</v>
      </c>
      <c r="H68" s="34">
        <v>100</v>
      </c>
      <c r="I68" s="34">
        <v>109</v>
      </c>
    </row>
    <row r="69" spans="1:9" x14ac:dyDescent="0.3">
      <c r="A69" s="34">
        <v>5895</v>
      </c>
      <c r="B69" s="34">
        <v>1</v>
      </c>
      <c r="C69" s="34" t="s">
        <v>1632</v>
      </c>
      <c r="D69" s="34" t="s">
        <v>1651</v>
      </c>
      <c r="E69" s="34">
        <v>0</v>
      </c>
      <c r="F69" s="34">
        <v>0.4</v>
      </c>
      <c r="G69" s="34" t="s">
        <v>1634</v>
      </c>
      <c r="H69" s="34">
        <v>100</v>
      </c>
      <c r="I69" s="34">
        <v>109</v>
      </c>
    </row>
    <row r="70" spans="1:9" x14ac:dyDescent="0.3">
      <c r="A70" s="34">
        <v>5896</v>
      </c>
      <c r="B70" s="34">
        <v>1</v>
      </c>
      <c r="C70" s="34" t="s">
        <v>1632</v>
      </c>
      <c r="D70" s="34" t="s">
        <v>1651</v>
      </c>
      <c r="E70" s="34">
        <v>0</v>
      </c>
      <c r="F70" s="34">
        <v>0.65</v>
      </c>
      <c r="G70" s="34" t="s">
        <v>1648</v>
      </c>
      <c r="H70" s="34">
        <v>500</v>
      </c>
      <c r="I70" s="34">
        <v>109</v>
      </c>
    </row>
    <row r="71" spans="1:9" x14ac:dyDescent="0.3">
      <c r="A71" s="34">
        <v>5897</v>
      </c>
      <c r="B71" s="34">
        <v>1</v>
      </c>
      <c r="C71" s="34" t="s">
        <v>1632</v>
      </c>
      <c r="D71" s="34" t="s">
        <v>1652</v>
      </c>
      <c r="E71" s="34">
        <v>0</v>
      </c>
      <c r="F71" s="34">
        <v>0.65</v>
      </c>
      <c r="G71" s="34" t="s">
        <v>1648</v>
      </c>
      <c r="H71" s="34">
        <v>500</v>
      </c>
      <c r="I71" s="34">
        <v>109</v>
      </c>
    </row>
    <row r="72" spans="1:9" x14ac:dyDescent="0.3">
      <c r="A72" s="34">
        <v>5898</v>
      </c>
      <c r="B72" s="34">
        <v>1</v>
      </c>
      <c r="C72" s="34" t="s">
        <v>1632</v>
      </c>
      <c r="D72" s="34" t="s">
        <v>1652</v>
      </c>
      <c r="E72" s="34">
        <v>0</v>
      </c>
      <c r="F72" s="34">
        <v>0.4</v>
      </c>
      <c r="G72" s="34" t="s">
        <v>1634</v>
      </c>
      <c r="H72" s="34">
        <v>100</v>
      </c>
      <c r="I72" s="34">
        <v>109</v>
      </c>
    </row>
    <row r="73" spans="1:9" x14ac:dyDescent="0.3">
      <c r="A73" s="34">
        <v>5899</v>
      </c>
      <c r="B73" s="34">
        <v>1</v>
      </c>
      <c r="C73" s="34" t="s">
        <v>1632</v>
      </c>
      <c r="D73" s="34" t="s">
        <v>1653</v>
      </c>
      <c r="E73" s="34">
        <v>0</v>
      </c>
      <c r="F73" s="34">
        <v>0.3</v>
      </c>
      <c r="G73" s="34" t="s">
        <v>1634</v>
      </c>
      <c r="H73" s="34">
        <v>100</v>
      </c>
      <c r="I73" s="34">
        <v>109</v>
      </c>
    </row>
    <row r="74" spans="1:9" x14ac:dyDescent="0.3">
      <c r="A74" s="34">
        <v>5900</v>
      </c>
      <c r="B74" s="34">
        <v>1</v>
      </c>
      <c r="C74" s="34" t="s">
        <v>1632</v>
      </c>
      <c r="D74" s="34" t="s">
        <v>1653</v>
      </c>
      <c r="E74" s="34">
        <v>0</v>
      </c>
      <c r="F74" s="34">
        <v>0.45</v>
      </c>
      <c r="G74" s="34" t="s">
        <v>1648</v>
      </c>
      <c r="H74" s="34">
        <v>500</v>
      </c>
      <c r="I74" s="34">
        <v>109</v>
      </c>
    </row>
    <row r="75" spans="1:9" x14ac:dyDescent="0.3">
      <c r="A75" s="34">
        <v>5901</v>
      </c>
      <c r="B75" s="34">
        <v>1</v>
      </c>
      <c r="C75" s="34" t="s">
        <v>1632</v>
      </c>
      <c r="D75" s="34" t="s">
        <v>1654</v>
      </c>
      <c r="E75" s="34">
        <v>0</v>
      </c>
      <c r="F75" s="34">
        <v>0.45</v>
      </c>
      <c r="G75" s="34" t="s">
        <v>1648</v>
      </c>
      <c r="H75" s="34">
        <v>500</v>
      </c>
      <c r="I75" s="34">
        <v>109</v>
      </c>
    </row>
    <row r="76" spans="1:9" x14ac:dyDescent="0.3">
      <c r="A76" s="34">
        <v>5902</v>
      </c>
      <c r="B76" s="34">
        <v>1</v>
      </c>
      <c r="C76" s="34" t="s">
        <v>1632</v>
      </c>
      <c r="D76" s="34" t="s">
        <v>1654</v>
      </c>
      <c r="E76" s="34">
        <v>0</v>
      </c>
      <c r="F76" s="34">
        <v>0.3</v>
      </c>
      <c r="G76" s="34" t="s">
        <v>1634</v>
      </c>
      <c r="H76" s="34">
        <v>100</v>
      </c>
      <c r="I76" s="34">
        <v>109</v>
      </c>
    </row>
    <row r="77" spans="1:9" x14ac:dyDescent="0.3">
      <c r="A77" s="34">
        <v>5903</v>
      </c>
      <c r="B77" s="34">
        <v>1</v>
      </c>
      <c r="C77" s="34" t="s">
        <v>1632</v>
      </c>
      <c r="D77" s="34" t="s">
        <v>1655</v>
      </c>
      <c r="E77" s="34">
        <v>0</v>
      </c>
      <c r="F77" s="34">
        <v>0.3</v>
      </c>
      <c r="G77" s="34" t="s">
        <v>1634</v>
      </c>
      <c r="H77" s="34">
        <v>100</v>
      </c>
      <c r="I77" s="34">
        <v>109</v>
      </c>
    </row>
    <row r="78" spans="1:9" x14ac:dyDescent="0.3">
      <c r="A78" s="34">
        <v>5904</v>
      </c>
      <c r="B78" s="34">
        <v>1</v>
      </c>
      <c r="C78" s="34" t="s">
        <v>1632</v>
      </c>
      <c r="D78" s="34" t="s">
        <v>1655</v>
      </c>
      <c r="E78" s="34">
        <v>0</v>
      </c>
      <c r="F78" s="34">
        <v>0.45</v>
      </c>
      <c r="G78" s="34" t="s">
        <v>1648</v>
      </c>
      <c r="H78" s="34">
        <v>500</v>
      </c>
      <c r="I78" s="34">
        <v>109</v>
      </c>
    </row>
    <row r="79" spans="1:9" x14ac:dyDescent="0.3">
      <c r="A79" s="34">
        <v>5905</v>
      </c>
      <c r="B79" s="34">
        <v>1</v>
      </c>
      <c r="C79" s="34" t="s">
        <v>1632</v>
      </c>
      <c r="D79" s="34" t="s">
        <v>1656</v>
      </c>
      <c r="E79" s="34">
        <v>0</v>
      </c>
      <c r="F79" s="34">
        <v>0.3</v>
      </c>
      <c r="G79" s="34" t="s">
        <v>1634</v>
      </c>
      <c r="H79" s="34">
        <v>100</v>
      </c>
      <c r="I79" s="34">
        <v>109</v>
      </c>
    </row>
    <row r="80" spans="1:9" x14ac:dyDescent="0.3">
      <c r="A80" s="34">
        <v>5906</v>
      </c>
      <c r="B80" s="34">
        <v>1</v>
      </c>
      <c r="C80" s="34" t="s">
        <v>1632</v>
      </c>
      <c r="D80" s="34" t="s">
        <v>1657</v>
      </c>
      <c r="E80" s="34">
        <v>0</v>
      </c>
      <c r="F80" s="34">
        <v>0.2</v>
      </c>
      <c r="G80" s="34" t="s">
        <v>1634</v>
      </c>
      <c r="H80" s="34">
        <v>100</v>
      </c>
      <c r="I80" s="34">
        <v>109</v>
      </c>
    </row>
    <row r="81" spans="1:9" x14ac:dyDescent="0.3">
      <c r="A81" s="34">
        <v>5907</v>
      </c>
      <c r="B81" s="34">
        <v>1</v>
      </c>
      <c r="C81" s="34" t="s">
        <v>1632</v>
      </c>
      <c r="D81" s="34" t="s">
        <v>1658</v>
      </c>
      <c r="E81" s="34">
        <v>0</v>
      </c>
      <c r="F81" s="34">
        <v>0.2</v>
      </c>
      <c r="G81" s="34" t="s">
        <v>1634</v>
      </c>
      <c r="H81" s="34">
        <v>100</v>
      </c>
      <c r="I81" s="34">
        <v>109</v>
      </c>
    </row>
    <row r="82" spans="1:9" x14ac:dyDescent="0.3">
      <c r="A82" s="34">
        <v>5908</v>
      </c>
      <c r="B82" s="34">
        <v>1</v>
      </c>
      <c r="C82" s="34" t="s">
        <v>1632</v>
      </c>
      <c r="D82" s="34" t="s">
        <v>1659</v>
      </c>
      <c r="E82" s="34">
        <v>0</v>
      </c>
      <c r="F82" s="34">
        <v>0.2</v>
      </c>
      <c r="G82" s="34" t="s">
        <v>1634</v>
      </c>
      <c r="H82" s="34">
        <v>100</v>
      </c>
      <c r="I82" s="34">
        <v>109</v>
      </c>
    </row>
    <row r="83" spans="1:9" x14ac:dyDescent="0.3">
      <c r="A83" s="34">
        <v>5909</v>
      </c>
      <c r="B83" s="34">
        <v>1</v>
      </c>
      <c r="C83" s="34" t="s">
        <v>1632</v>
      </c>
      <c r="D83" s="34" t="s">
        <v>1660</v>
      </c>
      <c r="E83" s="34">
        <v>0</v>
      </c>
      <c r="F83" s="34">
        <v>0.2</v>
      </c>
      <c r="G83" s="34" t="s">
        <v>1634</v>
      </c>
      <c r="H83" s="34">
        <v>100</v>
      </c>
      <c r="I83" s="34">
        <v>109</v>
      </c>
    </row>
    <row r="84" spans="1:9" x14ac:dyDescent="0.3">
      <c r="A84" s="34">
        <v>5910</v>
      </c>
      <c r="B84" s="34">
        <v>1</v>
      </c>
      <c r="C84" s="34" t="s">
        <v>1632</v>
      </c>
      <c r="D84" s="34" t="s">
        <v>1656</v>
      </c>
      <c r="E84" s="34">
        <v>0</v>
      </c>
      <c r="F84" s="34">
        <v>0.45</v>
      </c>
      <c r="G84" s="34" t="s">
        <v>1648</v>
      </c>
      <c r="H84" s="34">
        <v>500</v>
      </c>
      <c r="I84" s="34">
        <v>109</v>
      </c>
    </row>
    <row r="85" spans="1:9" x14ac:dyDescent="0.3">
      <c r="A85" s="34">
        <v>5911</v>
      </c>
      <c r="B85" s="34">
        <v>1</v>
      </c>
      <c r="C85" s="34" t="s">
        <v>1632</v>
      </c>
      <c r="D85" s="34" t="s">
        <v>1657</v>
      </c>
      <c r="E85" s="34">
        <v>0</v>
      </c>
      <c r="F85" s="34">
        <v>0.35</v>
      </c>
      <c r="G85" s="34" t="s">
        <v>1648</v>
      </c>
      <c r="H85" s="34">
        <v>500</v>
      </c>
      <c r="I85" s="34">
        <v>109</v>
      </c>
    </row>
    <row r="86" spans="1:9" x14ac:dyDescent="0.3">
      <c r="A86" s="34">
        <v>5912</v>
      </c>
      <c r="B86" s="34">
        <v>1</v>
      </c>
      <c r="C86" s="34" t="s">
        <v>1632</v>
      </c>
      <c r="D86" s="34" t="s">
        <v>1658</v>
      </c>
      <c r="E86" s="34">
        <v>0</v>
      </c>
      <c r="F86" s="34">
        <v>0.35</v>
      </c>
      <c r="G86" s="34" t="s">
        <v>1648</v>
      </c>
      <c r="H86" s="34">
        <v>500</v>
      </c>
      <c r="I86" s="34">
        <v>109</v>
      </c>
    </row>
    <row r="87" spans="1:9" x14ac:dyDescent="0.3">
      <c r="A87" s="34">
        <v>5913</v>
      </c>
      <c r="B87" s="34">
        <v>1</v>
      </c>
      <c r="C87" s="34" t="s">
        <v>1632</v>
      </c>
      <c r="D87" s="34" t="s">
        <v>1659</v>
      </c>
      <c r="E87" s="34">
        <v>0</v>
      </c>
      <c r="F87" s="34">
        <v>0.35</v>
      </c>
      <c r="G87" s="34" t="s">
        <v>1648</v>
      </c>
      <c r="H87" s="34">
        <v>500</v>
      </c>
      <c r="I87" s="34">
        <v>109</v>
      </c>
    </row>
    <row r="88" spans="1:9" x14ac:dyDescent="0.3">
      <c r="A88" s="34">
        <v>5914</v>
      </c>
      <c r="B88" s="34">
        <v>1</v>
      </c>
      <c r="C88" s="34" t="s">
        <v>1632</v>
      </c>
      <c r="D88" s="34" t="s">
        <v>1660</v>
      </c>
      <c r="E88" s="34">
        <v>0</v>
      </c>
      <c r="F88" s="34">
        <v>0.35</v>
      </c>
      <c r="G88" s="34" t="s">
        <v>1648</v>
      </c>
      <c r="H88" s="34">
        <v>500</v>
      </c>
      <c r="I88" s="34">
        <v>109</v>
      </c>
    </row>
    <row r="89" spans="1:9" x14ac:dyDescent="0.3">
      <c r="A89" s="34">
        <v>5915</v>
      </c>
      <c r="B89" s="34">
        <v>1</v>
      </c>
      <c r="C89" s="34" t="s">
        <v>1632</v>
      </c>
      <c r="D89" s="34" t="s">
        <v>1661</v>
      </c>
      <c r="E89" s="34">
        <v>0</v>
      </c>
      <c r="F89" s="34">
        <v>0.45</v>
      </c>
      <c r="G89" s="34" t="s">
        <v>1634</v>
      </c>
      <c r="H89" s="34">
        <v>100</v>
      </c>
      <c r="I89" s="34">
        <v>109</v>
      </c>
    </row>
    <row r="90" spans="1:9" x14ac:dyDescent="0.3">
      <c r="A90" s="34">
        <v>5916</v>
      </c>
      <c r="B90" s="34">
        <v>1</v>
      </c>
      <c r="C90" s="34" t="s">
        <v>1632</v>
      </c>
      <c r="D90" s="34" t="s">
        <v>1661</v>
      </c>
      <c r="E90" s="34">
        <v>0</v>
      </c>
      <c r="F90" s="34">
        <v>0.45</v>
      </c>
      <c r="G90" s="34" t="s">
        <v>1648</v>
      </c>
      <c r="H90" s="34">
        <v>500</v>
      </c>
      <c r="I90" s="34">
        <v>109</v>
      </c>
    </row>
    <row r="91" spans="1:9" x14ac:dyDescent="0.3">
      <c r="A91" s="34">
        <v>5917</v>
      </c>
      <c r="B91" s="34">
        <v>1</v>
      </c>
      <c r="C91" s="34" t="s">
        <v>1662</v>
      </c>
      <c r="D91" s="34" t="s">
        <v>130</v>
      </c>
      <c r="E91" s="34">
        <v>0</v>
      </c>
      <c r="F91" s="34">
        <v>0.5</v>
      </c>
      <c r="G91" s="34"/>
      <c r="H91" s="34">
        <v>0</v>
      </c>
      <c r="I91" s="34">
        <v>109</v>
      </c>
    </row>
    <row r="92" spans="1:9" x14ac:dyDescent="0.3">
      <c r="A92" s="34">
        <v>5918</v>
      </c>
      <c r="B92" s="34">
        <v>1</v>
      </c>
      <c r="C92" s="34" t="s">
        <v>1662</v>
      </c>
      <c r="D92" s="34" t="s">
        <v>1624</v>
      </c>
      <c r="E92" s="34">
        <v>0</v>
      </c>
      <c r="F92" s="34">
        <v>0.3</v>
      </c>
      <c r="G92" s="34"/>
      <c r="H92" s="34">
        <v>0</v>
      </c>
      <c r="I92" s="34">
        <v>109</v>
      </c>
    </row>
    <row r="93" spans="1:9" x14ac:dyDescent="0.3">
      <c r="A93" s="34">
        <v>5919</v>
      </c>
      <c r="B93" s="34">
        <v>1</v>
      </c>
      <c r="C93" s="34" t="s">
        <v>1662</v>
      </c>
      <c r="D93" s="34" t="s">
        <v>1625</v>
      </c>
      <c r="E93" s="34">
        <v>0</v>
      </c>
      <c r="F93" s="34">
        <v>0.7</v>
      </c>
      <c r="G93" s="34"/>
      <c r="H93" s="34">
        <v>0</v>
      </c>
      <c r="I93" s="34">
        <v>109</v>
      </c>
    </row>
    <row r="94" spans="1:9" x14ac:dyDescent="0.3">
      <c r="A94" s="34">
        <v>5920</v>
      </c>
      <c r="B94" s="34">
        <v>1</v>
      </c>
      <c r="C94" s="34" t="s">
        <v>1662</v>
      </c>
      <c r="D94" s="34" t="s">
        <v>1627</v>
      </c>
      <c r="E94" s="34">
        <v>0</v>
      </c>
      <c r="F94" s="34">
        <v>0.7</v>
      </c>
      <c r="G94" s="34"/>
      <c r="H94" s="34">
        <v>0</v>
      </c>
      <c r="I94" s="34">
        <v>109</v>
      </c>
    </row>
    <row r="95" spans="1:9" x14ac:dyDescent="0.3">
      <c r="A95" s="34">
        <v>5921</v>
      </c>
      <c r="B95" s="34">
        <v>1</v>
      </c>
      <c r="C95" s="34" t="s">
        <v>1662</v>
      </c>
      <c r="D95" s="34" t="s">
        <v>1626</v>
      </c>
      <c r="E95" s="34">
        <v>0</v>
      </c>
      <c r="F95" s="34">
        <v>0.3</v>
      </c>
      <c r="G95" s="34"/>
      <c r="H95" s="34">
        <v>0</v>
      </c>
      <c r="I95" s="34">
        <v>109</v>
      </c>
    </row>
    <row r="96" spans="1:9" x14ac:dyDescent="0.3">
      <c r="A96" s="34">
        <v>5922</v>
      </c>
      <c r="B96" s="34">
        <v>1</v>
      </c>
      <c r="C96" s="34" t="s">
        <v>1662</v>
      </c>
      <c r="D96" s="34" t="s">
        <v>1629</v>
      </c>
      <c r="E96" s="34">
        <v>0</v>
      </c>
      <c r="F96" s="34">
        <v>0.75</v>
      </c>
      <c r="G96" s="34"/>
      <c r="H96" s="34">
        <v>0</v>
      </c>
      <c r="I96" s="34">
        <v>109</v>
      </c>
    </row>
    <row r="97" spans="1:81" x14ac:dyDescent="0.3">
      <c r="A97" s="34">
        <v>5923</v>
      </c>
      <c r="B97" s="34">
        <v>1</v>
      </c>
      <c r="C97" s="34" t="s">
        <v>1662</v>
      </c>
      <c r="D97" s="34" t="s">
        <v>1623</v>
      </c>
      <c r="E97" s="34">
        <v>0</v>
      </c>
      <c r="F97" s="34">
        <v>0.15</v>
      </c>
      <c r="G97" s="34"/>
      <c r="H97" s="34">
        <v>0</v>
      </c>
      <c r="I97" s="34">
        <v>109</v>
      </c>
    </row>
    <row r="100" spans="1:81" s="2" customFormat="1" x14ac:dyDescent="0.3">
      <c r="A100" s="134" t="s">
        <v>2</v>
      </c>
      <c r="B100" s="134" t="s">
        <v>3</v>
      </c>
      <c r="C100" s="134" t="s">
        <v>1315</v>
      </c>
      <c r="D100" s="134" t="s">
        <v>1389</v>
      </c>
      <c r="E100" s="134" t="s">
        <v>1390</v>
      </c>
      <c r="F100" s="134" t="s">
        <v>1391</v>
      </c>
      <c r="G100" s="134" t="s">
        <v>1392</v>
      </c>
      <c r="H100" s="134" t="s">
        <v>1393</v>
      </c>
      <c r="I100" s="134" t="s">
        <v>1394</v>
      </c>
      <c r="J100" s="134" t="s">
        <v>1395</v>
      </c>
      <c r="K100" s="134" t="s">
        <v>1396</v>
      </c>
      <c r="L100" s="134" t="s">
        <v>1397</v>
      </c>
      <c r="M100" s="134" t="s">
        <v>1398</v>
      </c>
      <c r="N100" s="134" t="s">
        <v>1399</v>
      </c>
      <c r="O100" s="134" t="s">
        <v>1400</v>
      </c>
      <c r="P100" s="134" t="s">
        <v>1401</v>
      </c>
      <c r="Q100" s="134" t="s">
        <v>1322</v>
      </c>
      <c r="R100" s="134" t="s">
        <v>1402</v>
      </c>
      <c r="S100" s="134" t="s">
        <v>1403</v>
      </c>
      <c r="T100" s="134" t="s">
        <v>1404</v>
      </c>
      <c r="U100" s="134" t="s">
        <v>1405</v>
      </c>
      <c r="V100" s="134" t="s">
        <v>1406</v>
      </c>
      <c r="W100" s="134" t="s">
        <v>1407</v>
      </c>
      <c r="X100" s="134" t="s">
        <v>1408</v>
      </c>
      <c r="Y100" s="134" t="s">
        <v>1409</v>
      </c>
      <c r="Z100" s="134" t="s">
        <v>1410</v>
      </c>
      <c r="AA100" s="134" t="s">
        <v>1411</v>
      </c>
      <c r="AB100" s="134" t="s">
        <v>1412</v>
      </c>
      <c r="AC100" s="134" t="s">
        <v>1413</v>
      </c>
      <c r="AD100" s="134" t="s">
        <v>1414</v>
      </c>
      <c r="AE100" s="134" t="s">
        <v>1415</v>
      </c>
      <c r="AF100" s="134" t="s">
        <v>1416</v>
      </c>
      <c r="AG100" s="134" t="s">
        <v>1417</v>
      </c>
      <c r="AH100" s="134" t="s">
        <v>1418</v>
      </c>
      <c r="AI100" s="134" t="s">
        <v>71</v>
      </c>
      <c r="AJ100" s="134" t="s">
        <v>1419</v>
      </c>
      <c r="AK100" s="134" t="s">
        <v>1420</v>
      </c>
      <c r="AL100" s="134" t="s">
        <v>1421</v>
      </c>
      <c r="AM100" s="134" t="s">
        <v>1422</v>
      </c>
      <c r="AN100" s="134" t="s">
        <v>1423</v>
      </c>
      <c r="AO100" s="134" t="s">
        <v>1424</v>
      </c>
      <c r="AP100" s="134" t="s">
        <v>1425</v>
      </c>
      <c r="AQ100" s="134" t="s">
        <v>1318</v>
      </c>
      <c r="AR100" s="134" t="s">
        <v>1426</v>
      </c>
      <c r="AS100" s="134" t="s">
        <v>1427</v>
      </c>
      <c r="AT100" s="134" t="s">
        <v>1428</v>
      </c>
      <c r="AU100" s="134" t="s">
        <v>1429</v>
      </c>
      <c r="AV100" s="134" t="s">
        <v>1430</v>
      </c>
      <c r="AW100" s="134" t="s">
        <v>1431</v>
      </c>
      <c r="AX100" s="134" t="s">
        <v>1432</v>
      </c>
      <c r="AY100" s="134" t="s">
        <v>1433</v>
      </c>
      <c r="AZ100" s="134" t="s">
        <v>1434</v>
      </c>
      <c r="BA100" s="134" t="s">
        <v>1435</v>
      </c>
      <c r="BB100" s="134" t="s">
        <v>1436</v>
      </c>
      <c r="BC100" s="134" t="s">
        <v>1437</v>
      </c>
      <c r="BD100" s="134" t="s">
        <v>1438</v>
      </c>
      <c r="BE100" s="134" t="s">
        <v>1439</v>
      </c>
      <c r="BF100" s="134" t="s">
        <v>0</v>
      </c>
      <c r="BG100" s="134" t="s">
        <v>1440</v>
      </c>
      <c r="BH100" s="134" t="s">
        <v>1441</v>
      </c>
      <c r="BI100" s="134" t="s">
        <v>14</v>
      </c>
      <c r="BJ100" s="134" t="s">
        <v>13</v>
      </c>
      <c r="BK100" s="134" t="s">
        <v>1316</v>
      </c>
      <c r="BL100" s="134" t="s">
        <v>35</v>
      </c>
      <c r="BM100" s="134" t="s">
        <v>1442</v>
      </c>
      <c r="BN100" s="134" t="s">
        <v>1443</v>
      </c>
      <c r="BO100" s="134" t="s">
        <v>1444</v>
      </c>
      <c r="BP100" s="134" t="s">
        <v>1445</v>
      </c>
      <c r="BQ100" s="134" t="s">
        <v>1446</v>
      </c>
      <c r="BR100" s="134" t="s">
        <v>1447</v>
      </c>
      <c r="BS100" s="134" t="s">
        <v>1448</v>
      </c>
      <c r="BT100" s="134" t="s">
        <v>1449</v>
      </c>
      <c r="BU100" s="134" t="s">
        <v>1450</v>
      </c>
      <c r="BV100" s="134" t="s">
        <v>1321</v>
      </c>
      <c r="BW100" s="134" t="s">
        <v>1451</v>
      </c>
      <c r="BX100" s="134" t="s">
        <v>1452</v>
      </c>
      <c r="BY100" s="134" t="s">
        <v>1317</v>
      </c>
      <c r="BZ100" s="134" t="s">
        <v>1320</v>
      </c>
      <c r="CA100" s="134" t="s">
        <v>1453</v>
      </c>
      <c r="CB100" s="134" t="s">
        <v>1323</v>
      </c>
      <c r="CC100" s="134" t="s">
        <v>1324</v>
      </c>
    </row>
    <row r="101" spans="1:81" hidden="1" x14ac:dyDescent="0.3">
      <c r="A101" s="34" t="s">
        <v>1563</v>
      </c>
      <c r="B101" s="34" t="s">
        <v>711</v>
      </c>
      <c r="C101" s="34" t="s">
        <v>1327</v>
      </c>
      <c r="D101" s="34"/>
      <c r="E101" s="35">
        <v>45405</v>
      </c>
      <c r="F101" s="35">
        <v>47212</v>
      </c>
      <c r="G101" s="34"/>
      <c r="H101" s="34" t="s">
        <v>1325</v>
      </c>
      <c r="I101" s="34">
        <v>0</v>
      </c>
      <c r="J101" s="34">
        <v>150000000</v>
      </c>
      <c r="K101" s="34" t="s">
        <v>123</v>
      </c>
      <c r="L101" s="34" t="s">
        <v>123</v>
      </c>
      <c r="M101" s="34" t="s">
        <v>123</v>
      </c>
      <c r="N101" s="34" t="s">
        <v>123</v>
      </c>
      <c r="O101" s="34">
        <v>101</v>
      </c>
      <c r="P101" s="34">
        <v>1.6666700000000001E-3</v>
      </c>
      <c r="Q101" s="34" t="s">
        <v>123</v>
      </c>
      <c r="R101" s="34" t="s">
        <v>123</v>
      </c>
      <c r="S101" s="34" t="s">
        <v>123</v>
      </c>
      <c r="T101" s="34" t="s">
        <v>123</v>
      </c>
      <c r="U101" s="34" t="s">
        <v>123</v>
      </c>
      <c r="V101" s="34" t="s">
        <v>123</v>
      </c>
      <c r="W101" s="34" t="s">
        <v>123</v>
      </c>
      <c r="X101" s="34" t="s">
        <v>123</v>
      </c>
      <c r="Y101" s="34" t="s">
        <v>123</v>
      </c>
      <c r="Z101" s="34">
        <v>0</v>
      </c>
      <c r="AA101" s="34" t="s">
        <v>123</v>
      </c>
      <c r="AB101" s="34">
        <v>0</v>
      </c>
      <c r="AC101" s="34">
        <v>1</v>
      </c>
      <c r="AD101" s="34" t="s">
        <v>123</v>
      </c>
      <c r="AE101" s="34" t="s">
        <v>123</v>
      </c>
      <c r="AF101" s="34" t="s">
        <v>714</v>
      </c>
      <c r="AG101" s="34" t="s">
        <v>123</v>
      </c>
      <c r="AH101" s="34" t="s">
        <v>123</v>
      </c>
      <c r="AI101" s="34" t="s">
        <v>123</v>
      </c>
      <c r="AJ101" s="34" t="s">
        <v>123</v>
      </c>
      <c r="AK101" s="34" t="s">
        <v>123</v>
      </c>
      <c r="AL101" s="34" t="s">
        <v>123</v>
      </c>
      <c r="AM101" s="34" t="s">
        <v>123</v>
      </c>
      <c r="AN101" s="34" t="s">
        <v>123</v>
      </c>
      <c r="AO101" s="34" t="s">
        <v>123</v>
      </c>
      <c r="AP101" s="34">
        <v>0</v>
      </c>
      <c r="AQ101" s="34" t="s">
        <v>123</v>
      </c>
      <c r="AR101" s="34">
        <v>5.6722120000000001E-2</v>
      </c>
      <c r="AS101" s="34"/>
      <c r="AT101" s="34" t="s">
        <v>123</v>
      </c>
      <c r="AU101" s="34">
        <v>109</v>
      </c>
      <c r="AV101" s="34" t="s">
        <v>1564</v>
      </c>
      <c r="AW101" s="34">
        <v>0</v>
      </c>
      <c r="AX101" s="34">
        <v>1412</v>
      </c>
      <c r="AY101" s="34" t="s">
        <v>1329</v>
      </c>
      <c r="AZ101" s="35">
        <v>45749</v>
      </c>
      <c r="BA101" s="35">
        <v>45749</v>
      </c>
      <c r="BB101" s="34" t="s">
        <v>123</v>
      </c>
      <c r="BC101" s="34" t="s">
        <v>123</v>
      </c>
      <c r="BD101" s="34" t="s">
        <v>123</v>
      </c>
      <c r="BE101" s="34" t="s">
        <v>139</v>
      </c>
      <c r="BF101" s="34">
        <v>151</v>
      </c>
      <c r="BG101" s="34">
        <v>0</v>
      </c>
      <c r="BH101" s="34">
        <v>2.3430280000000001E-2</v>
      </c>
      <c r="BI101" s="34" t="s">
        <v>150</v>
      </c>
      <c r="BJ101" s="34" t="s">
        <v>1328</v>
      </c>
      <c r="BK101" s="34">
        <v>2025</v>
      </c>
      <c r="BL101" s="34" t="s">
        <v>1456</v>
      </c>
      <c r="BM101" s="34"/>
      <c r="BN101" s="34">
        <v>0</v>
      </c>
      <c r="BO101" s="34" t="s">
        <v>1330</v>
      </c>
      <c r="BP101" s="34">
        <v>6.2164799999999999E-2</v>
      </c>
      <c r="BQ101" s="34" t="s">
        <v>1326</v>
      </c>
      <c r="BR101" s="35">
        <v>45749</v>
      </c>
      <c r="BS101" s="34">
        <v>0</v>
      </c>
      <c r="BT101" s="34" t="s">
        <v>123</v>
      </c>
      <c r="BU101" s="34">
        <v>0</v>
      </c>
      <c r="BV101" s="34">
        <v>250000</v>
      </c>
      <c r="BW101" s="34">
        <v>0</v>
      </c>
      <c r="BX101" s="34">
        <v>151</v>
      </c>
      <c r="BY101" s="34">
        <v>0</v>
      </c>
      <c r="BZ101" s="34">
        <v>1</v>
      </c>
      <c r="CA101" s="34" t="s">
        <v>123</v>
      </c>
      <c r="CB101" s="34" t="s">
        <v>123</v>
      </c>
      <c r="CC101" s="34" t="s">
        <v>123</v>
      </c>
    </row>
    <row r="102" spans="1:81" hidden="1" x14ac:dyDescent="0.3">
      <c r="A102" s="34" t="s">
        <v>1565</v>
      </c>
      <c r="B102" s="34" t="s">
        <v>1120</v>
      </c>
      <c r="C102" s="34" t="s">
        <v>1331</v>
      </c>
      <c r="D102" s="34"/>
      <c r="E102" s="35">
        <v>45686</v>
      </c>
      <c r="F102" s="35">
        <v>46850</v>
      </c>
      <c r="G102" s="34"/>
      <c r="H102" s="34" t="s">
        <v>1325</v>
      </c>
      <c r="I102" s="34">
        <v>5000000</v>
      </c>
      <c r="J102" s="34">
        <v>5000000</v>
      </c>
      <c r="K102" s="34" t="s">
        <v>123</v>
      </c>
      <c r="L102" s="34" t="s">
        <v>123</v>
      </c>
      <c r="M102" s="34" t="s">
        <v>123</v>
      </c>
      <c r="N102" s="34" t="s">
        <v>123</v>
      </c>
      <c r="O102" s="34">
        <v>100.2</v>
      </c>
      <c r="P102" s="34">
        <v>8.3333299999999999E-3</v>
      </c>
      <c r="Q102" s="34" t="s">
        <v>123</v>
      </c>
      <c r="R102" s="34" t="s">
        <v>123</v>
      </c>
      <c r="S102" s="34" t="s">
        <v>123</v>
      </c>
      <c r="T102" s="34" t="s">
        <v>123</v>
      </c>
      <c r="U102" s="34" t="s">
        <v>123</v>
      </c>
      <c r="V102" s="34" t="s">
        <v>123</v>
      </c>
      <c r="W102" s="34" t="s">
        <v>123</v>
      </c>
      <c r="X102" s="34" t="s">
        <v>123</v>
      </c>
      <c r="Y102" s="34" t="s">
        <v>123</v>
      </c>
      <c r="Z102" s="34">
        <v>0</v>
      </c>
      <c r="AA102" s="34" t="s">
        <v>123</v>
      </c>
      <c r="AB102" s="34">
        <v>0</v>
      </c>
      <c r="AC102" s="34">
        <v>1</v>
      </c>
      <c r="AD102" s="34" t="s">
        <v>123</v>
      </c>
      <c r="AE102" s="34" t="s">
        <v>123</v>
      </c>
      <c r="AF102" s="34" t="s">
        <v>1121</v>
      </c>
      <c r="AG102" s="34" t="s">
        <v>123</v>
      </c>
      <c r="AH102" s="34" t="s">
        <v>123</v>
      </c>
      <c r="AI102" s="34" t="s">
        <v>123</v>
      </c>
      <c r="AJ102" s="34" t="s">
        <v>123</v>
      </c>
      <c r="AK102" s="34" t="s">
        <v>123</v>
      </c>
      <c r="AL102" s="34" t="s">
        <v>123</v>
      </c>
      <c r="AM102" s="34" t="s">
        <v>123</v>
      </c>
      <c r="AN102" s="34" t="s">
        <v>123</v>
      </c>
      <c r="AO102" s="34" t="s">
        <v>123</v>
      </c>
      <c r="AP102" s="34">
        <v>0</v>
      </c>
      <c r="AQ102" s="34" t="s">
        <v>123</v>
      </c>
      <c r="AR102" s="34">
        <v>0.10367698</v>
      </c>
      <c r="AS102" s="34"/>
      <c r="AT102" s="34" t="s">
        <v>123</v>
      </c>
      <c r="AU102" s="34">
        <v>109</v>
      </c>
      <c r="AV102" s="34" t="s">
        <v>1566</v>
      </c>
      <c r="AW102" s="34">
        <v>0</v>
      </c>
      <c r="AX102" s="34">
        <v>1413</v>
      </c>
      <c r="AY102" s="34" t="s">
        <v>1333</v>
      </c>
      <c r="AZ102" s="35">
        <v>45751</v>
      </c>
      <c r="BA102" s="35">
        <v>45751</v>
      </c>
      <c r="BB102" s="34" t="s">
        <v>123</v>
      </c>
      <c r="BC102" s="34" t="s">
        <v>123</v>
      </c>
      <c r="BD102" s="34" t="s">
        <v>123</v>
      </c>
      <c r="BE102" s="34" t="s">
        <v>1334</v>
      </c>
      <c r="BF102" s="34">
        <v>268</v>
      </c>
      <c r="BG102" s="34">
        <v>0</v>
      </c>
      <c r="BH102" s="34">
        <v>6.6102750000000002E-2</v>
      </c>
      <c r="BI102" s="34" t="s">
        <v>159</v>
      </c>
      <c r="BJ102" s="34" t="s">
        <v>1332</v>
      </c>
      <c r="BK102" s="34">
        <v>2025</v>
      </c>
      <c r="BL102" s="34" t="s">
        <v>1456</v>
      </c>
      <c r="BM102" s="34"/>
      <c r="BN102" s="34">
        <v>0</v>
      </c>
      <c r="BO102" s="34" t="s">
        <v>1330</v>
      </c>
      <c r="BP102" s="34">
        <v>0.10476479</v>
      </c>
      <c r="BQ102" s="34" t="s">
        <v>1326</v>
      </c>
      <c r="BR102" s="35">
        <v>45751</v>
      </c>
      <c r="BS102" s="34">
        <v>0</v>
      </c>
      <c r="BT102" s="34" t="s">
        <v>123</v>
      </c>
      <c r="BU102" s="34">
        <v>0</v>
      </c>
      <c r="BV102" s="34">
        <v>250000</v>
      </c>
      <c r="BW102" s="34">
        <v>0</v>
      </c>
      <c r="BX102" s="34">
        <v>268</v>
      </c>
      <c r="BY102" s="34">
        <v>0</v>
      </c>
      <c r="BZ102" s="34">
        <v>1</v>
      </c>
      <c r="CA102" s="34" t="s">
        <v>123</v>
      </c>
      <c r="CB102" s="34" t="s">
        <v>123</v>
      </c>
      <c r="CC102" s="34" t="s">
        <v>123</v>
      </c>
    </row>
    <row r="103" spans="1:81" hidden="1" x14ac:dyDescent="0.3">
      <c r="A103" s="34" t="s">
        <v>1567</v>
      </c>
      <c r="B103" s="34" t="s">
        <v>668</v>
      </c>
      <c r="C103" s="34" t="s">
        <v>1335</v>
      </c>
      <c r="D103" s="34"/>
      <c r="E103" s="35">
        <v>45252</v>
      </c>
      <c r="F103" s="35">
        <v>46395</v>
      </c>
      <c r="G103" s="34"/>
      <c r="H103" s="34" t="s">
        <v>1325</v>
      </c>
      <c r="I103" s="34">
        <v>0</v>
      </c>
      <c r="J103" s="34">
        <v>600000000</v>
      </c>
      <c r="K103" s="34" t="s">
        <v>123</v>
      </c>
      <c r="L103" s="34" t="s">
        <v>123</v>
      </c>
      <c r="M103" s="34" t="s">
        <v>123</v>
      </c>
      <c r="N103" s="34" t="s">
        <v>123</v>
      </c>
      <c r="O103" s="34">
        <v>102.85</v>
      </c>
      <c r="P103" s="34">
        <v>1.25E-3</v>
      </c>
      <c r="Q103" s="34" t="s">
        <v>123</v>
      </c>
      <c r="R103" s="34" t="s">
        <v>123</v>
      </c>
      <c r="S103" s="34" t="s">
        <v>123</v>
      </c>
      <c r="T103" s="34" t="s">
        <v>123</v>
      </c>
      <c r="U103" s="34" t="s">
        <v>123</v>
      </c>
      <c r="V103" s="34" t="s">
        <v>123</v>
      </c>
      <c r="W103" s="34" t="s">
        <v>123</v>
      </c>
      <c r="X103" s="34" t="s">
        <v>123</v>
      </c>
      <c r="Y103" s="34" t="s">
        <v>123</v>
      </c>
      <c r="Z103" s="34">
        <v>0</v>
      </c>
      <c r="AA103" s="34" t="s">
        <v>123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671</v>
      </c>
      <c r="AG103" s="34" t="s">
        <v>123</v>
      </c>
      <c r="AH103" s="34" t="s">
        <v>123</v>
      </c>
      <c r="AI103" s="34" t="s">
        <v>123</v>
      </c>
      <c r="AJ103" s="34" t="s">
        <v>123</v>
      </c>
      <c r="AK103" s="34" t="s">
        <v>123</v>
      </c>
      <c r="AL103" s="34" t="s">
        <v>123</v>
      </c>
      <c r="AM103" s="34" t="s">
        <v>123</v>
      </c>
      <c r="AN103" s="34" t="s">
        <v>123</v>
      </c>
      <c r="AO103" s="34" t="s">
        <v>123</v>
      </c>
      <c r="AP103" s="34">
        <v>0</v>
      </c>
      <c r="AQ103" s="34" t="s">
        <v>123</v>
      </c>
      <c r="AR103" s="34">
        <v>7.6703099999999996E-2</v>
      </c>
      <c r="AS103" s="34"/>
      <c r="AT103" s="34" t="s">
        <v>123</v>
      </c>
      <c r="AU103" s="34">
        <v>109</v>
      </c>
      <c r="AV103" s="34" t="s">
        <v>1568</v>
      </c>
      <c r="AW103" s="34">
        <v>0</v>
      </c>
      <c r="AX103" s="34">
        <v>1414</v>
      </c>
      <c r="AY103" s="34" t="s">
        <v>1333</v>
      </c>
      <c r="AZ103" s="35">
        <v>45751</v>
      </c>
      <c r="BA103" s="35">
        <v>45751</v>
      </c>
      <c r="BB103" s="34" t="s">
        <v>123</v>
      </c>
      <c r="BC103" s="34" t="s">
        <v>123</v>
      </c>
      <c r="BD103" s="34" t="s">
        <v>123</v>
      </c>
      <c r="BE103" s="34" t="s">
        <v>139</v>
      </c>
      <c r="BF103" s="34">
        <v>138</v>
      </c>
      <c r="BG103" s="34">
        <v>0</v>
      </c>
      <c r="BH103" s="34">
        <v>5.2493049999999999E-2</v>
      </c>
      <c r="BI103" s="34" t="s">
        <v>133</v>
      </c>
      <c r="BJ103" s="34" t="s">
        <v>1336</v>
      </c>
      <c r="BK103" s="34">
        <v>2025</v>
      </c>
      <c r="BL103" s="34" t="s">
        <v>1456</v>
      </c>
      <c r="BM103" s="34"/>
      <c r="BN103" s="34">
        <v>0</v>
      </c>
      <c r="BO103" s="34" t="s">
        <v>1330</v>
      </c>
      <c r="BP103" s="34">
        <v>9.06E-2</v>
      </c>
      <c r="BQ103" s="34" t="s">
        <v>1326</v>
      </c>
      <c r="BR103" s="35">
        <v>45751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138</v>
      </c>
      <c r="BY103" s="34">
        <v>0</v>
      </c>
      <c r="BZ103" s="34">
        <v>1</v>
      </c>
      <c r="CA103" s="34" t="s">
        <v>123</v>
      </c>
      <c r="CB103" s="34" t="s">
        <v>123</v>
      </c>
      <c r="CC103" s="34" t="s">
        <v>123</v>
      </c>
    </row>
    <row r="104" spans="1:81" hidden="1" x14ac:dyDescent="0.3">
      <c r="A104" s="34" t="s">
        <v>1569</v>
      </c>
      <c r="B104" s="34" t="s">
        <v>856</v>
      </c>
      <c r="C104" s="34" t="s">
        <v>1337</v>
      </c>
      <c r="D104" s="34"/>
      <c r="E104" s="35">
        <v>44650</v>
      </c>
      <c r="F104" s="35">
        <v>46119</v>
      </c>
      <c r="G104" s="34"/>
      <c r="H104" s="34" t="s">
        <v>1325</v>
      </c>
      <c r="I104" s="34">
        <v>0</v>
      </c>
      <c r="J104" s="34">
        <v>100000000</v>
      </c>
      <c r="K104" s="34" t="s">
        <v>123</v>
      </c>
      <c r="L104" s="34" t="s">
        <v>123</v>
      </c>
      <c r="M104" s="34" t="s">
        <v>123</v>
      </c>
      <c r="N104" s="34" t="s">
        <v>123</v>
      </c>
      <c r="O104" s="34">
        <v>101</v>
      </c>
      <c r="P104" s="34">
        <v>2.08333E-3</v>
      </c>
      <c r="Q104" s="34" t="s">
        <v>123</v>
      </c>
      <c r="R104" s="34" t="s">
        <v>123</v>
      </c>
      <c r="S104" s="34" t="s">
        <v>123</v>
      </c>
      <c r="T104" s="34" t="s">
        <v>123</v>
      </c>
      <c r="U104" s="34" t="s">
        <v>123</v>
      </c>
      <c r="V104" s="34" t="s">
        <v>123</v>
      </c>
      <c r="W104" s="34" t="s">
        <v>123</v>
      </c>
      <c r="X104" s="34" t="s">
        <v>123</v>
      </c>
      <c r="Y104" s="34" t="s">
        <v>123</v>
      </c>
      <c r="Z104" s="34">
        <v>0</v>
      </c>
      <c r="AA104" s="34" t="s">
        <v>123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858</v>
      </c>
      <c r="AG104" s="34" t="s">
        <v>123</v>
      </c>
      <c r="AH104" s="34" t="s">
        <v>123</v>
      </c>
      <c r="AI104" s="34" t="s">
        <v>123</v>
      </c>
      <c r="AJ104" s="34" t="s">
        <v>123</v>
      </c>
      <c r="AK104" s="34" t="s">
        <v>123</v>
      </c>
      <c r="AL104" s="34" t="s">
        <v>123</v>
      </c>
      <c r="AM104" s="34" t="s">
        <v>123</v>
      </c>
      <c r="AN104" s="34" t="s">
        <v>123</v>
      </c>
      <c r="AO104" s="34" t="s">
        <v>123</v>
      </c>
      <c r="AP104" s="34">
        <v>0</v>
      </c>
      <c r="AQ104" s="34" t="s">
        <v>123</v>
      </c>
      <c r="AR104" s="34">
        <v>5.962858E-2</v>
      </c>
      <c r="AS104" s="34"/>
      <c r="AT104" s="34" t="s">
        <v>123</v>
      </c>
      <c r="AU104" s="34">
        <v>109</v>
      </c>
      <c r="AV104" s="34" t="s">
        <v>1570</v>
      </c>
      <c r="AW104" s="34">
        <v>0</v>
      </c>
      <c r="AX104" s="34">
        <v>1415</v>
      </c>
      <c r="AY104" s="34" t="s">
        <v>1333</v>
      </c>
      <c r="AZ104" s="35">
        <v>45751</v>
      </c>
      <c r="BA104" s="35">
        <v>45751</v>
      </c>
      <c r="BB104" s="34" t="s">
        <v>123</v>
      </c>
      <c r="BC104" s="34" t="s">
        <v>123</v>
      </c>
      <c r="BD104" s="34" t="s">
        <v>123</v>
      </c>
      <c r="BE104" s="34" t="s">
        <v>139</v>
      </c>
      <c r="BF104" s="34">
        <v>196</v>
      </c>
      <c r="BG104" s="34">
        <v>0</v>
      </c>
      <c r="BH104" s="34">
        <v>2.8000799999999999E-2</v>
      </c>
      <c r="BI104" s="34" t="s">
        <v>167</v>
      </c>
      <c r="BJ104" s="34" t="s">
        <v>1338</v>
      </c>
      <c r="BK104" s="34">
        <v>2025</v>
      </c>
      <c r="BL104" s="34" t="s">
        <v>1456</v>
      </c>
      <c r="BM104" s="34"/>
      <c r="BN104" s="34">
        <v>0</v>
      </c>
      <c r="BO104" s="34" t="s">
        <v>1330</v>
      </c>
      <c r="BP104" s="34">
        <v>6.6600000000000006E-2</v>
      </c>
      <c r="BQ104" s="34" t="s">
        <v>1326</v>
      </c>
      <c r="BR104" s="35">
        <v>45751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196</v>
      </c>
      <c r="BY104" s="34">
        <v>0</v>
      </c>
      <c r="BZ104" s="34">
        <v>1</v>
      </c>
      <c r="CA104" s="34" t="s">
        <v>123</v>
      </c>
      <c r="CB104" s="34" t="s">
        <v>123</v>
      </c>
      <c r="CC104" s="34" t="s">
        <v>123</v>
      </c>
    </row>
    <row r="105" spans="1:81" hidden="1" x14ac:dyDescent="0.3">
      <c r="A105" s="34" t="s">
        <v>1454</v>
      </c>
      <c r="B105" s="34" t="s">
        <v>1028</v>
      </c>
      <c r="C105" s="34" t="s">
        <v>1339</v>
      </c>
      <c r="D105" s="34"/>
      <c r="E105" s="35">
        <v>45267</v>
      </c>
      <c r="F105" s="35">
        <v>46363</v>
      </c>
      <c r="G105" s="34"/>
      <c r="H105" s="34" t="s">
        <v>1325</v>
      </c>
      <c r="I105" s="34">
        <v>0</v>
      </c>
      <c r="J105" s="34">
        <v>1000000000</v>
      </c>
      <c r="K105" s="34" t="s">
        <v>123</v>
      </c>
      <c r="L105" s="34" t="s">
        <v>123</v>
      </c>
      <c r="M105" s="34" t="s">
        <v>123</v>
      </c>
      <c r="N105" s="34" t="s">
        <v>123</v>
      </c>
      <c r="O105" s="34">
        <v>103.95</v>
      </c>
      <c r="P105" s="34">
        <v>8.3332999999999996E-4</v>
      </c>
      <c r="Q105" s="34" t="s">
        <v>123</v>
      </c>
      <c r="R105" s="34" t="s">
        <v>123</v>
      </c>
      <c r="S105" s="34" t="s">
        <v>123</v>
      </c>
      <c r="T105" s="34" t="s">
        <v>123</v>
      </c>
      <c r="U105" s="34" t="s">
        <v>123</v>
      </c>
      <c r="V105" s="34" t="s">
        <v>123</v>
      </c>
      <c r="W105" s="34" t="s">
        <v>123</v>
      </c>
      <c r="X105" s="34" t="s">
        <v>123</v>
      </c>
      <c r="Y105" s="34" t="s">
        <v>123</v>
      </c>
      <c r="Z105" s="34">
        <v>0</v>
      </c>
      <c r="AA105" s="34" t="s">
        <v>123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1029</v>
      </c>
      <c r="AG105" s="34" t="s">
        <v>123</v>
      </c>
      <c r="AH105" s="34" t="s">
        <v>123</v>
      </c>
      <c r="AI105" s="34" t="s">
        <v>123</v>
      </c>
      <c r="AJ105" s="34" t="s">
        <v>123</v>
      </c>
      <c r="AK105" s="34" t="s">
        <v>123</v>
      </c>
      <c r="AL105" s="34" t="s">
        <v>123</v>
      </c>
      <c r="AM105" s="34" t="s">
        <v>123</v>
      </c>
      <c r="AN105" s="34" t="s">
        <v>123</v>
      </c>
      <c r="AO105" s="34" t="s">
        <v>123</v>
      </c>
      <c r="AP105" s="34">
        <v>0</v>
      </c>
      <c r="AQ105" s="34" t="s">
        <v>123</v>
      </c>
      <c r="AR105" s="34">
        <v>7.1253140000000006E-2</v>
      </c>
      <c r="AS105" s="34"/>
      <c r="AT105" s="34" t="s">
        <v>123</v>
      </c>
      <c r="AU105" s="34">
        <v>109</v>
      </c>
      <c r="AV105" s="34" t="s">
        <v>1455</v>
      </c>
      <c r="AW105" s="34">
        <v>0</v>
      </c>
      <c r="AX105" s="34">
        <v>1416</v>
      </c>
      <c r="AY105" s="34" t="s">
        <v>1329</v>
      </c>
      <c r="AZ105" s="35">
        <v>45751</v>
      </c>
      <c r="BA105" s="35">
        <v>45751</v>
      </c>
      <c r="BB105" s="34" t="s">
        <v>123</v>
      </c>
      <c r="BC105" s="34" t="s">
        <v>123</v>
      </c>
      <c r="BD105" s="34" t="s">
        <v>123</v>
      </c>
      <c r="BE105" s="34" t="s">
        <v>139</v>
      </c>
      <c r="BF105" s="34">
        <v>243</v>
      </c>
      <c r="BG105" s="34">
        <v>0</v>
      </c>
      <c r="BH105" s="34">
        <v>5.500062E-2</v>
      </c>
      <c r="BI105" s="34" t="s">
        <v>528</v>
      </c>
      <c r="BJ105" s="34" t="s">
        <v>1340</v>
      </c>
      <c r="BK105" s="34">
        <v>2024</v>
      </c>
      <c r="BL105" s="34" t="s">
        <v>1456</v>
      </c>
      <c r="BM105" s="34"/>
      <c r="BN105" s="34">
        <v>0</v>
      </c>
      <c r="BO105" s="34" t="s">
        <v>1330</v>
      </c>
      <c r="BP105" s="34">
        <v>9.3200000000000005E-2</v>
      </c>
      <c r="BQ105" s="34" t="s">
        <v>1326</v>
      </c>
      <c r="BR105" s="35">
        <v>45751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243</v>
      </c>
      <c r="BY105" s="34">
        <v>0</v>
      </c>
      <c r="BZ105" s="34">
        <v>1</v>
      </c>
      <c r="CA105" s="34" t="s">
        <v>123</v>
      </c>
      <c r="CB105" s="34" t="s">
        <v>123</v>
      </c>
      <c r="CC105" s="34" t="s">
        <v>123</v>
      </c>
    </row>
    <row r="106" spans="1:81" hidden="1" x14ac:dyDescent="0.3">
      <c r="A106" s="34" t="s">
        <v>1457</v>
      </c>
      <c r="B106" s="34" t="s">
        <v>625</v>
      </c>
      <c r="C106" s="34" t="s">
        <v>1341</v>
      </c>
      <c r="D106" s="34"/>
      <c r="E106" s="35">
        <v>45693</v>
      </c>
      <c r="F106" s="35">
        <v>46820</v>
      </c>
      <c r="G106" s="34"/>
      <c r="H106" s="34" t="s">
        <v>1325</v>
      </c>
      <c r="I106" s="34">
        <v>0</v>
      </c>
      <c r="J106" s="34">
        <v>300000000</v>
      </c>
      <c r="K106" s="34" t="s">
        <v>123</v>
      </c>
      <c r="L106" s="34" t="s">
        <v>123</v>
      </c>
      <c r="M106" s="34" t="s">
        <v>123</v>
      </c>
      <c r="N106" s="34" t="s">
        <v>123</v>
      </c>
      <c r="O106" s="34">
        <v>100.25</v>
      </c>
      <c r="P106" s="34">
        <v>8.3332999999999996E-4</v>
      </c>
      <c r="Q106" s="34" t="s">
        <v>123</v>
      </c>
      <c r="R106" s="34" t="s">
        <v>123</v>
      </c>
      <c r="S106" s="34" t="s">
        <v>123</v>
      </c>
      <c r="T106" s="34" t="s">
        <v>123</v>
      </c>
      <c r="U106" s="34" t="s">
        <v>123</v>
      </c>
      <c r="V106" s="34" t="s">
        <v>123</v>
      </c>
      <c r="W106" s="34" t="s">
        <v>123</v>
      </c>
      <c r="X106" s="34" t="s">
        <v>123</v>
      </c>
      <c r="Y106" s="34" t="s">
        <v>123</v>
      </c>
      <c r="Z106" s="34">
        <v>0</v>
      </c>
      <c r="AA106" s="34" t="s">
        <v>123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626</v>
      </c>
      <c r="AG106" s="34" t="s">
        <v>123</v>
      </c>
      <c r="AH106" s="34" t="s">
        <v>123</v>
      </c>
      <c r="AI106" s="34" t="s">
        <v>123</v>
      </c>
      <c r="AJ106" s="34" t="s">
        <v>123</v>
      </c>
      <c r="AK106" s="34" t="s">
        <v>123</v>
      </c>
      <c r="AL106" s="34" t="s">
        <v>123</v>
      </c>
      <c r="AM106" s="34" t="s">
        <v>123</v>
      </c>
      <c r="AN106" s="34" t="s">
        <v>123</v>
      </c>
      <c r="AO106" s="34" t="s">
        <v>123</v>
      </c>
      <c r="AP106" s="34">
        <v>0</v>
      </c>
      <c r="AQ106" s="34" t="s">
        <v>123</v>
      </c>
      <c r="AR106" s="34">
        <v>7.558753E-2</v>
      </c>
      <c r="AS106" s="34"/>
      <c r="AT106" s="34" t="s">
        <v>123</v>
      </c>
      <c r="AU106" s="34">
        <v>109</v>
      </c>
      <c r="AV106" s="34" t="s">
        <v>1458</v>
      </c>
      <c r="AW106" s="34">
        <v>0</v>
      </c>
      <c r="AX106" s="34">
        <v>1417</v>
      </c>
      <c r="AY106" s="34" t="s">
        <v>1333</v>
      </c>
      <c r="AZ106" s="35">
        <v>45755</v>
      </c>
      <c r="BA106" s="35">
        <v>45755</v>
      </c>
      <c r="BB106" s="34" t="s">
        <v>123</v>
      </c>
      <c r="BC106" s="34" t="s">
        <v>123</v>
      </c>
      <c r="BD106" s="34" t="s">
        <v>123</v>
      </c>
      <c r="BE106" s="34" t="s">
        <v>139</v>
      </c>
      <c r="BF106" s="34">
        <v>127</v>
      </c>
      <c r="BG106" s="34">
        <v>0</v>
      </c>
      <c r="BH106" s="34">
        <v>3.496664E-2</v>
      </c>
      <c r="BI106" s="34" t="s">
        <v>159</v>
      </c>
      <c r="BJ106" s="34" t="s">
        <v>1336</v>
      </c>
      <c r="BK106" s="34"/>
      <c r="BL106" s="34" t="s">
        <v>1456</v>
      </c>
      <c r="BM106" s="34"/>
      <c r="BN106" s="34">
        <v>0</v>
      </c>
      <c r="BO106" s="34" t="s">
        <v>1330</v>
      </c>
      <c r="BP106" s="34">
        <v>7.3507139999999999E-2</v>
      </c>
      <c r="BQ106" s="34" t="s">
        <v>1326</v>
      </c>
      <c r="BR106" s="35">
        <v>45755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127</v>
      </c>
      <c r="BY106" s="34">
        <v>0</v>
      </c>
      <c r="BZ106" s="34">
        <v>1</v>
      </c>
      <c r="CA106" s="34" t="s">
        <v>123</v>
      </c>
      <c r="CB106" s="34" t="s">
        <v>123</v>
      </c>
      <c r="CC106" s="34" t="s">
        <v>123</v>
      </c>
    </row>
    <row r="107" spans="1:81" hidden="1" x14ac:dyDescent="0.3">
      <c r="A107" s="34" t="s">
        <v>1549</v>
      </c>
      <c r="B107" s="34" t="s">
        <v>1114</v>
      </c>
      <c r="C107" s="34" t="s">
        <v>1342</v>
      </c>
      <c r="D107" s="34"/>
      <c r="E107" s="35">
        <v>45649</v>
      </c>
      <c r="F107" s="35">
        <v>46849</v>
      </c>
      <c r="G107" s="34"/>
      <c r="H107" s="34" t="s">
        <v>1325</v>
      </c>
      <c r="I107" s="34">
        <v>0</v>
      </c>
      <c r="J107" s="34">
        <v>300000000</v>
      </c>
      <c r="K107" s="34" t="s">
        <v>123</v>
      </c>
      <c r="L107" s="34" t="s">
        <v>123</v>
      </c>
      <c r="M107" s="34" t="s">
        <v>123</v>
      </c>
      <c r="N107" s="34" t="s">
        <v>123</v>
      </c>
      <c r="O107" s="34">
        <v>100.65</v>
      </c>
      <c r="P107" s="34">
        <v>1.25E-3</v>
      </c>
      <c r="Q107" s="34" t="s">
        <v>123</v>
      </c>
      <c r="R107" s="34" t="s">
        <v>123</v>
      </c>
      <c r="S107" s="34" t="s">
        <v>123</v>
      </c>
      <c r="T107" s="34" t="s">
        <v>123</v>
      </c>
      <c r="U107" s="34" t="s">
        <v>123</v>
      </c>
      <c r="V107" s="34" t="s">
        <v>123</v>
      </c>
      <c r="W107" s="34" t="s">
        <v>123</v>
      </c>
      <c r="X107" s="34" t="s">
        <v>123</v>
      </c>
      <c r="Y107" s="34" t="s">
        <v>123</v>
      </c>
      <c r="Z107" s="34">
        <v>0</v>
      </c>
      <c r="AA107" s="34" t="s">
        <v>123</v>
      </c>
      <c r="AB107" s="34">
        <v>0</v>
      </c>
      <c r="AC107" s="34">
        <v>1</v>
      </c>
      <c r="AD107" s="34" t="s">
        <v>123</v>
      </c>
      <c r="AE107" s="34" t="s">
        <v>123</v>
      </c>
      <c r="AF107" s="34" t="s">
        <v>1117</v>
      </c>
      <c r="AG107" s="34" t="s">
        <v>123</v>
      </c>
      <c r="AH107" s="34" t="s">
        <v>123</v>
      </c>
      <c r="AI107" s="34" t="s">
        <v>123</v>
      </c>
      <c r="AJ107" s="34" t="s">
        <v>123</v>
      </c>
      <c r="AK107" s="34" t="s">
        <v>123</v>
      </c>
      <c r="AL107" s="34" t="s">
        <v>123</v>
      </c>
      <c r="AM107" s="34" t="s">
        <v>123</v>
      </c>
      <c r="AN107" s="34" t="s">
        <v>123</v>
      </c>
      <c r="AO107" s="34" t="s">
        <v>123</v>
      </c>
      <c r="AP107" s="34">
        <v>0</v>
      </c>
      <c r="AQ107" s="34" t="s">
        <v>123</v>
      </c>
      <c r="AR107" s="34">
        <v>9.0424110000000002E-2</v>
      </c>
      <c r="AS107" s="34"/>
      <c r="AT107" s="34" t="s">
        <v>123</v>
      </c>
      <c r="AU107" s="34">
        <v>109</v>
      </c>
      <c r="AV107" s="34" t="s">
        <v>1550</v>
      </c>
      <c r="AW107" s="34">
        <v>0</v>
      </c>
      <c r="AX107" s="34">
        <v>1418</v>
      </c>
      <c r="AY107" s="34" t="s">
        <v>1333</v>
      </c>
      <c r="AZ107" s="35">
        <v>45755</v>
      </c>
      <c r="BA107" s="35">
        <v>45755</v>
      </c>
      <c r="BB107" s="34" t="s">
        <v>123</v>
      </c>
      <c r="BC107" s="34" t="s">
        <v>123</v>
      </c>
      <c r="BD107" s="34" t="s">
        <v>123</v>
      </c>
      <c r="BE107" s="34" t="s">
        <v>139</v>
      </c>
      <c r="BF107" s="34">
        <v>266</v>
      </c>
      <c r="BG107" s="34">
        <v>0</v>
      </c>
      <c r="BH107" s="34">
        <v>5.1341879999999999E-2</v>
      </c>
      <c r="BI107" s="34" t="s">
        <v>150</v>
      </c>
      <c r="BJ107" s="34" t="s">
        <v>1336</v>
      </c>
      <c r="BK107" s="34">
        <v>2025</v>
      </c>
      <c r="BL107" s="34" t="s">
        <v>1456</v>
      </c>
      <c r="BM107" s="34"/>
      <c r="BN107" s="34">
        <v>0</v>
      </c>
      <c r="BO107" s="34" t="s">
        <v>1330</v>
      </c>
      <c r="BP107" s="34">
        <v>8.9599999999999999E-2</v>
      </c>
      <c r="BQ107" s="34" t="s">
        <v>1326</v>
      </c>
      <c r="BR107" s="35">
        <v>45755</v>
      </c>
      <c r="BS107" s="34">
        <v>0</v>
      </c>
      <c r="BT107" s="34" t="s">
        <v>123</v>
      </c>
      <c r="BU107" s="34">
        <v>0</v>
      </c>
      <c r="BV107" s="34">
        <v>250000</v>
      </c>
      <c r="BW107" s="34">
        <v>0</v>
      </c>
      <c r="BX107" s="34">
        <v>266</v>
      </c>
      <c r="BY107" s="34">
        <v>0</v>
      </c>
      <c r="BZ107" s="34">
        <v>1</v>
      </c>
      <c r="CA107" s="34" t="s">
        <v>123</v>
      </c>
      <c r="CB107" s="34" t="s">
        <v>123</v>
      </c>
      <c r="CC107" s="34" t="s">
        <v>123</v>
      </c>
    </row>
    <row r="108" spans="1:81" hidden="1" x14ac:dyDescent="0.3">
      <c r="A108" s="34" t="s">
        <v>1551</v>
      </c>
      <c r="B108" s="34" t="s">
        <v>963</v>
      </c>
      <c r="C108" s="34" t="s">
        <v>1343</v>
      </c>
      <c r="D108" s="34"/>
      <c r="E108" s="35">
        <v>45300</v>
      </c>
      <c r="F108" s="35">
        <v>46395</v>
      </c>
      <c r="G108" s="34"/>
      <c r="H108" s="34" t="s">
        <v>1325</v>
      </c>
      <c r="I108" s="34">
        <v>0</v>
      </c>
      <c r="J108" s="34">
        <v>400000000</v>
      </c>
      <c r="K108" s="34" t="s">
        <v>123</v>
      </c>
      <c r="L108" s="34" t="s">
        <v>123</v>
      </c>
      <c r="M108" s="34" t="s">
        <v>123</v>
      </c>
      <c r="N108" s="34" t="s">
        <v>123</v>
      </c>
      <c r="O108" s="34">
        <v>102.3</v>
      </c>
      <c r="P108" s="34">
        <v>9.8039000000000004E-4</v>
      </c>
      <c r="Q108" s="34" t="s">
        <v>123</v>
      </c>
      <c r="R108" s="34" t="s">
        <v>123</v>
      </c>
      <c r="S108" s="34" t="s">
        <v>123</v>
      </c>
      <c r="T108" s="34" t="s">
        <v>123</v>
      </c>
      <c r="U108" s="34" t="s">
        <v>123</v>
      </c>
      <c r="V108" s="34" t="s">
        <v>123</v>
      </c>
      <c r="W108" s="34" t="s">
        <v>123</v>
      </c>
      <c r="X108" s="34" t="s">
        <v>123</v>
      </c>
      <c r="Y108" s="34" t="s">
        <v>123</v>
      </c>
      <c r="Z108" s="34">
        <v>0</v>
      </c>
      <c r="AA108" s="34" t="s">
        <v>123</v>
      </c>
      <c r="AB108" s="34">
        <v>0</v>
      </c>
      <c r="AC108" s="34">
        <v>1</v>
      </c>
      <c r="AD108" s="34" t="s">
        <v>123</v>
      </c>
      <c r="AE108" s="34" t="s">
        <v>123</v>
      </c>
      <c r="AF108" s="34" t="s">
        <v>966</v>
      </c>
      <c r="AG108" s="34" t="s">
        <v>123</v>
      </c>
      <c r="AH108" s="34" t="s">
        <v>123</v>
      </c>
      <c r="AI108" s="34" t="s">
        <v>123</v>
      </c>
      <c r="AJ108" s="34" t="s">
        <v>123</v>
      </c>
      <c r="AK108" s="34" t="s">
        <v>123</v>
      </c>
      <c r="AL108" s="34" t="s">
        <v>123</v>
      </c>
      <c r="AM108" s="34" t="s">
        <v>123</v>
      </c>
      <c r="AN108" s="34" t="s">
        <v>123</v>
      </c>
      <c r="AO108" s="34" t="s">
        <v>123</v>
      </c>
      <c r="AP108" s="34">
        <v>0</v>
      </c>
      <c r="AQ108" s="34" t="s">
        <v>123</v>
      </c>
      <c r="AR108" s="34">
        <v>6.7969870000000002E-2</v>
      </c>
      <c r="AS108" s="34"/>
      <c r="AT108" s="34" t="s">
        <v>123</v>
      </c>
      <c r="AU108" s="34">
        <v>109</v>
      </c>
      <c r="AV108" s="34" t="s">
        <v>1552</v>
      </c>
      <c r="AW108" s="34">
        <v>0</v>
      </c>
      <c r="AX108" s="34">
        <v>1419</v>
      </c>
      <c r="AY108" s="34" t="s">
        <v>1333</v>
      </c>
      <c r="AZ108" s="35">
        <v>45756</v>
      </c>
      <c r="BA108" s="35">
        <v>45756</v>
      </c>
      <c r="BB108" s="34" t="s">
        <v>123</v>
      </c>
      <c r="BC108" s="34" t="s">
        <v>123</v>
      </c>
      <c r="BD108" s="34" t="s">
        <v>123</v>
      </c>
      <c r="BE108" s="34" t="s">
        <v>139</v>
      </c>
      <c r="BF108" s="34">
        <v>226</v>
      </c>
      <c r="BG108" s="34">
        <v>0</v>
      </c>
      <c r="BH108" s="34">
        <v>4.0195000000000002E-2</v>
      </c>
      <c r="BI108" s="34" t="s">
        <v>150</v>
      </c>
      <c r="BJ108" s="34" t="s">
        <v>1336</v>
      </c>
      <c r="BK108" s="34">
        <v>2025</v>
      </c>
      <c r="BL108" s="34" t="s">
        <v>1456</v>
      </c>
      <c r="BM108" s="34"/>
      <c r="BN108" s="34">
        <v>0</v>
      </c>
      <c r="BO108" s="34" t="s">
        <v>1330</v>
      </c>
      <c r="BP108" s="34">
        <v>7.85E-2</v>
      </c>
      <c r="BQ108" s="34" t="s">
        <v>1326</v>
      </c>
      <c r="BR108" s="35">
        <v>45756</v>
      </c>
      <c r="BS108" s="34">
        <v>0</v>
      </c>
      <c r="BT108" s="34" t="s">
        <v>123</v>
      </c>
      <c r="BU108" s="34">
        <v>0</v>
      </c>
      <c r="BV108" s="34">
        <v>250000</v>
      </c>
      <c r="BW108" s="34">
        <v>0</v>
      </c>
      <c r="BX108" s="34">
        <v>226</v>
      </c>
      <c r="BY108" s="34">
        <v>0</v>
      </c>
      <c r="BZ108" s="34">
        <v>1</v>
      </c>
      <c r="CA108" s="34" t="s">
        <v>123</v>
      </c>
      <c r="CB108" s="34" t="s">
        <v>123</v>
      </c>
      <c r="CC108" s="34" t="s">
        <v>123</v>
      </c>
    </row>
    <row r="109" spans="1:81" hidden="1" x14ac:dyDescent="0.3">
      <c r="A109" s="34" t="s">
        <v>1459</v>
      </c>
      <c r="B109" s="34" t="s">
        <v>418</v>
      </c>
      <c r="C109" s="34" t="s">
        <v>1344</v>
      </c>
      <c r="D109" s="34"/>
      <c r="E109" s="35">
        <v>45016</v>
      </c>
      <c r="F109" s="35">
        <v>46484</v>
      </c>
      <c r="G109" s="34"/>
      <c r="H109" s="34" t="s">
        <v>1325</v>
      </c>
      <c r="I109" s="34">
        <v>0</v>
      </c>
      <c r="J109" s="34">
        <v>750000000</v>
      </c>
      <c r="K109" s="34" t="s">
        <v>123</v>
      </c>
      <c r="L109" s="34" t="s">
        <v>123</v>
      </c>
      <c r="M109" s="34" t="s">
        <v>123</v>
      </c>
      <c r="N109" s="34" t="s">
        <v>123</v>
      </c>
      <c r="O109" s="34">
        <v>102.6</v>
      </c>
      <c r="P109" s="34">
        <v>2.5000000000000001E-3</v>
      </c>
      <c r="Q109" s="34" t="s">
        <v>123</v>
      </c>
      <c r="R109" s="34" t="s">
        <v>123</v>
      </c>
      <c r="S109" s="34" t="s">
        <v>123</v>
      </c>
      <c r="T109" s="34" t="s">
        <v>123</v>
      </c>
      <c r="U109" s="34" t="s">
        <v>123</v>
      </c>
      <c r="V109" s="34" t="s">
        <v>123</v>
      </c>
      <c r="W109" s="34" t="s">
        <v>123</v>
      </c>
      <c r="X109" s="34" t="s">
        <v>123</v>
      </c>
      <c r="Y109" s="34" t="s">
        <v>123</v>
      </c>
      <c r="Z109" s="34">
        <v>0</v>
      </c>
      <c r="AA109" s="34" t="s">
        <v>123</v>
      </c>
      <c r="AB109" s="34">
        <v>0</v>
      </c>
      <c r="AC109" s="34">
        <v>1</v>
      </c>
      <c r="AD109" s="34" t="s">
        <v>123</v>
      </c>
      <c r="AE109" s="34" t="s">
        <v>123</v>
      </c>
      <c r="AF109" s="34" t="s">
        <v>419</v>
      </c>
      <c r="AG109" s="34" t="s">
        <v>123</v>
      </c>
      <c r="AH109" s="34" t="s">
        <v>123</v>
      </c>
      <c r="AI109" s="34" t="s">
        <v>123</v>
      </c>
      <c r="AJ109" s="34" t="s">
        <v>123</v>
      </c>
      <c r="AK109" s="34" t="s">
        <v>123</v>
      </c>
      <c r="AL109" s="34" t="s">
        <v>123</v>
      </c>
      <c r="AM109" s="34" t="s">
        <v>123</v>
      </c>
      <c r="AN109" s="34" t="s">
        <v>123</v>
      </c>
      <c r="AO109" s="34" t="s">
        <v>123</v>
      </c>
      <c r="AP109" s="34">
        <v>0</v>
      </c>
      <c r="AQ109" s="34" t="s">
        <v>123</v>
      </c>
      <c r="AR109" s="34">
        <v>8.2214540000000003E-2</v>
      </c>
      <c r="AS109" s="34"/>
      <c r="AT109" s="34" t="s">
        <v>123</v>
      </c>
      <c r="AU109" s="34">
        <v>109</v>
      </c>
      <c r="AV109" s="34" t="s">
        <v>1460</v>
      </c>
      <c r="AW109" s="34">
        <v>0</v>
      </c>
      <c r="AX109" s="34">
        <v>1420</v>
      </c>
      <c r="AY109" s="34" t="s">
        <v>1333</v>
      </c>
      <c r="AZ109" s="35">
        <v>45756</v>
      </c>
      <c r="BA109" s="35">
        <v>45756</v>
      </c>
      <c r="BB109" s="34" t="s">
        <v>123</v>
      </c>
      <c r="BC109" s="34" t="s">
        <v>123</v>
      </c>
      <c r="BD109" s="34" t="s">
        <v>123</v>
      </c>
      <c r="BE109" s="34" t="s">
        <v>139</v>
      </c>
      <c r="BF109" s="34">
        <v>65</v>
      </c>
      <c r="BG109" s="34">
        <v>0</v>
      </c>
      <c r="BH109" s="34">
        <v>5.4591849999999997E-2</v>
      </c>
      <c r="BI109" s="34" t="s">
        <v>133</v>
      </c>
      <c r="BJ109" s="34" t="s">
        <v>1336</v>
      </c>
      <c r="BK109" s="34">
        <v>2025</v>
      </c>
      <c r="BL109" s="34" t="s">
        <v>1456</v>
      </c>
      <c r="BM109" s="34"/>
      <c r="BN109" s="34">
        <v>0</v>
      </c>
      <c r="BO109" s="34" t="s">
        <v>1330</v>
      </c>
      <c r="BP109" s="34">
        <v>9.2999999999999999E-2</v>
      </c>
      <c r="BQ109" s="34" t="s">
        <v>1326</v>
      </c>
      <c r="BR109" s="35">
        <v>45756</v>
      </c>
      <c r="BS109" s="34">
        <v>0</v>
      </c>
      <c r="BT109" s="34" t="s">
        <v>123</v>
      </c>
      <c r="BU109" s="34">
        <v>0</v>
      </c>
      <c r="BV109" s="34">
        <v>250000</v>
      </c>
      <c r="BW109" s="34">
        <v>0</v>
      </c>
      <c r="BX109" s="34">
        <v>65</v>
      </c>
      <c r="BY109" s="34">
        <v>0</v>
      </c>
      <c r="BZ109" s="34">
        <v>1</v>
      </c>
      <c r="CA109" s="34" t="s">
        <v>123</v>
      </c>
      <c r="CB109" s="34" t="s">
        <v>123</v>
      </c>
      <c r="CC109" s="34" t="s">
        <v>123</v>
      </c>
    </row>
    <row r="110" spans="1:81" hidden="1" x14ac:dyDescent="0.3">
      <c r="A110" s="34" t="s">
        <v>1461</v>
      </c>
      <c r="B110" s="34" t="s">
        <v>895</v>
      </c>
      <c r="C110" s="34" t="s">
        <v>1345</v>
      </c>
      <c r="D110" s="34"/>
      <c r="E110" s="35">
        <v>45630</v>
      </c>
      <c r="F110" s="35">
        <v>46762</v>
      </c>
      <c r="G110" s="34"/>
      <c r="H110" s="34" t="s">
        <v>1325</v>
      </c>
      <c r="I110" s="34">
        <v>0</v>
      </c>
      <c r="J110" s="34">
        <v>100000000</v>
      </c>
      <c r="K110" s="34" t="s">
        <v>123</v>
      </c>
      <c r="L110" s="34" t="s">
        <v>123</v>
      </c>
      <c r="M110" s="34" t="s">
        <v>123</v>
      </c>
      <c r="N110" s="34" t="s">
        <v>123</v>
      </c>
      <c r="O110" s="34">
        <v>101.6</v>
      </c>
      <c r="P110" s="34">
        <v>2.5000000000000001E-3</v>
      </c>
      <c r="Q110" s="34" t="s">
        <v>123</v>
      </c>
      <c r="R110" s="34" t="s">
        <v>123</v>
      </c>
      <c r="S110" s="34" t="s">
        <v>123</v>
      </c>
      <c r="T110" s="34" t="s">
        <v>123</v>
      </c>
      <c r="U110" s="34" t="s">
        <v>123</v>
      </c>
      <c r="V110" s="34" t="s">
        <v>123</v>
      </c>
      <c r="W110" s="34" t="s">
        <v>123</v>
      </c>
      <c r="X110" s="34" t="s">
        <v>123</v>
      </c>
      <c r="Y110" s="34" t="s">
        <v>123</v>
      </c>
      <c r="Z110" s="34">
        <v>0</v>
      </c>
      <c r="AA110" s="34" t="s">
        <v>123</v>
      </c>
      <c r="AB110" s="34">
        <v>0</v>
      </c>
      <c r="AC110" s="34">
        <v>1</v>
      </c>
      <c r="AD110" s="34" t="s">
        <v>123</v>
      </c>
      <c r="AE110" s="34" t="s">
        <v>123</v>
      </c>
      <c r="AF110" s="34" t="s">
        <v>898</v>
      </c>
      <c r="AG110" s="34" t="s">
        <v>123</v>
      </c>
      <c r="AH110" s="34" t="s">
        <v>123</v>
      </c>
      <c r="AI110" s="34" t="s">
        <v>123</v>
      </c>
      <c r="AJ110" s="34" t="s">
        <v>123</v>
      </c>
      <c r="AK110" s="34" t="s">
        <v>123</v>
      </c>
      <c r="AL110" s="34" t="s">
        <v>123</v>
      </c>
      <c r="AM110" s="34" t="s">
        <v>123</v>
      </c>
      <c r="AN110" s="34" t="s">
        <v>123</v>
      </c>
      <c r="AO110" s="34" t="s">
        <v>123</v>
      </c>
      <c r="AP110" s="34">
        <v>0</v>
      </c>
      <c r="AQ110" s="34" t="s">
        <v>123</v>
      </c>
      <c r="AR110" s="34">
        <v>6.9968119999999995E-2</v>
      </c>
      <c r="AS110" s="34"/>
      <c r="AT110" s="34" t="s">
        <v>123</v>
      </c>
      <c r="AU110" s="34">
        <v>109</v>
      </c>
      <c r="AV110" s="34" t="s">
        <v>1462</v>
      </c>
      <c r="AW110" s="34">
        <v>0</v>
      </c>
      <c r="AX110" s="34">
        <v>1421</v>
      </c>
      <c r="AY110" s="34" t="s">
        <v>1333</v>
      </c>
      <c r="AZ110" s="35">
        <v>45756</v>
      </c>
      <c r="BA110" s="35">
        <v>45756</v>
      </c>
      <c r="BB110" s="34" t="s">
        <v>123</v>
      </c>
      <c r="BC110" s="34" t="s">
        <v>123</v>
      </c>
      <c r="BD110" s="34" t="s">
        <v>123</v>
      </c>
      <c r="BE110" s="34" t="s">
        <v>1347</v>
      </c>
      <c r="BF110" s="34">
        <v>208</v>
      </c>
      <c r="BG110" s="34">
        <v>0</v>
      </c>
      <c r="BH110" s="34">
        <v>3.4997439999999998E-2</v>
      </c>
      <c r="BI110" s="34" t="s">
        <v>150</v>
      </c>
      <c r="BJ110" s="34" t="s">
        <v>1336</v>
      </c>
      <c r="BK110" s="34"/>
      <c r="BL110" s="34" t="s">
        <v>1456</v>
      </c>
      <c r="BM110" s="34"/>
      <c r="BN110" s="34">
        <v>0</v>
      </c>
      <c r="BO110" s="34" t="s">
        <v>1330</v>
      </c>
      <c r="BP110" s="34">
        <v>7.3099999999999998E-2</v>
      </c>
      <c r="BQ110" s="34" t="s">
        <v>1326</v>
      </c>
      <c r="BR110" s="35">
        <v>45756</v>
      </c>
      <c r="BS110" s="34">
        <v>0</v>
      </c>
      <c r="BT110" s="34" t="s">
        <v>123</v>
      </c>
      <c r="BU110" s="34">
        <v>0</v>
      </c>
      <c r="BV110" s="34">
        <v>250000</v>
      </c>
      <c r="BW110" s="34">
        <v>0</v>
      </c>
      <c r="BX110" s="34">
        <v>208</v>
      </c>
      <c r="BY110" s="34">
        <v>0</v>
      </c>
      <c r="BZ110" s="34">
        <v>1</v>
      </c>
      <c r="CA110" s="34" t="s">
        <v>123</v>
      </c>
      <c r="CB110" s="34" t="s">
        <v>123</v>
      </c>
      <c r="CC110" s="34" t="s">
        <v>123</v>
      </c>
    </row>
    <row r="111" spans="1:81" hidden="1" x14ac:dyDescent="0.3">
      <c r="A111" s="34" t="s">
        <v>1463</v>
      </c>
      <c r="B111" s="34" t="s">
        <v>373</v>
      </c>
      <c r="C111" s="34" t="s">
        <v>1348</v>
      </c>
      <c r="D111" s="34"/>
      <c r="E111" s="35">
        <v>45715</v>
      </c>
      <c r="F111" s="35">
        <v>46575</v>
      </c>
      <c r="G111" s="34"/>
      <c r="H111" s="34" t="s">
        <v>1325</v>
      </c>
      <c r="I111" s="34">
        <v>200000000</v>
      </c>
      <c r="J111" s="34">
        <v>200000000</v>
      </c>
      <c r="K111" s="34" t="s">
        <v>123</v>
      </c>
      <c r="L111" s="34" t="s">
        <v>123</v>
      </c>
      <c r="M111" s="34" t="s">
        <v>123</v>
      </c>
      <c r="N111" s="34" t="s">
        <v>123</v>
      </c>
      <c r="O111" s="34">
        <v>100.1</v>
      </c>
      <c r="P111" s="34">
        <v>1.6666700000000001E-3</v>
      </c>
      <c r="Q111" s="34" t="s">
        <v>123</v>
      </c>
      <c r="R111" s="34" t="s">
        <v>123</v>
      </c>
      <c r="S111" s="34" t="s">
        <v>123</v>
      </c>
      <c r="T111" s="34" t="s">
        <v>123</v>
      </c>
      <c r="U111" s="34" t="s">
        <v>123</v>
      </c>
      <c r="V111" s="34" t="s">
        <v>123</v>
      </c>
      <c r="W111" s="34" t="s">
        <v>123</v>
      </c>
      <c r="X111" s="34" t="s">
        <v>123</v>
      </c>
      <c r="Y111" s="34" t="s">
        <v>123</v>
      </c>
      <c r="Z111" s="34">
        <v>0</v>
      </c>
      <c r="AA111" s="34" t="s">
        <v>123</v>
      </c>
      <c r="AB111" s="34">
        <v>0</v>
      </c>
      <c r="AC111" s="34">
        <v>1</v>
      </c>
      <c r="AD111" s="34" t="s">
        <v>123</v>
      </c>
      <c r="AE111" s="34" t="s">
        <v>123</v>
      </c>
      <c r="AF111" s="34" t="s">
        <v>375</v>
      </c>
      <c r="AG111" s="34" t="s">
        <v>123</v>
      </c>
      <c r="AH111" s="34" t="s">
        <v>123</v>
      </c>
      <c r="AI111" s="34" t="s">
        <v>123</v>
      </c>
      <c r="AJ111" s="34" t="s">
        <v>123</v>
      </c>
      <c r="AK111" s="34" t="s">
        <v>123</v>
      </c>
      <c r="AL111" s="34" t="s">
        <v>123</v>
      </c>
      <c r="AM111" s="34" t="s">
        <v>123</v>
      </c>
      <c r="AN111" s="34" t="s">
        <v>123</v>
      </c>
      <c r="AO111" s="34" t="s">
        <v>123</v>
      </c>
      <c r="AP111" s="34">
        <v>0</v>
      </c>
      <c r="AQ111" s="34" t="s">
        <v>123</v>
      </c>
      <c r="AR111" s="34">
        <v>0.13305328999999999</v>
      </c>
      <c r="AS111" s="34"/>
      <c r="AT111" s="34" t="s">
        <v>123</v>
      </c>
      <c r="AU111" s="34">
        <v>109</v>
      </c>
      <c r="AV111" s="34" t="s">
        <v>1464</v>
      </c>
      <c r="AW111" s="34">
        <v>0</v>
      </c>
      <c r="AX111" s="34">
        <v>1422</v>
      </c>
      <c r="AY111" s="34" t="s">
        <v>1350</v>
      </c>
      <c r="AZ111" s="35">
        <v>45758</v>
      </c>
      <c r="BA111" s="35">
        <v>45758</v>
      </c>
      <c r="BB111" s="34" t="s">
        <v>123</v>
      </c>
      <c r="BC111" s="34" t="s">
        <v>123</v>
      </c>
      <c r="BD111" s="34" t="s">
        <v>123</v>
      </c>
      <c r="BE111" s="34" t="s">
        <v>139</v>
      </c>
      <c r="BF111" s="34">
        <v>58</v>
      </c>
      <c r="BG111" s="34">
        <v>0</v>
      </c>
      <c r="BH111" s="34">
        <v>9.4942250000000006E-2</v>
      </c>
      <c r="BI111" s="34" t="s">
        <v>159</v>
      </c>
      <c r="BJ111" s="34" t="s">
        <v>1349</v>
      </c>
      <c r="BK111" s="34"/>
      <c r="BL111" s="34" t="s">
        <v>1456</v>
      </c>
      <c r="BM111" s="34"/>
      <c r="BN111" s="34">
        <v>0</v>
      </c>
      <c r="BO111" s="34" t="s">
        <v>1330</v>
      </c>
      <c r="BP111" s="34">
        <v>0.13366479000000001</v>
      </c>
      <c r="BQ111" s="34" t="s">
        <v>1326</v>
      </c>
      <c r="BR111" s="35">
        <v>45758</v>
      </c>
      <c r="BS111" s="34">
        <v>0</v>
      </c>
      <c r="BT111" s="34" t="s">
        <v>123</v>
      </c>
      <c r="BU111" s="34">
        <v>0</v>
      </c>
      <c r="BV111" s="34">
        <v>250000</v>
      </c>
      <c r="BW111" s="34">
        <v>0</v>
      </c>
      <c r="BX111" s="34">
        <v>58</v>
      </c>
      <c r="BY111" s="34">
        <v>0</v>
      </c>
      <c r="BZ111" s="34">
        <v>1</v>
      </c>
      <c r="CA111" s="34" t="s">
        <v>123</v>
      </c>
      <c r="CB111" s="34" t="s">
        <v>123</v>
      </c>
      <c r="CC111" s="34" t="s">
        <v>123</v>
      </c>
    </row>
    <row r="112" spans="1:81" hidden="1" x14ac:dyDescent="0.3">
      <c r="A112" s="34" t="s">
        <v>1553</v>
      </c>
      <c r="B112" s="34" t="s">
        <v>695</v>
      </c>
      <c r="C112" s="34" t="s">
        <v>1351</v>
      </c>
      <c r="D112" s="34"/>
      <c r="E112" s="35">
        <v>45391</v>
      </c>
      <c r="F112" s="35">
        <v>46545</v>
      </c>
      <c r="G112" s="34"/>
      <c r="H112" s="34" t="s">
        <v>1325</v>
      </c>
      <c r="I112" s="34">
        <v>0</v>
      </c>
      <c r="J112" s="34">
        <v>300000000</v>
      </c>
      <c r="K112" s="34" t="s">
        <v>123</v>
      </c>
      <c r="L112" s="34" t="s">
        <v>123</v>
      </c>
      <c r="M112" s="34" t="s">
        <v>123</v>
      </c>
      <c r="N112" s="34" t="s">
        <v>123</v>
      </c>
      <c r="O112" s="34">
        <v>102.6</v>
      </c>
      <c r="P112" s="34">
        <v>1.1904800000000001E-3</v>
      </c>
      <c r="Q112" s="34" t="s">
        <v>123</v>
      </c>
      <c r="R112" s="34" t="s">
        <v>123</v>
      </c>
      <c r="S112" s="34" t="s">
        <v>123</v>
      </c>
      <c r="T112" s="34" t="s">
        <v>123</v>
      </c>
      <c r="U112" s="34" t="s">
        <v>123</v>
      </c>
      <c r="V112" s="34" t="s">
        <v>123</v>
      </c>
      <c r="W112" s="34" t="s">
        <v>123</v>
      </c>
      <c r="X112" s="34" t="s">
        <v>123</v>
      </c>
      <c r="Y112" s="34" t="s">
        <v>123</v>
      </c>
      <c r="Z112" s="34">
        <v>0</v>
      </c>
      <c r="AA112" s="34" t="s">
        <v>123</v>
      </c>
      <c r="AB112" s="34">
        <v>0</v>
      </c>
      <c r="AC112" s="34">
        <v>1</v>
      </c>
      <c r="AD112" s="34" t="s">
        <v>123</v>
      </c>
      <c r="AE112" s="34" t="s">
        <v>123</v>
      </c>
      <c r="AF112" s="34" t="s">
        <v>697</v>
      </c>
      <c r="AG112" s="34" t="s">
        <v>123</v>
      </c>
      <c r="AH112" s="34" t="s">
        <v>123</v>
      </c>
      <c r="AI112" s="34" t="s">
        <v>123</v>
      </c>
      <c r="AJ112" s="34" t="s">
        <v>123</v>
      </c>
      <c r="AK112" s="34" t="s">
        <v>123</v>
      </c>
      <c r="AL112" s="34" t="s">
        <v>123</v>
      </c>
      <c r="AM112" s="34" t="s">
        <v>123</v>
      </c>
      <c r="AN112" s="34" t="s">
        <v>123</v>
      </c>
      <c r="AO112" s="34" t="s">
        <v>123</v>
      </c>
      <c r="AP112" s="34">
        <v>0</v>
      </c>
      <c r="AQ112" s="34" t="s">
        <v>123</v>
      </c>
      <c r="AR112" s="34">
        <v>0.11921872999999999</v>
      </c>
      <c r="AS112" s="34"/>
      <c r="AT112" s="34" t="s">
        <v>123</v>
      </c>
      <c r="AU112" s="34">
        <v>109</v>
      </c>
      <c r="AV112" s="34" t="s">
        <v>1554</v>
      </c>
      <c r="AW112" s="34">
        <v>0</v>
      </c>
      <c r="AX112" s="34">
        <v>1423</v>
      </c>
      <c r="AY112" s="34" t="s">
        <v>1333</v>
      </c>
      <c r="AZ112" s="35">
        <v>45761</v>
      </c>
      <c r="BA112" s="35">
        <v>45761</v>
      </c>
      <c r="BB112" s="34" t="s">
        <v>123</v>
      </c>
      <c r="BC112" s="34" t="s">
        <v>123</v>
      </c>
      <c r="BD112" s="34" t="s">
        <v>123</v>
      </c>
      <c r="BE112" s="34" t="s">
        <v>139</v>
      </c>
      <c r="BF112" s="34">
        <v>146</v>
      </c>
      <c r="BG112" s="34">
        <v>0</v>
      </c>
      <c r="BH112" s="34">
        <v>9.1247229999999999E-2</v>
      </c>
      <c r="BI112" s="34" t="s">
        <v>150</v>
      </c>
      <c r="BJ112" s="34" t="s">
        <v>1336</v>
      </c>
      <c r="BK112" s="34">
        <v>2025</v>
      </c>
      <c r="BL112" s="34" t="s">
        <v>1456</v>
      </c>
      <c r="BM112" s="34"/>
      <c r="BN112" s="34">
        <v>0</v>
      </c>
      <c r="BO112" s="34" t="s">
        <v>1330</v>
      </c>
      <c r="BP112" s="34">
        <v>0.12966</v>
      </c>
      <c r="BQ112" s="34" t="s">
        <v>1326</v>
      </c>
      <c r="BR112" s="35">
        <v>45761</v>
      </c>
      <c r="BS112" s="34">
        <v>0</v>
      </c>
      <c r="BT112" s="34" t="s">
        <v>123</v>
      </c>
      <c r="BU112" s="34">
        <v>0</v>
      </c>
      <c r="BV112" s="34">
        <v>250000</v>
      </c>
      <c r="BW112" s="34">
        <v>0</v>
      </c>
      <c r="BX112" s="34">
        <v>146</v>
      </c>
      <c r="BY112" s="34">
        <v>0</v>
      </c>
      <c r="BZ112" s="34">
        <v>1</v>
      </c>
      <c r="CA112" s="34" t="s">
        <v>123</v>
      </c>
      <c r="CB112" s="34" t="s">
        <v>123</v>
      </c>
      <c r="CC112" s="34" t="s">
        <v>123</v>
      </c>
    </row>
    <row r="113" spans="1:81" hidden="1" x14ac:dyDescent="0.3">
      <c r="A113" s="34" t="s">
        <v>1465</v>
      </c>
      <c r="B113" s="34" t="s">
        <v>538</v>
      </c>
      <c r="C113" s="34" t="s">
        <v>1352</v>
      </c>
      <c r="D113" s="34"/>
      <c r="E113" s="35">
        <v>45379</v>
      </c>
      <c r="F113" s="35">
        <v>46484</v>
      </c>
      <c r="G113" s="34"/>
      <c r="H113" s="34" t="s">
        <v>1325</v>
      </c>
      <c r="I113" s="34">
        <v>0</v>
      </c>
      <c r="J113" s="34">
        <v>250000000</v>
      </c>
      <c r="K113" s="34" t="s">
        <v>123</v>
      </c>
      <c r="L113" s="34" t="s">
        <v>123</v>
      </c>
      <c r="M113" s="34" t="s">
        <v>123</v>
      </c>
      <c r="N113" s="34" t="s">
        <v>123</v>
      </c>
      <c r="O113" s="34">
        <v>103.85</v>
      </c>
      <c r="P113" s="34">
        <v>2.5000000000000001E-3</v>
      </c>
      <c r="Q113" s="34" t="s">
        <v>123</v>
      </c>
      <c r="R113" s="34" t="s">
        <v>123</v>
      </c>
      <c r="S113" s="34" t="s">
        <v>123</v>
      </c>
      <c r="T113" s="34" t="s">
        <v>123</v>
      </c>
      <c r="U113" s="34" t="s">
        <v>123</v>
      </c>
      <c r="V113" s="34" t="s">
        <v>123</v>
      </c>
      <c r="W113" s="34" t="s">
        <v>123</v>
      </c>
      <c r="X113" s="34" t="s">
        <v>123</v>
      </c>
      <c r="Y113" s="34" t="s">
        <v>123</v>
      </c>
      <c r="Z113" s="34">
        <v>0</v>
      </c>
      <c r="AA113" s="34" t="s">
        <v>123</v>
      </c>
      <c r="AB113" s="34">
        <v>0</v>
      </c>
      <c r="AC113" s="34">
        <v>1</v>
      </c>
      <c r="AD113" s="34" t="s">
        <v>123</v>
      </c>
      <c r="AE113" s="34" t="s">
        <v>123</v>
      </c>
      <c r="AF113" s="34" t="s">
        <v>541</v>
      </c>
      <c r="AG113" s="34" t="s">
        <v>123</v>
      </c>
      <c r="AH113" s="34" t="s">
        <v>123</v>
      </c>
      <c r="AI113" s="34" t="s">
        <v>123</v>
      </c>
      <c r="AJ113" s="34" t="s">
        <v>123</v>
      </c>
      <c r="AK113" s="34" t="s">
        <v>123</v>
      </c>
      <c r="AL113" s="34" t="s">
        <v>123</v>
      </c>
      <c r="AM113" s="34" t="s">
        <v>123</v>
      </c>
      <c r="AN113" s="34" t="s">
        <v>123</v>
      </c>
      <c r="AO113" s="34" t="s">
        <v>123</v>
      </c>
      <c r="AP113" s="34">
        <v>0</v>
      </c>
      <c r="AQ113" s="34" t="s">
        <v>123</v>
      </c>
      <c r="AR113" s="34">
        <v>7.5250440000000002E-2</v>
      </c>
      <c r="AS113" s="34"/>
      <c r="AT113" s="34" t="s">
        <v>123</v>
      </c>
      <c r="AU113" s="34">
        <v>109</v>
      </c>
      <c r="AV113" s="34" t="s">
        <v>1466</v>
      </c>
      <c r="AW113" s="34">
        <v>0</v>
      </c>
      <c r="AX113" s="34">
        <v>1424</v>
      </c>
      <c r="AY113" s="34" t="s">
        <v>1333</v>
      </c>
      <c r="AZ113" s="35">
        <v>45763</v>
      </c>
      <c r="BA113" s="35">
        <v>45763</v>
      </c>
      <c r="BB113" s="34" t="s">
        <v>123</v>
      </c>
      <c r="BC113" s="34" t="s">
        <v>123</v>
      </c>
      <c r="BD113" s="34" t="s">
        <v>123</v>
      </c>
      <c r="BE113" s="34" t="s">
        <v>139</v>
      </c>
      <c r="BF113" s="34">
        <v>104</v>
      </c>
      <c r="BG113" s="34">
        <v>0</v>
      </c>
      <c r="BH113" s="34">
        <v>5.4388600000000002E-2</v>
      </c>
      <c r="BI113" s="34" t="s">
        <v>150</v>
      </c>
      <c r="BJ113" s="34" t="s">
        <v>1336</v>
      </c>
      <c r="BK113" s="34">
        <v>2025</v>
      </c>
      <c r="BL113" s="34" t="s">
        <v>1456</v>
      </c>
      <c r="BM113" s="34"/>
      <c r="BN113" s="34">
        <v>0</v>
      </c>
      <c r="BO113" s="34" t="s">
        <v>1330</v>
      </c>
      <c r="BP113" s="34">
        <v>9.3007140000000002E-2</v>
      </c>
      <c r="BQ113" s="34" t="s">
        <v>1326</v>
      </c>
      <c r="BR113" s="35">
        <v>45763</v>
      </c>
      <c r="BS113" s="34">
        <v>0</v>
      </c>
      <c r="BT113" s="34" t="s">
        <v>123</v>
      </c>
      <c r="BU113" s="34">
        <v>0</v>
      </c>
      <c r="BV113" s="34">
        <v>250000</v>
      </c>
      <c r="BW113" s="34">
        <v>0</v>
      </c>
      <c r="BX113" s="34">
        <v>104</v>
      </c>
      <c r="BY113" s="34">
        <v>0</v>
      </c>
      <c r="BZ113" s="34">
        <v>1</v>
      </c>
      <c r="CA113" s="34" t="s">
        <v>123</v>
      </c>
      <c r="CB113" s="34" t="s">
        <v>123</v>
      </c>
      <c r="CC113" s="34" t="s">
        <v>123</v>
      </c>
    </row>
    <row r="114" spans="1:81" hidden="1" x14ac:dyDescent="0.3">
      <c r="A114" s="34" t="s">
        <v>1467</v>
      </c>
      <c r="B114" s="34" t="s">
        <v>1000</v>
      </c>
      <c r="C114" s="34" t="s">
        <v>1353</v>
      </c>
      <c r="D114" s="34"/>
      <c r="E114" s="35">
        <v>45104</v>
      </c>
      <c r="F114" s="35">
        <v>46332</v>
      </c>
      <c r="G114" s="34"/>
      <c r="H114" s="34" t="s">
        <v>1325</v>
      </c>
      <c r="I114" s="34">
        <v>0</v>
      </c>
      <c r="J114" s="34">
        <v>150000000</v>
      </c>
      <c r="K114" s="34" t="s">
        <v>123</v>
      </c>
      <c r="L114" s="34" t="s">
        <v>123</v>
      </c>
      <c r="M114" s="34" t="s">
        <v>123</v>
      </c>
      <c r="N114" s="34" t="s">
        <v>123</v>
      </c>
      <c r="O114" s="34">
        <v>102.4</v>
      </c>
      <c r="P114" s="34">
        <v>1.6666700000000001E-3</v>
      </c>
      <c r="Q114" s="34" t="s">
        <v>123</v>
      </c>
      <c r="R114" s="34" t="s">
        <v>123</v>
      </c>
      <c r="S114" s="34" t="s">
        <v>123</v>
      </c>
      <c r="T114" s="34" t="s">
        <v>123</v>
      </c>
      <c r="U114" s="34" t="s">
        <v>123</v>
      </c>
      <c r="V114" s="34" t="s">
        <v>123</v>
      </c>
      <c r="W114" s="34" t="s">
        <v>123</v>
      </c>
      <c r="X114" s="34" t="s">
        <v>123</v>
      </c>
      <c r="Y114" s="34" t="s">
        <v>123</v>
      </c>
      <c r="Z114" s="34">
        <v>0</v>
      </c>
      <c r="AA114" s="34" t="s">
        <v>123</v>
      </c>
      <c r="AB114" s="34">
        <v>0</v>
      </c>
      <c r="AC114" s="34">
        <v>1</v>
      </c>
      <c r="AD114" s="34" t="s">
        <v>123</v>
      </c>
      <c r="AE114" s="34" t="s">
        <v>123</v>
      </c>
      <c r="AF114" s="34" t="s">
        <v>1003</v>
      </c>
      <c r="AG114" s="34" t="s">
        <v>123</v>
      </c>
      <c r="AH114" s="34" t="s">
        <v>123</v>
      </c>
      <c r="AI114" s="34" t="s">
        <v>123</v>
      </c>
      <c r="AJ114" s="34" t="s">
        <v>123</v>
      </c>
      <c r="AK114" s="34" t="s">
        <v>123</v>
      </c>
      <c r="AL114" s="34" t="s">
        <v>123</v>
      </c>
      <c r="AM114" s="34" t="s">
        <v>123</v>
      </c>
      <c r="AN114" s="34" t="s">
        <v>123</v>
      </c>
      <c r="AO114" s="34" t="s">
        <v>123</v>
      </c>
      <c r="AP114" s="34">
        <v>0</v>
      </c>
      <c r="AQ114" s="34" t="s">
        <v>123</v>
      </c>
      <c r="AR114" s="34">
        <v>6.8990380000000004E-2</v>
      </c>
      <c r="AS114" s="34"/>
      <c r="AT114" s="34" t="s">
        <v>123</v>
      </c>
      <c r="AU114" s="34">
        <v>109</v>
      </c>
      <c r="AV114" s="34" t="s">
        <v>1468</v>
      </c>
      <c r="AW114" s="34">
        <v>0</v>
      </c>
      <c r="AX114" s="34">
        <v>1425</v>
      </c>
      <c r="AY114" s="34" t="s">
        <v>1333</v>
      </c>
      <c r="AZ114" s="35">
        <v>45763</v>
      </c>
      <c r="BA114" s="35">
        <v>45763</v>
      </c>
      <c r="BB114" s="34" t="s">
        <v>123</v>
      </c>
      <c r="BC114" s="34" t="s">
        <v>123</v>
      </c>
      <c r="BD114" s="34" t="s">
        <v>123</v>
      </c>
      <c r="BE114" s="34" t="s">
        <v>1347</v>
      </c>
      <c r="BF114" s="34">
        <v>236</v>
      </c>
      <c r="BG114" s="34">
        <v>0</v>
      </c>
      <c r="BH114" s="34">
        <v>4.3428769999999998E-2</v>
      </c>
      <c r="BI114" s="34" t="s">
        <v>133</v>
      </c>
      <c r="BJ114" s="34" t="s">
        <v>1336</v>
      </c>
      <c r="BK114" s="34"/>
      <c r="BL114" s="34" t="s">
        <v>1456</v>
      </c>
      <c r="BM114" s="34"/>
      <c r="BN114" s="34">
        <v>0</v>
      </c>
      <c r="BO114" s="34" t="s">
        <v>1330</v>
      </c>
      <c r="BP114" s="34">
        <v>8.1708199999999995E-2</v>
      </c>
      <c r="BQ114" s="34" t="s">
        <v>1326</v>
      </c>
      <c r="BR114" s="35">
        <v>45763</v>
      </c>
      <c r="BS114" s="34">
        <v>0</v>
      </c>
      <c r="BT114" s="34" t="s">
        <v>123</v>
      </c>
      <c r="BU114" s="34">
        <v>0</v>
      </c>
      <c r="BV114" s="34">
        <v>250000</v>
      </c>
      <c r="BW114" s="34">
        <v>0</v>
      </c>
      <c r="BX114" s="34">
        <v>236</v>
      </c>
      <c r="BY114" s="34">
        <v>0</v>
      </c>
      <c r="BZ114" s="34">
        <v>1</v>
      </c>
      <c r="CA114" s="34" t="s">
        <v>123</v>
      </c>
      <c r="CB114" s="34" t="s">
        <v>123</v>
      </c>
      <c r="CC114" s="34" t="s">
        <v>123</v>
      </c>
    </row>
    <row r="115" spans="1:81" hidden="1" x14ac:dyDescent="0.3">
      <c r="A115" s="34" t="s">
        <v>1469</v>
      </c>
      <c r="B115" s="34" t="s">
        <v>1061</v>
      </c>
      <c r="C115" s="34" t="s">
        <v>1354</v>
      </c>
      <c r="D115" s="34"/>
      <c r="E115" s="35">
        <v>45287</v>
      </c>
      <c r="F115" s="35">
        <v>46395</v>
      </c>
      <c r="G115" s="34"/>
      <c r="H115" s="34" t="s">
        <v>1325</v>
      </c>
      <c r="I115" s="34">
        <v>0</v>
      </c>
      <c r="J115" s="34">
        <v>301000000</v>
      </c>
      <c r="K115" s="34" t="s">
        <v>123</v>
      </c>
      <c r="L115" s="34" t="s">
        <v>123</v>
      </c>
      <c r="M115" s="34" t="s">
        <v>123</v>
      </c>
      <c r="N115" s="34" t="s">
        <v>123</v>
      </c>
      <c r="O115" s="34">
        <v>103.1</v>
      </c>
      <c r="P115" s="34">
        <v>1.25E-3</v>
      </c>
      <c r="Q115" s="34" t="s">
        <v>123</v>
      </c>
      <c r="R115" s="34" t="s">
        <v>123</v>
      </c>
      <c r="S115" s="34" t="s">
        <v>123</v>
      </c>
      <c r="T115" s="34" t="s">
        <v>123</v>
      </c>
      <c r="U115" s="34" t="s">
        <v>123</v>
      </c>
      <c r="V115" s="34" t="s">
        <v>123</v>
      </c>
      <c r="W115" s="34" t="s">
        <v>123</v>
      </c>
      <c r="X115" s="34" t="s">
        <v>123</v>
      </c>
      <c r="Y115" s="34" t="s">
        <v>123</v>
      </c>
      <c r="Z115" s="34">
        <v>0</v>
      </c>
      <c r="AA115" s="34" t="s">
        <v>123</v>
      </c>
      <c r="AB115" s="34">
        <v>0</v>
      </c>
      <c r="AC115" s="34">
        <v>1</v>
      </c>
      <c r="AD115" s="34" t="s">
        <v>123</v>
      </c>
      <c r="AE115" s="34" t="s">
        <v>123</v>
      </c>
      <c r="AF115" s="34" t="s">
        <v>1064</v>
      </c>
      <c r="AG115" s="34" t="s">
        <v>123</v>
      </c>
      <c r="AH115" s="34" t="s">
        <v>123</v>
      </c>
      <c r="AI115" s="34" t="s">
        <v>123</v>
      </c>
      <c r="AJ115" s="34" t="s">
        <v>123</v>
      </c>
      <c r="AK115" s="34" t="s">
        <v>123</v>
      </c>
      <c r="AL115" s="34" t="s">
        <v>123</v>
      </c>
      <c r="AM115" s="34" t="s">
        <v>123</v>
      </c>
      <c r="AN115" s="34" t="s">
        <v>123</v>
      </c>
      <c r="AO115" s="34" t="s">
        <v>123</v>
      </c>
      <c r="AP115" s="34">
        <v>0</v>
      </c>
      <c r="AQ115" s="34" t="s">
        <v>123</v>
      </c>
      <c r="AR115" s="34">
        <v>8.4681469999999995E-2</v>
      </c>
      <c r="AS115" s="34"/>
      <c r="AT115" s="34" t="s">
        <v>123</v>
      </c>
      <c r="AU115" s="34">
        <v>109</v>
      </c>
      <c r="AV115" s="34" t="s">
        <v>1470</v>
      </c>
      <c r="AW115" s="34">
        <v>0</v>
      </c>
      <c r="AX115" s="34">
        <v>1426</v>
      </c>
      <c r="AY115" s="34" t="s">
        <v>1333</v>
      </c>
      <c r="AZ115" s="35">
        <v>45770</v>
      </c>
      <c r="BA115" s="35">
        <v>45770</v>
      </c>
      <c r="BB115" s="34" t="s">
        <v>123</v>
      </c>
      <c r="BC115" s="34" t="s">
        <v>123</v>
      </c>
      <c r="BD115" s="34" t="s">
        <v>123</v>
      </c>
      <c r="BE115" s="34" t="s">
        <v>139</v>
      </c>
      <c r="BF115" s="34">
        <v>254</v>
      </c>
      <c r="BG115" s="34">
        <v>0</v>
      </c>
      <c r="BH115" s="34">
        <v>6.2344139999999999E-2</v>
      </c>
      <c r="BI115" s="34" t="s">
        <v>133</v>
      </c>
      <c r="BJ115" s="34" t="s">
        <v>1336</v>
      </c>
      <c r="BK115" s="34">
        <v>2025</v>
      </c>
      <c r="BL115" s="34" t="s">
        <v>1456</v>
      </c>
      <c r="BM115" s="34"/>
      <c r="BN115" s="34">
        <v>0</v>
      </c>
      <c r="BO115" s="34" t="s">
        <v>1330</v>
      </c>
      <c r="BP115" s="34">
        <v>0.1009</v>
      </c>
      <c r="BQ115" s="34" t="s">
        <v>1326</v>
      </c>
      <c r="BR115" s="35">
        <v>45770</v>
      </c>
      <c r="BS115" s="34">
        <v>0</v>
      </c>
      <c r="BT115" s="34" t="s">
        <v>123</v>
      </c>
      <c r="BU115" s="34">
        <v>0</v>
      </c>
      <c r="BV115" s="34">
        <v>250000</v>
      </c>
      <c r="BW115" s="34">
        <v>0</v>
      </c>
      <c r="BX115" s="34">
        <v>254</v>
      </c>
      <c r="BY115" s="34">
        <v>0</v>
      </c>
      <c r="BZ115" s="34">
        <v>1</v>
      </c>
      <c r="CA115" s="34" t="s">
        <v>123</v>
      </c>
      <c r="CB115" s="34" t="s">
        <v>123</v>
      </c>
      <c r="CC115" s="34" t="s">
        <v>123</v>
      </c>
    </row>
    <row r="116" spans="1:81" x14ac:dyDescent="0.3">
      <c r="A116" s="34" t="s">
        <v>1471</v>
      </c>
      <c r="B116" s="34" t="s">
        <v>1061</v>
      </c>
      <c r="C116" s="34" t="s">
        <v>1354</v>
      </c>
      <c r="D116" s="34"/>
      <c r="E116" s="35">
        <v>45287</v>
      </c>
      <c r="F116" s="35">
        <v>46395</v>
      </c>
      <c r="G116" s="34"/>
      <c r="H116" s="34" t="s">
        <v>1325</v>
      </c>
      <c r="I116" s="34">
        <v>0</v>
      </c>
      <c r="J116" s="34">
        <v>301000000</v>
      </c>
      <c r="K116" s="34" t="s">
        <v>123</v>
      </c>
      <c r="L116" s="34" t="s">
        <v>123</v>
      </c>
      <c r="M116" s="34" t="s">
        <v>123</v>
      </c>
      <c r="N116" s="34" t="s">
        <v>123</v>
      </c>
      <c r="O116" s="34">
        <v>103.6</v>
      </c>
      <c r="P116" s="34">
        <v>1.25E-3</v>
      </c>
      <c r="Q116" s="34" t="s">
        <v>123</v>
      </c>
      <c r="R116" s="34" t="s">
        <v>123</v>
      </c>
      <c r="S116" s="34" t="s">
        <v>123</v>
      </c>
      <c r="T116" s="34" t="s">
        <v>123</v>
      </c>
      <c r="U116" s="34" t="s">
        <v>123</v>
      </c>
      <c r="V116" s="34" t="s">
        <v>123</v>
      </c>
      <c r="W116" s="34" t="s">
        <v>123</v>
      </c>
      <c r="X116" s="34" t="s">
        <v>123</v>
      </c>
      <c r="Y116" s="34" t="s">
        <v>123</v>
      </c>
      <c r="Z116" s="34">
        <v>0</v>
      </c>
      <c r="AA116" s="34" t="s">
        <v>123</v>
      </c>
      <c r="AB116" s="34">
        <v>0</v>
      </c>
      <c r="AC116" s="34">
        <v>1</v>
      </c>
      <c r="AD116" s="34" t="s">
        <v>123</v>
      </c>
      <c r="AE116" s="34" t="s">
        <v>123</v>
      </c>
      <c r="AF116" s="34" t="s">
        <v>1064</v>
      </c>
      <c r="AG116" s="34" t="s">
        <v>123</v>
      </c>
      <c r="AH116" s="34" t="s">
        <v>123</v>
      </c>
      <c r="AI116" s="34" t="s">
        <v>123</v>
      </c>
      <c r="AJ116" s="34" t="s">
        <v>123</v>
      </c>
      <c r="AK116" s="34" t="s">
        <v>123</v>
      </c>
      <c r="AL116" s="34" t="s">
        <v>123</v>
      </c>
      <c r="AM116" s="34" t="s">
        <v>123</v>
      </c>
      <c r="AN116" s="34" t="s">
        <v>123</v>
      </c>
      <c r="AO116" s="34" t="s">
        <v>123</v>
      </c>
      <c r="AP116" s="34">
        <v>0</v>
      </c>
      <c r="AQ116" s="34" t="s">
        <v>123</v>
      </c>
      <c r="AR116" s="34">
        <v>7.6477260000000005E-2</v>
      </c>
      <c r="AS116" s="34"/>
      <c r="AT116" s="34" t="s">
        <v>123</v>
      </c>
      <c r="AU116" s="34">
        <v>109</v>
      </c>
      <c r="AV116" s="34" t="s">
        <v>1472</v>
      </c>
      <c r="AW116" s="34">
        <v>0</v>
      </c>
      <c r="AX116" s="34">
        <v>1427</v>
      </c>
      <c r="AY116" s="34" t="s">
        <v>1333</v>
      </c>
      <c r="AZ116" s="35">
        <v>45889</v>
      </c>
      <c r="BA116" s="35">
        <v>45889</v>
      </c>
      <c r="BB116" s="34" t="s">
        <v>123</v>
      </c>
      <c r="BC116" s="34" t="s">
        <v>123</v>
      </c>
      <c r="BD116" s="34" t="s">
        <v>123</v>
      </c>
      <c r="BE116" s="34" t="s">
        <v>139</v>
      </c>
      <c r="BF116" s="34">
        <v>254</v>
      </c>
      <c r="BG116" s="34">
        <v>0</v>
      </c>
      <c r="BH116" s="34">
        <v>6.2344139999999999E-2</v>
      </c>
      <c r="BI116" s="34" t="s">
        <v>133</v>
      </c>
      <c r="BJ116" s="34" t="s">
        <v>1336</v>
      </c>
      <c r="BK116" s="34">
        <v>2025</v>
      </c>
      <c r="BL116" s="34" t="s">
        <v>1456</v>
      </c>
      <c r="BM116" s="34"/>
      <c r="BN116" s="34">
        <v>0</v>
      </c>
      <c r="BO116" s="34" t="s">
        <v>1330</v>
      </c>
      <c r="BP116" s="34">
        <v>0.1009</v>
      </c>
      <c r="BQ116" s="34" t="s">
        <v>1326</v>
      </c>
      <c r="BR116" s="35">
        <v>45889</v>
      </c>
      <c r="BS116" s="34">
        <v>0</v>
      </c>
      <c r="BT116" s="34" t="s">
        <v>123</v>
      </c>
      <c r="BU116" s="34">
        <v>0</v>
      </c>
      <c r="BV116" s="34">
        <v>250000</v>
      </c>
      <c r="BW116" s="34">
        <v>0</v>
      </c>
      <c r="BX116" s="34">
        <v>254</v>
      </c>
      <c r="BY116" s="34">
        <v>0</v>
      </c>
      <c r="BZ116" s="34">
        <v>1</v>
      </c>
      <c r="CA116" s="34" t="s">
        <v>123</v>
      </c>
      <c r="CB116" s="34" t="s">
        <v>123</v>
      </c>
      <c r="CC116" s="34" t="s">
        <v>123</v>
      </c>
    </row>
    <row r="117" spans="1:81" x14ac:dyDescent="0.3">
      <c r="A117" s="34" t="s">
        <v>1473</v>
      </c>
      <c r="B117" s="34" t="s">
        <v>943</v>
      </c>
      <c r="C117" s="34" t="s">
        <v>1357</v>
      </c>
      <c r="D117" s="34"/>
      <c r="E117" s="35">
        <v>45098</v>
      </c>
      <c r="F117" s="35">
        <v>46211</v>
      </c>
      <c r="G117" s="34"/>
      <c r="H117" s="34" t="s">
        <v>1325</v>
      </c>
      <c r="I117" s="34">
        <v>0</v>
      </c>
      <c r="J117" s="34">
        <v>150000000</v>
      </c>
      <c r="K117" s="34" t="s">
        <v>123</v>
      </c>
      <c r="L117" s="34" t="s">
        <v>123</v>
      </c>
      <c r="M117" s="34" t="s">
        <v>123</v>
      </c>
      <c r="N117" s="34" t="s">
        <v>123</v>
      </c>
      <c r="O117" s="34">
        <v>101.15</v>
      </c>
      <c r="P117" s="34">
        <v>1.6666700000000001E-3</v>
      </c>
      <c r="Q117" s="34" t="s">
        <v>123</v>
      </c>
      <c r="R117" s="34" t="s">
        <v>123</v>
      </c>
      <c r="S117" s="34" t="s">
        <v>123</v>
      </c>
      <c r="T117" s="34" t="s">
        <v>123</v>
      </c>
      <c r="U117" s="34" t="s">
        <v>123</v>
      </c>
      <c r="V117" s="34" t="s">
        <v>123</v>
      </c>
      <c r="W117" s="34" t="s">
        <v>123</v>
      </c>
      <c r="X117" s="34" t="s">
        <v>123</v>
      </c>
      <c r="Y117" s="34" t="s">
        <v>123</v>
      </c>
      <c r="Z117" s="34">
        <v>0</v>
      </c>
      <c r="AA117" s="34" t="s">
        <v>123</v>
      </c>
      <c r="AB117" s="34">
        <v>0</v>
      </c>
      <c r="AC117" s="34">
        <v>1</v>
      </c>
      <c r="AD117" s="34" t="s">
        <v>123</v>
      </c>
      <c r="AE117" s="34" t="s">
        <v>123</v>
      </c>
      <c r="AF117" s="34" t="s">
        <v>946</v>
      </c>
      <c r="AG117" s="34" t="s">
        <v>123</v>
      </c>
      <c r="AH117" s="34" t="s">
        <v>123</v>
      </c>
      <c r="AI117" s="34" t="s">
        <v>123</v>
      </c>
      <c r="AJ117" s="34" t="s">
        <v>123</v>
      </c>
      <c r="AK117" s="34" t="s">
        <v>123</v>
      </c>
      <c r="AL117" s="34" t="s">
        <v>123</v>
      </c>
      <c r="AM117" s="34" t="s">
        <v>123</v>
      </c>
      <c r="AN117" s="34" t="s">
        <v>123</v>
      </c>
      <c r="AO117" s="34" t="s">
        <v>123</v>
      </c>
      <c r="AP117" s="34">
        <v>0</v>
      </c>
      <c r="AQ117" s="34" t="s">
        <v>123</v>
      </c>
      <c r="AR117" s="34">
        <v>6.9939169999999995E-2</v>
      </c>
      <c r="AS117" s="34"/>
      <c r="AT117" s="34" t="s">
        <v>123</v>
      </c>
      <c r="AU117" s="34">
        <v>109</v>
      </c>
      <c r="AV117" s="34" t="s">
        <v>1474</v>
      </c>
      <c r="AW117" s="34">
        <v>0</v>
      </c>
      <c r="AX117" s="34">
        <v>1428</v>
      </c>
      <c r="AY117" s="34" t="s">
        <v>1333</v>
      </c>
      <c r="AZ117" s="35">
        <v>45775</v>
      </c>
      <c r="BA117" s="35">
        <v>45775</v>
      </c>
      <c r="BB117" s="34" t="s">
        <v>123</v>
      </c>
      <c r="BC117" s="34" t="s">
        <v>123</v>
      </c>
      <c r="BD117" s="34" t="s">
        <v>123</v>
      </c>
      <c r="BE117" s="34" t="s">
        <v>139</v>
      </c>
      <c r="BF117" s="34">
        <v>218</v>
      </c>
      <c r="BG117" s="34">
        <v>0</v>
      </c>
      <c r="BH117" s="34">
        <v>3.8097329999999999E-2</v>
      </c>
      <c r="BI117" s="34" t="s">
        <v>133</v>
      </c>
      <c r="BJ117" s="34" t="s">
        <v>1336</v>
      </c>
      <c r="BK117" s="34">
        <v>2025</v>
      </c>
      <c r="BL117" s="34" t="s">
        <v>1456</v>
      </c>
      <c r="BM117" s="34"/>
      <c r="BN117" s="34">
        <v>0</v>
      </c>
      <c r="BO117" s="34" t="s">
        <v>1330</v>
      </c>
      <c r="BP117" s="34">
        <v>7.7850000000000003E-2</v>
      </c>
      <c r="BQ117" s="34" t="s">
        <v>1326</v>
      </c>
      <c r="BR117" s="35">
        <v>45775</v>
      </c>
      <c r="BS117" s="34">
        <v>0</v>
      </c>
      <c r="BT117" s="34" t="s">
        <v>123</v>
      </c>
      <c r="BU117" s="34">
        <v>0</v>
      </c>
      <c r="BV117" s="34">
        <v>250000</v>
      </c>
      <c r="BW117" s="34">
        <v>0</v>
      </c>
      <c r="BX117" s="34">
        <v>218</v>
      </c>
      <c r="BY117" s="34">
        <v>0</v>
      </c>
      <c r="BZ117" s="34">
        <v>1</v>
      </c>
      <c r="CA117" s="34" t="s">
        <v>123</v>
      </c>
      <c r="CB117" s="34" t="s">
        <v>123</v>
      </c>
      <c r="CC117" s="34" t="s">
        <v>123</v>
      </c>
    </row>
    <row r="118" spans="1:81" x14ac:dyDescent="0.3">
      <c r="A118" s="34" t="s">
        <v>1475</v>
      </c>
      <c r="B118" s="34" t="s">
        <v>1099</v>
      </c>
      <c r="C118" s="34" t="s">
        <v>1358</v>
      </c>
      <c r="D118" s="34"/>
      <c r="E118" s="35">
        <v>45126</v>
      </c>
      <c r="F118" s="35">
        <v>46241</v>
      </c>
      <c r="G118" s="34"/>
      <c r="H118" s="34" t="s">
        <v>1325</v>
      </c>
      <c r="I118" s="34">
        <v>0</v>
      </c>
      <c r="J118" s="34">
        <v>300000000</v>
      </c>
      <c r="K118" s="34" t="s">
        <v>123</v>
      </c>
      <c r="L118" s="34" t="s">
        <v>123</v>
      </c>
      <c r="M118" s="34" t="s">
        <v>123</v>
      </c>
      <c r="N118" s="34" t="s">
        <v>123</v>
      </c>
      <c r="O118" s="34">
        <v>101.95</v>
      </c>
      <c r="P118" s="34">
        <v>2.5000000000000001E-3</v>
      </c>
      <c r="Q118" s="34" t="s">
        <v>123</v>
      </c>
      <c r="R118" s="34" t="s">
        <v>123</v>
      </c>
      <c r="S118" s="34" t="s">
        <v>123</v>
      </c>
      <c r="T118" s="34" t="s">
        <v>123</v>
      </c>
      <c r="U118" s="34" t="s">
        <v>123</v>
      </c>
      <c r="V118" s="34" t="s">
        <v>123</v>
      </c>
      <c r="W118" s="34" t="s">
        <v>123</v>
      </c>
      <c r="X118" s="34" t="s">
        <v>123</v>
      </c>
      <c r="Y118" s="34" t="s">
        <v>123</v>
      </c>
      <c r="Z118" s="34">
        <v>0</v>
      </c>
      <c r="AA118" s="34" t="s">
        <v>123</v>
      </c>
      <c r="AB118" s="34">
        <v>0</v>
      </c>
      <c r="AC118" s="34">
        <v>1</v>
      </c>
      <c r="AD118" s="34" t="s">
        <v>123</v>
      </c>
      <c r="AE118" s="34" t="s">
        <v>123</v>
      </c>
      <c r="AF118" s="34" t="s">
        <v>1100</v>
      </c>
      <c r="AG118" s="34" t="s">
        <v>123</v>
      </c>
      <c r="AH118" s="34" t="s">
        <v>123</v>
      </c>
      <c r="AI118" s="34" t="s">
        <v>123</v>
      </c>
      <c r="AJ118" s="34" t="s">
        <v>123</v>
      </c>
      <c r="AK118" s="34" t="s">
        <v>123</v>
      </c>
      <c r="AL118" s="34" t="s">
        <v>123</v>
      </c>
      <c r="AM118" s="34" t="s">
        <v>123</v>
      </c>
      <c r="AN118" s="34" t="s">
        <v>123</v>
      </c>
      <c r="AO118" s="34" t="s">
        <v>123</v>
      </c>
      <c r="AP118" s="34">
        <v>0</v>
      </c>
      <c r="AQ118" s="34" t="s">
        <v>123</v>
      </c>
      <c r="AR118" s="34">
        <v>8.6950429999999995E-2</v>
      </c>
      <c r="AS118" s="34"/>
      <c r="AT118" s="34" t="s">
        <v>123</v>
      </c>
      <c r="AU118" s="34">
        <v>109</v>
      </c>
      <c r="AV118" s="34" t="s">
        <v>1476</v>
      </c>
      <c r="AW118" s="34">
        <v>0</v>
      </c>
      <c r="AX118" s="34">
        <v>1429</v>
      </c>
      <c r="AY118" s="34" t="s">
        <v>1333</v>
      </c>
      <c r="AZ118" s="35">
        <v>45777</v>
      </c>
      <c r="BA118" s="35">
        <v>45777</v>
      </c>
      <c r="BB118" s="34" t="s">
        <v>123</v>
      </c>
      <c r="BC118" s="34" t="s">
        <v>123</v>
      </c>
      <c r="BD118" s="34" t="s">
        <v>123</v>
      </c>
      <c r="BE118" s="34" t="s">
        <v>139</v>
      </c>
      <c r="BF118" s="34">
        <v>262</v>
      </c>
      <c r="BG118" s="34">
        <v>0</v>
      </c>
      <c r="BH118" s="34">
        <v>6.1561049999999999E-2</v>
      </c>
      <c r="BI118" s="34" t="s">
        <v>133</v>
      </c>
      <c r="BJ118" s="34" t="s">
        <v>1336</v>
      </c>
      <c r="BK118" s="34">
        <v>2025</v>
      </c>
      <c r="BL118" s="34" t="s">
        <v>1456</v>
      </c>
      <c r="BM118" s="34"/>
      <c r="BN118" s="34">
        <v>0</v>
      </c>
      <c r="BO118" s="34" t="s">
        <v>1330</v>
      </c>
      <c r="BP118" s="34">
        <v>0.1004</v>
      </c>
      <c r="BQ118" s="34" t="s">
        <v>1326</v>
      </c>
      <c r="BR118" s="35">
        <v>45777</v>
      </c>
      <c r="BS118" s="34">
        <v>0</v>
      </c>
      <c r="BT118" s="34" t="s">
        <v>123</v>
      </c>
      <c r="BU118" s="34">
        <v>0</v>
      </c>
      <c r="BV118" s="34">
        <v>250000</v>
      </c>
      <c r="BW118" s="34">
        <v>0</v>
      </c>
      <c r="BX118" s="34">
        <v>262</v>
      </c>
      <c r="BY118" s="34">
        <v>0</v>
      </c>
      <c r="BZ118" s="34">
        <v>1</v>
      </c>
      <c r="CA118" s="34" t="s">
        <v>123</v>
      </c>
      <c r="CB118" s="34" t="s">
        <v>123</v>
      </c>
      <c r="CC118" s="34" t="s">
        <v>123</v>
      </c>
    </row>
    <row r="119" spans="1:81" x14ac:dyDescent="0.3">
      <c r="A119" s="34" t="s">
        <v>1477</v>
      </c>
      <c r="B119" s="34" t="s">
        <v>876</v>
      </c>
      <c r="C119" s="34" t="s">
        <v>1359</v>
      </c>
      <c r="D119" s="34"/>
      <c r="E119" s="35">
        <v>45393</v>
      </c>
      <c r="F119" s="35">
        <v>46517</v>
      </c>
      <c r="G119" s="34"/>
      <c r="H119" s="34" t="s">
        <v>1325</v>
      </c>
      <c r="I119" s="34">
        <v>0</v>
      </c>
      <c r="J119" s="34">
        <v>125000000</v>
      </c>
      <c r="K119" s="34" t="s">
        <v>123</v>
      </c>
      <c r="L119" s="34" t="s">
        <v>123</v>
      </c>
      <c r="M119" s="34" t="s">
        <v>123</v>
      </c>
      <c r="N119" s="34" t="s">
        <v>123</v>
      </c>
      <c r="O119" s="34">
        <v>102</v>
      </c>
      <c r="P119" s="34">
        <v>2E-3</v>
      </c>
      <c r="Q119" s="34" t="s">
        <v>123</v>
      </c>
      <c r="R119" s="34" t="s">
        <v>123</v>
      </c>
      <c r="S119" s="34" t="s">
        <v>123</v>
      </c>
      <c r="T119" s="34" t="s">
        <v>123</v>
      </c>
      <c r="U119" s="34" t="s">
        <v>123</v>
      </c>
      <c r="V119" s="34" t="s">
        <v>123</v>
      </c>
      <c r="W119" s="34" t="s">
        <v>123</v>
      </c>
      <c r="X119" s="34" t="s">
        <v>123</v>
      </c>
      <c r="Y119" s="34" t="s">
        <v>123</v>
      </c>
      <c r="Z119" s="34">
        <v>0</v>
      </c>
      <c r="AA119" s="34" t="s">
        <v>123</v>
      </c>
      <c r="AB119" s="34">
        <v>0</v>
      </c>
      <c r="AC119" s="34">
        <v>1</v>
      </c>
      <c r="AD119" s="34" t="s">
        <v>123</v>
      </c>
      <c r="AE119" s="34" t="s">
        <v>123</v>
      </c>
      <c r="AF119" s="34" t="s">
        <v>879</v>
      </c>
      <c r="AG119" s="34" t="s">
        <v>123</v>
      </c>
      <c r="AH119" s="34" t="s">
        <v>123</v>
      </c>
      <c r="AI119" s="34" t="s">
        <v>123</v>
      </c>
      <c r="AJ119" s="34" t="s">
        <v>123</v>
      </c>
      <c r="AK119" s="34" t="s">
        <v>123</v>
      </c>
      <c r="AL119" s="34" t="s">
        <v>123</v>
      </c>
      <c r="AM119" s="34" t="s">
        <v>123</v>
      </c>
      <c r="AN119" s="34" t="s">
        <v>123</v>
      </c>
      <c r="AO119" s="34" t="s">
        <v>123</v>
      </c>
      <c r="AP119" s="34">
        <v>0</v>
      </c>
      <c r="AQ119" s="34" t="s">
        <v>123</v>
      </c>
      <c r="AR119" s="34">
        <v>0.106922</v>
      </c>
      <c r="AS119" s="34"/>
      <c r="AT119" s="34" t="s">
        <v>123</v>
      </c>
      <c r="AU119" s="34">
        <v>109</v>
      </c>
      <c r="AV119" s="34" t="s">
        <v>1478</v>
      </c>
      <c r="AW119" s="34">
        <v>0</v>
      </c>
      <c r="AX119" s="34">
        <v>1430</v>
      </c>
      <c r="AY119" s="34" t="s">
        <v>1333</v>
      </c>
      <c r="AZ119" s="35">
        <v>45777</v>
      </c>
      <c r="BA119" s="35">
        <v>45777</v>
      </c>
      <c r="BB119" s="34" t="s">
        <v>123</v>
      </c>
      <c r="BC119" s="34" t="s">
        <v>123</v>
      </c>
      <c r="BD119" s="34" t="s">
        <v>123</v>
      </c>
      <c r="BE119" s="34" t="s">
        <v>139</v>
      </c>
      <c r="BF119" s="34">
        <v>203</v>
      </c>
      <c r="BG119" s="34">
        <v>0</v>
      </c>
      <c r="BH119" s="34">
        <v>7.6309879999999997E-2</v>
      </c>
      <c r="BI119" s="34" t="s">
        <v>150</v>
      </c>
      <c r="BJ119" s="34" t="s">
        <v>1336</v>
      </c>
      <c r="BK119" s="34">
        <v>2025</v>
      </c>
      <c r="BL119" s="34" t="s">
        <v>1456</v>
      </c>
      <c r="BM119" s="34"/>
      <c r="BN119" s="34">
        <v>0</v>
      </c>
      <c r="BO119" s="34" t="s">
        <v>1330</v>
      </c>
      <c r="BP119" s="34">
        <v>0.11452</v>
      </c>
      <c r="BQ119" s="34" t="s">
        <v>1326</v>
      </c>
      <c r="BR119" s="35">
        <v>45777</v>
      </c>
      <c r="BS119" s="34">
        <v>0</v>
      </c>
      <c r="BT119" s="34" t="s">
        <v>123</v>
      </c>
      <c r="BU119" s="34">
        <v>0</v>
      </c>
      <c r="BV119" s="34">
        <v>250000</v>
      </c>
      <c r="BW119" s="34">
        <v>0</v>
      </c>
      <c r="BX119" s="34">
        <v>203</v>
      </c>
      <c r="BY119" s="34">
        <v>0</v>
      </c>
      <c r="BZ119" s="34">
        <v>1</v>
      </c>
      <c r="CA119" s="34" t="s">
        <v>123</v>
      </c>
      <c r="CB119" s="34" t="s">
        <v>123</v>
      </c>
      <c r="CC119" s="34" t="s">
        <v>123</v>
      </c>
    </row>
    <row r="120" spans="1:81" x14ac:dyDescent="0.3">
      <c r="A120" s="34" t="s">
        <v>1479</v>
      </c>
      <c r="B120" s="34" t="s">
        <v>995</v>
      </c>
      <c r="C120" s="34" t="s">
        <v>1360</v>
      </c>
      <c r="D120" s="34"/>
      <c r="E120" s="35">
        <v>45701</v>
      </c>
      <c r="F120" s="35">
        <v>46804</v>
      </c>
      <c r="G120" s="34"/>
      <c r="H120" s="34" t="s">
        <v>1325</v>
      </c>
      <c r="I120" s="34">
        <v>0</v>
      </c>
      <c r="J120" s="34">
        <v>200000000</v>
      </c>
      <c r="K120" s="34" t="s">
        <v>123</v>
      </c>
      <c r="L120" s="34" t="s">
        <v>123</v>
      </c>
      <c r="M120" s="34" t="s">
        <v>123</v>
      </c>
      <c r="N120" s="34" t="s">
        <v>123</v>
      </c>
      <c r="O120" s="34">
        <v>99.85</v>
      </c>
      <c r="P120" s="34">
        <v>1.4285700000000001E-3</v>
      </c>
      <c r="Q120" s="34" t="s">
        <v>123</v>
      </c>
      <c r="R120" s="34" t="s">
        <v>123</v>
      </c>
      <c r="S120" s="34" t="s">
        <v>123</v>
      </c>
      <c r="T120" s="34" t="s">
        <v>123</v>
      </c>
      <c r="U120" s="34" t="s">
        <v>123</v>
      </c>
      <c r="V120" s="34" t="s">
        <v>123</v>
      </c>
      <c r="W120" s="34" t="s">
        <v>123</v>
      </c>
      <c r="X120" s="34" t="s">
        <v>123</v>
      </c>
      <c r="Y120" s="34" t="s">
        <v>123</v>
      </c>
      <c r="Z120" s="34">
        <v>0</v>
      </c>
      <c r="AA120" s="34" t="s">
        <v>123</v>
      </c>
      <c r="AB120" s="34">
        <v>0</v>
      </c>
      <c r="AC120" s="34">
        <v>1</v>
      </c>
      <c r="AD120" s="34" t="s">
        <v>123</v>
      </c>
      <c r="AE120" s="34" t="s">
        <v>123</v>
      </c>
      <c r="AF120" s="34" t="s">
        <v>996</v>
      </c>
      <c r="AG120" s="34" t="s">
        <v>123</v>
      </c>
      <c r="AH120" s="34" t="s">
        <v>123</v>
      </c>
      <c r="AI120" s="34" t="s">
        <v>123</v>
      </c>
      <c r="AJ120" s="34" t="s">
        <v>123</v>
      </c>
      <c r="AK120" s="34" t="s">
        <v>123</v>
      </c>
      <c r="AL120" s="34" t="s">
        <v>123</v>
      </c>
      <c r="AM120" s="34" t="s">
        <v>123</v>
      </c>
      <c r="AN120" s="34" t="s">
        <v>123</v>
      </c>
      <c r="AO120" s="34" t="s">
        <v>123</v>
      </c>
      <c r="AP120" s="34">
        <v>0</v>
      </c>
      <c r="AQ120" s="34" t="s">
        <v>123</v>
      </c>
      <c r="AR120" s="34">
        <v>0.10708301000000001</v>
      </c>
      <c r="AS120" s="34"/>
      <c r="AT120" s="34" t="s">
        <v>123</v>
      </c>
      <c r="AU120" s="34">
        <v>109</v>
      </c>
      <c r="AV120" s="34" t="s">
        <v>1480</v>
      </c>
      <c r="AW120" s="34">
        <v>0</v>
      </c>
      <c r="AX120" s="34">
        <v>1431</v>
      </c>
      <c r="AY120" s="34" t="s">
        <v>1333</v>
      </c>
      <c r="AZ120" s="35">
        <v>45784</v>
      </c>
      <c r="BA120" s="35">
        <v>45784</v>
      </c>
      <c r="BB120" s="34" t="s">
        <v>123</v>
      </c>
      <c r="BC120" s="34" t="s">
        <v>123</v>
      </c>
      <c r="BD120" s="34" t="s">
        <v>123</v>
      </c>
      <c r="BE120" s="34" t="s">
        <v>139</v>
      </c>
      <c r="BF120" s="34">
        <v>234</v>
      </c>
      <c r="BG120" s="34">
        <v>0</v>
      </c>
      <c r="BH120" s="34">
        <v>6.497E-2</v>
      </c>
      <c r="BI120" s="34" t="s">
        <v>159</v>
      </c>
      <c r="BJ120" s="34" t="s">
        <v>1336</v>
      </c>
      <c r="BK120" s="34"/>
      <c r="BL120" s="34" t="s">
        <v>1456</v>
      </c>
      <c r="BM120" s="34"/>
      <c r="BN120" s="34">
        <v>0</v>
      </c>
      <c r="BO120" s="34" t="s">
        <v>1330</v>
      </c>
      <c r="BP120" s="34">
        <v>0.1032</v>
      </c>
      <c r="BQ120" s="34" t="s">
        <v>1326</v>
      </c>
      <c r="BR120" s="35">
        <v>45784</v>
      </c>
      <c r="BS120" s="34">
        <v>0</v>
      </c>
      <c r="BT120" s="34" t="s">
        <v>123</v>
      </c>
      <c r="BU120" s="34">
        <v>0</v>
      </c>
      <c r="BV120" s="34">
        <v>250000</v>
      </c>
      <c r="BW120" s="34">
        <v>0</v>
      </c>
      <c r="BX120" s="34">
        <v>234</v>
      </c>
      <c r="BY120" s="34">
        <v>0</v>
      </c>
      <c r="BZ120" s="34">
        <v>1</v>
      </c>
      <c r="CA120" s="34" t="s">
        <v>123</v>
      </c>
      <c r="CB120" s="34" t="s">
        <v>123</v>
      </c>
      <c r="CC120" s="34" t="s">
        <v>123</v>
      </c>
    </row>
    <row r="122" spans="1:81" x14ac:dyDescent="0.3">
      <c r="A122" s="34" t="s">
        <v>1664</v>
      </c>
      <c r="B122" s="34" t="s">
        <v>1665</v>
      </c>
      <c r="C122" s="34">
        <v>5109500</v>
      </c>
    </row>
    <row r="123" spans="1:81" x14ac:dyDescent="0.3">
      <c r="A123" s="34"/>
      <c r="B123" s="34" t="s">
        <v>1666</v>
      </c>
      <c r="C123" s="34">
        <v>6000000</v>
      </c>
    </row>
    <row r="125" spans="1:81" ht="15" thickBot="1" x14ac:dyDescent="0.35"/>
    <row r="126" spans="1:81" ht="16.8" x14ac:dyDescent="0.3">
      <c r="A126" s="189" t="s">
        <v>1667</v>
      </c>
      <c r="B126" s="191" t="s">
        <v>1668</v>
      </c>
      <c r="C126" s="46">
        <v>0.1</v>
      </c>
      <c r="D126" s="46">
        <v>0.5</v>
      </c>
      <c r="E126" s="46">
        <v>0.8</v>
      </c>
      <c r="F126" s="46">
        <v>0.9</v>
      </c>
      <c r="G126" s="46">
        <v>0.96</v>
      </c>
      <c r="H126" s="47">
        <v>0.98</v>
      </c>
      <c r="I126" s="46">
        <v>0.99</v>
      </c>
      <c r="J126" s="48">
        <v>0.996</v>
      </c>
      <c r="K126" s="49">
        <v>0.998</v>
      </c>
      <c r="L126" s="49">
        <v>0.999</v>
      </c>
    </row>
    <row r="127" spans="1:81" ht="17.399999999999999" thickBot="1" x14ac:dyDescent="0.35">
      <c r="A127" s="190"/>
      <c r="B127" s="192"/>
      <c r="C127" s="50" t="s">
        <v>1669</v>
      </c>
      <c r="D127" s="51" t="s">
        <v>1670</v>
      </c>
      <c r="E127" s="51" t="s">
        <v>1671</v>
      </c>
      <c r="F127" s="51" t="s">
        <v>1672</v>
      </c>
      <c r="G127" s="51" t="s">
        <v>1673</v>
      </c>
      <c r="H127" s="51" t="s">
        <v>1674</v>
      </c>
      <c r="I127" s="51" t="s">
        <v>1675</v>
      </c>
      <c r="J127" s="51" t="s">
        <v>1676</v>
      </c>
      <c r="K127" s="51" t="s">
        <v>1677</v>
      </c>
      <c r="L127" s="51" t="s">
        <v>1678</v>
      </c>
    </row>
    <row r="128" spans="1:81" ht="16.8" x14ac:dyDescent="0.45">
      <c r="A128" s="52" t="s">
        <v>1679</v>
      </c>
      <c r="B128" s="53">
        <v>465212</v>
      </c>
      <c r="C128" s="53">
        <v>465212</v>
      </c>
      <c r="D128" s="53">
        <v>465212</v>
      </c>
      <c r="E128" s="53">
        <v>465212</v>
      </c>
      <c r="F128" s="53">
        <v>465212</v>
      </c>
      <c r="G128" s="53">
        <v>465212</v>
      </c>
      <c r="H128" s="53">
        <v>465212</v>
      </c>
      <c r="I128" s="53">
        <v>465212</v>
      </c>
      <c r="J128" s="53">
        <v>465212</v>
      </c>
      <c r="K128" s="54">
        <v>465212</v>
      </c>
      <c r="L128" s="54">
        <v>465212</v>
      </c>
    </row>
    <row r="129" spans="1:12" ht="16.8" x14ac:dyDescent="0.45">
      <c r="A129" s="52" t="s">
        <v>1680</v>
      </c>
      <c r="B129" s="55">
        <v>0</v>
      </c>
      <c r="C129" s="55">
        <v>0</v>
      </c>
      <c r="D129" s="55">
        <v>0</v>
      </c>
      <c r="E129" s="55">
        <v>0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6">
        <v>0</v>
      </c>
      <c r="L129" s="56">
        <v>0</v>
      </c>
    </row>
    <row r="130" spans="1:12" ht="16.8" x14ac:dyDescent="0.45">
      <c r="A130" s="57" t="s">
        <v>1681</v>
      </c>
      <c r="B130" s="55">
        <v>0</v>
      </c>
      <c r="C130" s="55">
        <v>0</v>
      </c>
      <c r="D130" s="55">
        <v>0</v>
      </c>
      <c r="E130" s="55">
        <v>0</v>
      </c>
      <c r="F130" s="55">
        <v>0</v>
      </c>
      <c r="G130" s="55">
        <v>0</v>
      </c>
      <c r="H130" s="55">
        <v>0</v>
      </c>
      <c r="I130" s="55">
        <v>0</v>
      </c>
      <c r="J130" s="55">
        <v>0</v>
      </c>
      <c r="K130" s="56">
        <v>0</v>
      </c>
      <c r="L130" s="56">
        <v>0</v>
      </c>
    </row>
    <row r="131" spans="1:12" ht="16.8" x14ac:dyDescent="0.45">
      <c r="A131" s="58" t="s">
        <v>1682</v>
      </c>
      <c r="B131" s="59">
        <v>465212</v>
      </c>
      <c r="C131" s="59">
        <v>465212</v>
      </c>
      <c r="D131" s="59">
        <v>465212</v>
      </c>
      <c r="E131" s="59">
        <v>465212</v>
      </c>
      <c r="F131" s="59">
        <v>465212</v>
      </c>
      <c r="G131" s="59">
        <v>465212</v>
      </c>
      <c r="H131" s="59">
        <v>465212</v>
      </c>
      <c r="I131" s="59">
        <v>465212</v>
      </c>
      <c r="J131" s="59">
        <v>465212</v>
      </c>
      <c r="K131" s="60">
        <v>465212</v>
      </c>
      <c r="L131" s="60">
        <v>465212</v>
      </c>
    </row>
    <row r="132" spans="1:12" ht="16.8" x14ac:dyDescent="0.45">
      <c r="A132" s="52" t="s">
        <v>1683</v>
      </c>
      <c r="B132" s="61">
        <v>63531.8</v>
      </c>
      <c r="C132" s="61">
        <v>0</v>
      </c>
      <c r="D132" s="61">
        <v>0</v>
      </c>
      <c r="E132" s="61">
        <v>0</v>
      </c>
      <c r="F132" s="61">
        <v>249999.90000000005</v>
      </c>
      <c r="G132" s="61">
        <v>500000.4</v>
      </c>
      <c r="H132" s="61">
        <v>773671.66926247149</v>
      </c>
      <c r="I132" s="61">
        <v>1078852.5187763579</v>
      </c>
      <c r="J132" s="61">
        <v>1494286.8556742375</v>
      </c>
      <c r="K132" s="62">
        <v>1628898.8154140722</v>
      </c>
      <c r="L132" s="62">
        <v>1750000.895825</v>
      </c>
    </row>
    <row r="133" spans="1:12" ht="16.8" x14ac:dyDescent="0.45">
      <c r="A133" s="57" t="s">
        <v>1684</v>
      </c>
      <c r="B133" s="55">
        <v>0</v>
      </c>
      <c r="C133" s="55">
        <v>0</v>
      </c>
      <c r="D133" s="55">
        <v>0</v>
      </c>
      <c r="E133" s="55">
        <v>0</v>
      </c>
      <c r="F133" s="55">
        <v>0</v>
      </c>
      <c r="G133" s="55">
        <v>0</v>
      </c>
      <c r="H133" s="55">
        <v>0</v>
      </c>
      <c r="I133" s="55">
        <v>0</v>
      </c>
      <c r="J133" s="55">
        <v>0</v>
      </c>
      <c r="K133" s="56">
        <v>0</v>
      </c>
      <c r="L133" s="56">
        <v>0</v>
      </c>
    </row>
    <row r="134" spans="1:12" ht="16.8" x14ac:dyDescent="0.45">
      <c r="A134" s="57" t="s">
        <v>1685</v>
      </c>
      <c r="B134" s="55">
        <v>0</v>
      </c>
      <c r="C134" s="55">
        <v>0</v>
      </c>
      <c r="D134" s="55">
        <v>0</v>
      </c>
      <c r="E134" s="55">
        <v>0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6">
        <v>0</v>
      </c>
      <c r="L134" s="56">
        <v>0</v>
      </c>
    </row>
    <row r="135" spans="1:12" ht="16.8" x14ac:dyDescent="0.45">
      <c r="A135" s="57" t="s">
        <v>1686</v>
      </c>
      <c r="B135" s="55">
        <v>0</v>
      </c>
      <c r="C135" s="55">
        <v>0</v>
      </c>
      <c r="D135" s="55">
        <v>0</v>
      </c>
      <c r="E135" s="55">
        <v>0</v>
      </c>
      <c r="F135" s="55">
        <v>0</v>
      </c>
      <c r="G135" s="55">
        <v>0</v>
      </c>
      <c r="H135" s="55">
        <v>0</v>
      </c>
      <c r="I135" s="55">
        <v>0</v>
      </c>
      <c r="J135" s="55">
        <v>0</v>
      </c>
      <c r="K135" s="56">
        <v>0</v>
      </c>
      <c r="L135" s="56">
        <v>0</v>
      </c>
    </row>
    <row r="136" spans="1:12" ht="16.8" x14ac:dyDescent="0.45">
      <c r="A136" s="58" t="s">
        <v>1687</v>
      </c>
      <c r="B136" s="59">
        <v>401680.2</v>
      </c>
      <c r="C136" s="59">
        <v>465212</v>
      </c>
      <c r="D136" s="59">
        <v>465212</v>
      </c>
      <c r="E136" s="59">
        <v>465212</v>
      </c>
      <c r="F136" s="59">
        <v>215212.09999999995</v>
      </c>
      <c r="G136" s="59">
        <v>-34788.400000000023</v>
      </c>
      <c r="H136" s="59">
        <v>-308459.66926247149</v>
      </c>
      <c r="I136" s="59">
        <v>-613640.51877635787</v>
      </c>
      <c r="J136" s="59">
        <v>-1029074.8556742375</v>
      </c>
      <c r="K136" s="60">
        <v>-1163686.8154140722</v>
      </c>
      <c r="L136" s="60">
        <v>-1284788.895825</v>
      </c>
    </row>
    <row r="137" spans="1:12" ht="16.8" x14ac:dyDescent="0.45">
      <c r="A137" s="52" t="s">
        <v>1688</v>
      </c>
      <c r="B137" s="63">
        <v>6.6946699999999998E-2</v>
      </c>
      <c r="C137" s="63">
        <v>7.7535333333333331E-2</v>
      </c>
      <c r="D137" s="63">
        <v>7.7535333333333331E-2</v>
      </c>
      <c r="E137" s="63">
        <v>7.7535333333333331E-2</v>
      </c>
      <c r="F137" s="63">
        <v>3.5868683333333325E-2</v>
      </c>
      <c r="G137" s="63">
        <v>-5.7980666666666708E-3</v>
      </c>
      <c r="H137" s="63">
        <v>-5.1409944877078582E-2</v>
      </c>
      <c r="I137" s="63">
        <v>-0.10227341979605964</v>
      </c>
      <c r="J137" s="63">
        <v>-0.17151247594570623</v>
      </c>
      <c r="K137" s="64">
        <v>-0.19394780256901203</v>
      </c>
      <c r="L137" s="64">
        <v>-0.21413148263750001</v>
      </c>
    </row>
    <row r="138" spans="1:12" ht="16.8" x14ac:dyDescent="0.45">
      <c r="A138" s="52" t="s">
        <v>1689</v>
      </c>
      <c r="B138" s="65">
        <v>34462.199999999997</v>
      </c>
      <c r="C138" s="65">
        <v>34462.199999999997</v>
      </c>
      <c r="D138" s="65">
        <v>34462.199999999997</v>
      </c>
      <c r="E138" s="65">
        <v>34462.199999999997</v>
      </c>
      <c r="F138" s="65">
        <v>34462.199999999997</v>
      </c>
      <c r="G138" s="65">
        <v>34462.199999999997</v>
      </c>
      <c r="H138" s="65">
        <v>34462.199999999997</v>
      </c>
      <c r="I138" s="65">
        <v>34462.199999999997</v>
      </c>
      <c r="J138" s="65">
        <v>34462.199999999997</v>
      </c>
      <c r="K138" s="66">
        <v>34462.199999999997</v>
      </c>
      <c r="L138" s="66">
        <v>34462.199999999997</v>
      </c>
    </row>
    <row r="139" spans="1:12" ht="17.399999999999999" thickBot="1" x14ac:dyDescent="0.5">
      <c r="A139" s="67" t="s">
        <v>1690</v>
      </c>
      <c r="B139" s="68">
        <v>22800</v>
      </c>
      <c r="C139" s="68">
        <v>22800</v>
      </c>
      <c r="D139" s="68">
        <v>22800</v>
      </c>
      <c r="E139" s="68">
        <v>22800</v>
      </c>
      <c r="F139" s="68">
        <v>22800</v>
      </c>
      <c r="G139" s="68">
        <v>22800</v>
      </c>
      <c r="H139" s="68">
        <v>22800</v>
      </c>
      <c r="I139" s="68">
        <v>22800</v>
      </c>
      <c r="J139" s="68">
        <v>22800</v>
      </c>
      <c r="K139" s="69">
        <v>22800</v>
      </c>
      <c r="L139" s="69">
        <v>22800</v>
      </c>
    </row>
    <row r="140" spans="1:12" ht="17.399999999999999" thickTop="1" x14ac:dyDescent="0.45">
      <c r="A140" s="70" t="s">
        <v>1691</v>
      </c>
      <c r="B140" s="59">
        <v>72000</v>
      </c>
      <c r="C140" s="59">
        <v>72000</v>
      </c>
      <c r="D140" s="59">
        <v>72000</v>
      </c>
      <c r="E140" s="59">
        <v>72000</v>
      </c>
      <c r="F140" s="59">
        <v>72000</v>
      </c>
      <c r="G140" s="59">
        <v>72000</v>
      </c>
      <c r="H140" s="59">
        <v>72000</v>
      </c>
      <c r="I140" s="59">
        <v>72000</v>
      </c>
      <c r="J140" s="59">
        <v>72000</v>
      </c>
      <c r="K140" s="60">
        <v>72000</v>
      </c>
      <c r="L140" s="60">
        <v>72000</v>
      </c>
    </row>
    <row r="141" spans="1:12" ht="16.8" x14ac:dyDescent="0.45">
      <c r="A141" s="57" t="s">
        <v>1604</v>
      </c>
      <c r="B141" s="55">
        <v>0</v>
      </c>
      <c r="C141" s="55">
        <v>0</v>
      </c>
      <c r="D141" s="55">
        <v>0</v>
      </c>
      <c r="E141" s="55">
        <v>0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6">
        <v>0</v>
      </c>
      <c r="L141" s="56">
        <v>0</v>
      </c>
    </row>
    <row r="142" spans="1:12" ht="16.8" x14ac:dyDescent="0.45">
      <c r="A142" s="52" t="s">
        <v>1692</v>
      </c>
      <c r="B142" s="61">
        <v>341342.4</v>
      </c>
      <c r="C142" s="61">
        <v>404874.2</v>
      </c>
      <c r="D142" s="61">
        <v>404874.2</v>
      </c>
      <c r="E142" s="61">
        <v>404874.2</v>
      </c>
      <c r="F142" s="61">
        <v>154874.29999999993</v>
      </c>
      <c r="G142" s="61">
        <v>-95126.200000000026</v>
      </c>
      <c r="H142" s="61">
        <v>-368797.46926247148</v>
      </c>
      <c r="I142" s="61">
        <v>-673978.31877635792</v>
      </c>
      <c r="J142" s="61">
        <v>-1089412.6556742375</v>
      </c>
      <c r="K142" s="62">
        <v>-1224024.6154140723</v>
      </c>
      <c r="L142" s="62">
        <v>-1345126.6958250001</v>
      </c>
    </row>
    <row r="143" spans="1:12" ht="17.399999999999999" thickBot="1" x14ac:dyDescent="0.5">
      <c r="A143" s="71" t="s">
        <v>1693</v>
      </c>
      <c r="B143" s="72">
        <v>5.6890400000000001E-2</v>
      </c>
      <c r="C143" s="72">
        <v>6.7479033333333341E-2</v>
      </c>
      <c r="D143" s="72">
        <v>6.7479033333333341E-2</v>
      </c>
      <c r="E143" s="72">
        <v>6.7479033333333341E-2</v>
      </c>
      <c r="F143" s="72">
        <v>2.5812383333333321E-2</v>
      </c>
      <c r="G143" s="72">
        <v>-1.5854366666666671E-2</v>
      </c>
      <c r="H143" s="72">
        <v>-6.146624487707858E-2</v>
      </c>
      <c r="I143" s="72">
        <v>-0.11232971979605966</v>
      </c>
      <c r="J143" s="72">
        <v>-0.18156877594570625</v>
      </c>
      <c r="K143" s="73">
        <v>-0.20400410256901205</v>
      </c>
      <c r="L143" s="73">
        <v>-0.2241877826375</v>
      </c>
    </row>
    <row r="144" spans="1:12" ht="15" thickTop="1" x14ac:dyDescent="0.3"/>
    <row r="146" spans="1:3" ht="16.8" x14ac:dyDescent="0.45">
      <c r="A146" s="74" t="s">
        <v>1694</v>
      </c>
    </row>
    <row r="147" spans="1:3" ht="15" thickBot="1" x14ac:dyDescent="0.35">
      <c r="A147" s="75"/>
    </row>
    <row r="148" spans="1:3" ht="15" thickBot="1" x14ac:dyDescent="0.35">
      <c r="A148" s="76" t="s">
        <v>1695</v>
      </c>
      <c r="B148" s="77" t="s">
        <v>1330</v>
      </c>
      <c r="C148" s="78" t="s">
        <v>1696</v>
      </c>
    </row>
    <row r="149" spans="1:3" x14ac:dyDescent="0.3">
      <c r="A149" s="79" t="s">
        <v>1697</v>
      </c>
      <c r="B149" s="80">
        <v>401680.2</v>
      </c>
      <c r="C149" s="81">
        <v>6.6946699999999998E-2</v>
      </c>
    </row>
    <row r="150" spans="1:3" x14ac:dyDescent="0.3">
      <c r="A150" s="82" t="s">
        <v>1698</v>
      </c>
      <c r="B150" s="83">
        <v>341342.4</v>
      </c>
      <c r="C150" s="84">
        <v>5.6890400000000001E-2</v>
      </c>
    </row>
    <row r="151" spans="1:3" x14ac:dyDescent="0.3">
      <c r="A151" s="82" t="s">
        <v>1699</v>
      </c>
      <c r="B151" s="85">
        <v>201929</v>
      </c>
      <c r="C151" s="84">
        <v>3.3654833333333335E-2</v>
      </c>
    </row>
    <row r="152" spans="1:3" x14ac:dyDescent="0.3">
      <c r="A152" s="82" t="s">
        <v>1700</v>
      </c>
      <c r="B152" s="86">
        <v>1.6904080146982357</v>
      </c>
      <c r="C152" s="87">
        <v>1.6904080146982357</v>
      </c>
    </row>
    <row r="153" spans="1:3" x14ac:dyDescent="0.3">
      <c r="A153" s="88" t="s">
        <v>1701</v>
      </c>
      <c r="B153" s="89">
        <v>0.59157315352560946</v>
      </c>
      <c r="C153" s="90"/>
    </row>
    <row r="154" spans="1:3" x14ac:dyDescent="0.3">
      <c r="A154" s="88" t="s">
        <v>1702</v>
      </c>
      <c r="B154" s="91">
        <v>404874.2</v>
      </c>
      <c r="C154" s="92">
        <v>6.7479033333333341E-2</v>
      </c>
    </row>
    <row r="155" spans="1:3" x14ac:dyDescent="0.3">
      <c r="A155" s="93" t="s">
        <v>1703</v>
      </c>
      <c r="B155" s="94">
        <v>4.6199999999999998E-2</v>
      </c>
      <c r="C155" s="95"/>
    </row>
    <row r="156" spans="1:3" x14ac:dyDescent="0.3">
      <c r="A156" s="82" t="s">
        <v>1704</v>
      </c>
      <c r="B156" s="96">
        <v>-673978.31877635792</v>
      </c>
      <c r="C156" s="97">
        <v>-0.11232971979605966</v>
      </c>
    </row>
    <row r="157" spans="1:3" x14ac:dyDescent="0.3">
      <c r="A157" s="82" t="s">
        <v>1705</v>
      </c>
      <c r="B157" s="96">
        <v>-1089412.6556742375</v>
      </c>
      <c r="C157" s="98">
        <v>-0.18156877594570625</v>
      </c>
    </row>
    <row r="158" spans="1:3" x14ac:dyDescent="0.3">
      <c r="A158" s="82" t="s">
        <v>1706</v>
      </c>
      <c r="B158" s="85">
        <v>-1013722.9108050771</v>
      </c>
      <c r="C158" s="92">
        <v>-0.16895381846751284</v>
      </c>
    </row>
    <row r="159" spans="1:3" x14ac:dyDescent="0.3">
      <c r="A159" s="82" t="s">
        <v>1707</v>
      </c>
      <c r="B159" s="99">
        <v>0.5064590217378574</v>
      </c>
      <c r="C159" s="84"/>
    </row>
    <row r="160" spans="1:3" x14ac:dyDescent="0.3">
      <c r="A160" s="82" t="s">
        <v>1708</v>
      </c>
      <c r="B160" s="85">
        <v>5000000</v>
      </c>
      <c r="C160" s="84"/>
    </row>
    <row r="161" spans="1:14" x14ac:dyDescent="0.3">
      <c r="A161" s="82" t="s">
        <v>1709</v>
      </c>
      <c r="B161" s="85">
        <v>5000000</v>
      </c>
      <c r="C161" s="84"/>
    </row>
    <row r="162" spans="1:14" x14ac:dyDescent="0.3">
      <c r="A162" s="82" t="s">
        <v>1710</v>
      </c>
      <c r="B162" s="34"/>
      <c r="C162" s="100">
        <v>0.83333333333333337</v>
      </c>
    </row>
    <row r="163" spans="1:14" ht="15" thickBot="1" x14ac:dyDescent="0.35">
      <c r="A163" s="101" t="s">
        <v>1426</v>
      </c>
      <c r="B163" s="102"/>
      <c r="C163" s="103">
        <v>9.3042399999999997E-2</v>
      </c>
    </row>
    <row r="164" spans="1:14" x14ac:dyDescent="0.3">
      <c r="A164" s="104" t="s">
        <v>1665</v>
      </c>
      <c r="B164" s="105">
        <v>5109500</v>
      </c>
      <c r="C164" s="106"/>
    </row>
    <row r="165" spans="1:14" ht="15" thickBot="1" x14ac:dyDescent="0.35">
      <c r="A165" s="107" t="s">
        <v>1666</v>
      </c>
      <c r="B165" s="108">
        <v>6000000</v>
      </c>
      <c r="C165" s="109"/>
    </row>
    <row r="168" spans="1:14" ht="24" customHeight="1" thickBot="1" x14ac:dyDescent="0.35">
      <c r="A168" s="181" t="s">
        <v>1814</v>
      </c>
      <c r="B168" s="75"/>
      <c r="C168" s="75"/>
      <c r="D168" s="75"/>
      <c r="E168" s="75"/>
      <c r="F168" s="75"/>
      <c r="G168" s="75"/>
      <c r="H168" s="75"/>
      <c r="I168" s="182"/>
      <c r="J168" s="182"/>
      <c r="K168" s="182"/>
      <c r="L168" s="182"/>
      <c r="M168" s="182"/>
      <c r="N168" s="182"/>
    </row>
    <row r="169" spans="1:14" x14ac:dyDescent="0.3">
      <c r="A169" s="115" t="s">
        <v>1393</v>
      </c>
      <c r="B169" s="110" t="s">
        <v>1717</v>
      </c>
      <c r="C169" s="110" t="s">
        <v>1718</v>
      </c>
      <c r="D169" s="110" t="s">
        <v>1711</v>
      </c>
      <c r="E169" s="110" t="s">
        <v>1712</v>
      </c>
      <c r="F169" s="110" t="s">
        <v>1713</v>
      </c>
      <c r="G169" s="110" t="s">
        <v>1714</v>
      </c>
      <c r="H169" s="110" t="s">
        <v>1715</v>
      </c>
      <c r="I169" s="111" t="s">
        <v>1716</v>
      </c>
      <c r="J169" s="186"/>
    </row>
    <row r="170" spans="1:14" x14ac:dyDescent="0.3">
      <c r="A170" s="88" t="s">
        <v>1325</v>
      </c>
      <c r="B170" s="116">
        <v>5092499.4855749998</v>
      </c>
      <c r="C170" s="117">
        <v>0.84874991426250002</v>
      </c>
      <c r="D170" s="112">
        <v>0.05</v>
      </c>
      <c r="E170" s="112" t="s">
        <v>1663</v>
      </c>
      <c r="F170" s="113">
        <v>0.99999933501811555</v>
      </c>
      <c r="G170" s="113">
        <v>0.99667276359232804</v>
      </c>
      <c r="H170" s="113">
        <v>0.99999940591230674</v>
      </c>
      <c r="I170" s="114">
        <v>465211.72362327605</v>
      </c>
      <c r="J170" s="182"/>
    </row>
    <row r="172" spans="1:14" ht="15" thickBot="1" x14ac:dyDescent="0.35"/>
    <row r="173" spans="1:14" x14ac:dyDescent="0.3">
      <c r="A173" s="118" t="s">
        <v>1632</v>
      </c>
      <c r="B173" s="118" t="s">
        <v>1719</v>
      </c>
      <c r="C173" s="118" t="s">
        <v>1720</v>
      </c>
      <c r="D173" s="118" t="s">
        <v>1721</v>
      </c>
      <c r="E173" s="118" t="s">
        <v>1722</v>
      </c>
      <c r="F173" s="118" t="s">
        <v>1723</v>
      </c>
      <c r="G173" s="118" t="s">
        <v>1724</v>
      </c>
      <c r="H173" s="118" t="s">
        <v>1725</v>
      </c>
      <c r="I173" s="118" t="s">
        <v>1725</v>
      </c>
    </row>
    <row r="174" spans="1:14" x14ac:dyDescent="0.3">
      <c r="A174" s="119" t="s">
        <v>1633</v>
      </c>
      <c r="B174" s="120">
        <v>873454.02697277151</v>
      </c>
      <c r="C174" s="120">
        <v>1500000.9958250001</v>
      </c>
      <c r="D174" s="117">
        <v>0.14557567116212858</v>
      </c>
      <c r="E174" s="117">
        <v>0.25000016597083335</v>
      </c>
      <c r="F174" s="117">
        <v>0.35</v>
      </c>
      <c r="G174" s="117">
        <v>0.5</v>
      </c>
      <c r="H174" s="112" t="s">
        <v>1571</v>
      </c>
      <c r="I174" s="121" t="s">
        <v>1571</v>
      </c>
    </row>
    <row r="175" spans="1:14" x14ac:dyDescent="0.3">
      <c r="A175" s="119" t="s">
        <v>1635</v>
      </c>
      <c r="B175" s="120">
        <v>500000.80125000002</v>
      </c>
      <c r="C175" s="120">
        <v>1007017.9379124605</v>
      </c>
      <c r="D175" s="117">
        <v>8.3333466874999998E-2</v>
      </c>
      <c r="E175" s="117">
        <v>0.1678363229854101</v>
      </c>
      <c r="F175" s="117">
        <v>0.3</v>
      </c>
      <c r="G175" s="117">
        <v>0.5</v>
      </c>
      <c r="H175" s="112" t="s">
        <v>1571</v>
      </c>
      <c r="I175" s="121" t="s">
        <v>1571</v>
      </c>
    </row>
    <row r="176" spans="1:14" x14ac:dyDescent="0.3">
      <c r="A176" s="119" t="s">
        <v>1639</v>
      </c>
      <c r="B176" s="120">
        <v>90478.46921743064</v>
      </c>
      <c r="C176" s="120">
        <v>604641.61720596883</v>
      </c>
      <c r="D176" s="117">
        <v>1.5079744869571773E-2</v>
      </c>
      <c r="E176" s="117">
        <v>0.10077360286766147</v>
      </c>
      <c r="F176" s="117">
        <v>0.3</v>
      </c>
      <c r="G176" s="117">
        <v>0.5</v>
      </c>
      <c r="H176" s="112" t="s">
        <v>1571</v>
      </c>
      <c r="I176" s="121" t="s">
        <v>1571</v>
      </c>
    </row>
    <row r="177" spans="1:9" x14ac:dyDescent="0.3">
      <c r="A177" s="122" t="s">
        <v>1651</v>
      </c>
      <c r="B177" s="120">
        <v>12797.484205814064</v>
      </c>
      <c r="C177" s="120">
        <v>250000.5</v>
      </c>
      <c r="D177" s="117">
        <v>2.132914034302344E-3</v>
      </c>
      <c r="E177" s="117">
        <v>4.1666750000000002E-2</v>
      </c>
      <c r="F177" s="117">
        <v>0.4</v>
      </c>
      <c r="G177" s="117">
        <v>0.65</v>
      </c>
      <c r="H177" s="112" t="s">
        <v>1571</v>
      </c>
      <c r="I177" s="121" t="s">
        <v>1571</v>
      </c>
    </row>
    <row r="178" spans="1:9" x14ac:dyDescent="0.3">
      <c r="A178" s="119" t="s">
        <v>1649</v>
      </c>
      <c r="B178" s="120">
        <v>47877.335033221607</v>
      </c>
      <c r="C178" s="120">
        <v>462425.7884515585</v>
      </c>
      <c r="D178" s="117">
        <v>7.9795558388702677E-3</v>
      </c>
      <c r="E178" s="117">
        <v>7.7070964741926415E-2</v>
      </c>
      <c r="F178" s="117">
        <v>0.4</v>
      </c>
      <c r="G178" s="117">
        <v>0.65</v>
      </c>
      <c r="H178" s="112" t="s">
        <v>1571</v>
      </c>
      <c r="I178" s="121" t="s">
        <v>1571</v>
      </c>
    </row>
    <row r="179" spans="1:9" x14ac:dyDescent="0.3">
      <c r="A179" s="119" t="s">
        <v>1650</v>
      </c>
      <c r="B179" s="120">
        <v>250000</v>
      </c>
      <c r="C179" s="120">
        <v>554976.1300192232</v>
      </c>
      <c r="D179" s="117">
        <v>4.1666666666666664E-2</v>
      </c>
      <c r="E179" s="117">
        <v>9.2496021669870532E-2</v>
      </c>
      <c r="F179" s="117">
        <v>0.4</v>
      </c>
      <c r="G179" s="117">
        <v>0.65</v>
      </c>
      <c r="H179" s="112" t="s">
        <v>1571</v>
      </c>
      <c r="I179" s="121" t="s">
        <v>1571</v>
      </c>
    </row>
    <row r="180" spans="1:9" x14ac:dyDescent="0.3">
      <c r="A180" s="119" t="s">
        <v>1636</v>
      </c>
      <c r="B180" s="120">
        <v>39013.761465282805</v>
      </c>
      <c r="C180" s="120">
        <v>261564.83352664317</v>
      </c>
      <c r="D180" s="117">
        <v>6.5022935775471344E-3</v>
      </c>
      <c r="E180" s="117">
        <v>4.3594138921107195E-2</v>
      </c>
      <c r="F180" s="117">
        <v>0.3</v>
      </c>
      <c r="G180" s="117">
        <v>0.5</v>
      </c>
      <c r="H180" s="112" t="s">
        <v>1571</v>
      </c>
      <c r="I180" s="121" t="s">
        <v>1571</v>
      </c>
    </row>
    <row r="181" spans="1:9" x14ac:dyDescent="0.3">
      <c r="A181" s="119" t="s">
        <v>1640</v>
      </c>
      <c r="B181" s="120">
        <v>250000.5</v>
      </c>
      <c r="C181" s="120">
        <v>1199112.9772331303</v>
      </c>
      <c r="D181" s="117">
        <v>4.1666750000000002E-2</v>
      </c>
      <c r="E181" s="117">
        <v>0.19985216287218838</v>
      </c>
      <c r="F181" s="117">
        <v>0.2</v>
      </c>
      <c r="G181" s="117">
        <v>0.35</v>
      </c>
      <c r="H181" s="112" t="s">
        <v>1571</v>
      </c>
      <c r="I181" s="121" t="s">
        <v>1571</v>
      </c>
    </row>
    <row r="182" spans="1:9" x14ac:dyDescent="0.3">
      <c r="A182" s="119" t="s">
        <v>1653</v>
      </c>
      <c r="B182" s="120">
        <v>0</v>
      </c>
      <c r="C182" s="120">
        <v>249999.90000000005</v>
      </c>
      <c r="D182" s="117">
        <v>0</v>
      </c>
      <c r="E182" s="117">
        <v>4.1666650000000006E-2</v>
      </c>
      <c r="F182" s="117">
        <v>0.3</v>
      </c>
      <c r="G182" s="117">
        <v>0.45</v>
      </c>
      <c r="H182" s="112" t="s">
        <v>1571</v>
      </c>
      <c r="I182" s="121" t="s">
        <v>1571</v>
      </c>
    </row>
    <row r="183" spans="1:9" x14ac:dyDescent="0.3">
      <c r="A183" s="119" t="s">
        <v>1660</v>
      </c>
      <c r="B183" s="120">
        <v>0</v>
      </c>
      <c r="C183" s="120">
        <v>0</v>
      </c>
      <c r="D183" s="117">
        <v>0</v>
      </c>
      <c r="E183" s="117">
        <v>0</v>
      </c>
      <c r="F183" s="117">
        <v>0.2</v>
      </c>
      <c r="G183" s="117">
        <v>0.35</v>
      </c>
      <c r="H183" s="112" t="s">
        <v>1571</v>
      </c>
      <c r="I183" s="121" t="s">
        <v>1571</v>
      </c>
    </row>
    <row r="184" spans="1:9" x14ac:dyDescent="0.3">
      <c r="A184" s="119" t="s">
        <v>1638</v>
      </c>
      <c r="B184" s="120">
        <v>0</v>
      </c>
      <c r="C184" s="120">
        <v>0</v>
      </c>
      <c r="D184" s="117">
        <v>0</v>
      </c>
      <c r="E184" s="117">
        <v>0</v>
      </c>
      <c r="F184" s="117">
        <v>0.3</v>
      </c>
      <c r="G184" s="117">
        <v>0.5</v>
      </c>
      <c r="H184" s="112" t="s">
        <v>1571</v>
      </c>
      <c r="I184" s="121" t="s">
        <v>1571</v>
      </c>
    </row>
    <row r="185" spans="1:9" x14ac:dyDescent="0.3">
      <c r="A185" s="119" t="s">
        <v>1656</v>
      </c>
      <c r="B185" s="120">
        <v>0</v>
      </c>
      <c r="C185" s="120">
        <v>0</v>
      </c>
      <c r="D185" s="117">
        <v>0</v>
      </c>
      <c r="E185" s="117">
        <v>0</v>
      </c>
      <c r="F185" s="117">
        <v>0.3</v>
      </c>
      <c r="G185" s="117">
        <v>0.45</v>
      </c>
      <c r="H185" s="112" t="s">
        <v>1571</v>
      </c>
      <c r="I185" s="121" t="s">
        <v>1571</v>
      </c>
    </row>
    <row r="186" spans="1:9" x14ac:dyDescent="0.3">
      <c r="A186" s="119" t="s">
        <v>1641</v>
      </c>
      <c r="B186" s="120">
        <v>0</v>
      </c>
      <c r="C186" s="120">
        <v>250000.5</v>
      </c>
      <c r="D186" s="117">
        <v>0</v>
      </c>
      <c r="E186" s="117">
        <v>4.1666750000000002E-2</v>
      </c>
      <c r="F186" s="117">
        <v>0.2</v>
      </c>
      <c r="G186" s="117">
        <v>0.3</v>
      </c>
      <c r="H186" s="112" t="s">
        <v>1571</v>
      </c>
      <c r="I186" s="121" t="s">
        <v>1571</v>
      </c>
    </row>
    <row r="187" spans="1:9" x14ac:dyDescent="0.3">
      <c r="A187" s="119" t="s">
        <v>1637</v>
      </c>
      <c r="B187" s="120">
        <v>249999.6</v>
      </c>
      <c r="C187" s="120">
        <v>249999.60000000003</v>
      </c>
      <c r="D187" s="117">
        <v>4.1666599999999998E-2</v>
      </c>
      <c r="E187" s="117">
        <v>4.1666600000000005E-2</v>
      </c>
      <c r="F187" s="117">
        <v>0.3</v>
      </c>
      <c r="G187" s="117">
        <v>0.5</v>
      </c>
      <c r="H187" s="112" t="s">
        <v>1571</v>
      </c>
      <c r="I187" s="121" t="s">
        <v>1571</v>
      </c>
    </row>
    <row r="188" spans="1:9" x14ac:dyDescent="0.3">
      <c r="A188" s="119" t="s">
        <v>1659</v>
      </c>
      <c r="B188" s="120">
        <v>0</v>
      </c>
      <c r="C188" s="120">
        <v>0</v>
      </c>
      <c r="D188" s="117">
        <v>0</v>
      </c>
      <c r="E188" s="117">
        <v>0</v>
      </c>
      <c r="F188" s="117">
        <v>0.2</v>
      </c>
      <c r="G188" s="117">
        <v>0.35</v>
      </c>
      <c r="H188" s="112" t="s">
        <v>1571</v>
      </c>
      <c r="I188" s="121" t="s">
        <v>1571</v>
      </c>
    </row>
    <row r="189" spans="1:9" x14ac:dyDescent="0.3">
      <c r="A189" s="119" t="s">
        <v>1657</v>
      </c>
      <c r="B189" s="116">
        <v>0</v>
      </c>
      <c r="C189" s="116">
        <v>0</v>
      </c>
      <c r="D189" s="117">
        <v>0</v>
      </c>
      <c r="E189" s="117">
        <v>0</v>
      </c>
      <c r="F189" s="117">
        <v>0.2</v>
      </c>
      <c r="G189" s="117">
        <v>0.35</v>
      </c>
      <c r="H189" s="123" t="s">
        <v>1571</v>
      </c>
      <c r="I189" s="124" t="s">
        <v>1571</v>
      </c>
    </row>
    <row r="190" spans="1:9" x14ac:dyDescent="0.3">
      <c r="A190" s="119" t="s">
        <v>1658</v>
      </c>
      <c r="B190" s="116">
        <v>0</v>
      </c>
      <c r="C190" s="116">
        <v>0</v>
      </c>
      <c r="D190" s="117">
        <v>0</v>
      </c>
      <c r="E190" s="117">
        <v>0</v>
      </c>
      <c r="F190" s="117">
        <v>0.2</v>
      </c>
      <c r="G190" s="117">
        <v>0.35</v>
      </c>
      <c r="H190" s="112" t="s">
        <v>1571</v>
      </c>
      <c r="I190" s="124" t="s">
        <v>1571</v>
      </c>
    </row>
    <row r="191" spans="1:9" x14ac:dyDescent="0.3">
      <c r="A191" s="125" t="s">
        <v>1652</v>
      </c>
      <c r="B191" s="126">
        <v>0</v>
      </c>
      <c r="C191" s="126">
        <v>0</v>
      </c>
      <c r="D191" s="117">
        <v>0</v>
      </c>
      <c r="E191" s="117">
        <v>0</v>
      </c>
      <c r="F191" s="117">
        <v>0.4</v>
      </c>
      <c r="G191" s="117">
        <v>0.65</v>
      </c>
      <c r="H191" s="38" t="s">
        <v>1571</v>
      </c>
      <c r="I191" s="121" t="s">
        <v>1571</v>
      </c>
    </row>
    <row r="192" spans="1:9" x14ac:dyDescent="0.3">
      <c r="A192" s="125" t="s">
        <v>1654</v>
      </c>
      <c r="B192" s="116">
        <v>0</v>
      </c>
      <c r="C192" s="116">
        <v>0</v>
      </c>
      <c r="D192" s="117">
        <v>0</v>
      </c>
      <c r="E192" s="117">
        <v>0</v>
      </c>
      <c r="F192" s="117">
        <v>0.3</v>
      </c>
      <c r="G192" s="117">
        <v>0.45</v>
      </c>
      <c r="H192" s="42" t="s">
        <v>1571</v>
      </c>
      <c r="I192" s="124" t="s">
        <v>1571</v>
      </c>
    </row>
    <row r="193" spans="1:9" x14ac:dyDescent="0.3">
      <c r="A193" s="125" t="s">
        <v>1655</v>
      </c>
      <c r="B193" s="116">
        <v>62500</v>
      </c>
      <c r="C193" s="116">
        <v>250000</v>
      </c>
      <c r="D193" s="117">
        <v>1.0416666666666666E-2</v>
      </c>
      <c r="E193" s="117">
        <v>4.1666666666666664E-2</v>
      </c>
      <c r="F193" s="117">
        <v>0.3</v>
      </c>
      <c r="G193" s="117">
        <v>0.45</v>
      </c>
      <c r="H193" s="42" t="s">
        <v>1571</v>
      </c>
      <c r="I193" s="124" t="s">
        <v>1571</v>
      </c>
    </row>
    <row r="194" spans="1:9" x14ac:dyDescent="0.3">
      <c r="A194" s="125" t="s">
        <v>1647</v>
      </c>
      <c r="B194" s="116">
        <v>0</v>
      </c>
      <c r="C194" s="116">
        <v>0</v>
      </c>
      <c r="D194" s="117">
        <v>0</v>
      </c>
      <c r="E194" s="117">
        <v>0</v>
      </c>
      <c r="F194" s="117">
        <v>0.15</v>
      </c>
      <c r="G194" s="117">
        <v>0.25</v>
      </c>
      <c r="H194" s="42" t="s">
        <v>1571</v>
      </c>
      <c r="I194" s="124" t="s">
        <v>1571</v>
      </c>
    </row>
    <row r="195" spans="1:9" x14ac:dyDescent="0.3">
      <c r="A195" s="125" t="s">
        <v>1642</v>
      </c>
      <c r="B195" s="116">
        <v>0</v>
      </c>
      <c r="C195" s="116">
        <v>0</v>
      </c>
      <c r="D195" s="117">
        <v>0</v>
      </c>
      <c r="E195" s="117">
        <v>0</v>
      </c>
      <c r="F195" s="117">
        <v>0.3</v>
      </c>
      <c r="G195" s="117">
        <v>0.5</v>
      </c>
      <c r="H195" s="42" t="s">
        <v>1571</v>
      </c>
      <c r="I195" s="124" t="s">
        <v>1571</v>
      </c>
    </row>
    <row r="196" spans="1:9" ht="15" thickBot="1" x14ac:dyDescent="0.35">
      <c r="A196" s="127" t="s">
        <v>1643</v>
      </c>
      <c r="B196" s="128">
        <v>0</v>
      </c>
      <c r="C196" s="128">
        <v>0</v>
      </c>
      <c r="D196" s="129">
        <v>0</v>
      </c>
      <c r="E196" s="129">
        <v>0</v>
      </c>
      <c r="F196" s="129">
        <v>0.2</v>
      </c>
      <c r="G196" s="129">
        <v>0.3</v>
      </c>
      <c r="H196" s="130" t="s">
        <v>1571</v>
      </c>
      <c r="I196" s="131" t="s">
        <v>1571</v>
      </c>
    </row>
    <row r="198" spans="1:9" x14ac:dyDescent="0.3">
      <c r="A198" s="132" t="s">
        <v>1315</v>
      </c>
      <c r="B198" s="132" t="s">
        <v>1717</v>
      </c>
      <c r="C198" s="132" t="s">
        <v>1718</v>
      </c>
      <c r="D198" s="132" t="s">
        <v>1711</v>
      </c>
      <c r="E198" s="132" t="s">
        <v>1712</v>
      </c>
    </row>
    <row r="199" spans="1:9" x14ac:dyDescent="0.3">
      <c r="A199" s="112" t="s">
        <v>1344</v>
      </c>
      <c r="B199" s="116">
        <v>250000</v>
      </c>
      <c r="C199" s="133">
        <v>4.1666666666666664E-2</v>
      </c>
      <c r="D199" s="133">
        <v>0.3</v>
      </c>
      <c r="E199" s="112" t="s">
        <v>1726</v>
      </c>
    </row>
    <row r="200" spans="1:9" x14ac:dyDescent="0.3">
      <c r="A200" s="112" t="s">
        <v>1359</v>
      </c>
      <c r="B200" s="116">
        <v>250000</v>
      </c>
      <c r="C200" s="133">
        <v>4.1666666666666664E-2</v>
      </c>
      <c r="D200" s="133">
        <v>0.3</v>
      </c>
      <c r="E200" s="112" t="s">
        <v>1726</v>
      </c>
    </row>
    <row r="201" spans="1:9" x14ac:dyDescent="0.3">
      <c r="A201" s="112" t="s">
        <v>1342</v>
      </c>
      <c r="B201" s="116">
        <v>250000</v>
      </c>
      <c r="C201" s="133">
        <v>4.1666666666666664E-2</v>
      </c>
      <c r="D201" s="133">
        <v>0.3</v>
      </c>
      <c r="E201" s="112" t="s">
        <v>1726</v>
      </c>
    </row>
    <row r="202" spans="1:9" x14ac:dyDescent="0.3">
      <c r="A202" s="112" t="s">
        <v>1352</v>
      </c>
      <c r="B202" s="116">
        <v>250000</v>
      </c>
      <c r="C202" s="133">
        <v>4.1666666666666664E-2</v>
      </c>
      <c r="D202" s="133">
        <v>0.3</v>
      </c>
      <c r="E202" s="112" t="s">
        <v>1726</v>
      </c>
    </row>
    <row r="203" spans="1:9" x14ac:dyDescent="0.3">
      <c r="A203" s="112" t="s">
        <v>1339</v>
      </c>
      <c r="B203" s="116">
        <v>249999</v>
      </c>
      <c r="C203" s="133">
        <v>4.1666500000000002E-2</v>
      </c>
      <c r="D203" s="133">
        <v>0.3</v>
      </c>
      <c r="E203" s="112" t="s">
        <v>1726</v>
      </c>
    </row>
    <row r="204" spans="1:9" x14ac:dyDescent="0.3">
      <c r="A204" s="112" t="s">
        <v>1341</v>
      </c>
      <c r="B204" s="116">
        <v>249999</v>
      </c>
      <c r="C204" s="133">
        <v>4.1666500000000002E-2</v>
      </c>
      <c r="D204" s="133">
        <v>0.3</v>
      </c>
      <c r="E204" s="112" t="s">
        <v>1726</v>
      </c>
    </row>
    <row r="205" spans="1:9" x14ac:dyDescent="0.3">
      <c r="A205" s="112" t="s">
        <v>1358</v>
      </c>
      <c r="B205" s="116">
        <v>250000</v>
      </c>
      <c r="C205" s="133">
        <v>4.1666666666666664E-2</v>
      </c>
      <c r="D205" s="133">
        <v>0.3</v>
      </c>
      <c r="E205" s="112" t="s">
        <v>1726</v>
      </c>
    </row>
    <row r="206" spans="1:9" x14ac:dyDescent="0.3">
      <c r="A206" s="112" t="s">
        <v>1357</v>
      </c>
      <c r="B206" s="116">
        <v>250000.5</v>
      </c>
      <c r="C206" s="133">
        <v>4.1666750000000002E-2</v>
      </c>
      <c r="D206" s="133">
        <v>0.3</v>
      </c>
      <c r="E206" s="112" t="s">
        <v>1726</v>
      </c>
    </row>
    <row r="207" spans="1:9" x14ac:dyDescent="0.3">
      <c r="A207" s="112" t="s">
        <v>1354</v>
      </c>
      <c r="B207" s="116">
        <v>500000</v>
      </c>
      <c r="C207" s="133">
        <v>8.3333333333333329E-2</v>
      </c>
      <c r="D207" s="133">
        <v>0.3</v>
      </c>
      <c r="E207" s="112" t="s">
        <v>1726</v>
      </c>
    </row>
    <row r="208" spans="1:9" x14ac:dyDescent="0.3">
      <c r="A208" s="112" t="s">
        <v>1331</v>
      </c>
      <c r="B208" s="116">
        <v>249999.9</v>
      </c>
      <c r="C208" s="133">
        <v>4.166665E-2</v>
      </c>
      <c r="D208" s="133">
        <v>0.3</v>
      </c>
      <c r="E208" s="112" t="s">
        <v>1726</v>
      </c>
    </row>
    <row r="209" spans="1:9" x14ac:dyDescent="0.3">
      <c r="A209" s="112" t="s">
        <v>1337</v>
      </c>
      <c r="B209" s="116">
        <v>249999.60000000003</v>
      </c>
      <c r="C209" s="133">
        <v>4.1666600000000005E-2</v>
      </c>
      <c r="D209" s="133">
        <v>0.3</v>
      </c>
      <c r="E209" s="112" t="s">
        <v>1726</v>
      </c>
    </row>
    <row r="210" spans="1:9" x14ac:dyDescent="0.3">
      <c r="A210" s="112" t="s">
        <v>1335</v>
      </c>
      <c r="B210" s="116">
        <v>250000</v>
      </c>
      <c r="C210" s="133">
        <v>4.1666666666666664E-2</v>
      </c>
      <c r="D210" s="133">
        <v>0.3</v>
      </c>
      <c r="E210" s="112" t="s">
        <v>1726</v>
      </c>
    </row>
    <row r="211" spans="1:9" x14ac:dyDescent="0.3">
      <c r="A211" s="34" t="s">
        <v>1353</v>
      </c>
      <c r="B211" s="183">
        <v>250000.5</v>
      </c>
      <c r="C211" s="183">
        <v>4.1666750000000002E-2</v>
      </c>
      <c r="D211" s="143">
        <v>0.3</v>
      </c>
      <c r="E211" s="143" t="s">
        <v>1726</v>
      </c>
    </row>
    <row r="212" spans="1:9" x14ac:dyDescent="0.3">
      <c r="A212" s="34" t="s">
        <v>1348</v>
      </c>
      <c r="B212" s="183">
        <v>250000.5</v>
      </c>
      <c r="C212" s="183">
        <v>4.1666750000000002E-2</v>
      </c>
      <c r="D212" s="143">
        <v>0.3</v>
      </c>
      <c r="E212" s="143" t="s">
        <v>1726</v>
      </c>
    </row>
    <row r="213" spans="1:9" x14ac:dyDescent="0.3">
      <c r="A213" s="34" t="s">
        <v>1351</v>
      </c>
      <c r="B213" s="183">
        <v>250000.80000000002</v>
      </c>
      <c r="C213" s="183">
        <v>4.1666800000000004E-2</v>
      </c>
      <c r="D213" s="143">
        <v>0.3</v>
      </c>
      <c r="E213" s="143" t="s">
        <v>1726</v>
      </c>
    </row>
    <row r="214" spans="1:9" x14ac:dyDescent="0.3">
      <c r="A214" s="34" t="s">
        <v>1345</v>
      </c>
      <c r="B214" s="183">
        <v>250000</v>
      </c>
      <c r="C214" s="183">
        <v>4.1666666666666664E-2</v>
      </c>
      <c r="D214" s="143">
        <v>0.3</v>
      </c>
      <c r="E214" s="143" t="s">
        <v>1726</v>
      </c>
    </row>
    <row r="215" spans="1:9" x14ac:dyDescent="0.3">
      <c r="A215" s="34" t="s">
        <v>1343</v>
      </c>
      <c r="B215" s="183">
        <v>249999.45</v>
      </c>
      <c r="C215" s="183">
        <v>4.1666575000000004E-2</v>
      </c>
      <c r="D215" s="143">
        <v>0.3</v>
      </c>
      <c r="E215" s="143" t="s">
        <v>1726</v>
      </c>
    </row>
    <row r="216" spans="1:9" x14ac:dyDescent="0.3">
      <c r="A216" s="34" t="s">
        <v>1360</v>
      </c>
      <c r="B216" s="183">
        <v>249999.75000000003</v>
      </c>
      <c r="C216" s="183">
        <v>4.1666625000000006E-2</v>
      </c>
      <c r="D216" s="143">
        <v>0.3</v>
      </c>
      <c r="E216" s="143" t="s">
        <v>1726</v>
      </c>
    </row>
    <row r="217" spans="1:9" x14ac:dyDescent="0.3">
      <c r="A217" s="34" t="s">
        <v>1327</v>
      </c>
      <c r="B217" s="183">
        <v>250000.5</v>
      </c>
      <c r="C217" s="183">
        <v>4.1666750000000002E-2</v>
      </c>
      <c r="D217" s="143">
        <v>0.3</v>
      </c>
      <c r="E217" s="143" t="s">
        <v>1726</v>
      </c>
    </row>
    <row r="219" spans="1:9" x14ac:dyDescent="0.3">
      <c r="A219" s="134" t="s">
        <v>1432</v>
      </c>
      <c r="B219" s="135" t="s">
        <v>1727</v>
      </c>
      <c r="C219" s="136" t="s">
        <v>1728</v>
      </c>
      <c r="D219" s="136" t="s">
        <v>1729</v>
      </c>
      <c r="E219" s="136" t="s">
        <v>1730</v>
      </c>
      <c r="F219" s="136" t="s">
        <v>1731</v>
      </c>
      <c r="G219" s="136" t="s">
        <v>1732</v>
      </c>
      <c r="H219" s="136" t="s">
        <v>1733</v>
      </c>
      <c r="I219" s="136" t="s">
        <v>1734</v>
      </c>
    </row>
    <row r="220" spans="1:9" x14ac:dyDescent="0.3">
      <c r="A220" s="34">
        <v>1</v>
      </c>
      <c r="B220" s="34" t="s">
        <v>1661</v>
      </c>
      <c r="C220" s="137">
        <v>63450.124098139764</v>
      </c>
      <c r="D220" s="137">
        <v>81.63365436415188</v>
      </c>
      <c r="E220" s="137">
        <v>1078852.5187763579</v>
      </c>
      <c r="F220" s="137">
        <v>1418597.1108050765</v>
      </c>
      <c r="G220" s="137">
        <v>1418597.1108050765</v>
      </c>
      <c r="H220" s="137">
        <v>1078934.152430722</v>
      </c>
      <c r="I220" s="137">
        <v>-602060.23360744596</v>
      </c>
    </row>
    <row r="221" spans="1:9" x14ac:dyDescent="0.3">
      <c r="A221" s="34">
        <v>2</v>
      </c>
      <c r="B221" s="34" t="s">
        <v>1633</v>
      </c>
      <c r="C221" s="137">
        <v>44078.606522987706</v>
      </c>
      <c r="D221" s="137">
        <v>19453.15122951621</v>
      </c>
      <c r="E221" s="137">
        <v>942801.85898331902</v>
      </c>
      <c r="F221" s="137">
        <v>1286566.1775316859</v>
      </c>
      <c r="G221" s="137">
        <v>1035119.4766185944</v>
      </c>
      <c r="H221" s="137">
        <v>962255.01021283527</v>
      </c>
      <c r="I221" s="137">
        <v>-485381.09138955921</v>
      </c>
    </row>
    <row r="222" spans="1:9" x14ac:dyDescent="0.3">
      <c r="A222" s="34">
        <v>3</v>
      </c>
      <c r="B222" s="34" t="s">
        <v>1635</v>
      </c>
      <c r="C222" s="137">
        <v>16407.005244580701</v>
      </c>
      <c r="D222" s="137">
        <v>47124.752507923215</v>
      </c>
      <c r="E222" s="137">
        <v>522511.06323042541</v>
      </c>
      <c r="F222" s="137">
        <v>856155.45573968429</v>
      </c>
      <c r="G222" s="137">
        <v>285538.38207748753</v>
      </c>
      <c r="H222" s="137">
        <v>569635.81573834864</v>
      </c>
      <c r="I222" s="137">
        <v>-92761.896915072575</v>
      </c>
    </row>
    <row r="223" spans="1:9" x14ac:dyDescent="0.3">
      <c r="A223" s="34">
        <v>4</v>
      </c>
      <c r="B223" s="34" t="s">
        <v>1639</v>
      </c>
      <c r="C223" s="137">
        <v>3817.9982759520285</v>
      </c>
      <c r="D223" s="137">
        <v>59713.759476551888</v>
      </c>
      <c r="E223" s="137">
        <v>90998.341564623188</v>
      </c>
      <c r="F223" s="137">
        <v>367689.04664349084</v>
      </c>
      <c r="G223" s="137">
        <v>11801.699530669186</v>
      </c>
      <c r="H223" s="137">
        <v>150712.10104117508</v>
      </c>
      <c r="I223" s="137">
        <v>326161.81778210099</v>
      </c>
    </row>
    <row r="224" spans="1:9" x14ac:dyDescent="0.3">
      <c r="A224" s="34">
        <v>5</v>
      </c>
      <c r="B224" s="34" t="s">
        <v>1651</v>
      </c>
      <c r="C224" s="137">
        <v>1879.4244694471322</v>
      </c>
      <c r="D224" s="137">
        <v>61652.333283056782</v>
      </c>
      <c r="E224" s="137">
        <v>12797.484205814064</v>
      </c>
      <c r="F224" s="137">
        <v>187454.52660086489</v>
      </c>
      <c r="G224" s="137">
        <v>5983.080604808667</v>
      </c>
      <c r="H224" s="137">
        <v>74449.817488870845</v>
      </c>
      <c r="I224" s="137">
        <v>402424.10133440525</v>
      </c>
    </row>
    <row r="225" spans="1:9" x14ac:dyDescent="0.3">
      <c r="A225" s="34">
        <v>6</v>
      </c>
      <c r="B225" s="34" t="s">
        <v>1649</v>
      </c>
      <c r="C225" s="137">
        <v>3417.1361203935517</v>
      </c>
      <c r="D225" s="137">
        <v>60114.621632110364</v>
      </c>
      <c r="E225" s="137">
        <v>47877.335033221607</v>
      </c>
      <c r="F225" s="137">
        <v>339497.51920301915</v>
      </c>
      <c r="G225" s="137">
        <v>89412.491444536194</v>
      </c>
      <c r="H225" s="137">
        <v>107991.95666533196</v>
      </c>
      <c r="I225" s="137">
        <v>368881.9621579441</v>
      </c>
    </row>
    <row r="226" spans="1:9" x14ac:dyDescent="0.3">
      <c r="A226" s="34">
        <v>7</v>
      </c>
      <c r="B226" s="34" t="s">
        <v>1650</v>
      </c>
      <c r="C226" s="137">
        <v>9708.4638103006273</v>
      </c>
      <c r="D226" s="137">
        <v>53823.293942203287</v>
      </c>
      <c r="E226" s="137">
        <v>250000</v>
      </c>
      <c r="F226" s="137">
        <v>484839.43437104562</v>
      </c>
      <c r="G226" s="137">
        <v>161352.23202091339</v>
      </c>
      <c r="H226" s="137">
        <v>303823.29394220328</v>
      </c>
      <c r="I226" s="137">
        <v>173050.62488107278</v>
      </c>
    </row>
    <row r="227" spans="1:9" x14ac:dyDescent="0.3">
      <c r="A227" s="34">
        <v>8</v>
      </c>
      <c r="B227" s="34" t="s">
        <v>1636</v>
      </c>
      <c r="C227" s="137">
        <v>2162.3370180458942</v>
      </c>
      <c r="D227" s="137">
        <v>61369.420734458021</v>
      </c>
      <c r="E227" s="137">
        <v>39013.761465282805</v>
      </c>
      <c r="F227" s="137">
        <v>211502.49689106244</v>
      </c>
      <c r="G227" s="137">
        <v>9240.3923924975152</v>
      </c>
      <c r="H227" s="137">
        <v>100383.18219974083</v>
      </c>
      <c r="I227" s="137">
        <v>376490.73662353522</v>
      </c>
    </row>
    <row r="228" spans="1:9" x14ac:dyDescent="0.3">
      <c r="A228" s="34">
        <v>9</v>
      </c>
      <c r="B228" s="34" t="s">
        <v>1640</v>
      </c>
      <c r="C228" s="137">
        <v>8478.8231042104417</v>
      </c>
      <c r="D228" s="137">
        <v>55052.934648293478</v>
      </c>
      <c r="E228" s="137">
        <v>250000.5</v>
      </c>
      <c r="F228" s="137">
        <v>738505.6042291359</v>
      </c>
      <c r="G228" s="137">
        <v>298084.40487280948</v>
      </c>
      <c r="H228" s="137">
        <v>305053.43464829348</v>
      </c>
      <c r="I228" s="137">
        <v>171820.48417498259</v>
      </c>
    </row>
    <row r="229" spans="1:9" x14ac:dyDescent="0.3">
      <c r="A229" s="34">
        <v>10</v>
      </c>
      <c r="B229" s="34" t="s">
        <v>1653</v>
      </c>
      <c r="C229" s="137">
        <v>1682.3473798496741</v>
      </c>
      <c r="D229" s="137">
        <v>61849.410372654245</v>
      </c>
      <c r="E229" s="137">
        <v>0</v>
      </c>
      <c r="F229" s="137">
        <v>168234.73798496742</v>
      </c>
      <c r="G229" s="137">
        <v>14999.987995750002</v>
      </c>
      <c r="H229" s="137">
        <v>61849.410372654245</v>
      </c>
      <c r="I229" s="137">
        <v>415024.5084506218</v>
      </c>
    </row>
    <row r="230" spans="1:9" x14ac:dyDescent="0.3">
      <c r="A230" s="34">
        <v>11</v>
      </c>
      <c r="B230" s="34" t="s">
        <v>1660</v>
      </c>
      <c r="C230" s="137">
        <v>0</v>
      </c>
      <c r="D230" s="137">
        <v>63531.757752503916</v>
      </c>
      <c r="E230" s="137">
        <v>0</v>
      </c>
      <c r="F230" s="137">
        <v>0</v>
      </c>
      <c r="G230" s="137">
        <v>0</v>
      </c>
      <c r="H230" s="137">
        <v>63531.757752503916</v>
      </c>
      <c r="I230" s="137">
        <v>413342.16107077216</v>
      </c>
    </row>
    <row r="231" spans="1:9" x14ac:dyDescent="0.3">
      <c r="A231" s="34">
        <v>12</v>
      </c>
      <c r="B231" s="34" t="s">
        <v>1638</v>
      </c>
      <c r="C231" s="137">
        <v>0</v>
      </c>
      <c r="D231" s="137">
        <v>63531.757752503916</v>
      </c>
      <c r="E231" s="137">
        <v>0</v>
      </c>
      <c r="F231" s="137">
        <v>0</v>
      </c>
      <c r="G231" s="137">
        <v>0</v>
      </c>
      <c r="H231" s="137">
        <v>63531.757752503916</v>
      </c>
      <c r="I231" s="137">
        <v>413342.16107077216</v>
      </c>
    </row>
    <row r="232" spans="1:9" x14ac:dyDescent="0.3">
      <c r="A232" s="34">
        <v>13</v>
      </c>
      <c r="B232" s="34" t="s">
        <v>1656</v>
      </c>
      <c r="C232" s="137">
        <v>0</v>
      </c>
      <c r="D232" s="137">
        <v>63531.757752503916</v>
      </c>
      <c r="E232" s="137">
        <v>0</v>
      </c>
      <c r="F232" s="137">
        <v>0</v>
      </c>
      <c r="G232" s="137">
        <v>0</v>
      </c>
      <c r="H232" s="137">
        <v>63531.757752503916</v>
      </c>
      <c r="I232" s="137">
        <v>413342.16107077216</v>
      </c>
    </row>
    <row r="233" spans="1:9" x14ac:dyDescent="0.3">
      <c r="A233" s="34">
        <v>14</v>
      </c>
      <c r="B233" s="34" t="s">
        <v>1641</v>
      </c>
      <c r="C233" s="137">
        <v>1971.5092803013679</v>
      </c>
      <c r="D233" s="137">
        <v>61560.248472202547</v>
      </c>
      <c r="E233" s="137">
        <v>0</v>
      </c>
      <c r="F233" s="137">
        <v>197150.9280301368</v>
      </c>
      <c r="G233" s="137">
        <v>5000.01</v>
      </c>
      <c r="H233" s="137">
        <v>61560.248472202547</v>
      </c>
      <c r="I233" s="137">
        <v>415313.6703510735</v>
      </c>
    </row>
    <row r="234" spans="1:9" x14ac:dyDescent="0.3">
      <c r="A234" s="34">
        <v>15</v>
      </c>
      <c r="B234" s="34" t="s">
        <v>1637</v>
      </c>
      <c r="C234" s="137">
        <v>3733.109579950129</v>
      </c>
      <c r="D234" s="137">
        <v>59798.648172553789</v>
      </c>
      <c r="E234" s="137">
        <v>249999.6</v>
      </c>
      <c r="F234" s="137">
        <v>249999.6000000003</v>
      </c>
      <c r="G234" s="137">
        <v>7499.9880000000003</v>
      </c>
      <c r="H234" s="137">
        <v>309798.24817255378</v>
      </c>
      <c r="I234" s="137">
        <v>167075.67065072228</v>
      </c>
    </row>
    <row r="235" spans="1:9" x14ac:dyDescent="0.3">
      <c r="A235" s="34">
        <v>16</v>
      </c>
      <c r="B235" s="34" t="s">
        <v>1659</v>
      </c>
      <c r="C235" s="137">
        <v>0</v>
      </c>
      <c r="D235" s="137">
        <v>63531.757752503916</v>
      </c>
      <c r="E235" s="137">
        <v>0</v>
      </c>
      <c r="F235" s="137">
        <v>0</v>
      </c>
      <c r="G235" s="137">
        <v>0</v>
      </c>
      <c r="H235" s="137">
        <v>63531.757752503916</v>
      </c>
      <c r="I235" s="137">
        <v>413342.16107077216</v>
      </c>
    </row>
    <row r="236" spans="1:9" x14ac:dyDescent="0.3">
      <c r="A236" s="34">
        <v>17</v>
      </c>
      <c r="B236" s="34" t="s">
        <v>1657</v>
      </c>
      <c r="C236" s="137">
        <v>0</v>
      </c>
      <c r="D236" s="137">
        <v>63531.757752503916</v>
      </c>
      <c r="E236" s="137">
        <v>0</v>
      </c>
      <c r="F236" s="137">
        <v>0</v>
      </c>
      <c r="G236" s="137">
        <v>0</v>
      </c>
      <c r="H236" s="137">
        <v>63531.757752503916</v>
      </c>
      <c r="I236" s="137">
        <v>413342.16107077216</v>
      </c>
    </row>
    <row r="237" spans="1:9" x14ac:dyDescent="0.3">
      <c r="A237" s="34">
        <v>18</v>
      </c>
      <c r="B237" s="34" t="s">
        <v>1658</v>
      </c>
      <c r="C237" s="137">
        <v>153.18208328999415</v>
      </c>
      <c r="D237" s="137">
        <v>63378.575669213918</v>
      </c>
      <c r="E237" s="137">
        <v>0</v>
      </c>
      <c r="F237" s="137">
        <v>15318.208328999415</v>
      </c>
      <c r="G237" s="137">
        <v>0</v>
      </c>
      <c r="H237" s="137">
        <v>63378.575669213918</v>
      </c>
      <c r="I237" s="137">
        <v>413495.34315406217</v>
      </c>
    </row>
    <row r="238" spans="1:9" x14ac:dyDescent="0.3">
      <c r="A238" s="34">
        <v>19</v>
      </c>
      <c r="B238" s="34" t="s">
        <v>1652</v>
      </c>
      <c r="C238" s="137">
        <v>0</v>
      </c>
      <c r="D238" s="137">
        <v>63531.757752503916</v>
      </c>
      <c r="E238" s="137">
        <v>0</v>
      </c>
      <c r="F238" s="137">
        <v>0</v>
      </c>
      <c r="G238" s="137">
        <v>0</v>
      </c>
      <c r="H238" s="137">
        <v>63531.757752503916</v>
      </c>
      <c r="I238" s="137">
        <v>413342.16107077216</v>
      </c>
    </row>
    <row r="239" spans="1:9" x14ac:dyDescent="0.3">
      <c r="A239" s="34">
        <v>20</v>
      </c>
      <c r="B239" s="34" t="s">
        <v>1654</v>
      </c>
      <c r="C239" s="137">
        <v>0</v>
      </c>
      <c r="D239" s="137">
        <v>63531.757752503916</v>
      </c>
      <c r="E239" s="137">
        <v>0</v>
      </c>
      <c r="F239" s="137">
        <v>0</v>
      </c>
      <c r="G239" s="137">
        <v>0</v>
      </c>
      <c r="H239" s="137">
        <v>63531.757752503916</v>
      </c>
      <c r="I239" s="137">
        <v>413342.16107077216</v>
      </c>
    </row>
    <row r="240" spans="1:9" x14ac:dyDescent="0.3">
      <c r="A240" s="34">
        <v>21</v>
      </c>
      <c r="B240" s="34" t="s">
        <v>1655</v>
      </c>
      <c r="C240" s="137">
        <v>2306.25</v>
      </c>
      <c r="D240" s="137">
        <v>61225.507752503916</v>
      </c>
      <c r="E240" s="137">
        <v>62500</v>
      </c>
      <c r="F240" s="137">
        <v>222500</v>
      </c>
      <c r="G240" s="137">
        <v>4062.5</v>
      </c>
      <c r="H240" s="137">
        <v>123725.50775250391</v>
      </c>
      <c r="I240" s="137">
        <v>353148.41107077216</v>
      </c>
    </row>
    <row r="241" spans="1:13" x14ac:dyDescent="0.3">
      <c r="A241" s="34">
        <v>22</v>
      </c>
      <c r="B241" s="34" t="s">
        <v>1647</v>
      </c>
      <c r="C241" s="137">
        <v>0</v>
      </c>
      <c r="D241" s="137">
        <v>63531.757752503916</v>
      </c>
      <c r="E241" s="137">
        <v>0</v>
      </c>
      <c r="F241" s="137">
        <v>0</v>
      </c>
      <c r="G241" s="137">
        <v>0</v>
      </c>
      <c r="H241" s="137">
        <v>63531.757752503916</v>
      </c>
      <c r="I241" s="137">
        <v>413342.16107077216</v>
      </c>
    </row>
    <row r="242" spans="1:13" x14ac:dyDescent="0.3">
      <c r="A242" s="34">
        <v>23</v>
      </c>
      <c r="B242" s="34" t="s">
        <v>1642</v>
      </c>
      <c r="C242" s="137">
        <v>309.48694576837966</v>
      </c>
      <c r="D242" s="137">
        <v>63222.270806735534</v>
      </c>
      <c r="E242" s="137">
        <v>0</v>
      </c>
      <c r="F242" s="137">
        <v>30948.694576837966</v>
      </c>
      <c r="G242" s="137">
        <v>2886.1983273305045</v>
      </c>
      <c r="H242" s="137">
        <v>63222.270806735534</v>
      </c>
      <c r="I242" s="137">
        <v>413651.64801654051</v>
      </c>
    </row>
    <row r="243" spans="1:13" x14ac:dyDescent="0.3">
      <c r="A243" s="34">
        <v>24</v>
      </c>
      <c r="B243" s="34" t="s">
        <v>1643</v>
      </c>
      <c r="C243" s="137">
        <v>648.93535340519611</v>
      </c>
      <c r="D243" s="137">
        <v>62882.822399098717</v>
      </c>
      <c r="E243" s="137">
        <v>0</v>
      </c>
      <c r="F243" s="137">
        <v>64893.535340519615</v>
      </c>
      <c r="G243" s="137">
        <v>50944.544990592694</v>
      </c>
      <c r="H243" s="137">
        <v>62882.822399098717</v>
      </c>
      <c r="I243" s="137">
        <v>413991.09642417735</v>
      </c>
    </row>
    <row r="246" spans="1:13" x14ac:dyDescent="0.3">
      <c r="A246" s="134" t="s">
        <v>3</v>
      </c>
      <c r="B246" s="141" t="s">
        <v>1736</v>
      </c>
      <c r="C246" s="141" t="s">
        <v>1737</v>
      </c>
      <c r="D246" s="141" t="s">
        <v>1738</v>
      </c>
      <c r="E246" s="141" t="s">
        <v>1739</v>
      </c>
      <c r="F246" s="141" t="s">
        <v>1740</v>
      </c>
      <c r="G246" s="141" t="s">
        <v>1741</v>
      </c>
      <c r="H246" s="141" t="s">
        <v>1742</v>
      </c>
      <c r="I246" s="141" t="s">
        <v>1743</v>
      </c>
      <c r="J246" s="141" t="s">
        <v>1744</v>
      </c>
      <c r="K246" s="141" t="s">
        <v>1745</v>
      </c>
      <c r="L246" s="141" t="s">
        <v>1746</v>
      </c>
      <c r="M246" s="142" t="s">
        <v>1747</v>
      </c>
    </row>
    <row r="247" spans="1:13" x14ac:dyDescent="0.3">
      <c r="A247" s="134" t="s">
        <v>1748</v>
      </c>
      <c r="B247" s="143">
        <v>1.5142850161147881E-2</v>
      </c>
      <c r="C247" s="143">
        <v>1.5879823932779934E-2</v>
      </c>
      <c r="D247" s="143">
        <v>1.570387734040175E-2</v>
      </c>
      <c r="E247" s="143">
        <v>2.5100274986636629E-2</v>
      </c>
      <c r="F247" s="143">
        <v>2.8948067467892292E-2</v>
      </c>
      <c r="G247" s="143">
        <v>2.3663317377042688E-2</v>
      </c>
      <c r="H247" s="143">
        <v>0.1083109626820648</v>
      </c>
      <c r="I247" s="143">
        <v>0.20761762706000056</v>
      </c>
      <c r="J247" s="143">
        <v>0.28563357960159425</v>
      </c>
      <c r="K247" s="143">
        <v>0.19196507507530319</v>
      </c>
      <c r="L247" s="143">
        <v>4.7319549302085651E-2</v>
      </c>
      <c r="M247" s="89">
        <v>3.3429404145793491E-2</v>
      </c>
    </row>
    <row r="248" spans="1:13" x14ac:dyDescent="0.3">
      <c r="A248" s="134" t="s">
        <v>373</v>
      </c>
      <c r="B248" s="143">
        <v>0</v>
      </c>
      <c r="C248" s="143">
        <v>0</v>
      </c>
      <c r="D248" s="143">
        <v>0</v>
      </c>
      <c r="E248" s="143">
        <v>0</v>
      </c>
      <c r="F248" s="143">
        <v>0</v>
      </c>
      <c r="G248" s="143">
        <v>5.4819306478374333E-3</v>
      </c>
      <c r="H248" s="143">
        <v>3.4157243342015836E-2</v>
      </c>
      <c r="I248" s="143">
        <v>0.16027457696472894</v>
      </c>
      <c r="J248" s="143">
        <v>0.43169154418002015</v>
      </c>
      <c r="K248" s="143">
        <v>0.32120038164391124</v>
      </c>
      <c r="L248" s="143">
        <v>4.7194575398971872E-2</v>
      </c>
      <c r="M248" s="89">
        <v>0</v>
      </c>
    </row>
    <row r="249" spans="1:13" x14ac:dyDescent="0.3">
      <c r="A249" s="134" t="s">
        <v>418</v>
      </c>
      <c r="B249" s="143">
        <v>9.2125361825374716E-3</v>
      </c>
      <c r="C249" s="143">
        <v>0</v>
      </c>
      <c r="D249" s="143">
        <v>1.9233949749381626E-2</v>
      </c>
      <c r="E249" s="143">
        <v>0</v>
      </c>
      <c r="F249" s="143">
        <v>0</v>
      </c>
      <c r="G249" s="143">
        <v>4.0765256499497547E-3</v>
      </c>
      <c r="H249" s="143">
        <v>0.16716078752946567</v>
      </c>
      <c r="I249" s="143">
        <v>0.22471629386534661</v>
      </c>
      <c r="J249" s="143">
        <v>0.35611373176918226</v>
      </c>
      <c r="K249" s="143">
        <v>0.16864073673426586</v>
      </c>
      <c r="L249" s="143">
        <v>1.9444030984041197E-2</v>
      </c>
      <c r="M249" s="89">
        <v>0</v>
      </c>
    </row>
    <row r="250" spans="1:13" x14ac:dyDescent="0.3">
      <c r="A250" s="134" t="s">
        <v>538</v>
      </c>
      <c r="B250" s="143">
        <v>4.8176636987198262E-2</v>
      </c>
      <c r="C250" s="143">
        <v>6.1353751309187965E-2</v>
      </c>
      <c r="D250" s="143">
        <v>4.4904507704114215E-2</v>
      </c>
      <c r="E250" s="143">
        <v>9.1901069863100232E-2</v>
      </c>
      <c r="F250" s="143">
        <v>0.13240248223293577</v>
      </c>
      <c r="G250" s="143">
        <v>4.5109511183203096E-2</v>
      </c>
      <c r="H250" s="143">
        <v>5.0862839715260739E-2</v>
      </c>
      <c r="I250" s="143">
        <v>0.11852107260909182</v>
      </c>
      <c r="J250" s="143">
        <v>0.13008821881123089</v>
      </c>
      <c r="K250" s="143">
        <v>0.10149987755724875</v>
      </c>
      <c r="L250" s="143">
        <v>6.5887900839373667E-2</v>
      </c>
      <c r="M250" s="89">
        <v>0.10929195082931117</v>
      </c>
    </row>
    <row r="251" spans="1:13" x14ac:dyDescent="0.3">
      <c r="A251" s="134" t="s">
        <v>625</v>
      </c>
      <c r="B251" s="143">
        <v>4.581253407546073E-2</v>
      </c>
      <c r="C251" s="143">
        <v>8.8365987119138706E-2</v>
      </c>
      <c r="D251" s="143">
        <v>6.3362474244213512E-2</v>
      </c>
      <c r="E251" s="143">
        <v>8.641559410637624E-2</v>
      </c>
      <c r="F251" s="143">
        <v>0.11523574104142738</v>
      </c>
      <c r="G251" s="143">
        <v>5.5050758765482849E-2</v>
      </c>
      <c r="H251" s="143">
        <v>7.5561662881372033E-2</v>
      </c>
      <c r="I251" s="143">
        <v>9.2981530731386958E-2</v>
      </c>
      <c r="J251" s="143">
        <v>9.8228070762673883E-2</v>
      </c>
      <c r="K251" s="143">
        <v>9.298581698348829E-2</v>
      </c>
      <c r="L251" s="143">
        <v>7.9982604019048262E-2</v>
      </c>
      <c r="M251" s="89">
        <v>0.10601659168163574</v>
      </c>
    </row>
    <row r="252" spans="1:13" x14ac:dyDescent="0.3">
      <c r="A252" s="134" t="s">
        <v>668</v>
      </c>
      <c r="B252" s="143">
        <v>0</v>
      </c>
      <c r="C252" s="143">
        <v>0</v>
      </c>
      <c r="D252" s="143">
        <v>0</v>
      </c>
      <c r="E252" s="143">
        <v>0</v>
      </c>
      <c r="F252" s="143">
        <v>0</v>
      </c>
      <c r="G252" s="143">
        <v>1.2844111929466615E-2</v>
      </c>
      <c r="H252" s="143">
        <v>0.14927831065365924</v>
      </c>
      <c r="I252" s="143">
        <v>0.27728413875629071</v>
      </c>
      <c r="J252" s="143">
        <v>0.32860553610692783</v>
      </c>
      <c r="K252" s="143">
        <v>0.21968485499684401</v>
      </c>
      <c r="L252" s="143">
        <v>1.2303020067228294E-2</v>
      </c>
      <c r="M252" s="89">
        <v>0</v>
      </c>
    </row>
    <row r="253" spans="1:13" x14ac:dyDescent="0.3">
      <c r="A253" s="134" t="s">
        <v>695</v>
      </c>
      <c r="B253" s="143">
        <v>0</v>
      </c>
      <c r="C253" s="143">
        <v>0</v>
      </c>
      <c r="D253" s="143">
        <v>0</v>
      </c>
      <c r="E253" s="143">
        <v>0</v>
      </c>
      <c r="F253" s="143">
        <v>0</v>
      </c>
      <c r="G253" s="143">
        <v>2.8890804664116584E-2</v>
      </c>
      <c r="H253" s="143">
        <v>0.12019187534366527</v>
      </c>
      <c r="I253" s="143">
        <v>0.32100494741491814</v>
      </c>
      <c r="J253" s="143">
        <v>0.30145733327674495</v>
      </c>
      <c r="K253" s="143">
        <v>0.20428271733016179</v>
      </c>
      <c r="L253" s="143">
        <v>2.4172593623600372E-2</v>
      </c>
      <c r="M253" s="89">
        <v>0</v>
      </c>
    </row>
    <row r="254" spans="1:13" x14ac:dyDescent="0.3">
      <c r="A254" s="134" t="s">
        <v>711</v>
      </c>
      <c r="B254" s="143">
        <v>8.1890927706282896E-2</v>
      </c>
      <c r="C254" s="143">
        <v>6.1007284919591821E-2</v>
      </c>
      <c r="D254" s="143">
        <v>3.8041983048526261E-2</v>
      </c>
      <c r="E254" s="143">
        <v>0.10144528812940336</v>
      </c>
      <c r="F254" s="143">
        <v>0.14170089737115674</v>
      </c>
      <c r="G254" s="143">
        <v>2.7135170086679067E-2</v>
      </c>
      <c r="H254" s="143">
        <v>0.13948727117792958</v>
      </c>
      <c r="I254" s="143">
        <v>7.387033990382541E-2</v>
      </c>
      <c r="J254" s="143">
        <v>0.11412594914557878</v>
      </c>
      <c r="K254" s="143">
        <v>0.10144528812940336</v>
      </c>
      <c r="L254" s="143">
        <v>7.6083966097052522E-2</v>
      </c>
      <c r="M254" s="89">
        <v>4.3765269235124804E-2</v>
      </c>
    </row>
    <row r="255" spans="1:13" x14ac:dyDescent="0.3">
      <c r="A255" s="134" t="s">
        <v>856</v>
      </c>
      <c r="B255" s="143">
        <v>1.3216618073489799E-2</v>
      </c>
      <c r="C255" s="143">
        <v>6.6083090367449002E-3</v>
      </c>
      <c r="D255" s="143">
        <v>2.5158196307004468E-2</v>
      </c>
      <c r="E255" s="143">
        <v>4.625816325721431E-2</v>
      </c>
      <c r="F255" s="143">
        <v>3.3041545183724499E-2</v>
      </c>
      <c r="G255" s="143">
        <v>4.2062562708936588E-2</v>
      </c>
      <c r="H255" s="143">
        <v>7.6911864271459837E-2</v>
      </c>
      <c r="I255" s="143">
        <v>0.14538279880838778</v>
      </c>
      <c r="J255" s="143">
        <v>0.2621267870600123</v>
      </c>
      <c r="K255" s="143">
        <v>0.18026948642761917</v>
      </c>
      <c r="L255" s="143">
        <v>8.7004588065098379E-2</v>
      </c>
      <c r="M255" s="89">
        <v>8.1958948620730762E-2</v>
      </c>
    </row>
    <row r="256" spans="1:13" x14ac:dyDescent="0.3">
      <c r="A256" s="134" t="s">
        <v>876</v>
      </c>
      <c r="B256" s="143">
        <v>0</v>
      </c>
      <c r="C256" s="143">
        <v>0</v>
      </c>
      <c r="D256" s="143">
        <v>0</v>
      </c>
      <c r="E256" s="143">
        <v>0</v>
      </c>
      <c r="F256" s="143">
        <v>0</v>
      </c>
      <c r="G256" s="143">
        <v>7.5399747546826077E-3</v>
      </c>
      <c r="H256" s="143">
        <v>0.14547916232513305</v>
      </c>
      <c r="I256" s="143">
        <v>0.28929804942244247</v>
      </c>
      <c r="J256" s="143">
        <v>0.35737250552916688</v>
      </c>
      <c r="K256" s="143">
        <v>0.18905341650462684</v>
      </c>
      <c r="L256" s="143">
        <v>1.1256888517055159E-2</v>
      </c>
      <c r="M256" s="89">
        <v>0</v>
      </c>
    </row>
    <row r="257" spans="1:13" x14ac:dyDescent="0.3">
      <c r="A257" s="134" t="s">
        <v>895</v>
      </c>
      <c r="B257" s="143">
        <v>9.3495934959349589E-2</v>
      </c>
      <c r="C257" s="143">
        <v>5.0135501355013552E-2</v>
      </c>
      <c r="D257" s="143">
        <v>0.12330623306233063</v>
      </c>
      <c r="E257" s="143">
        <v>5.4200542005420058E-2</v>
      </c>
      <c r="F257" s="143">
        <v>7.7235772357723581E-2</v>
      </c>
      <c r="G257" s="143">
        <v>8.943089430894309E-2</v>
      </c>
      <c r="H257" s="143">
        <v>0.1043360433604336</v>
      </c>
      <c r="I257" s="143">
        <v>6.097560975609756E-2</v>
      </c>
      <c r="J257" s="143">
        <v>7.4525745257452577E-2</v>
      </c>
      <c r="K257" s="143">
        <v>7.9945799457994585E-2</v>
      </c>
      <c r="L257" s="143">
        <v>9.0785907859078585E-2</v>
      </c>
      <c r="M257" s="89">
        <v>0.1016260162601626</v>
      </c>
    </row>
    <row r="258" spans="1:13" x14ac:dyDescent="0.3">
      <c r="A258" s="134" t="s">
        <v>943</v>
      </c>
      <c r="B258" s="143">
        <v>0</v>
      </c>
      <c r="C258" s="143">
        <v>0</v>
      </c>
      <c r="D258" s="143">
        <v>0</v>
      </c>
      <c r="E258" s="143">
        <v>0</v>
      </c>
      <c r="F258" s="143">
        <v>0</v>
      </c>
      <c r="G258" s="143">
        <v>0</v>
      </c>
      <c r="H258" s="143">
        <v>0.17080885595562703</v>
      </c>
      <c r="I258" s="143">
        <v>0.24844924502636664</v>
      </c>
      <c r="J258" s="143">
        <v>0.37887984603289876</v>
      </c>
      <c r="K258" s="143">
        <v>0.18633693376977498</v>
      </c>
      <c r="L258" s="143">
        <v>1.5528077814147915E-2</v>
      </c>
      <c r="M258" s="89">
        <v>0</v>
      </c>
    </row>
    <row r="259" spans="1:13" x14ac:dyDescent="0.3">
      <c r="A259" s="134" t="s">
        <v>963</v>
      </c>
      <c r="B259" s="143">
        <v>0</v>
      </c>
      <c r="C259" s="143">
        <v>0</v>
      </c>
      <c r="D259" s="143">
        <v>0</v>
      </c>
      <c r="E259" s="143">
        <v>0</v>
      </c>
      <c r="F259" s="143">
        <v>0</v>
      </c>
      <c r="G259" s="143">
        <v>0</v>
      </c>
      <c r="H259" s="143">
        <v>0.18257463723928827</v>
      </c>
      <c r="I259" s="143">
        <v>0.44955123663210017</v>
      </c>
      <c r="J259" s="143">
        <v>0.31731221042748015</v>
      </c>
      <c r="K259" s="143">
        <v>5.0560963345151165E-2</v>
      </c>
      <c r="L259" s="143">
        <v>0</v>
      </c>
      <c r="M259" s="89">
        <v>0</v>
      </c>
    </row>
    <row r="260" spans="1:13" x14ac:dyDescent="0.3">
      <c r="A260" s="134" t="s">
        <v>995</v>
      </c>
      <c r="B260" s="143">
        <v>0</v>
      </c>
      <c r="C260" s="143">
        <v>0</v>
      </c>
      <c r="D260" s="143">
        <v>0</v>
      </c>
      <c r="E260" s="143">
        <v>0</v>
      </c>
      <c r="F260" s="143">
        <v>0</v>
      </c>
      <c r="G260" s="143">
        <v>2.3087894964963752E-2</v>
      </c>
      <c r="H260" s="143">
        <v>0.13534007691071831</v>
      </c>
      <c r="I260" s="143">
        <v>0.29828004369793343</v>
      </c>
      <c r="J260" s="143">
        <v>0.28399441133772163</v>
      </c>
      <c r="K260" s="143">
        <v>0.22732437346071119</v>
      </c>
      <c r="L260" s="143">
        <v>3.1972548342541443E-2</v>
      </c>
      <c r="M260" s="89">
        <v>0</v>
      </c>
    </row>
    <row r="261" spans="1:13" x14ac:dyDescent="0.3">
      <c r="A261" s="134" t="s">
        <v>1000</v>
      </c>
      <c r="B261" s="143">
        <v>5.1364336785009859E-2</v>
      </c>
      <c r="C261" s="143">
        <v>7.0625963079388551E-2</v>
      </c>
      <c r="D261" s="143">
        <v>3.5312981539694276E-2</v>
      </c>
      <c r="E261" s="143">
        <v>0.12841084196252464</v>
      </c>
      <c r="F261" s="143">
        <v>0.15890841692862426</v>
      </c>
      <c r="G261" s="143">
        <v>5.9390014407667648E-2</v>
      </c>
      <c r="H261" s="143">
        <v>5.1364336785009859E-2</v>
      </c>
      <c r="I261" s="143">
        <v>5.778487888313609E-2</v>
      </c>
      <c r="J261" s="143">
        <v>7.8651640702046346E-2</v>
      </c>
      <c r="K261" s="143">
        <v>5.2969472309541417E-2</v>
      </c>
      <c r="L261" s="143">
        <v>0.11556975776627218</v>
      </c>
      <c r="M261" s="89">
        <v>0.13964679063424557</v>
      </c>
    </row>
    <row r="262" spans="1:13" x14ac:dyDescent="0.3">
      <c r="A262" s="134" t="s">
        <v>1028</v>
      </c>
      <c r="B262" s="143">
        <v>4.3735347898384923E-2</v>
      </c>
      <c r="C262" s="143">
        <v>9.4374240213367072E-2</v>
      </c>
      <c r="D262" s="143">
        <v>6.1890438631671194E-2</v>
      </c>
      <c r="E262" s="143">
        <v>8.9384982769975169E-2</v>
      </c>
      <c r="F262" s="143">
        <v>0.13936094181496883</v>
      </c>
      <c r="G262" s="143">
        <v>5.5489542349181797E-2</v>
      </c>
      <c r="H262" s="143">
        <v>6.1890438631671194E-2</v>
      </c>
      <c r="I262" s="143">
        <v>7.4268526358005432E-2</v>
      </c>
      <c r="J262" s="143">
        <v>0.10530929808580219</v>
      </c>
      <c r="K262" s="143">
        <v>8.6647575183294953E-2</v>
      </c>
      <c r="L262" s="143">
        <v>6.189808734715168E-2</v>
      </c>
      <c r="M262" s="89">
        <v>0.12574883266459572</v>
      </c>
    </row>
    <row r="263" spans="1:13" x14ac:dyDescent="0.3">
      <c r="A263" s="134" t="s">
        <v>1061</v>
      </c>
      <c r="B263" s="143">
        <v>1.5830227966883187E-2</v>
      </c>
      <c r="C263" s="143">
        <v>1.0826294478235103E-2</v>
      </c>
      <c r="D263" s="143">
        <v>5.6708710995920075E-3</v>
      </c>
      <c r="E263" s="143">
        <v>2.7102224155545234E-2</v>
      </c>
      <c r="F263" s="143">
        <v>2.4754509219873645E-2</v>
      </c>
      <c r="G263" s="143">
        <v>1.6937075732515589E-2</v>
      </c>
      <c r="H263" s="143">
        <v>0.16154035304061698</v>
      </c>
      <c r="I263" s="143">
        <v>0.19111398508563196</v>
      </c>
      <c r="J263" s="143">
        <v>0.29687046097564374</v>
      </c>
      <c r="K263" s="143">
        <v>0.17433226590123929</v>
      </c>
      <c r="L263" s="143">
        <v>4.4602319850973439E-2</v>
      </c>
      <c r="M263" s="89">
        <v>3.041876042941748E-2</v>
      </c>
    </row>
    <row r="264" spans="1:13" x14ac:dyDescent="0.3">
      <c r="A264" s="134" t="s">
        <v>1061</v>
      </c>
      <c r="B264" s="143">
        <v>1.5830227966883187E-2</v>
      </c>
      <c r="C264" s="143">
        <v>1.0826294478235103E-2</v>
      </c>
      <c r="D264" s="143">
        <v>5.6708710995920075E-3</v>
      </c>
      <c r="E264" s="143">
        <v>2.7102224155545231E-2</v>
      </c>
      <c r="F264" s="143">
        <v>2.4754509219873645E-2</v>
      </c>
      <c r="G264" s="143">
        <v>1.6937075732515589E-2</v>
      </c>
      <c r="H264" s="143">
        <v>0.16154035304061701</v>
      </c>
      <c r="I264" s="143">
        <v>0.19111398508563196</v>
      </c>
      <c r="J264" s="143">
        <v>0.29687046097564368</v>
      </c>
      <c r="K264" s="143">
        <v>0.17433226590123932</v>
      </c>
      <c r="L264" s="143">
        <v>4.4602319850973439E-2</v>
      </c>
      <c r="M264" s="89">
        <v>3.041876042941748E-2</v>
      </c>
    </row>
    <row r="265" spans="1:13" x14ac:dyDescent="0.3">
      <c r="A265" s="134" t="s">
        <v>1099</v>
      </c>
      <c r="B265" s="143">
        <v>2.3308764612571156E-2</v>
      </c>
      <c r="C265" s="143">
        <v>3.6368592056342255E-2</v>
      </c>
      <c r="D265" s="143">
        <v>2.8192379532979726E-2</v>
      </c>
      <c r="E265" s="143">
        <v>9.4410771821199072E-2</v>
      </c>
      <c r="F265" s="143">
        <v>0</v>
      </c>
      <c r="G265" s="143">
        <v>2.7933836131217381E-2</v>
      </c>
      <c r="H265" s="143">
        <v>0.11624487975867323</v>
      </c>
      <c r="I265" s="143">
        <v>0.1930389353143355</v>
      </c>
      <c r="J265" s="143">
        <v>0.20301217991955003</v>
      </c>
      <c r="K265" s="143">
        <v>9.2666127552529648E-2</v>
      </c>
      <c r="L265" s="143">
        <v>7.5283015095584577E-2</v>
      </c>
      <c r="M265" s="89">
        <v>0.10954000232553994</v>
      </c>
    </row>
    <row r="266" spans="1:13" x14ac:dyDescent="0.3">
      <c r="A266" s="134" t="s">
        <v>1114</v>
      </c>
      <c r="B266" s="143">
        <v>0</v>
      </c>
      <c r="C266" s="143">
        <v>0</v>
      </c>
      <c r="D266" s="143">
        <v>3.3018529063594091E-3</v>
      </c>
      <c r="E266" s="143">
        <v>8.416856649148383E-3</v>
      </c>
      <c r="F266" s="143">
        <v>0</v>
      </c>
      <c r="G266" s="143">
        <v>2.0936960691526809E-2</v>
      </c>
      <c r="H266" s="143">
        <v>9.9258793391909586E-2</v>
      </c>
      <c r="I266" s="143">
        <v>0.31643059286727898</v>
      </c>
      <c r="J266" s="143">
        <v>0.30321525519668624</v>
      </c>
      <c r="K266" s="143">
        <v>0.18952189746469891</v>
      </c>
      <c r="L266" s="143">
        <v>4.2084283245741913E-2</v>
      </c>
      <c r="M266" s="89">
        <v>1.6833713298296762E-2</v>
      </c>
    </row>
    <row r="267" spans="1:13" x14ac:dyDescent="0.3">
      <c r="A267" s="134" t="s">
        <v>1120</v>
      </c>
      <c r="B267" s="143">
        <v>0</v>
      </c>
      <c r="C267" s="143">
        <v>0</v>
      </c>
      <c r="D267" s="143">
        <v>0</v>
      </c>
      <c r="E267" s="143">
        <v>0</v>
      </c>
      <c r="F267" s="143">
        <v>0</v>
      </c>
      <c r="G267" s="143">
        <v>1.0381811336111969E-2</v>
      </c>
      <c r="H267" s="143">
        <v>3.6057237318996876E-2</v>
      </c>
      <c r="I267" s="143">
        <v>0.18521528110323587</v>
      </c>
      <c r="J267" s="143">
        <v>0.3662274257822058</v>
      </c>
      <c r="K267" s="143">
        <v>0.30866859243901679</v>
      </c>
      <c r="L267" s="143">
        <v>7.0566935656581398E-2</v>
      </c>
      <c r="M267" s="89">
        <v>2.2883070068887245E-2</v>
      </c>
    </row>
    <row r="269" spans="1:13" x14ac:dyDescent="0.3">
      <c r="A269" s="134" t="s">
        <v>1750</v>
      </c>
      <c r="B269" s="146" t="s">
        <v>1751</v>
      </c>
      <c r="C269" s="147" t="s">
        <v>1752</v>
      </c>
    </row>
    <row r="270" spans="1:13" x14ac:dyDescent="0.3">
      <c r="A270" s="34">
        <v>1</v>
      </c>
      <c r="B270" s="116">
        <v>7044.6314240366091</v>
      </c>
      <c r="C270" s="123">
        <v>1.5142850161147881E-2</v>
      </c>
    </row>
    <row r="271" spans="1:13" x14ac:dyDescent="0.3">
      <c r="A271" s="34">
        <v>2</v>
      </c>
      <c r="B271" s="116">
        <v>7387.4802626027031</v>
      </c>
      <c r="C271" s="123">
        <v>1.5879823932779934E-2</v>
      </c>
    </row>
    <row r="272" spans="1:13" x14ac:dyDescent="0.3">
      <c r="A272" s="34">
        <v>3</v>
      </c>
      <c r="B272" s="116">
        <v>7305.6278450968066</v>
      </c>
      <c r="C272" s="123">
        <v>1.570387734040175E-2</v>
      </c>
    </row>
    <row r="273" spans="1:38" x14ac:dyDescent="0.3">
      <c r="A273" s="34">
        <v>4</v>
      </c>
      <c r="B273" s="116">
        <v>11676.942189951429</v>
      </c>
      <c r="C273" s="123">
        <v>2.5100274986636629E-2</v>
      </c>
    </row>
    <row r="274" spans="1:38" x14ac:dyDescent="0.3">
      <c r="A274" s="34">
        <v>5</v>
      </c>
      <c r="B274" s="116">
        <v>13466.980362301058</v>
      </c>
      <c r="C274" s="123">
        <v>2.8948067467892292E-2</v>
      </c>
    </row>
    <row r="275" spans="1:38" x14ac:dyDescent="0.3">
      <c r="A275" s="34">
        <v>6</v>
      </c>
      <c r="B275" s="116">
        <v>11008.452663618649</v>
      </c>
      <c r="C275" s="123">
        <v>2.3663317377042688E-2</v>
      </c>
    </row>
    <row r="276" spans="1:38" x14ac:dyDescent="0.3">
      <c r="A276" s="34">
        <v>7</v>
      </c>
      <c r="B276" s="116">
        <v>50387.5296366197</v>
      </c>
      <c r="C276" s="123">
        <v>0.1083109626820648</v>
      </c>
    </row>
    <row r="277" spans="1:38" x14ac:dyDescent="0.3">
      <c r="A277" s="34">
        <v>8</v>
      </c>
      <c r="B277" s="116">
        <v>96586.154139157385</v>
      </c>
      <c r="C277" s="123">
        <v>0.20761762706000056</v>
      </c>
    </row>
    <row r="278" spans="1:38" x14ac:dyDescent="0.3">
      <c r="A278" s="34">
        <v>9</v>
      </c>
      <c r="B278" s="116">
        <v>132880.08989114387</v>
      </c>
      <c r="C278" s="123">
        <v>0.28563357960159425</v>
      </c>
    </row>
    <row r="279" spans="1:38" x14ac:dyDescent="0.3">
      <c r="A279" s="34">
        <v>10</v>
      </c>
      <c r="B279" s="116">
        <v>89304.403451253384</v>
      </c>
      <c r="C279" s="123">
        <v>0.19196507507530319</v>
      </c>
    </row>
    <row r="280" spans="1:38" x14ac:dyDescent="0.3">
      <c r="A280" s="34">
        <v>11</v>
      </c>
      <c r="B280" s="116">
        <v>22013.609091899856</v>
      </c>
      <c r="C280" s="123">
        <v>4.7319549302085651E-2</v>
      </c>
    </row>
    <row r="281" spans="1:38" x14ac:dyDescent="0.3">
      <c r="A281" s="34">
        <v>12</v>
      </c>
      <c r="B281" s="116">
        <v>15551.75072236368</v>
      </c>
      <c r="C281" s="123">
        <v>3.3429404145793491E-2</v>
      </c>
    </row>
    <row r="284" spans="1:38" x14ac:dyDescent="0.3">
      <c r="A284" s="156" t="s">
        <v>3</v>
      </c>
      <c r="B284" s="156" t="s">
        <v>1389</v>
      </c>
      <c r="C284" s="156" t="s">
        <v>1391</v>
      </c>
      <c r="D284" s="134" t="s">
        <v>1318</v>
      </c>
      <c r="E284" s="134" t="s">
        <v>1392</v>
      </c>
      <c r="F284" s="134" t="s">
        <v>1393</v>
      </c>
      <c r="G284" s="134" t="s">
        <v>1394</v>
      </c>
      <c r="H284" s="134" t="s">
        <v>1395</v>
      </c>
      <c r="I284" s="134" t="s">
        <v>1322</v>
      </c>
      <c r="J284" s="134" t="s">
        <v>1397</v>
      </c>
      <c r="K284" s="134" t="s">
        <v>1398</v>
      </c>
      <c r="L284" s="134" t="s">
        <v>1321</v>
      </c>
      <c r="M284" s="134" t="s">
        <v>1427</v>
      </c>
      <c r="N284" s="134" t="s">
        <v>1399</v>
      </c>
      <c r="O284" s="134" t="s">
        <v>1400</v>
      </c>
      <c r="P284" s="134" t="s">
        <v>1445</v>
      </c>
      <c r="Q284" s="134" t="s">
        <v>1401</v>
      </c>
      <c r="R284" s="134" t="s">
        <v>1441</v>
      </c>
      <c r="S284" s="134" t="s">
        <v>1440</v>
      </c>
      <c r="T284" s="134" t="s">
        <v>1426</v>
      </c>
      <c r="U284" s="134" t="s">
        <v>1322</v>
      </c>
      <c r="V284" s="134" t="s">
        <v>1428</v>
      </c>
      <c r="W284" s="156" t="s">
        <v>1402</v>
      </c>
      <c r="X284" s="156" t="s">
        <v>1403</v>
      </c>
      <c r="Y284" s="156"/>
      <c r="Z284" s="156"/>
      <c r="AA284" s="156"/>
      <c r="AB284" s="156" t="s">
        <v>1407</v>
      </c>
      <c r="AC284" s="134" t="s">
        <v>1408</v>
      </c>
      <c r="AD284" s="134" t="s">
        <v>1410</v>
      </c>
      <c r="AE284" s="134" t="s">
        <v>1411</v>
      </c>
      <c r="AF284" s="134" t="s">
        <v>71</v>
      </c>
      <c r="AG284" s="134" t="s">
        <v>1419</v>
      </c>
      <c r="AH284" s="134" t="s">
        <v>1420</v>
      </c>
      <c r="AI284" s="134" t="s">
        <v>1421</v>
      </c>
      <c r="AJ284" s="134" t="s">
        <v>1422</v>
      </c>
      <c r="AK284" s="134" t="s">
        <v>1423</v>
      </c>
      <c r="AL284" s="134" t="s">
        <v>1416</v>
      </c>
    </row>
    <row r="285" spans="1:38" x14ac:dyDescent="0.3">
      <c r="A285" s="34" t="s">
        <v>1000</v>
      </c>
      <c r="B285" s="137"/>
      <c r="C285" s="152">
        <v>46332</v>
      </c>
      <c r="D285" s="153">
        <v>129</v>
      </c>
      <c r="E285" s="34"/>
      <c r="F285" s="34" t="s">
        <v>1325</v>
      </c>
      <c r="G285" s="34">
        <v>0</v>
      </c>
      <c r="H285" s="137">
        <v>150000000</v>
      </c>
      <c r="I285" s="137">
        <v>12256230</v>
      </c>
      <c r="J285" s="137">
        <v>250000.5</v>
      </c>
      <c r="K285" s="137">
        <v>250000.5</v>
      </c>
      <c r="L285" s="137">
        <v>250000</v>
      </c>
      <c r="M285" s="137"/>
      <c r="N285" s="34">
        <v>0</v>
      </c>
      <c r="O285" s="34">
        <v>102.4</v>
      </c>
      <c r="P285" s="154">
        <v>8.1708199999999995E-2</v>
      </c>
      <c r="Q285" s="155">
        <v>1.6666700000000001E-3</v>
      </c>
      <c r="R285" s="155">
        <v>4.3428769999999998E-2</v>
      </c>
      <c r="S285" s="155">
        <v>0</v>
      </c>
      <c r="T285" s="34">
        <v>6.8990380000000004E-2</v>
      </c>
      <c r="U285" s="155">
        <v>20427.090854099999</v>
      </c>
      <c r="V285" s="137">
        <v>25000.05</v>
      </c>
      <c r="W285" s="137">
        <v>256000.51200000002</v>
      </c>
      <c r="X285" s="137">
        <v>1946.8788937500001</v>
      </c>
      <c r="Y285" s="137">
        <v>20829.125148716455</v>
      </c>
      <c r="Z285" s="137">
        <v>0</v>
      </c>
      <c r="AA285" s="137">
        <v>250000.5</v>
      </c>
      <c r="AB285" s="137">
        <v>4.1666750000000002E-2</v>
      </c>
      <c r="AC285" s="155">
        <v>0</v>
      </c>
      <c r="AD285" s="34">
        <v>0</v>
      </c>
      <c r="AE285" s="34">
        <v>0</v>
      </c>
      <c r="AF285" s="34">
        <v>0</v>
      </c>
      <c r="AG285" s="34">
        <v>0</v>
      </c>
      <c r="AH285" s="34">
        <v>9.5308671589877159E-2</v>
      </c>
      <c r="AI285" s="155">
        <v>29062.558125</v>
      </c>
      <c r="AJ285" s="137">
        <v>18480.21196035</v>
      </c>
      <c r="AK285" s="137">
        <v>0.63587698924731184</v>
      </c>
      <c r="AL285" s="155" t="s">
        <v>1003</v>
      </c>
    </row>
    <row r="286" spans="1:38" x14ac:dyDescent="0.3">
      <c r="A286" s="34" t="s">
        <v>538</v>
      </c>
      <c r="B286" s="137"/>
      <c r="C286" s="152">
        <v>46484</v>
      </c>
      <c r="D286" s="153">
        <v>281</v>
      </c>
      <c r="E286" s="34"/>
      <c r="F286" s="34" t="s">
        <v>1325</v>
      </c>
      <c r="G286" s="34">
        <v>0</v>
      </c>
      <c r="H286" s="137">
        <v>250000000</v>
      </c>
      <c r="I286" s="137">
        <v>9300714</v>
      </c>
      <c r="J286" s="137">
        <v>250000</v>
      </c>
      <c r="K286" s="137">
        <v>250000</v>
      </c>
      <c r="L286" s="137">
        <v>250000</v>
      </c>
      <c r="M286" s="137"/>
      <c r="N286" s="34">
        <v>0</v>
      </c>
      <c r="O286" s="34">
        <v>103.85</v>
      </c>
      <c r="P286" s="154">
        <v>9.3007140000000002E-2</v>
      </c>
      <c r="Q286" s="155">
        <v>2.5000000000000001E-3</v>
      </c>
      <c r="R286" s="155">
        <v>5.4388600000000002E-2</v>
      </c>
      <c r="S286" s="155">
        <v>0</v>
      </c>
      <c r="T286" s="34">
        <v>7.5250440000000002E-2</v>
      </c>
      <c r="U286" s="155">
        <v>23251.785</v>
      </c>
      <c r="V286" s="137">
        <v>39570.608006814669</v>
      </c>
      <c r="W286" s="137">
        <v>259625</v>
      </c>
      <c r="X286" s="137">
        <v>1669.5596988802565</v>
      </c>
      <c r="Y286" s="137">
        <v>19286.862428845554</v>
      </c>
      <c r="Z286" s="137">
        <v>0</v>
      </c>
      <c r="AA286" s="137">
        <v>250000</v>
      </c>
      <c r="AB286" s="137">
        <v>4.1666666666666664E-2</v>
      </c>
      <c r="AC286" s="155">
        <v>0</v>
      </c>
      <c r="AD286" s="34">
        <v>0</v>
      </c>
      <c r="AE286" s="34">
        <v>0</v>
      </c>
      <c r="AF286" s="34">
        <v>0</v>
      </c>
      <c r="AG286" s="34">
        <v>0</v>
      </c>
      <c r="AH286" s="34">
        <v>7.1803506650360671E-2</v>
      </c>
      <c r="AI286" s="155">
        <v>60333.483445816339</v>
      </c>
      <c r="AJ286" s="137">
        <v>21582.225301119743</v>
      </c>
      <c r="AK286" s="137">
        <v>0.35771555144005701</v>
      </c>
      <c r="AL286" s="155" t="s">
        <v>541</v>
      </c>
    </row>
    <row r="287" spans="1:38" x14ac:dyDescent="0.3">
      <c r="A287" s="34" t="s">
        <v>668</v>
      </c>
      <c r="B287" s="137"/>
      <c r="C287" s="152">
        <v>46395</v>
      </c>
      <c r="D287" s="153">
        <v>192</v>
      </c>
      <c r="E287" s="34"/>
      <c r="F287" s="34" t="s">
        <v>1325</v>
      </c>
      <c r="G287" s="34">
        <v>0</v>
      </c>
      <c r="H287" s="137">
        <v>600000000</v>
      </c>
      <c r="I287" s="137">
        <v>18120000</v>
      </c>
      <c r="J287" s="137">
        <v>250000</v>
      </c>
      <c r="K287" s="137">
        <v>250000</v>
      </c>
      <c r="L287" s="137">
        <v>250000</v>
      </c>
      <c r="M287" s="137"/>
      <c r="N287" s="34">
        <v>0</v>
      </c>
      <c r="O287" s="34">
        <v>102.85</v>
      </c>
      <c r="P287" s="154">
        <v>9.06E-2</v>
      </c>
      <c r="Q287" s="155">
        <v>1.25E-3</v>
      </c>
      <c r="R287" s="155">
        <v>5.2493049999999999E-2</v>
      </c>
      <c r="S287" s="155">
        <v>0</v>
      </c>
      <c r="T287" s="34">
        <v>7.6703099999999996E-2</v>
      </c>
      <c r="U287" s="155">
        <v>22650</v>
      </c>
      <c r="V287" s="137">
        <v>131272.2999064553</v>
      </c>
      <c r="W287" s="137">
        <v>257125</v>
      </c>
      <c r="X287" s="137">
        <v>5261.34985536769</v>
      </c>
      <c r="Y287" s="137">
        <v>34138.576508037739</v>
      </c>
      <c r="Z287" s="137">
        <v>249999.99750000006</v>
      </c>
      <c r="AA287" s="137">
        <v>249999.99750000008</v>
      </c>
      <c r="AB287" s="137">
        <v>4.1666666666666664E-2</v>
      </c>
      <c r="AC287" s="155">
        <v>0</v>
      </c>
      <c r="AD287" s="34">
        <v>0</v>
      </c>
      <c r="AE287" s="34">
        <v>0</v>
      </c>
      <c r="AF287" s="34">
        <v>0</v>
      </c>
      <c r="AG287" s="34">
        <v>0</v>
      </c>
      <c r="AH287" s="34">
        <v>0.23228917683742561</v>
      </c>
      <c r="AI287" s="155">
        <v>41970.278630234068</v>
      </c>
      <c r="AJ287" s="137">
        <v>17388.650144632309</v>
      </c>
      <c r="AK287" s="137">
        <v>0.41430866584969661</v>
      </c>
      <c r="AL287" s="155" t="s">
        <v>671</v>
      </c>
    </row>
    <row r="288" spans="1:38" x14ac:dyDescent="0.3">
      <c r="A288" s="34" t="s">
        <v>876</v>
      </c>
      <c r="B288" s="137"/>
      <c r="C288" s="152">
        <v>46517</v>
      </c>
      <c r="D288" s="153">
        <v>314</v>
      </c>
      <c r="E288" s="34"/>
      <c r="F288" s="34" t="s">
        <v>1325</v>
      </c>
      <c r="G288" s="34">
        <v>0</v>
      </c>
      <c r="H288" s="137">
        <v>125000000</v>
      </c>
      <c r="I288" s="137">
        <v>14315000</v>
      </c>
      <c r="J288" s="137">
        <v>250000</v>
      </c>
      <c r="K288" s="137">
        <v>250000</v>
      </c>
      <c r="L288" s="137">
        <v>250000</v>
      </c>
      <c r="M288" s="137"/>
      <c r="N288" s="34">
        <v>0</v>
      </c>
      <c r="O288" s="34">
        <v>102</v>
      </c>
      <c r="P288" s="154">
        <v>0.11452</v>
      </c>
      <c r="Q288" s="155">
        <v>2E-3</v>
      </c>
      <c r="R288" s="155">
        <v>7.6309879999999997E-2</v>
      </c>
      <c r="S288" s="155">
        <v>0</v>
      </c>
      <c r="T288" s="34">
        <v>0.106922</v>
      </c>
      <c r="U288" s="155">
        <v>28630</v>
      </c>
      <c r="V288" s="137">
        <v>190906.54916197926</v>
      </c>
      <c r="W288" s="137">
        <v>255000</v>
      </c>
      <c r="X288" s="137">
        <v>6876.8499797346622</v>
      </c>
      <c r="Y288" s="137">
        <v>38094.656895663349</v>
      </c>
      <c r="Z288" s="137">
        <v>250000</v>
      </c>
      <c r="AA288" s="137">
        <v>250000</v>
      </c>
      <c r="AB288" s="137">
        <v>4.1666666666666664E-2</v>
      </c>
      <c r="AC288" s="155">
        <v>0</v>
      </c>
      <c r="AD288" s="34">
        <v>0</v>
      </c>
      <c r="AE288" s="34">
        <v>0</v>
      </c>
      <c r="AF288" s="34">
        <v>0</v>
      </c>
      <c r="AG288" s="34">
        <v>0</v>
      </c>
      <c r="AH288" s="34">
        <v>0.24019734473400844</v>
      </c>
      <c r="AI288" s="155">
        <v>138533.33518550993</v>
      </c>
      <c r="AJ288" s="137">
        <v>21753.150020265337</v>
      </c>
      <c r="AK288" s="137">
        <v>0.15702466118451347</v>
      </c>
      <c r="AL288" s="155" t="s">
        <v>879</v>
      </c>
    </row>
    <row r="289" spans="1:38" x14ac:dyDescent="0.3">
      <c r="A289" s="34" t="s">
        <v>943</v>
      </c>
      <c r="B289" s="137"/>
      <c r="C289" s="152">
        <v>46211</v>
      </c>
      <c r="D289" s="153">
        <v>8</v>
      </c>
      <c r="E289" s="34"/>
      <c r="F289" s="34" t="s">
        <v>1325</v>
      </c>
      <c r="G289" s="34">
        <v>0</v>
      </c>
      <c r="H289" s="137">
        <v>150000000</v>
      </c>
      <c r="I289" s="137">
        <v>11677500</v>
      </c>
      <c r="J289" s="137">
        <v>250000.5</v>
      </c>
      <c r="K289" s="137">
        <v>250000.5</v>
      </c>
      <c r="L289" s="137">
        <v>250000</v>
      </c>
      <c r="M289" s="137"/>
      <c r="N289" s="34">
        <v>0</v>
      </c>
      <c r="O289" s="34">
        <v>101.15</v>
      </c>
      <c r="P289" s="154">
        <v>7.7850000000000003E-2</v>
      </c>
      <c r="Q289" s="155">
        <v>1.6666700000000001E-3</v>
      </c>
      <c r="R289" s="155">
        <v>3.8097329999999999E-2</v>
      </c>
      <c r="S289" s="155">
        <v>0</v>
      </c>
      <c r="T289" s="34">
        <v>6.9939169999999995E-2</v>
      </c>
      <c r="U289" s="155">
        <v>19462.538925000001</v>
      </c>
      <c r="V289" s="137">
        <v>175000.35</v>
      </c>
      <c r="W289" s="137">
        <v>252875.50575000004</v>
      </c>
      <c r="X289" s="137">
        <v>1609.9947633145066</v>
      </c>
      <c r="Y289" s="137">
        <v>19799.755023787478</v>
      </c>
      <c r="Z289" s="137">
        <v>0</v>
      </c>
      <c r="AA289" s="137">
        <v>250000.5</v>
      </c>
      <c r="AB289" s="137">
        <v>4.1666750000000002E-2</v>
      </c>
      <c r="AC289" s="155">
        <v>0</v>
      </c>
      <c r="AD289" s="34">
        <v>0</v>
      </c>
      <c r="AE289" s="34">
        <v>0</v>
      </c>
      <c r="AF289" s="34">
        <v>0</v>
      </c>
      <c r="AG289" s="34">
        <v>0</v>
      </c>
      <c r="AH289" s="34">
        <v>8.2722751102449324E-2</v>
      </c>
      <c r="AI289" s="155">
        <v>109649.3796652029</v>
      </c>
      <c r="AJ289" s="137">
        <v>17852.544161685495</v>
      </c>
      <c r="AK289" s="137">
        <v>0.16281482135325731</v>
      </c>
      <c r="AL289" s="155" t="s">
        <v>946</v>
      </c>
    </row>
    <row r="290" spans="1:38" x14ac:dyDescent="0.3">
      <c r="A290" s="34" t="s">
        <v>963</v>
      </c>
      <c r="B290" s="137"/>
      <c r="C290" s="152">
        <v>46395</v>
      </c>
      <c r="D290" s="153">
        <v>192</v>
      </c>
      <c r="E290" s="34"/>
      <c r="F290" s="34" t="s">
        <v>1325</v>
      </c>
      <c r="G290" s="34">
        <v>0</v>
      </c>
      <c r="H290" s="137">
        <v>400000000</v>
      </c>
      <c r="I290" s="137">
        <v>20017500</v>
      </c>
      <c r="J290" s="137">
        <v>249999.45</v>
      </c>
      <c r="K290" s="137">
        <v>249999.45</v>
      </c>
      <c r="L290" s="137">
        <v>250000</v>
      </c>
      <c r="M290" s="137"/>
      <c r="N290" s="34">
        <v>0</v>
      </c>
      <c r="O290" s="34">
        <v>102.3</v>
      </c>
      <c r="P290" s="154">
        <v>7.85E-2</v>
      </c>
      <c r="Q290" s="155">
        <v>9.8039000000000004E-4</v>
      </c>
      <c r="R290" s="155">
        <v>4.0195000000000002E-2</v>
      </c>
      <c r="S290" s="155">
        <v>0</v>
      </c>
      <c r="T290" s="34">
        <v>6.7969870000000002E-2</v>
      </c>
      <c r="U290" s="155">
        <v>19624.956825000001</v>
      </c>
      <c r="V290" s="137">
        <v>0</v>
      </c>
      <c r="W290" s="137">
        <v>255749.43734999999</v>
      </c>
      <c r="X290" s="137">
        <v>407.35961204826793</v>
      </c>
      <c r="Y290" s="137">
        <v>9001.9858960103247</v>
      </c>
      <c r="Z290" s="137">
        <v>0</v>
      </c>
      <c r="AA290" s="137">
        <v>97412.904708811286</v>
      </c>
      <c r="AB290" s="137">
        <v>4.1666575000000004E-2</v>
      </c>
      <c r="AC290" s="155">
        <v>0</v>
      </c>
      <c r="AD290" s="34">
        <v>0</v>
      </c>
      <c r="AE290" s="34">
        <v>0</v>
      </c>
      <c r="AF290" s="34">
        <v>0</v>
      </c>
      <c r="AG290" s="34">
        <v>0</v>
      </c>
      <c r="AH290" s="34">
        <v>2.0757223349879544E-2</v>
      </c>
      <c r="AI290" s="155">
        <v>0</v>
      </c>
      <c r="AJ290" s="137">
        <v>19217.597212951732</v>
      </c>
      <c r="AK290" s="137">
        <v>0</v>
      </c>
      <c r="AL290" s="155" t="s">
        <v>966</v>
      </c>
    </row>
    <row r="291" spans="1:38" x14ac:dyDescent="0.3">
      <c r="A291" s="34" t="s">
        <v>1061</v>
      </c>
      <c r="B291" s="137"/>
      <c r="C291" s="152">
        <v>46395</v>
      </c>
      <c r="D291" s="153">
        <v>192</v>
      </c>
      <c r="E291" s="34"/>
      <c r="F291" s="34" t="s">
        <v>1325</v>
      </c>
      <c r="G291" s="34">
        <v>0</v>
      </c>
      <c r="H291" s="137">
        <v>301000000</v>
      </c>
      <c r="I291" s="137">
        <v>20180000</v>
      </c>
      <c r="J291" s="137">
        <v>250000</v>
      </c>
      <c r="K291" s="137">
        <v>250000</v>
      </c>
      <c r="L291" s="137">
        <v>250000</v>
      </c>
      <c r="M291" s="137"/>
      <c r="N291" s="34">
        <v>0</v>
      </c>
      <c r="O291" s="34">
        <v>103.6</v>
      </c>
      <c r="P291" s="154">
        <v>0.1009</v>
      </c>
      <c r="Q291" s="155">
        <v>1.25E-3</v>
      </c>
      <c r="R291" s="155">
        <v>6.2344139999999999E-2</v>
      </c>
      <c r="S291" s="155">
        <v>0</v>
      </c>
      <c r="T291" s="34">
        <v>7.6477260000000005E-2</v>
      </c>
      <c r="U291" s="155">
        <v>25225.000000000004</v>
      </c>
      <c r="V291" s="137">
        <v>231719.34507808808</v>
      </c>
      <c r="W291" s="137">
        <v>259000</v>
      </c>
      <c r="X291" s="137">
        <v>3592.3576575519787</v>
      </c>
      <c r="Y291" s="137">
        <v>28646.09637168363</v>
      </c>
      <c r="Z291" s="137">
        <v>250000.00103749998</v>
      </c>
      <c r="AA291" s="137">
        <v>250000.00103749998</v>
      </c>
      <c r="AB291" s="137">
        <v>4.1666666666666664E-2</v>
      </c>
      <c r="AC291" s="155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0.14241259296539061</v>
      </c>
      <c r="AI291" s="155">
        <v>218048.36203450948</v>
      </c>
      <c r="AJ291" s="137">
        <v>21632.642342448024</v>
      </c>
      <c r="AK291" s="137">
        <v>9.9210295095105219E-2</v>
      </c>
      <c r="AL291" s="155" t="s">
        <v>1064</v>
      </c>
    </row>
    <row r="292" spans="1:38" x14ac:dyDescent="0.3">
      <c r="A292" s="34" t="s">
        <v>1061</v>
      </c>
      <c r="B292" s="137"/>
      <c r="C292" s="152">
        <v>46395</v>
      </c>
      <c r="D292" s="153">
        <v>192</v>
      </c>
      <c r="E292" s="34"/>
      <c r="F292" s="34" t="s">
        <v>1325</v>
      </c>
      <c r="G292" s="34">
        <v>0</v>
      </c>
      <c r="H292" s="137">
        <v>301000000</v>
      </c>
      <c r="I292" s="137">
        <v>20180000</v>
      </c>
      <c r="J292" s="137">
        <v>250000</v>
      </c>
      <c r="K292" s="137">
        <v>250000</v>
      </c>
      <c r="L292" s="137">
        <v>250000</v>
      </c>
      <c r="M292" s="137"/>
      <c r="N292" s="34">
        <v>0</v>
      </c>
      <c r="O292" s="34">
        <v>103.1</v>
      </c>
      <c r="P292" s="154">
        <v>0.1009</v>
      </c>
      <c r="Q292" s="155">
        <v>1.25E-3</v>
      </c>
      <c r="R292" s="155">
        <v>6.2344139999999999E-2</v>
      </c>
      <c r="S292" s="155">
        <v>0</v>
      </c>
      <c r="T292" s="34">
        <v>8.4681469999999995E-2</v>
      </c>
      <c r="U292" s="155">
        <v>25225.000000000004</v>
      </c>
      <c r="V292" s="137">
        <v>231719.34507808808</v>
      </c>
      <c r="W292" s="137">
        <v>257750</v>
      </c>
      <c r="X292" s="137">
        <v>3592.3576575519792</v>
      </c>
      <c r="Y292" s="137">
        <v>28646.09637168363</v>
      </c>
      <c r="Z292" s="137">
        <v>250000.00103749998</v>
      </c>
      <c r="AA292" s="137">
        <v>250000.00103749998</v>
      </c>
      <c r="AB292" s="137">
        <v>4.1666666666666664E-2</v>
      </c>
      <c r="AC292" s="155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0.14241259296539063</v>
      </c>
      <c r="AI292" s="155">
        <v>218048.36203450948</v>
      </c>
      <c r="AJ292" s="137">
        <v>21632.642342448024</v>
      </c>
      <c r="AK292" s="137">
        <v>9.9210295095105219E-2</v>
      </c>
      <c r="AL292" s="155" t="s">
        <v>1064</v>
      </c>
    </row>
    <row r="293" spans="1:38" x14ac:dyDescent="0.3">
      <c r="A293" s="34" t="s">
        <v>1114</v>
      </c>
      <c r="B293" s="137"/>
      <c r="C293" s="152">
        <v>46849</v>
      </c>
      <c r="D293" s="153">
        <v>646</v>
      </c>
      <c r="E293" s="34"/>
      <c r="F293" s="34" t="s">
        <v>1325</v>
      </c>
      <c r="G293" s="34">
        <v>0</v>
      </c>
      <c r="H293" s="137">
        <v>300000000</v>
      </c>
      <c r="I293" s="137">
        <v>17920000</v>
      </c>
      <c r="J293" s="137">
        <v>250000</v>
      </c>
      <c r="K293" s="137">
        <v>250000</v>
      </c>
      <c r="L293" s="137">
        <v>250000</v>
      </c>
      <c r="M293" s="137"/>
      <c r="N293" s="34">
        <v>0</v>
      </c>
      <c r="O293" s="34">
        <v>100.65</v>
      </c>
      <c r="P293" s="154">
        <v>8.9599999999999999E-2</v>
      </c>
      <c r="Q293" s="155">
        <v>1.25E-3</v>
      </c>
      <c r="R293" s="155">
        <v>5.1341879999999999E-2</v>
      </c>
      <c r="S293" s="155">
        <v>0</v>
      </c>
      <c r="T293" s="34">
        <v>9.0424110000000002E-2</v>
      </c>
      <c r="U293" s="155">
        <v>22400</v>
      </c>
      <c r="V293" s="137">
        <v>103534.37975686407</v>
      </c>
      <c r="W293" s="137">
        <v>251625</v>
      </c>
      <c r="X293" s="137">
        <v>2970.2306110109021</v>
      </c>
      <c r="Y293" s="137">
        <v>25886.92579951205</v>
      </c>
      <c r="Z293" s="137">
        <v>212102.31331062448</v>
      </c>
      <c r="AA293" s="137">
        <v>250000.00125</v>
      </c>
      <c r="AB293" s="137">
        <v>4.1666666666666664E-2</v>
      </c>
      <c r="AC293" s="155">
        <v>0</v>
      </c>
      <c r="AD293" s="34">
        <v>0</v>
      </c>
      <c r="AE293" s="34">
        <v>0</v>
      </c>
      <c r="AF293" s="34">
        <v>0</v>
      </c>
      <c r="AG293" s="34">
        <v>0</v>
      </c>
      <c r="AH293" s="34">
        <v>0.13259958084870099</v>
      </c>
      <c r="AI293" s="155">
        <v>73396.866118346283</v>
      </c>
      <c r="AJ293" s="137">
        <v>19429.769388989098</v>
      </c>
      <c r="AK293" s="137">
        <v>0.26472205717421537</v>
      </c>
      <c r="AL293" s="155" t="s">
        <v>1117</v>
      </c>
    </row>
    <row r="294" spans="1:38" x14ac:dyDescent="0.3">
      <c r="A294" s="34" t="s">
        <v>373</v>
      </c>
      <c r="B294" s="137"/>
      <c r="C294" s="152">
        <v>46575</v>
      </c>
      <c r="D294" s="153">
        <v>372</v>
      </c>
      <c r="E294" s="34"/>
      <c r="F294" s="34" t="s">
        <v>1325</v>
      </c>
      <c r="G294" s="34">
        <v>200000000</v>
      </c>
      <c r="H294" s="137">
        <v>200000000</v>
      </c>
      <c r="I294" s="137">
        <v>20049718.5</v>
      </c>
      <c r="J294" s="137">
        <v>250000.5</v>
      </c>
      <c r="K294" s="137">
        <v>250000.5</v>
      </c>
      <c r="L294" s="137">
        <v>250000</v>
      </c>
      <c r="M294" s="137"/>
      <c r="N294" s="34">
        <v>0</v>
      </c>
      <c r="O294" s="34">
        <v>100.1</v>
      </c>
      <c r="P294" s="154">
        <v>0.13366479000000001</v>
      </c>
      <c r="Q294" s="155">
        <v>1.6666700000000001E-3</v>
      </c>
      <c r="R294" s="155">
        <v>9.4942250000000006E-2</v>
      </c>
      <c r="S294" s="155">
        <v>0</v>
      </c>
      <c r="T294" s="34">
        <v>0.13305328999999999</v>
      </c>
      <c r="U294" s="155">
        <v>33416.264332395003</v>
      </c>
      <c r="V294" s="137">
        <v>154950.11293960756</v>
      </c>
      <c r="W294" s="137">
        <v>250250.50049999997</v>
      </c>
      <c r="X294" s="137">
        <v>4186.0910556376457</v>
      </c>
      <c r="Y294" s="137">
        <v>28308.701808495513</v>
      </c>
      <c r="Z294" s="137">
        <v>209612.74096868146</v>
      </c>
      <c r="AA294" s="137">
        <v>250000.5</v>
      </c>
      <c r="AB294" s="137">
        <v>4.1666750000000002E-2</v>
      </c>
      <c r="AC294" s="155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0.12527106602934934</v>
      </c>
      <c r="AI294" s="155">
        <v>61687.520553696129</v>
      </c>
      <c r="AJ294" s="137">
        <v>29230.173276757356</v>
      </c>
      <c r="AK294" s="137">
        <v>0.47384257001079894</v>
      </c>
      <c r="AL294" s="155" t="s">
        <v>375</v>
      </c>
    </row>
    <row r="295" spans="1:38" x14ac:dyDescent="0.3">
      <c r="A295" s="137" t="s">
        <v>895</v>
      </c>
      <c r="B295" s="137"/>
      <c r="C295" s="152">
        <v>46762</v>
      </c>
      <c r="D295" s="152">
        <v>559</v>
      </c>
      <c r="E295" s="137"/>
      <c r="F295" s="137" t="s">
        <v>1325</v>
      </c>
      <c r="G295" s="154">
        <v>0</v>
      </c>
      <c r="H295" s="137">
        <v>100000000</v>
      </c>
      <c r="I295" s="137">
        <v>7310000</v>
      </c>
      <c r="J295" s="137">
        <v>250000</v>
      </c>
      <c r="K295" s="137">
        <v>250000</v>
      </c>
      <c r="L295" s="137">
        <v>250000</v>
      </c>
      <c r="M295" s="137"/>
      <c r="N295" s="137">
        <v>0</v>
      </c>
      <c r="O295" s="137">
        <v>101.6</v>
      </c>
      <c r="P295" s="137">
        <v>7.3099999999999998E-2</v>
      </c>
      <c r="Q295" s="137">
        <v>2.5000000000000001E-3</v>
      </c>
      <c r="R295" s="180">
        <v>3.4997439999999998E-2</v>
      </c>
      <c r="S295" s="180">
        <v>0</v>
      </c>
      <c r="T295" s="137">
        <v>6.9968119999999995E-2</v>
      </c>
      <c r="U295" s="180">
        <v>18275</v>
      </c>
      <c r="V295" s="137">
        <v>0</v>
      </c>
      <c r="W295" s="137">
        <v>254000</v>
      </c>
      <c r="X295" s="137">
        <v>2306.25</v>
      </c>
      <c r="Y295" s="137">
        <v>22853.282055047777</v>
      </c>
      <c r="Z295" s="137">
        <v>62500</v>
      </c>
      <c r="AA295" s="137">
        <v>250000</v>
      </c>
      <c r="AB295" s="137">
        <v>4.1666666666666664E-2</v>
      </c>
      <c r="AC295" s="137">
        <v>0</v>
      </c>
      <c r="AD295" s="137">
        <v>0</v>
      </c>
      <c r="AE295" s="137">
        <v>0</v>
      </c>
      <c r="AF295" s="137">
        <v>0</v>
      </c>
      <c r="AG295" s="137">
        <v>0</v>
      </c>
      <c r="AH295" s="166">
        <v>0.12619699042407662</v>
      </c>
      <c r="AI295" s="155">
        <v>4062.5</v>
      </c>
      <c r="AJ295" s="137">
        <v>15968.75</v>
      </c>
      <c r="AK295" s="137">
        <v>3.9307692307692306</v>
      </c>
      <c r="AL295" s="180" t="s">
        <v>898</v>
      </c>
    </row>
    <row r="296" spans="1:38" x14ac:dyDescent="0.3">
      <c r="A296" s="137" t="s">
        <v>1120</v>
      </c>
      <c r="B296" s="137"/>
      <c r="C296" s="152">
        <v>46850</v>
      </c>
      <c r="D296" s="152">
        <v>647</v>
      </c>
      <c r="E296" s="137"/>
      <c r="F296" s="137" t="s">
        <v>1325</v>
      </c>
      <c r="G296" s="154">
        <v>5000000</v>
      </c>
      <c r="H296" s="137">
        <v>5000000</v>
      </c>
      <c r="I296" s="137">
        <v>3142943.6999999997</v>
      </c>
      <c r="J296" s="137">
        <v>249999.9</v>
      </c>
      <c r="K296" s="137">
        <v>249999.9</v>
      </c>
      <c r="L296" s="137">
        <v>250000</v>
      </c>
      <c r="M296" s="137"/>
      <c r="N296" s="137">
        <v>0</v>
      </c>
      <c r="O296" s="137">
        <v>100.2</v>
      </c>
      <c r="P296" s="137">
        <v>0.10476479</v>
      </c>
      <c r="Q296" s="137">
        <v>8.3333299999999999E-3</v>
      </c>
      <c r="R296" s="180">
        <v>6.6102750000000002E-2</v>
      </c>
      <c r="S296" s="180">
        <v>0</v>
      </c>
      <c r="T296" s="137">
        <v>0.10367698</v>
      </c>
      <c r="U296" s="180">
        <v>26191.187023521001</v>
      </c>
      <c r="V296" s="137">
        <v>199999.92</v>
      </c>
      <c r="W296" s="137">
        <v>250499.89980000001</v>
      </c>
      <c r="X296" s="137">
        <v>7224.1725552252974</v>
      </c>
      <c r="Y296" s="137">
        <v>40913.053250054196</v>
      </c>
      <c r="Z296" s="137">
        <v>249999.9</v>
      </c>
      <c r="AA296" s="137">
        <v>249999.90000000005</v>
      </c>
      <c r="AB296" s="137">
        <v>4.166665E-2</v>
      </c>
      <c r="AC296" s="137">
        <v>0</v>
      </c>
      <c r="AD296" s="137">
        <v>0</v>
      </c>
      <c r="AE296" s="137">
        <v>0</v>
      </c>
      <c r="AF296" s="137">
        <v>0</v>
      </c>
      <c r="AG296" s="137">
        <v>0</v>
      </c>
      <c r="AH296" s="166">
        <v>0.27582455689150814</v>
      </c>
      <c r="AI296" s="155">
        <v>80373.986777222919</v>
      </c>
      <c r="AJ296" s="137">
        <v>18967.014468295703</v>
      </c>
      <c r="AK296" s="137">
        <v>0.23598449235655861</v>
      </c>
      <c r="AL296" s="180" t="s">
        <v>1121</v>
      </c>
    </row>
    <row r="297" spans="1:38" x14ac:dyDescent="0.3">
      <c r="A297" s="137" t="s">
        <v>711</v>
      </c>
      <c r="B297" s="137"/>
      <c r="C297" s="152">
        <v>47212</v>
      </c>
      <c r="D297" s="152">
        <v>1009</v>
      </c>
      <c r="E297" s="137"/>
      <c r="F297" s="137" t="s">
        <v>1325</v>
      </c>
      <c r="G297" s="154">
        <v>0</v>
      </c>
      <c r="H297" s="137">
        <v>150000000</v>
      </c>
      <c r="I297" s="137">
        <v>9324720</v>
      </c>
      <c r="J297" s="137">
        <v>250000.5</v>
      </c>
      <c r="K297" s="137">
        <v>250000.5</v>
      </c>
      <c r="L297" s="137">
        <v>250000</v>
      </c>
      <c r="M297" s="137"/>
      <c r="N297" s="137">
        <v>0</v>
      </c>
      <c r="O297" s="137">
        <v>101</v>
      </c>
      <c r="P297" s="137">
        <v>6.2164799999999999E-2</v>
      </c>
      <c r="Q297" s="137">
        <v>1.6666700000000001E-3</v>
      </c>
      <c r="R297" s="180">
        <v>2.3430280000000001E-2</v>
      </c>
      <c r="S297" s="180">
        <v>0</v>
      </c>
      <c r="T297" s="137">
        <v>5.6722120000000001E-2</v>
      </c>
      <c r="U297" s="180">
        <v>15541.2310824</v>
      </c>
      <c r="V297" s="137">
        <v>0</v>
      </c>
      <c r="W297" s="137">
        <v>252500.505</v>
      </c>
      <c r="X297" s="137">
        <v>1971.5092803013679</v>
      </c>
      <c r="Y297" s="137">
        <v>22005.247728234022</v>
      </c>
      <c r="Z297" s="137">
        <v>0</v>
      </c>
      <c r="AA297" s="137">
        <v>250000.5</v>
      </c>
      <c r="AB297" s="137">
        <v>4.1666750000000002E-2</v>
      </c>
      <c r="AC297" s="137">
        <v>0</v>
      </c>
      <c r="AD297" s="137">
        <v>0</v>
      </c>
      <c r="AE297" s="137">
        <v>0</v>
      </c>
      <c r="AF297" s="137">
        <v>0</v>
      </c>
      <c r="AG297" s="137">
        <v>0</v>
      </c>
      <c r="AH297" s="166">
        <v>0.12685669943702502</v>
      </c>
      <c r="AI297" s="155">
        <v>5000.0100000000011</v>
      </c>
      <c r="AJ297" s="137">
        <v>13569.721802098631</v>
      </c>
      <c r="AK297" s="137">
        <v>2.7139389325418604</v>
      </c>
      <c r="AL297" s="180" t="s">
        <v>714</v>
      </c>
    </row>
    <row r="298" spans="1:38" x14ac:dyDescent="0.3">
      <c r="A298" s="137" t="s">
        <v>695</v>
      </c>
      <c r="B298" s="137"/>
      <c r="C298" s="152">
        <v>46545</v>
      </c>
      <c r="D298" s="152">
        <v>342</v>
      </c>
      <c r="E298" s="137"/>
      <c r="F298" s="137" t="s">
        <v>1325</v>
      </c>
      <c r="G298" s="154">
        <v>0</v>
      </c>
      <c r="H298" s="137">
        <v>300000000</v>
      </c>
      <c r="I298" s="137">
        <v>27228600</v>
      </c>
      <c r="J298" s="137">
        <v>250000.80000000002</v>
      </c>
      <c r="K298" s="137">
        <v>250000.80000000002</v>
      </c>
      <c r="L298" s="137">
        <v>250000</v>
      </c>
      <c r="M298" s="137"/>
      <c r="N298" s="137">
        <v>0</v>
      </c>
      <c r="O298" s="137">
        <v>102.6</v>
      </c>
      <c r="P298" s="137">
        <v>0.12966</v>
      </c>
      <c r="Q298" s="137">
        <v>1.1904800000000001E-3</v>
      </c>
      <c r="R298" s="180">
        <v>9.1247229999999999E-2</v>
      </c>
      <c r="S298" s="180">
        <v>0</v>
      </c>
      <c r="T298" s="137">
        <v>0.11921872999999999</v>
      </c>
      <c r="U298" s="180">
        <v>32415.103728000002</v>
      </c>
      <c r="V298" s="137">
        <v>100000.32000000001</v>
      </c>
      <c r="W298" s="137">
        <v>256500.82080000002</v>
      </c>
      <c r="X298" s="137">
        <v>4326.6511753483428</v>
      </c>
      <c r="Y298" s="137">
        <v>31900.149926613594</v>
      </c>
      <c r="Z298" s="137">
        <v>250000.80000000002</v>
      </c>
      <c r="AA298" s="137">
        <v>250000.80000000002</v>
      </c>
      <c r="AB298" s="137">
        <v>4.1666800000000004E-2</v>
      </c>
      <c r="AC298" s="137">
        <v>0</v>
      </c>
      <c r="AD298" s="137">
        <v>0</v>
      </c>
      <c r="AE298" s="137">
        <v>0</v>
      </c>
      <c r="AF298" s="137">
        <v>0</v>
      </c>
      <c r="AG298" s="137">
        <v>0</v>
      </c>
      <c r="AH298" s="166">
        <v>0.13347639457377405</v>
      </c>
      <c r="AI298" s="155">
        <v>52500.167999999983</v>
      </c>
      <c r="AJ298" s="137">
        <v>28088.452552651659</v>
      </c>
      <c r="AK298" s="137">
        <v>0.53501643180744995</v>
      </c>
      <c r="AL298" s="180" t="s">
        <v>697</v>
      </c>
    </row>
    <row r="299" spans="1:38" x14ac:dyDescent="0.3">
      <c r="A299" s="137" t="s">
        <v>418</v>
      </c>
      <c r="B299" s="137"/>
      <c r="C299" s="152">
        <v>46484</v>
      </c>
      <c r="D299" s="152">
        <v>281</v>
      </c>
      <c r="E299" s="137"/>
      <c r="F299" s="137" t="s">
        <v>1325</v>
      </c>
      <c r="G299" s="154">
        <v>0</v>
      </c>
      <c r="H299" s="137">
        <v>750000000</v>
      </c>
      <c r="I299" s="137">
        <v>9300000</v>
      </c>
      <c r="J299" s="137">
        <v>250000</v>
      </c>
      <c r="K299" s="137">
        <v>250000</v>
      </c>
      <c r="L299" s="137">
        <v>250000</v>
      </c>
      <c r="M299" s="137"/>
      <c r="N299" s="137">
        <v>0</v>
      </c>
      <c r="O299" s="137">
        <v>102.6</v>
      </c>
      <c r="P299" s="137">
        <v>9.2999999999999999E-2</v>
      </c>
      <c r="Q299" s="137">
        <v>2.5000000000000001E-3</v>
      </c>
      <c r="R299" s="180">
        <v>5.4591849999999997E-2</v>
      </c>
      <c r="S299" s="180">
        <v>0</v>
      </c>
      <c r="T299" s="137">
        <v>8.2214540000000003E-2</v>
      </c>
      <c r="U299" s="180">
        <v>23250</v>
      </c>
      <c r="V299" s="137">
        <v>174999.99562499998</v>
      </c>
      <c r="W299" s="137">
        <v>256500</v>
      </c>
      <c r="X299" s="137">
        <v>2599.5734973763851</v>
      </c>
      <c r="Y299" s="137">
        <v>24816.248146518767</v>
      </c>
      <c r="Z299" s="137">
        <v>179115.24229819802</v>
      </c>
      <c r="AA299" s="137">
        <v>249999.99375000005</v>
      </c>
      <c r="AB299" s="137">
        <v>4.1666666666666664E-2</v>
      </c>
      <c r="AC299" s="137">
        <v>0</v>
      </c>
      <c r="AD299" s="137">
        <v>0</v>
      </c>
      <c r="AE299" s="137">
        <v>0</v>
      </c>
      <c r="AF299" s="137">
        <v>0</v>
      </c>
      <c r="AG299" s="137">
        <v>0</v>
      </c>
      <c r="AH299" s="166">
        <v>0.11180961279038215</v>
      </c>
      <c r="AI299" s="155">
        <v>125874.28822397692</v>
      </c>
      <c r="AJ299" s="137">
        <v>20650.426502623613</v>
      </c>
      <c r="AK299" s="137">
        <v>0.16405595450819047</v>
      </c>
      <c r="AL299" s="180" t="s">
        <v>419</v>
      </c>
    </row>
    <row r="300" spans="1:38" x14ac:dyDescent="0.3">
      <c r="A300" s="137" t="s">
        <v>856</v>
      </c>
      <c r="B300" s="137"/>
      <c r="C300" s="152">
        <v>46119</v>
      </c>
      <c r="D300" s="152"/>
      <c r="E300" s="137"/>
      <c r="F300" s="137" t="s">
        <v>1325</v>
      </c>
      <c r="G300" s="154">
        <v>0</v>
      </c>
      <c r="H300" s="137">
        <v>100000000</v>
      </c>
      <c r="I300" s="137">
        <v>7992000.0000000019</v>
      </c>
      <c r="J300" s="137">
        <v>249999.60000000003</v>
      </c>
      <c r="K300" s="137">
        <v>249999.60000000003</v>
      </c>
      <c r="L300" s="137">
        <v>250000</v>
      </c>
      <c r="M300" s="137"/>
      <c r="N300" s="137">
        <v>0</v>
      </c>
      <c r="O300" s="137">
        <v>101</v>
      </c>
      <c r="P300" s="137">
        <v>6.6600000000000006E-2</v>
      </c>
      <c r="Q300" s="137">
        <v>2.08333E-3</v>
      </c>
      <c r="R300" s="180">
        <v>2.8000799999999999E-2</v>
      </c>
      <c r="S300" s="180">
        <v>0</v>
      </c>
      <c r="T300" s="137">
        <v>5.962858E-2</v>
      </c>
      <c r="U300" s="180">
        <v>16649.973360000004</v>
      </c>
      <c r="V300" s="137">
        <v>0</v>
      </c>
      <c r="W300" s="137">
        <v>252499.59600000005</v>
      </c>
      <c r="X300" s="137">
        <v>3783.1094999501311</v>
      </c>
      <c r="Y300" s="137">
        <v>30259.525223829885</v>
      </c>
      <c r="Z300" s="137">
        <v>249999.6</v>
      </c>
      <c r="AA300" s="137">
        <v>249999.60000000003</v>
      </c>
      <c r="AB300" s="137">
        <v>4.1666600000000005E-2</v>
      </c>
      <c r="AC300" s="137">
        <v>0</v>
      </c>
      <c r="AD300" s="137">
        <v>0</v>
      </c>
      <c r="AE300" s="137">
        <v>0</v>
      </c>
      <c r="AF300" s="137">
        <v>0</v>
      </c>
      <c r="AG300" s="137">
        <v>0</v>
      </c>
      <c r="AH300" s="166">
        <v>0.22721414732342432</v>
      </c>
      <c r="AI300" s="155">
        <v>7499.9880000000003</v>
      </c>
      <c r="AJ300" s="137">
        <v>12866.863860049873</v>
      </c>
      <c r="AK300" s="137">
        <v>1.7155845929419984</v>
      </c>
      <c r="AL300" s="180" t="s">
        <v>858</v>
      </c>
    </row>
    <row r="301" spans="1:38" x14ac:dyDescent="0.3">
      <c r="A301" s="137" t="s">
        <v>1028</v>
      </c>
      <c r="B301" s="137"/>
      <c r="C301" s="152">
        <v>46363</v>
      </c>
      <c r="D301" s="152">
        <v>160</v>
      </c>
      <c r="E301" s="137"/>
      <c r="F301" s="137" t="s">
        <v>1325</v>
      </c>
      <c r="G301" s="154">
        <v>0</v>
      </c>
      <c r="H301" s="137">
        <v>1000000000</v>
      </c>
      <c r="I301" s="137">
        <v>27960000</v>
      </c>
      <c r="J301" s="137">
        <v>249999</v>
      </c>
      <c r="K301" s="137">
        <v>249999</v>
      </c>
      <c r="L301" s="137">
        <v>250000</v>
      </c>
      <c r="M301" s="137"/>
      <c r="N301" s="137">
        <v>0</v>
      </c>
      <c r="O301" s="137">
        <v>103.95</v>
      </c>
      <c r="P301" s="137">
        <v>9.3200000000000005E-2</v>
      </c>
      <c r="Q301" s="137">
        <v>8.3332999999999996E-4</v>
      </c>
      <c r="R301" s="180">
        <v>5.500062E-2</v>
      </c>
      <c r="S301" s="180">
        <v>0</v>
      </c>
      <c r="T301" s="137">
        <v>7.1253140000000006E-2</v>
      </c>
      <c r="U301" s="180">
        <v>23299.906800000001</v>
      </c>
      <c r="V301" s="137">
        <v>24999.899999999994</v>
      </c>
      <c r="W301" s="137">
        <v>259873.96050000002</v>
      </c>
      <c r="X301" s="137">
        <v>2019.6864694769979</v>
      </c>
      <c r="Y301" s="137">
        <v>22128.200213811611</v>
      </c>
      <c r="Z301" s="137">
        <v>0</v>
      </c>
      <c r="AA301" s="137">
        <v>249999</v>
      </c>
      <c r="AB301" s="137">
        <v>4.1666500000000002E-2</v>
      </c>
      <c r="AC301" s="137">
        <v>0</v>
      </c>
      <c r="AD301" s="137">
        <v>0</v>
      </c>
      <c r="AE301" s="137">
        <v>0</v>
      </c>
      <c r="AF301" s="137">
        <v>0</v>
      </c>
      <c r="AG301" s="137">
        <v>0</v>
      </c>
      <c r="AH301" s="166">
        <v>8.6682169453012478E-2</v>
      </c>
      <c r="AI301" s="155">
        <v>54999.78</v>
      </c>
      <c r="AJ301" s="137">
        <v>21280.220330523003</v>
      </c>
      <c r="AK301" s="137">
        <v>0.38691464457717839</v>
      </c>
      <c r="AL301" s="180" t="s">
        <v>1029</v>
      </c>
    </row>
    <row r="302" spans="1:38" x14ac:dyDescent="0.3">
      <c r="A302" s="137" t="s">
        <v>625</v>
      </c>
      <c r="B302" s="137"/>
      <c r="C302" s="152">
        <v>46820</v>
      </c>
      <c r="D302" s="152">
        <v>617</v>
      </c>
      <c r="E302" s="137"/>
      <c r="F302" s="137" t="s">
        <v>1325</v>
      </c>
      <c r="G302" s="154">
        <v>0</v>
      </c>
      <c r="H302" s="137">
        <v>300000000</v>
      </c>
      <c r="I302" s="137">
        <v>22052142</v>
      </c>
      <c r="J302" s="137">
        <v>249999</v>
      </c>
      <c r="K302" s="137">
        <v>249999</v>
      </c>
      <c r="L302" s="137">
        <v>250000</v>
      </c>
      <c r="M302" s="137"/>
      <c r="N302" s="137">
        <v>0</v>
      </c>
      <c r="O302" s="137">
        <v>100.25</v>
      </c>
      <c r="P302" s="137">
        <v>7.3507139999999999E-2</v>
      </c>
      <c r="Q302" s="137">
        <v>8.3332999999999996E-4</v>
      </c>
      <c r="R302" s="180">
        <v>3.496664E-2</v>
      </c>
      <c r="S302" s="180">
        <v>0</v>
      </c>
      <c r="T302" s="137">
        <v>7.558753E-2</v>
      </c>
      <c r="U302" s="180">
        <v>18376.711492859999</v>
      </c>
      <c r="V302" s="137">
        <v>24999.9</v>
      </c>
      <c r="W302" s="137">
        <v>250623.9975</v>
      </c>
      <c r="X302" s="137">
        <v>2315.9785326221795</v>
      </c>
      <c r="Y302" s="137">
        <v>23132.702715101099</v>
      </c>
      <c r="Z302" s="137">
        <v>101536.98720045778</v>
      </c>
      <c r="AA302" s="137">
        <v>249999</v>
      </c>
      <c r="AB302" s="137">
        <v>4.1666500000000002E-2</v>
      </c>
      <c r="AC302" s="137">
        <v>0</v>
      </c>
      <c r="AD302" s="137">
        <v>0</v>
      </c>
      <c r="AE302" s="137">
        <v>0</v>
      </c>
      <c r="AF302" s="137">
        <v>0</v>
      </c>
      <c r="AG302" s="137">
        <v>0</v>
      </c>
      <c r="AH302" s="166">
        <v>0.12602790948326195</v>
      </c>
      <c r="AI302" s="155">
        <v>66924.039019620119</v>
      </c>
      <c r="AJ302" s="137">
        <v>16060.732960237819</v>
      </c>
      <c r="AK302" s="137">
        <v>0.23998451371904339</v>
      </c>
      <c r="AL302" s="180" t="s">
        <v>626</v>
      </c>
    </row>
    <row r="303" spans="1:38" x14ac:dyDescent="0.3">
      <c r="A303" s="137" t="s">
        <v>995</v>
      </c>
      <c r="B303" s="137"/>
      <c r="C303" s="152">
        <v>46804</v>
      </c>
      <c r="D303" s="152">
        <v>601</v>
      </c>
      <c r="E303" s="137"/>
      <c r="F303" s="137" t="s">
        <v>1325</v>
      </c>
      <c r="G303" s="154">
        <v>0</v>
      </c>
      <c r="H303" s="137">
        <v>200000000</v>
      </c>
      <c r="I303" s="137">
        <v>18060000</v>
      </c>
      <c r="J303" s="137">
        <v>249999.75000000003</v>
      </c>
      <c r="K303" s="137">
        <v>249999.75000000003</v>
      </c>
      <c r="L303" s="137">
        <v>250000</v>
      </c>
      <c r="M303" s="137"/>
      <c r="N303" s="137">
        <v>0</v>
      </c>
      <c r="O303" s="137">
        <v>99.85</v>
      </c>
      <c r="P303" s="137">
        <v>0.1032</v>
      </c>
      <c r="Q303" s="137">
        <v>1.4285700000000001E-3</v>
      </c>
      <c r="R303" s="180">
        <v>6.497E-2</v>
      </c>
      <c r="S303" s="180">
        <v>0</v>
      </c>
      <c r="T303" s="137">
        <v>0.10708301000000001</v>
      </c>
      <c r="U303" s="180">
        <v>25799.974200000001</v>
      </c>
      <c r="V303" s="137">
        <v>57488.84287078277</v>
      </c>
      <c r="W303" s="137">
        <v>249624.750375</v>
      </c>
      <c r="X303" s="137">
        <v>3909.5974537345605</v>
      </c>
      <c r="Y303" s="137">
        <v>30579.134360205946</v>
      </c>
      <c r="Z303" s="137">
        <v>249999.75000000003</v>
      </c>
      <c r="AA303" s="137">
        <v>249999.75000000003</v>
      </c>
      <c r="AB303" s="137">
        <v>4.1666625000000006E-2</v>
      </c>
      <c r="AC303" s="137">
        <v>0</v>
      </c>
      <c r="AD303" s="137">
        <v>0</v>
      </c>
      <c r="AE303" s="137">
        <v>0</v>
      </c>
      <c r="AF303" s="137">
        <v>0</v>
      </c>
      <c r="AG303" s="137">
        <v>0</v>
      </c>
      <c r="AH303" s="166">
        <v>0.15153493656340788</v>
      </c>
      <c r="AI303" s="155">
        <v>45748.844287078282</v>
      </c>
      <c r="AJ303" s="137">
        <v>21890.37674626544</v>
      </c>
      <c r="AK303" s="137">
        <v>0.47849026762077912</v>
      </c>
      <c r="AL303" s="180" t="s">
        <v>996</v>
      </c>
    </row>
    <row r="304" spans="1:38" x14ac:dyDescent="0.3">
      <c r="A304" s="137" t="s">
        <v>1099</v>
      </c>
      <c r="B304" s="137"/>
      <c r="C304" s="152">
        <v>46241</v>
      </c>
      <c r="D304" s="152">
        <v>38</v>
      </c>
      <c r="E304" s="137"/>
      <c r="F304" s="137" t="s">
        <v>1325</v>
      </c>
      <c r="G304" s="154">
        <v>0</v>
      </c>
      <c r="H304" s="137">
        <v>300000000</v>
      </c>
      <c r="I304" s="137">
        <v>10040000</v>
      </c>
      <c r="J304" s="137">
        <v>250000</v>
      </c>
      <c r="K304" s="137">
        <v>250000</v>
      </c>
      <c r="L304" s="137">
        <v>250000</v>
      </c>
      <c r="M304" s="137"/>
      <c r="N304" s="137">
        <v>0</v>
      </c>
      <c r="O304" s="137">
        <v>101.95</v>
      </c>
      <c r="P304" s="137">
        <v>0.1004</v>
      </c>
      <c r="Q304" s="137">
        <v>2.5000000000000001E-3</v>
      </c>
      <c r="R304" s="180">
        <v>6.1561049999999999E-2</v>
      </c>
      <c r="S304" s="180">
        <v>0</v>
      </c>
      <c r="T304" s="137">
        <v>8.6950429999999995E-2</v>
      </c>
      <c r="U304" s="180">
        <v>25100.000000000004</v>
      </c>
      <c r="V304" s="137">
        <v>26124.122320711173</v>
      </c>
      <c r="W304" s="137">
        <v>254875</v>
      </c>
      <c r="X304" s="137">
        <v>962.19950362076645</v>
      </c>
      <c r="Y304" s="137">
        <v>13617.280628733675</v>
      </c>
      <c r="Z304" s="137">
        <v>0</v>
      </c>
      <c r="AA304" s="137">
        <v>233793.04499264315</v>
      </c>
      <c r="AB304" s="137">
        <v>4.1666666666666664E-2</v>
      </c>
      <c r="AC304" s="137">
        <v>0</v>
      </c>
      <c r="AD304" s="137">
        <v>0</v>
      </c>
      <c r="AE304" s="137">
        <v>0</v>
      </c>
      <c r="AF304" s="137">
        <v>0</v>
      </c>
      <c r="AG304" s="137">
        <v>0</v>
      </c>
      <c r="AH304" s="166">
        <v>3.8334641578516584E-2</v>
      </c>
      <c r="AI304" s="155">
        <v>24883.360704355491</v>
      </c>
      <c r="AJ304" s="137">
        <v>24137.800496379237</v>
      </c>
      <c r="AK304" s="137">
        <v>0.97003780088893887</v>
      </c>
      <c r="AL304" s="180" t="s">
        <v>1100</v>
      </c>
    </row>
    <row r="307" spans="1:86" x14ac:dyDescent="0.3">
      <c r="A307" s="134" t="s">
        <v>1753</v>
      </c>
      <c r="B307" s="134" t="s">
        <v>1585</v>
      </c>
      <c r="C307" s="134" t="s">
        <v>1315</v>
      </c>
      <c r="D307" s="134" t="s">
        <v>14</v>
      </c>
      <c r="E307" s="134" t="s">
        <v>13</v>
      </c>
      <c r="F307" s="134" t="s">
        <v>1316</v>
      </c>
      <c r="G307" s="134" t="s">
        <v>1442</v>
      </c>
      <c r="H307" s="134" t="s">
        <v>1572</v>
      </c>
      <c r="I307" s="134" t="s">
        <v>1754</v>
      </c>
      <c r="J307" s="134" t="s">
        <v>1317</v>
      </c>
      <c r="K307" s="134" t="s">
        <v>1755</v>
      </c>
      <c r="L307" s="134" t="s">
        <v>1323</v>
      </c>
      <c r="M307" s="134" t="s">
        <v>1324</v>
      </c>
      <c r="N307" s="134" t="s">
        <v>1320</v>
      </c>
      <c r="O307" s="134" t="s">
        <v>1756</v>
      </c>
      <c r="P307" s="134" t="s">
        <v>1389</v>
      </c>
      <c r="Q307" s="134" t="s">
        <v>1757</v>
      </c>
      <c r="R307" s="134" t="s">
        <v>1758</v>
      </c>
      <c r="S307" s="134" t="s">
        <v>1318</v>
      </c>
      <c r="T307" s="134" t="s">
        <v>1392</v>
      </c>
      <c r="U307" s="134" t="s">
        <v>1759</v>
      </c>
      <c r="V307" s="134" t="s">
        <v>1760</v>
      </c>
      <c r="W307" s="134" t="s">
        <v>1761</v>
      </c>
      <c r="X307" s="134" t="s">
        <v>1762</v>
      </c>
      <c r="Y307" s="156" t="s">
        <v>1763</v>
      </c>
      <c r="Z307" s="156" t="s">
        <v>1764</v>
      </c>
      <c r="AA307" s="156" t="s">
        <v>1765</v>
      </c>
      <c r="AB307" s="156" t="s">
        <v>1766</v>
      </c>
      <c r="AC307" s="134" t="s">
        <v>1767</v>
      </c>
      <c r="AD307" s="157" t="s">
        <v>1768</v>
      </c>
      <c r="AE307" s="156" t="s">
        <v>1769</v>
      </c>
      <c r="AF307" s="156" t="s">
        <v>1770</v>
      </c>
      <c r="AG307" s="156" t="s">
        <v>1321</v>
      </c>
      <c r="AH307" s="156" t="s">
        <v>1427</v>
      </c>
      <c r="AI307" s="156" t="s">
        <v>1771</v>
      </c>
      <c r="AJ307" s="158" t="s">
        <v>1772</v>
      </c>
      <c r="AK307" s="159" t="s">
        <v>1773</v>
      </c>
      <c r="AL307" s="160" t="s">
        <v>1774</v>
      </c>
      <c r="AM307" s="160" t="s">
        <v>1319</v>
      </c>
      <c r="AN307" s="156" t="s">
        <v>1573</v>
      </c>
      <c r="AO307" s="156" t="s">
        <v>1775</v>
      </c>
      <c r="AP307" s="160" t="s">
        <v>1448</v>
      </c>
      <c r="AQ307" s="134" t="s">
        <v>1576</v>
      </c>
      <c r="AR307" s="161" t="s">
        <v>1776</v>
      </c>
      <c r="AS307" s="162" t="s">
        <v>1777</v>
      </c>
      <c r="AT307" s="156" t="s">
        <v>1778</v>
      </c>
      <c r="AU307" s="156" t="s">
        <v>1426</v>
      </c>
      <c r="AV307" s="157" t="s">
        <v>1779</v>
      </c>
      <c r="AW307" s="156" t="s">
        <v>1322</v>
      </c>
      <c r="AX307" s="156" t="s">
        <v>1780</v>
      </c>
      <c r="AY307" s="156" t="s">
        <v>1781</v>
      </c>
      <c r="AZ307" s="156" t="s">
        <v>1782</v>
      </c>
      <c r="BA307" s="156" t="s">
        <v>1783</v>
      </c>
      <c r="BB307" s="163" t="s">
        <v>1784</v>
      </c>
      <c r="BC307" s="163" t="s">
        <v>1785</v>
      </c>
      <c r="BD307" s="156" t="s">
        <v>1786</v>
      </c>
      <c r="BE307" s="163" t="s">
        <v>1787</v>
      </c>
      <c r="BF307" s="163" t="s">
        <v>1788</v>
      </c>
      <c r="BG307" s="156" t="s">
        <v>1789</v>
      </c>
      <c r="BH307" s="163" t="s">
        <v>1790</v>
      </c>
      <c r="BI307" s="163" t="s">
        <v>1791</v>
      </c>
      <c r="BJ307" s="156" t="s">
        <v>1792</v>
      </c>
      <c r="BK307" s="156" t="s">
        <v>1718</v>
      </c>
      <c r="BL307" s="134" t="s">
        <v>1793</v>
      </c>
      <c r="BM307" s="134" t="s">
        <v>1712</v>
      </c>
      <c r="BN307" s="134" t="s">
        <v>1794</v>
      </c>
      <c r="BO307" s="134" t="s">
        <v>1795</v>
      </c>
      <c r="BP307" s="134" t="s">
        <v>1686</v>
      </c>
      <c r="BQ307" s="156" t="s">
        <v>1796</v>
      </c>
      <c r="BR307" s="156" t="s">
        <v>1797</v>
      </c>
      <c r="BS307" s="134" t="s">
        <v>1798</v>
      </c>
      <c r="BT307" s="134" t="s">
        <v>1799</v>
      </c>
      <c r="BU307" s="156" t="s">
        <v>1800</v>
      </c>
      <c r="BV307" s="156" t="s">
        <v>1422</v>
      </c>
      <c r="BW307" s="156" t="s">
        <v>1801</v>
      </c>
      <c r="BX307" s="142" t="s">
        <v>1802</v>
      </c>
      <c r="BY307" s="142" t="s">
        <v>1582</v>
      </c>
      <c r="BZ307" s="134" t="s">
        <v>1803</v>
      </c>
      <c r="CA307" s="134" t="s">
        <v>1804</v>
      </c>
      <c r="CB307" s="134" t="s">
        <v>1434</v>
      </c>
      <c r="CC307" s="134" t="s">
        <v>1435</v>
      </c>
      <c r="CD307" s="134" t="s">
        <v>1436</v>
      </c>
      <c r="CE307" s="134" t="s">
        <v>1437</v>
      </c>
      <c r="CF307" s="134" t="s">
        <v>1438</v>
      </c>
      <c r="CG307" s="134" t="s">
        <v>1439</v>
      </c>
      <c r="CH307" s="134" t="s">
        <v>1433</v>
      </c>
    </row>
    <row r="308" spans="1:86" x14ac:dyDescent="0.3">
      <c r="A308" s="34">
        <v>1</v>
      </c>
      <c r="B308" s="34" t="s">
        <v>373</v>
      </c>
      <c r="C308" s="34" t="s">
        <v>1348</v>
      </c>
      <c r="D308" s="34" t="s">
        <v>159</v>
      </c>
      <c r="E308" s="34" t="s">
        <v>1349</v>
      </c>
      <c r="F308" s="34"/>
      <c r="G308" s="34"/>
      <c r="H308" s="34" t="s">
        <v>1456</v>
      </c>
      <c r="I308" s="34" t="s">
        <v>375</v>
      </c>
      <c r="J308" s="34" t="s">
        <v>1806</v>
      </c>
      <c r="K308" s="34"/>
      <c r="L308" s="34">
        <v>3.0200000000000001E-2</v>
      </c>
      <c r="M308" s="34">
        <v>0</v>
      </c>
      <c r="N308" s="153">
        <v>1</v>
      </c>
      <c r="O308" s="34">
        <v>0</v>
      </c>
      <c r="P308" s="34"/>
      <c r="Q308" s="153">
        <v>45715</v>
      </c>
      <c r="R308" s="153">
        <v>46575</v>
      </c>
      <c r="S308" s="153">
        <v>372</v>
      </c>
      <c r="T308" s="34"/>
      <c r="U308" s="153" t="s">
        <v>1325</v>
      </c>
      <c r="V308" s="153" t="s">
        <v>1809</v>
      </c>
      <c r="W308" s="153">
        <v>1</v>
      </c>
      <c r="X308" s="166"/>
      <c r="Y308" s="137"/>
      <c r="Z308" s="137"/>
      <c r="AA308" s="137"/>
      <c r="AB308" s="137">
        <v>200000000</v>
      </c>
      <c r="AC308" s="137">
        <v>200000000</v>
      </c>
      <c r="AD308" s="137">
        <v>20049718.5</v>
      </c>
      <c r="AE308" s="137">
        <v>250000.5</v>
      </c>
      <c r="AF308" s="137">
        <v>250000.5</v>
      </c>
      <c r="AG308" s="137">
        <v>250000</v>
      </c>
      <c r="AH308" s="153"/>
      <c r="AI308" s="167">
        <v>0</v>
      </c>
      <c r="AJ308" s="153"/>
      <c r="AK308" s="153"/>
      <c r="AL308" s="154">
        <v>100.1</v>
      </c>
      <c r="AM308" s="154">
        <v>0.13366479000000001</v>
      </c>
      <c r="AN308" s="168" t="s">
        <v>1326</v>
      </c>
      <c r="AO308" s="168">
        <v>45758</v>
      </c>
      <c r="AP308" s="154">
        <v>0</v>
      </c>
      <c r="AQ308" s="168"/>
      <c r="AR308" s="155">
        <v>1.6666700000000001E-3</v>
      </c>
      <c r="AS308" s="152">
        <v>9.4942250000000006E-2</v>
      </c>
      <c r="AT308" s="154">
        <v>0</v>
      </c>
      <c r="AU308" s="137">
        <v>0.13305328999999999</v>
      </c>
      <c r="AV308" s="137">
        <v>0</v>
      </c>
      <c r="AW308" s="137">
        <v>33416.264332395003</v>
      </c>
      <c r="AX308" s="137">
        <v>154950.11293960756</v>
      </c>
      <c r="AY308" s="137">
        <v>250250.50049999997</v>
      </c>
      <c r="AZ308" s="137">
        <v>4186.0910556376457</v>
      </c>
      <c r="BA308" s="137">
        <v>28308.701808495513</v>
      </c>
      <c r="BB308" s="137">
        <v>0</v>
      </c>
      <c r="BC308" s="137">
        <v>0</v>
      </c>
      <c r="BD308" s="137">
        <v>0</v>
      </c>
      <c r="BE308" s="137">
        <v>0</v>
      </c>
      <c r="BF308" s="137">
        <v>83367.349968107068</v>
      </c>
      <c r="BG308" s="137">
        <v>148795.63124470395</v>
      </c>
      <c r="BH308" s="137">
        <v>209612.74096868146</v>
      </c>
      <c r="BI308" s="137">
        <v>250000.5</v>
      </c>
      <c r="BJ308" s="137">
        <v>0.9748</v>
      </c>
      <c r="BK308" s="137">
        <v>4.1666750000000002E-2</v>
      </c>
      <c r="BL308" s="113">
        <v>0</v>
      </c>
      <c r="BM308" s="113" t="s">
        <v>1663</v>
      </c>
      <c r="BN308" s="168">
        <v>0</v>
      </c>
      <c r="BO308" s="152">
        <v>0</v>
      </c>
      <c r="BP308" s="152">
        <v>0</v>
      </c>
      <c r="BQ308" s="137">
        <v>250000.5</v>
      </c>
      <c r="BR308" s="137">
        <v>0</v>
      </c>
      <c r="BS308" s="166" t="s">
        <v>1806</v>
      </c>
      <c r="BT308" s="168">
        <v>0.12527106602934934</v>
      </c>
      <c r="BU308" s="137">
        <v>61687.520553696129</v>
      </c>
      <c r="BV308" s="137">
        <v>29230.173276757356</v>
      </c>
      <c r="BW308" s="137">
        <v>0.47384257001079894</v>
      </c>
      <c r="BX308" s="89">
        <v>0.87472893397065066</v>
      </c>
      <c r="BY308" s="89">
        <v>0</v>
      </c>
      <c r="BZ308" s="153">
        <v>0</v>
      </c>
      <c r="CA308" s="153">
        <v>0</v>
      </c>
      <c r="CB308" s="153">
        <v>45758</v>
      </c>
      <c r="CC308" s="153">
        <v>45758</v>
      </c>
      <c r="CD308" s="153"/>
      <c r="CE308" s="153"/>
      <c r="CF308" s="153"/>
      <c r="CG308" s="34" t="s">
        <v>139</v>
      </c>
      <c r="CH308" s="34" t="s">
        <v>1350</v>
      </c>
    </row>
    <row r="309" spans="1:86" x14ac:dyDescent="0.3">
      <c r="A309" s="34">
        <v>2</v>
      </c>
      <c r="B309" s="34" t="s">
        <v>418</v>
      </c>
      <c r="C309" s="34" t="s">
        <v>1344</v>
      </c>
      <c r="D309" s="34" t="s">
        <v>133</v>
      </c>
      <c r="E309" s="34" t="s">
        <v>1336</v>
      </c>
      <c r="F309" s="34" t="s">
        <v>1805</v>
      </c>
      <c r="G309" s="34"/>
      <c r="H309" s="34" t="s">
        <v>1456</v>
      </c>
      <c r="I309" s="34" t="s">
        <v>419</v>
      </c>
      <c r="J309" s="34" t="s">
        <v>1806</v>
      </c>
      <c r="K309" s="34"/>
      <c r="L309" s="34">
        <v>1.24E-2</v>
      </c>
      <c r="M309" s="34">
        <v>9.1999999999999998E-3</v>
      </c>
      <c r="N309" s="153">
        <v>1</v>
      </c>
      <c r="O309" s="34">
        <v>0</v>
      </c>
      <c r="P309" s="34"/>
      <c r="Q309" s="153">
        <v>45016</v>
      </c>
      <c r="R309" s="153">
        <v>46484</v>
      </c>
      <c r="S309" s="153">
        <v>281</v>
      </c>
      <c r="T309" s="34"/>
      <c r="U309" s="153" t="s">
        <v>1325</v>
      </c>
      <c r="V309" s="153" t="s">
        <v>1807</v>
      </c>
      <c r="W309" s="153">
        <v>1</v>
      </c>
      <c r="X309" s="166"/>
      <c r="Y309" s="137"/>
      <c r="Z309" s="137"/>
      <c r="AA309" s="137"/>
      <c r="AB309" s="137">
        <v>0</v>
      </c>
      <c r="AC309" s="137">
        <v>750000000</v>
      </c>
      <c r="AD309" s="137">
        <v>9300000</v>
      </c>
      <c r="AE309" s="137">
        <v>250000</v>
      </c>
      <c r="AF309" s="137">
        <v>250000</v>
      </c>
      <c r="AG309" s="137">
        <v>250000</v>
      </c>
      <c r="AH309" s="153"/>
      <c r="AI309" s="167">
        <v>0</v>
      </c>
      <c r="AJ309" s="153"/>
      <c r="AK309" s="153"/>
      <c r="AL309" s="154">
        <v>102.6</v>
      </c>
      <c r="AM309" s="154">
        <v>9.2999999999999999E-2</v>
      </c>
      <c r="AN309" s="168" t="s">
        <v>1326</v>
      </c>
      <c r="AO309" s="168">
        <v>45756</v>
      </c>
      <c r="AP309" s="154">
        <v>0</v>
      </c>
      <c r="AQ309" s="168"/>
      <c r="AR309" s="155">
        <v>2.5000000000000001E-3</v>
      </c>
      <c r="AS309" s="152">
        <v>5.4591849999999997E-2</v>
      </c>
      <c r="AT309" s="154">
        <v>0</v>
      </c>
      <c r="AU309" s="137">
        <v>8.2214540000000003E-2</v>
      </c>
      <c r="AV309" s="137">
        <v>0</v>
      </c>
      <c r="AW309" s="137">
        <v>23250</v>
      </c>
      <c r="AX309" s="137">
        <v>174999.99562499998</v>
      </c>
      <c r="AY309" s="137">
        <v>256500</v>
      </c>
      <c r="AZ309" s="137">
        <v>2599.5734973763851</v>
      </c>
      <c r="BA309" s="137">
        <v>24816.248146518767</v>
      </c>
      <c r="BB309" s="137">
        <v>0</v>
      </c>
      <c r="BC309" s="137">
        <v>0</v>
      </c>
      <c r="BD309" s="137">
        <v>0</v>
      </c>
      <c r="BE309" s="137">
        <v>0</v>
      </c>
      <c r="BF309" s="137">
        <v>0</v>
      </c>
      <c r="BG309" s="137">
        <v>0</v>
      </c>
      <c r="BH309" s="137">
        <v>179115.24229819802</v>
      </c>
      <c r="BI309" s="137">
        <v>249999.99375000005</v>
      </c>
      <c r="BJ309" s="137">
        <v>0.98829999999999996</v>
      </c>
      <c r="BK309" s="137">
        <v>4.1666666666666664E-2</v>
      </c>
      <c r="BL309" s="113">
        <v>0</v>
      </c>
      <c r="BM309" s="113" t="s">
        <v>1663</v>
      </c>
      <c r="BN309" s="168">
        <v>0</v>
      </c>
      <c r="BO309" s="152">
        <v>0</v>
      </c>
      <c r="BP309" s="152">
        <v>0</v>
      </c>
      <c r="BQ309" s="137">
        <v>250000</v>
      </c>
      <c r="BR309" s="137">
        <v>0</v>
      </c>
      <c r="BS309" s="166" t="s">
        <v>1806</v>
      </c>
      <c r="BT309" s="168">
        <v>0.11180961279038215</v>
      </c>
      <c r="BU309" s="137">
        <v>125874.28822397692</v>
      </c>
      <c r="BV309" s="137">
        <v>20650.426502623613</v>
      </c>
      <c r="BW309" s="137">
        <v>0.16405595450819047</v>
      </c>
      <c r="BX309" s="89">
        <v>0.88819038720961774</v>
      </c>
      <c r="BY309" s="89">
        <v>0</v>
      </c>
      <c r="BZ309" s="153">
        <v>0</v>
      </c>
      <c r="CA309" s="153">
        <v>0</v>
      </c>
      <c r="CB309" s="153">
        <v>45756</v>
      </c>
      <c r="CC309" s="153">
        <v>45756</v>
      </c>
      <c r="CD309" s="153"/>
      <c r="CE309" s="153"/>
      <c r="CF309" s="153"/>
      <c r="CG309" s="34" t="s">
        <v>139</v>
      </c>
      <c r="CH309" s="34" t="s">
        <v>1333</v>
      </c>
    </row>
    <row r="310" spans="1:86" x14ac:dyDescent="0.3">
      <c r="A310" s="34">
        <v>3</v>
      </c>
      <c r="B310" s="34" t="s">
        <v>538</v>
      </c>
      <c r="C310" s="34" t="s">
        <v>1352</v>
      </c>
      <c r="D310" s="34" t="s">
        <v>150</v>
      </c>
      <c r="E310" s="34" t="s">
        <v>1336</v>
      </c>
      <c r="F310" s="34" t="s">
        <v>1805</v>
      </c>
      <c r="G310" s="34"/>
      <c r="H310" s="34" t="s">
        <v>1456</v>
      </c>
      <c r="I310" s="34" t="s">
        <v>541</v>
      </c>
      <c r="J310" s="34" t="s">
        <v>1806</v>
      </c>
      <c r="K310" s="34"/>
      <c r="L310" s="34">
        <v>8.9999999999999993E-3</v>
      </c>
      <c r="M310" s="34">
        <v>5.1000000000000004E-3</v>
      </c>
      <c r="N310" s="153">
        <v>1</v>
      </c>
      <c r="O310" s="34">
        <v>0</v>
      </c>
      <c r="P310" s="34"/>
      <c r="Q310" s="153">
        <v>45379</v>
      </c>
      <c r="R310" s="153">
        <v>46484</v>
      </c>
      <c r="S310" s="153">
        <v>281</v>
      </c>
      <c r="T310" s="34"/>
      <c r="U310" s="153" t="s">
        <v>1325</v>
      </c>
      <c r="V310" s="153" t="s">
        <v>1807</v>
      </c>
      <c r="W310" s="153">
        <v>1</v>
      </c>
      <c r="X310" s="166"/>
      <c r="Y310" s="137"/>
      <c r="Z310" s="137"/>
      <c r="AA310" s="137"/>
      <c r="AB310" s="137">
        <v>0</v>
      </c>
      <c r="AC310" s="137">
        <v>250000000</v>
      </c>
      <c r="AD310" s="137">
        <v>9300714</v>
      </c>
      <c r="AE310" s="137">
        <v>250000</v>
      </c>
      <c r="AF310" s="137">
        <v>250000</v>
      </c>
      <c r="AG310" s="137">
        <v>250000</v>
      </c>
      <c r="AH310" s="153"/>
      <c r="AI310" s="167">
        <v>0</v>
      </c>
      <c r="AJ310" s="153"/>
      <c r="AK310" s="153"/>
      <c r="AL310" s="154">
        <v>103.85</v>
      </c>
      <c r="AM310" s="154">
        <v>9.3007140000000002E-2</v>
      </c>
      <c r="AN310" s="168" t="s">
        <v>1326</v>
      </c>
      <c r="AO310" s="168">
        <v>45763</v>
      </c>
      <c r="AP310" s="154">
        <v>0</v>
      </c>
      <c r="AQ310" s="168"/>
      <c r="AR310" s="155">
        <v>2.5000000000000001E-3</v>
      </c>
      <c r="AS310" s="152">
        <v>5.4388600000000002E-2</v>
      </c>
      <c r="AT310" s="154">
        <v>0</v>
      </c>
      <c r="AU310" s="137">
        <v>7.5250440000000002E-2</v>
      </c>
      <c r="AV310" s="137">
        <v>0</v>
      </c>
      <c r="AW310" s="137">
        <v>23251.785</v>
      </c>
      <c r="AX310" s="137">
        <v>39570.608006814669</v>
      </c>
      <c r="AY310" s="137">
        <v>259625</v>
      </c>
      <c r="AZ310" s="137">
        <v>1669.5596988802565</v>
      </c>
      <c r="BA310" s="137">
        <v>19286.862428845554</v>
      </c>
      <c r="BB310" s="137">
        <v>0</v>
      </c>
      <c r="BC310" s="137">
        <v>0</v>
      </c>
      <c r="BD310" s="137">
        <v>0</v>
      </c>
      <c r="BE310" s="137">
        <v>0</v>
      </c>
      <c r="BF310" s="137">
        <v>0</v>
      </c>
      <c r="BG310" s="137">
        <v>0</v>
      </c>
      <c r="BH310" s="137">
        <v>0</v>
      </c>
      <c r="BI310" s="137">
        <v>250000</v>
      </c>
      <c r="BJ310" s="137">
        <v>0.99170000000000003</v>
      </c>
      <c r="BK310" s="137">
        <v>4.1666666666666664E-2</v>
      </c>
      <c r="BL310" s="113">
        <v>0</v>
      </c>
      <c r="BM310" s="113" t="s">
        <v>1663</v>
      </c>
      <c r="BN310" s="168">
        <v>0</v>
      </c>
      <c r="BO310" s="152">
        <v>0</v>
      </c>
      <c r="BP310" s="152">
        <v>0</v>
      </c>
      <c r="BQ310" s="137">
        <v>250000</v>
      </c>
      <c r="BR310" s="137">
        <v>0</v>
      </c>
      <c r="BS310" s="166" t="s">
        <v>1806</v>
      </c>
      <c r="BT310" s="168">
        <v>7.1803506650360671E-2</v>
      </c>
      <c r="BU310" s="137">
        <v>60333.483445816339</v>
      </c>
      <c r="BV310" s="137">
        <v>21582.225301119743</v>
      </c>
      <c r="BW310" s="137">
        <v>0.35771555144005701</v>
      </c>
      <c r="BX310" s="89">
        <v>0.92819649334963927</v>
      </c>
      <c r="BY310" s="89">
        <v>0</v>
      </c>
      <c r="BZ310" s="153">
        <v>0</v>
      </c>
      <c r="CA310" s="153">
        <v>0</v>
      </c>
      <c r="CB310" s="153">
        <v>45763</v>
      </c>
      <c r="CC310" s="153">
        <v>45763</v>
      </c>
      <c r="CD310" s="153"/>
      <c r="CE310" s="153"/>
      <c r="CF310" s="153"/>
      <c r="CG310" s="34" t="s">
        <v>139</v>
      </c>
      <c r="CH310" s="34" t="s">
        <v>1333</v>
      </c>
    </row>
    <row r="311" spans="1:86" x14ac:dyDescent="0.3">
      <c r="A311" s="34">
        <v>4</v>
      </c>
      <c r="B311" s="34" t="s">
        <v>625</v>
      </c>
      <c r="C311" s="34" t="s">
        <v>1341</v>
      </c>
      <c r="D311" s="34" t="s">
        <v>159</v>
      </c>
      <c r="E311" s="34" t="s">
        <v>1336</v>
      </c>
      <c r="F311" s="34"/>
      <c r="G311" s="34"/>
      <c r="H311" s="34" t="s">
        <v>1456</v>
      </c>
      <c r="I311" s="34" t="s">
        <v>626</v>
      </c>
      <c r="J311" s="34" t="s">
        <v>1806</v>
      </c>
      <c r="K311" s="34"/>
      <c r="L311" s="34">
        <v>1.11E-2</v>
      </c>
      <c r="M311" s="34">
        <v>0</v>
      </c>
      <c r="N311" s="153">
        <v>1</v>
      </c>
      <c r="O311" s="34">
        <v>0</v>
      </c>
      <c r="P311" s="34"/>
      <c r="Q311" s="153">
        <v>45693</v>
      </c>
      <c r="R311" s="153">
        <v>46820</v>
      </c>
      <c r="S311" s="153">
        <v>617</v>
      </c>
      <c r="T311" s="34"/>
      <c r="U311" s="153" t="s">
        <v>1325</v>
      </c>
      <c r="V311" s="153" t="s">
        <v>1807</v>
      </c>
      <c r="W311" s="153">
        <v>1</v>
      </c>
      <c r="X311" s="169"/>
      <c r="Y311" s="170"/>
      <c r="Z311" s="170"/>
      <c r="AA311" s="170"/>
      <c r="AB311" s="170">
        <v>0</v>
      </c>
      <c r="AC311" s="170">
        <v>300000000</v>
      </c>
      <c r="AD311" s="170">
        <v>22052142</v>
      </c>
      <c r="AE311" s="170">
        <v>249999</v>
      </c>
      <c r="AF311" s="170">
        <v>249999</v>
      </c>
      <c r="AG311" s="170">
        <v>250000</v>
      </c>
      <c r="AH311" s="153"/>
      <c r="AI311" s="171">
        <v>0</v>
      </c>
      <c r="AJ311" s="153"/>
      <c r="AK311" s="153"/>
      <c r="AL311" s="172">
        <v>100.25</v>
      </c>
      <c r="AM311" s="172">
        <v>7.3507139999999999E-2</v>
      </c>
      <c r="AN311" s="173" t="s">
        <v>1326</v>
      </c>
      <c r="AO311" s="173">
        <v>45755</v>
      </c>
      <c r="AP311" s="172">
        <v>0</v>
      </c>
      <c r="AQ311" s="173"/>
      <c r="AR311" s="174">
        <v>8.3332999999999996E-4</v>
      </c>
      <c r="AS311" s="175">
        <v>3.496664E-2</v>
      </c>
      <c r="AT311" s="134">
        <v>0</v>
      </c>
      <c r="AU311" s="134">
        <v>7.558753E-2</v>
      </c>
      <c r="AV311" s="170">
        <v>0</v>
      </c>
      <c r="AW311" s="170">
        <v>18376.711492859999</v>
      </c>
      <c r="AX311" s="170">
        <v>24999.9</v>
      </c>
      <c r="AY311" s="170">
        <v>250623.9975</v>
      </c>
      <c r="AZ311" s="170">
        <v>2315.9785326221795</v>
      </c>
      <c r="BA311" s="170">
        <v>23132.702715101099</v>
      </c>
      <c r="BB311" s="170">
        <v>0</v>
      </c>
      <c r="BC311" s="170">
        <v>0</v>
      </c>
      <c r="BD311" s="170">
        <v>0</v>
      </c>
      <c r="BE311" s="170">
        <v>0</v>
      </c>
      <c r="BF311" s="170">
        <v>0</v>
      </c>
      <c r="BG311" s="170">
        <v>0</v>
      </c>
      <c r="BH311" s="170">
        <v>101536.98720045778</v>
      </c>
      <c r="BI311" s="170">
        <v>249999</v>
      </c>
      <c r="BJ311" s="170">
        <v>0.98939999999999995</v>
      </c>
      <c r="BK311" s="170">
        <v>4.1666500000000002E-2</v>
      </c>
      <c r="BL311" s="176">
        <v>0</v>
      </c>
      <c r="BM311" s="176" t="s">
        <v>1663</v>
      </c>
      <c r="BN311" s="173">
        <v>0</v>
      </c>
      <c r="BO311" s="175">
        <v>0</v>
      </c>
      <c r="BP311" s="175">
        <v>0</v>
      </c>
      <c r="BQ311" s="170">
        <v>249999</v>
      </c>
      <c r="BR311" s="170">
        <v>0</v>
      </c>
      <c r="BS311" s="169" t="s">
        <v>1806</v>
      </c>
      <c r="BT311" s="173">
        <v>0.12602790948326195</v>
      </c>
      <c r="BU311" s="170">
        <v>66924.039019620119</v>
      </c>
      <c r="BV311" s="170">
        <v>16060.732960237819</v>
      </c>
      <c r="BW311" s="170">
        <v>0.23998451371904339</v>
      </c>
      <c r="BX311" s="177">
        <v>0.87397209051673808</v>
      </c>
      <c r="BY311" s="177">
        <v>0</v>
      </c>
      <c r="BZ311" s="153">
        <v>0</v>
      </c>
      <c r="CA311" s="153">
        <v>0</v>
      </c>
      <c r="CB311" s="153">
        <v>45755</v>
      </c>
      <c r="CC311" s="153">
        <v>45755</v>
      </c>
      <c r="CD311" s="153"/>
      <c r="CE311" s="153"/>
      <c r="CF311" s="153"/>
      <c r="CG311" s="34" t="s">
        <v>139</v>
      </c>
      <c r="CH311" s="34" t="s">
        <v>1333</v>
      </c>
    </row>
    <row r="312" spans="1:86" x14ac:dyDescent="0.3">
      <c r="A312" s="34">
        <v>5</v>
      </c>
      <c r="B312" s="34" t="s">
        <v>668</v>
      </c>
      <c r="C312" s="34" t="s">
        <v>1335</v>
      </c>
      <c r="D312" s="34" t="s">
        <v>133</v>
      </c>
      <c r="E312" s="34" t="s">
        <v>1336</v>
      </c>
      <c r="F312" s="34" t="s">
        <v>1805</v>
      </c>
      <c r="G312" s="34"/>
      <c r="H312" s="34" t="s">
        <v>1456</v>
      </c>
      <c r="I312" s="34" t="s">
        <v>671</v>
      </c>
      <c r="J312" s="34" t="s">
        <v>1806</v>
      </c>
      <c r="K312" s="34"/>
      <c r="L312" s="34">
        <v>2.8000000000000001E-2</v>
      </c>
      <c r="M312" s="34">
        <v>1.6E-2</v>
      </c>
      <c r="N312" s="153">
        <v>1</v>
      </c>
      <c r="O312" s="34">
        <v>0</v>
      </c>
      <c r="P312" s="34"/>
      <c r="Q312" s="153">
        <v>45252</v>
      </c>
      <c r="R312" s="153">
        <v>46395</v>
      </c>
      <c r="S312" s="153">
        <v>192</v>
      </c>
      <c r="T312" s="34"/>
      <c r="U312" s="153" t="s">
        <v>1325</v>
      </c>
      <c r="V312" s="153" t="s">
        <v>1807</v>
      </c>
      <c r="W312" s="153">
        <v>1</v>
      </c>
      <c r="X312" s="169"/>
      <c r="Y312" s="170"/>
      <c r="Z312" s="170"/>
      <c r="AA312" s="170"/>
      <c r="AB312" s="170">
        <v>0</v>
      </c>
      <c r="AC312" s="170">
        <v>600000000</v>
      </c>
      <c r="AD312" s="170">
        <v>18120000</v>
      </c>
      <c r="AE312" s="170">
        <v>250000</v>
      </c>
      <c r="AF312" s="170">
        <v>250000</v>
      </c>
      <c r="AG312" s="170">
        <v>250000</v>
      </c>
      <c r="AH312" s="153"/>
      <c r="AI312" s="171">
        <v>0</v>
      </c>
      <c r="AJ312" s="153"/>
      <c r="AK312" s="153"/>
      <c r="AL312" s="172">
        <v>102.85</v>
      </c>
      <c r="AM312" s="172">
        <v>9.06E-2</v>
      </c>
      <c r="AN312" s="173" t="s">
        <v>1326</v>
      </c>
      <c r="AO312" s="173">
        <v>45751</v>
      </c>
      <c r="AP312" s="172">
        <v>0</v>
      </c>
      <c r="AQ312" s="173"/>
      <c r="AR312" s="174">
        <v>1.25E-3</v>
      </c>
      <c r="AS312" s="175">
        <v>5.2493049999999999E-2</v>
      </c>
      <c r="AT312" s="34">
        <v>0</v>
      </c>
      <c r="AU312" s="34">
        <v>7.6703099999999996E-2</v>
      </c>
      <c r="AV312" s="170">
        <v>0</v>
      </c>
      <c r="AW312" s="170">
        <v>22650</v>
      </c>
      <c r="AX312" s="170">
        <v>131272.2999064553</v>
      </c>
      <c r="AY312" s="170">
        <v>257125</v>
      </c>
      <c r="AZ312" s="170">
        <v>5261.34985536769</v>
      </c>
      <c r="BA312" s="170">
        <v>34138.576508037739</v>
      </c>
      <c r="BB312" s="170">
        <v>0</v>
      </c>
      <c r="BC312" s="170">
        <v>0</v>
      </c>
      <c r="BD312" s="170">
        <v>0</v>
      </c>
      <c r="BE312" s="170">
        <v>0</v>
      </c>
      <c r="BF312" s="170">
        <v>135707.53001740572</v>
      </c>
      <c r="BG312" s="170">
        <v>249999.99749999997</v>
      </c>
      <c r="BH312" s="170">
        <v>249999.99750000006</v>
      </c>
      <c r="BI312" s="170">
        <v>249999.99750000008</v>
      </c>
      <c r="BJ312" s="170">
        <v>0.97360000000000002</v>
      </c>
      <c r="BK312" s="170">
        <v>4.1666666666666664E-2</v>
      </c>
      <c r="BL312" s="176">
        <v>0</v>
      </c>
      <c r="BM312" s="176" t="s">
        <v>1663</v>
      </c>
      <c r="BN312" s="173">
        <v>0</v>
      </c>
      <c r="BO312" s="175">
        <v>0</v>
      </c>
      <c r="BP312" s="175">
        <v>0</v>
      </c>
      <c r="BQ312" s="170">
        <v>250000</v>
      </c>
      <c r="BR312" s="170">
        <v>0</v>
      </c>
      <c r="BS312" s="169" t="s">
        <v>1806</v>
      </c>
      <c r="BT312" s="173">
        <v>0.23228917683742561</v>
      </c>
      <c r="BU312" s="170">
        <v>41970.278630234068</v>
      </c>
      <c r="BV312" s="170">
        <v>17388.650144632309</v>
      </c>
      <c r="BW312" s="170">
        <v>0.41430866584969661</v>
      </c>
      <c r="BX312" s="177">
        <v>0.76771082316257433</v>
      </c>
      <c r="BY312" s="177">
        <v>0</v>
      </c>
      <c r="BZ312" s="153">
        <v>0</v>
      </c>
      <c r="CA312" s="153">
        <v>0</v>
      </c>
      <c r="CB312" s="153">
        <v>45751</v>
      </c>
      <c r="CC312" s="153">
        <v>45751</v>
      </c>
      <c r="CD312" s="153"/>
      <c r="CE312" s="153"/>
      <c r="CF312" s="153"/>
      <c r="CG312" s="34" t="s">
        <v>139</v>
      </c>
      <c r="CH312" s="34" t="s">
        <v>1333</v>
      </c>
    </row>
    <row r="313" spans="1:86" x14ac:dyDescent="0.3">
      <c r="A313" s="34">
        <v>6</v>
      </c>
      <c r="B313" s="34" t="s">
        <v>695</v>
      </c>
      <c r="C313" s="34" t="s">
        <v>1351</v>
      </c>
      <c r="D313" s="34" t="s">
        <v>150</v>
      </c>
      <c r="E313" s="34" t="s">
        <v>1336</v>
      </c>
      <c r="F313" s="34" t="s">
        <v>1805</v>
      </c>
      <c r="G313" s="34"/>
      <c r="H313" s="34" t="s">
        <v>1456</v>
      </c>
      <c r="I313" s="34" t="s">
        <v>697</v>
      </c>
      <c r="J313" s="34" t="s">
        <v>1806</v>
      </c>
      <c r="K313" s="34"/>
      <c r="L313" s="34">
        <v>0.02</v>
      </c>
      <c r="M313" s="34">
        <v>0</v>
      </c>
      <c r="N313" s="153">
        <v>1</v>
      </c>
      <c r="O313" s="34">
        <v>0</v>
      </c>
      <c r="P313" s="34"/>
      <c r="Q313" s="153">
        <v>45391</v>
      </c>
      <c r="R313" s="153">
        <v>46545</v>
      </c>
      <c r="S313" s="153">
        <v>342</v>
      </c>
      <c r="T313" s="34"/>
      <c r="U313" s="153" t="s">
        <v>1325</v>
      </c>
      <c r="V313" s="153" t="s">
        <v>1809</v>
      </c>
      <c r="W313" s="153">
        <v>1</v>
      </c>
      <c r="X313" s="169"/>
      <c r="Y313" s="170"/>
      <c r="Z313" s="170"/>
      <c r="AA313" s="170"/>
      <c r="AB313" s="170">
        <v>0</v>
      </c>
      <c r="AC313" s="170">
        <v>300000000</v>
      </c>
      <c r="AD313" s="170">
        <v>27228600</v>
      </c>
      <c r="AE313" s="170">
        <v>250000.80000000002</v>
      </c>
      <c r="AF313" s="170">
        <v>250000.80000000002</v>
      </c>
      <c r="AG313" s="170">
        <v>250000</v>
      </c>
      <c r="AH313" s="153"/>
      <c r="AI313" s="171">
        <v>0</v>
      </c>
      <c r="AJ313" s="153"/>
      <c r="AK313" s="153"/>
      <c r="AL313" s="172">
        <v>102.6</v>
      </c>
      <c r="AM313" s="172">
        <v>0.12966</v>
      </c>
      <c r="AN313" s="173" t="s">
        <v>1326</v>
      </c>
      <c r="AO313" s="173">
        <v>45761</v>
      </c>
      <c r="AP313" s="172">
        <v>0</v>
      </c>
      <c r="AQ313" s="173"/>
      <c r="AR313" s="174">
        <v>1.1904800000000001E-3</v>
      </c>
      <c r="AS313" s="175">
        <v>9.1247229999999999E-2</v>
      </c>
      <c r="AT313" s="34">
        <v>0</v>
      </c>
      <c r="AU313" s="34">
        <v>0.11921872999999999</v>
      </c>
      <c r="AV313" s="170">
        <v>0</v>
      </c>
      <c r="AW313" s="170">
        <v>32415.103728000002</v>
      </c>
      <c r="AX313" s="170">
        <v>100000.32000000001</v>
      </c>
      <c r="AY313" s="170">
        <v>256500.82080000002</v>
      </c>
      <c r="AZ313" s="170">
        <v>4326.6511753483428</v>
      </c>
      <c r="BA313" s="170">
        <v>31900.149926613594</v>
      </c>
      <c r="BB313" s="170">
        <v>0</v>
      </c>
      <c r="BC313" s="170">
        <v>0</v>
      </c>
      <c r="BD313" s="170">
        <v>0</v>
      </c>
      <c r="BE313" s="170">
        <v>0</v>
      </c>
      <c r="BF313" s="170">
        <v>4762.8987747345946</v>
      </c>
      <c r="BG313" s="170">
        <v>250000.80000000002</v>
      </c>
      <c r="BH313" s="170">
        <v>250000.80000000002</v>
      </c>
      <c r="BI313" s="170">
        <v>250000.80000000002</v>
      </c>
      <c r="BJ313" s="170">
        <v>0.98089999999999999</v>
      </c>
      <c r="BK313" s="170">
        <v>4.1666800000000004E-2</v>
      </c>
      <c r="BL313" s="176">
        <v>0</v>
      </c>
      <c r="BM313" s="176" t="s">
        <v>1663</v>
      </c>
      <c r="BN313" s="173">
        <v>0</v>
      </c>
      <c r="BO313" s="175">
        <v>0</v>
      </c>
      <c r="BP313" s="175">
        <v>0</v>
      </c>
      <c r="BQ313" s="170">
        <v>250000.80000000002</v>
      </c>
      <c r="BR313" s="170">
        <v>0</v>
      </c>
      <c r="BS313" s="169" t="s">
        <v>1806</v>
      </c>
      <c r="BT313" s="173">
        <v>0.13347639457377405</v>
      </c>
      <c r="BU313" s="170">
        <v>52500.167999999983</v>
      </c>
      <c r="BV313" s="170">
        <v>28088.452552651659</v>
      </c>
      <c r="BW313" s="170">
        <v>0.53501643180744995</v>
      </c>
      <c r="BX313" s="177">
        <v>0.86652360542622597</v>
      </c>
      <c r="BY313" s="177">
        <v>0</v>
      </c>
      <c r="BZ313" s="153">
        <v>0</v>
      </c>
      <c r="CA313" s="153">
        <v>0</v>
      </c>
      <c r="CB313" s="153">
        <v>45761</v>
      </c>
      <c r="CC313" s="153">
        <v>45761</v>
      </c>
      <c r="CD313" s="153"/>
      <c r="CE313" s="153"/>
      <c r="CF313" s="153"/>
      <c r="CG313" s="34" t="s">
        <v>139</v>
      </c>
      <c r="CH313" s="34" t="s">
        <v>1333</v>
      </c>
    </row>
    <row r="314" spans="1:86" x14ac:dyDescent="0.3">
      <c r="A314" s="34">
        <v>7</v>
      </c>
      <c r="B314" s="34" t="s">
        <v>711</v>
      </c>
      <c r="C314" s="34" t="s">
        <v>1327</v>
      </c>
      <c r="D314" s="34" t="s">
        <v>150</v>
      </c>
      <c r="E314" s="34" t="s">
        <v>1328</v>
      </c>
      <c r="F314" s="34" t="s">
        <v>1805</v>
      </c>
      <c r="G314" s="34"/>
      <c r="H314" s="34" t="s">
        <v>1456</v>
      </c>
      <c r="I314" s="34" t="s">
        <v>714</v>
      </c>
      <c r="J314" s="34" t="s">
        <v>1806</v>
      </c>
      <c r="K314" s="34"/>
      <c r="L314" s="34">
        <v>8.0999999999999996E-3</v>
      </c>
      <c r="M314" s="34">
        <v>7.7000000000000002E-3</v>
      </c>
      <c r="N314" s="153">
        <v>1</v>
      </c>
      <c r="O314" s="34">
        <v>0</v>
      </c>
      <c r="P314" s="34"/>
      <c r="Q314" s="153">
        <v>45405</v>
      </c>
      <c r="R314" s="153">
        <v>47212</v>
      </c>
      <c r="S314" s="153">
        <v>1009</v>
      </c>
      <c r="T314" s="34"/>
      <c r="U314" s="153" t="s">
        <v>1325</v>
      </c>
      <c r="V314" s="153" t="s">
        <v>1807</v>
      </c>
      <c r="W314" s="153">
        <v>1</v>
      </c>
      <c r="X314" s="169"/>
      <c r="Y314" s="170"/>
      <c r="Z314" s="170"/>
      <c r="AA314" s="170"/>
      <c r="AB314" s="170">
        <v>0</v>
      </c>
      <c r="AC314" s="170">
        <v>150000000</v>
      </c>
      <c r="AD314" s="170">
        <v>9324720</v>
      </c>
      <c r="AE314" s="170">
        <v>250000.5</v>
      </c>
      <c r="AF314" s="170">
        <v>250000.5</v>
      </c>
      <c r="AG314" s="170">
        <v>250000</v>
      </c>
      <c r="AH314" s="153"/>
      <c r="AI314" s="171">
        <v>0</v>
      </c>
      <c r="AJ314" s="153"/>
      <c r="AK314" s="153"/>
      <c r="AL314" s="172">
        <v>101</v>
      </c>
      <c r="AM314" s="172">
        <v>6.2164799999999999E-2</v>
      </c>
      <c r="AN314" s="173" t="s">
        <v>1326</v>
      </c>
      <c r="AO314" s="173">
        <v>45749</v>
      </c>
      <c r="AP314" s="172">
        <v>0</v>
      </c>
      <c r="AQ314" s="173"/>
      <c r="AR314" s="174">
        <v>1.6666700000000001E-3</v>
      </c>
      <c r="AS314" s="175">
        <v>2.3430280000000001E-2</v>
      </c>
      <c r="AT314" s="34">
        <v>0</v>
      </c>
      <c r="AU314" s="34">
        <v>5.6722120000000001E-2</v>
      </c>
      <c r="AV314" s="170">
        <v>0</v>
      </c>
      <c r="AW314" s="170">
        <v>15541.2310824</v>
      </c>
      <c r="AX314" s="170">
        <v>0</v>
      </c>
      <c r="AY314" s="170">
        <v>252500.505</v>
      </c>
      <c r="AZ314" s="170">
        <v>1971.5092803013679</v>
      </c>
      <c r="BA314" s="170">
        <v>22005.247728234022</v>
      </c>
      <c r="BB314" s="170">
        <v>0</v>
      </c>
      <c r="BC314" s="170">
        <v>0</v>
      </c>
      <c r="BD314" s="170">
        <v>0</v>
      </c>
      <c r="BE314" s="170">
        <v>0</v>
      </c>
      <c r="BF314" s="170">
        <v>0</v>
      </c>
      <c r="BG314" s="170">
        <v>0</v>
      </c>
      <c r="BH314" s="170">
        <v>0</v>
      </c>
      <c r="BI314" s="170">
        <v>250000.5</v>
      </c>
      <c r="BJ314" s="170">
        <v>0.9919</v>
      </c>
      <c r="BK314" s="170">
        <v>4.1666750000000002E-2</v>
      </c>
      <c r="BL314" s="176">
        <v>0</v>
      </c>
      <c r="BM314" s="176" t="s">
        <v>1663</v>
      </c>
      <c r="BN314" s="173">
        <v>0</v>
      </c>
      <c r="BO314" s="175">
        <v>0</v>
      </c>
      <c r="BP314" s="175">
        <v>0</v>
      </c>
      <c r="BQ314" s="170">
        <v>250000.5</v>
      </c>
      <c r="BR314" s="170">
        <v>0</v>
      </c>
      <c r="BS314" s="169" t="s">
        <v>1806</v>
      </c>
      <c r="BT314" s="173">
        <v>0.12685669943702502</v>
      </c>
      <c r="BU314" s="170">
        <v>5000.0100000000011</v>
      </c>
      <c r="BV314" s="170">
        <v>13569.721802098631</v>
      </c>
      <c r="BW314" s="170">
        <v>2.7139389325418604</v>
      </c>
      <c r="BX314" s="177">
        <v>0.87314330056297496</v>
      </c>
      <c r="BY314" s="177">
        <v>0</v>
      </c>
      <c r="BZ314" s="153">
        <v>0</v>
      </c>
      <c r="CA314" s="153">
        <v>0</v>
      </c>
      <c r="CB314" s="153">
        <v>45749</v>
      </c>
      <c r="CC314" s="153">
        <v>45749</v>
      </c>
      <c r="CD314" s="153"/>
      <c r="CE314" s="153"/>
      <c r="CF314" s="153"/>
      <c r="CG314" s="34" t="s">
        <v>139</v>
      </c>
      <c r="CH314" s="34" t="s">
        <v>1329</v>
      </c>
    </row>
    <row r="315" spans="1:86" x14ac:dyDescent="0.3">
      <c r="A315" s="34">
        <v>8</v>
      </c>
      <c r="B315" s="34" t="s">
        <v>856</v>
      </c>
      <c r="C315" s="34" t="s">
        <v>1337</v>
      </c>
      <c r="D315" s="34" t="s">
        <v>167</v>
      </c>
      <c r="E315" s="34" t="s">
        <v>1338</v>
      </c>
      <c r="F315" s="34" t="s">
        <v>1805</v>
      </c>
      <c r="G315" s="34"/>
      <c r="H315" s="34" t="s">
        <v>1456</v>
      </c>
      <c r="I315" s="34" t="s">
        <v>858</v>
      </c>
      <c r="J315" s="34" t="s">
        <v>1806</v>
      </c>
      <c r="K315" s="34"/>
      <c r="L315" s="34">
        <v>1.5900000000000001E-2</v>
      </c>
      <c r="M315" s="34">
        <v>0</v>
      </c>
      <c r="N315" s="153">
        <v>1</v>
      </c>
      <c r="O315" s="34">
        <v>0</v>
      </c>
      <c r="P315" s="34"/>
      <c r="Q315" s="153">
        <v>44650</v>
      </c>
      <c r="R315" s="153">
        <v>46119</v>
      </c>
      <c r="S315" s="153">
        <v>-84</v>
      </c>
      <c r="T315" s="34"/>
      <c r="U315" s="153" t="s">
        <v>1325</v>
      </c>
      <c r="V315" s="153" t="s">
        <v>1807</v>
      </c>
      <c r="W315" s="153">
        <v>1</v>
      </c>
      <c r="X315" s="169"/>
      <c r="Y315" s="170"/>
      <c r="Z315" s="170"/>
      <c r="AA315" s="170"/>
      <c r="AB315" s="170">
        <v>0</v>
      </c>
      <c r="AC315" s="170">
        <v>100000000</v>
      </c>
      <c r="AD315" s="170">
        <v>7992000.0000000019</v>
      </c>
      <c r="AE315" s="170">
        <v>249999.60000000003</v>
      </c>
      <c r="AF315" s="170">
        <v>249999.60000000003</v>
      </c>
      <c r="AG315" s="170">
        <v>250000</v>
      </c>
      <c r="AH315" s="153"/>
      <c r="AI315" s="171">
        <v>0</v>
      </c>
      <c r="AJ315" s="153"/>
      <c r="AK315" s="153"/>
      <c r="AL315" s="172">
        <v>101</v>
      </c>
      <c r="AM315" s="172">
        <v>6.6600000000000006E-2</v>
      </c>
      <c r="AN315" s="173" t="s">
        <v>1326</v>
      </c>
      <c r="AO315" s="173">
        <v>45751</v>
      </c>
      <c r="AP315" s="172">
        <v>0</v>
      </c>
      <c r="AQ315" s="173"/>
      <c r="AR315" s="174">
        <v>2.08333E-3</v>
      </c>
      <c r="AS315" s="175">
        <v>2.8000799999999999E-2</v>
      </c>
      <c r="AT315" s="34">
        <v>0</v>
      </c>
      <c r="AU315" s="34">
        <v>5.962858E-2</v>
      </c>
      <c r="AV315" s="170">
        <v>0</v>
      </c>
      <c r="AW315" s="170">
        <v>16649.973360000004</v>
      </c>
      <c r="AX315" s="170">
        <v>0</v>
      </c>
      <c r="AY315" s="170">
        <v>252499.59600000005</v>
      </c>
      <c r="AZ315" s="170">
        <v>3783.1094999501311</v>
      </c>
      <c r="BA315" s="170">
        <v>30259.525223829885</v>
      </c>
      <c r="BB315" s="170">
        <v>0</v>
      </c>
      <c r="BC315" s="170">
        <v>0</v>
      </c>
      <c r="BD315" s="170">
        <v>0</v>
      </c>
      <c r="BE315" s="170">
        <v>0</v>
      </c>
      <c r="BF315" s="170">
        <v>0</v>
      </c>
      <c r="BG315" s="170">
        <v>249999.59999999998</v>
      </c>
      <c r="BH315" s="170">
        <v>249999.6</v>
      </c>
      <c r="BI315" s="170">
        <v>249999.60000000003</v>
      </c>
      <c r="BJ315" s="170">
        <v>0.98429999999999995</v>
      </c>
      <c r="BK315" s="170">
        <v>4.1666600000000005E-2</v>
      </c>
      <c r="BL315" s="176">
        <v>0</v>
      </c>
      <c r="BM315" s="176" t="s">
        <v>1663</v>
      </c>
      <c r="BN315" s="173">
        <v>0</v>
      </c>
      <c r="BO315" s="175">
        <v>0</v>
      </c>
      <c r="BP315" s="175">
        <v>0</v>
      </c>
      <c r="BQ315" s="170">
        <v>249999.60000000003</v>
      </c>
      <c r="BR315" s="170">
        <v>0</v>
      </c>
      <c r="BS315" s="169" t="s">
        <v>1806</v>
      </c>
      <c r="BT315" s="173">
        <v>0.22721414732342432</v>
      </c>
      <c r="BU315" s="170">
        <v>7499.9880000000003</v>
      </c>
      <c r="BV315" s="170">
        <v>12866.863860049873</v>
      </c>
      <c r="BW315" s="170">
        <v>1.7155845929419984</v>
      </c>
      <c r="BX315" s="177">
        <v>0.77278585267657562</v>
      </c>
      <c r="BY315" s="177">
        <v>0</v>
      </c>
      <c r="BZ315" s="153">
        <v>0</v>
      </c>
      <c r="CA315" s="153">
        <v>0</v>
      </c>
      <c r="CB315" s="153">
        <v>45751</v>
      </c>
      <c r="CC315" s="153">
        <v>45751</v>
      </c>
      <c r="CD315" s="153"/>
      <c r="CE315" s="153"/>
      <c r="CF315" s="153"/>
      <c r="CG315" s="34" t="s">
        <v>139</v>
      </c>
      <c r="CH315" s="34" t="s">
        <v>1333</v>
      </c>
    </row>
    <row r="316" spans="1:86" x14ac:dyDescent="0.3">
      <c r="A316" s="34">
        <v>9</v>
      </c>
      <c r="B316" s="34" t="s">
        <v>876</v>
      </c>
      <c r="C316" s="34" t="s">
        <v>1359</v>
      </c>
      <c r="D316" s="34" t="s">
        <v>150</v>
      </c>
      <c r="E316" s="34" t="s">
        <v>1336</v>
      </c>
      <c r="F316" s="34" t="s">
        <v>1805</v>
      </c>
      <c r="G316" s="34"/>
      <c r="H316" s="34" t="s">
        <v>1456</v>
      </c>
      <c r="I316" s="34" t="s">
        <v>879</v>
      </c>
      <c r="J316" s="34" t="s">
        <v>1806</v>
      </c>
      <c r="K316" s="34"/>
      <c r="L316" s="34">
        <v>3.9699999999999999E-2</v>
      </c>
      <c r="M316" s="34">
        <v>0</v>
      </c>
      <c r="N316" s="153">
        <v>1</v>
      </c>
      <c r="O316" s="34">
        <v>0</v>
      </c>
      <c r="P316" s="34"/>
      <c r="Q316" s="153">
        <v>45393</v>
      </c>
      <c r="R316" s="153">
        <v>46517</v>
      </c>
      <c r="S316" s="153">
        <v>314</v>
      </c>
      <c r="T316" s="34"/>
      <c r="U316" s="153" t="s">
        <v>1325</v>
      </c>
      <c r="V316" s="153" t="s">
        <v>1809</v>
      </c>
      <c r="W316" s="153">
        <v>1</v>
      </c>
      <c r="X316" s="169"/>
      <c r="Y316" s="170"/>
      <c r="Z316" s="170"/>
      <c r="AA316" s="170"/>
      <c r="AB316" s="170">
        <v>0</v>
      </c>
      <c r="AC316" s="170">
        <v>125000000</v>
      </c>
      <c r="AD316" s="170">
        <v>14315000</v>
      </c>
      <c r="AE316" s="170">
        <v>250000</v>
      </c>
      <c r="AF316" s="170">
        <v>250000</v>
      </c>
      <c r="AG316" s="170">
        <v>250000</v>
      </c>
      <c r="AH316" s="153"/>
      <c r="AI316" s="171">
        <v>0</v>
      </c>
      <c r="AJ316" s="153"/>
      <c r="AK316" s="153"/>
      <c r="AL316" s="172">
        <v>102</v>
      </c>
      <c r="AM316" s="172">
        <v>0.11452</v>
      </c>
      <c r="AN316" s="173" t="s">
        <v>1326</v>
      </c>
      <c r="AO316" s="173">
        <v>45777</v>
      </c>
      <c r="AP316" s="172">
        <v>0</v>
      </c>
      <c r="AQ316" s="173"/>
      <c r="AR316" s="174">
        <v>2E-3</v>
      </c>
      <c r="AS316" s="175">
        <v>7.6309879999999997E-2</v>
      </c>
      <c r="AT316" s="172">
        <v>0</v>
      </c>
      <c r="AU316" s="170">
        <v>0.106922</v>
      </c>
      <c r="AV316" s="170">
        <v>0</v>
      </c>
      <c r="AW316" s="170">
        <v>28630</v>
      </c>
      <c r="AX316" s="170">
        <v>190906.54916197926</v>
      </c>
      <c r="AY316" s="170">
        <v>255000</v>
      </c>
      <c r="AZ316" s="170">
        <v>6876.8499797346622</v>
      </c>
      <c r="BA316" s="170">
        <v>38094.656895663349</v>
      </c>
      <c r="BB316" s="170">
        <v>0</v>
      </c>
      <c r="BC316" s="170">
        <v>0</v>
      </c>
      <c r="BD316" s="170">
        <v>0</v>
      </c>
      <c r="BE316" s="170">
        <v>0</v>
      </c>
      <c r="BF316" s="170">
        <v>225035.28833753764</v>
      </c>
      <c r="BG316" s="170">
        <v>250000</v>
      </c>
      <c r="BH316" s="170">
        <v>250000</v>
      </c>
      <c r="BI316" s="170">
        <v>250000</v>
      </c>
      <c r="BJ316" s="170">
        <v>0.96430000000000005</v>
      </c>
      <c r="BK316" s="170">
        <v>4.1666666666666664E-2</v>
      </c>
      <c r="BL316" s="176">
        <v>0</v>
      </c>
      <c r="BM316" s="176" t="s">
        <v>1663</v>
      </c>
      <c r="BN316" s="173">
        <v>0</v>
      </c>
      <c r="BO316" s="175">
        <v>0</v>
      </c>
      <c r="BP316" s="175">
        <v>0</v>
      </c>
      <c r="BQ316" s="170">
        <v>250000</v>
      </c>
      <c r="BR316" s="170">
        <v>0</v>
      </c>
      <c r="BS316" s="169" t="s">
        <v>1806</v>
      </c>
      <c r="BT316" s="173">
        <v>0.24019734473400844</v>
      </c>
      <c r="BU316" s="170">
        <v>138533.33518550993</v>
      </c>
      <c r="BV316" s="170">
        <v>21753.150020265337</v>
      </c>
      <c r="BW316" s="170">
        <v>0.15702466118451347</v>
      </c>
      <c r="BX316" s="177">
        <v>0.75980265526599156</v>
      </c>
      <c r="BY316" s="177">
        <v>0</v>
      </c>
      <c r="BZ316" s="153">
        <v>0</v>
      </c>
      <c r="CA316" s="153">
        <v>0</v>
      </c>
      <c r="CB316" s="153">
        <v>45777</v>
      </c>
      <c r="CC316" s="153">
        <v>45777</v>
      </c>
      <c r="CD316" s="153"/>
      <c r="CE316" s="153"/>
      <c r="CF316" s="153"/>
      <c r="CG316" s="34" t="s">
        <v>139</v>
      </c>
      <c r="CH316" s="34" t="s">
        <v>1333</v>
      </c>
    </row>
    <row r="317" spans="1:86" x14ac:dyDescent="0.3">
      <c r="A317" s="34">
        <v>10</v>
      </c>
      <c r="B317" s="34" t="s">
        <v>895</v>
      </c>
      <c r="C317" s="34" t="s">
        <v>1345</v>
      </c>
      <c r="D317" s="34" t="s">
        <v>150</v>
      </c>
      <c r="E317" s="34" t="s">
        <v>1336</v>
      </c>
      <c r="F317" s="34"/>
      <c r="G317" s="34"/>
      <c r="H317" s="34" t="s">
        <v>1456</v>
      </c>
      <c r="I317" s="34" t="s">
        <v>898</v>
      </c>
      <c r="J317" s="34" t="s">
        <v>1806</v>
      </c>
      <c r="K317" s="34"/>
      <c r="L317" s="34">
        <v>1.1299999999999999E-2</v>
      </c>
      <c r="M317" s="34">
        <v>0</v>
      </c>
      <c r="N317" s="153">
        <v>1</v>
      </c>
      <c r="O317" s="34">
        <v>0</v>
      </c>
      <c r="P317" s="34"/>
      <c r="Q317" s="153">
        <v>45630</v>
      </c>
      <c r="R317" s="153">
        <v>46762</v>
      </c>
      <c r="S317" s="153">
        <v>559</v>
      </c>
      <c r="T317" s="34"/>
      <c r="U317" s="153" t="s">
        <v>1325</v>
      </c>
      <c r="V317" s="153" t="s">
        <v>1807</v>
      </c>
      <c r="W317" s="153">
        <v>1</v>
      </c>
      <c r="X317" s="166"/>
      <c r="Y317" s="137"/>
      <c r="Z317" s="137"/>
      <c r="AA317" s="137"/>
      <c r="AB317" s="137">
        <v>0</v>
      </c>
      <c r="AC317" s="137">
        <v>100000000</v>
      </c>
      <c r="AD317" s="137">
        <v>7310000</v>
      </c>
      <c r="AE317" s="137">
        <v>250000</v>
      </c>
      <c r="AF317" s="137">
        <v>250000</v>
      </c>
      <c r="AG317" s="137">
        <v>250000</v>
      </c>
      <c r="AH317" s="153"/>
      <c r="AI317" s="167">
        <v>0</v>
      </c>
      <c r="AJ317" s="153"/>
      <c r="AK317" s="153"/>
      <c r="AL317" s="154">
        <v>101.6</v>
      </c>
      <c r="AM317" s="154">
        <v>7.3099999999999998E-2</v>
      </c>
      <c r="AN317" s="168" t="s">
        <v>1326</v>
      </c>
      <c r="AO317" s="168">
        <v>45756</v>
      </c>
      <c r="AP317" s="154">
        <v>0</v>
      </c>
      <c r="AQ317" s="168"/>
      <c r="AR317" s="155">
        <v>2.5000000000000001E-3</v>
      </c>
      <c r="AS317" s="152">
        <v>3.4997439999999998E-2</v>
      </c>
      <c r="AT317" s="154">
        <v>0</v>
      </c>
      <c r="AU317" s="137">
        <v>6.9968119999999995E-2</v>
      </c>
      <c r="AV317" s="137">
        <v>0</v>
      </c>
      <c r="AW317" s="137">
        <v>18275</v>
      </c>
      <c r="AX317" s="137">
        <v>0</v>
      </c>
      <c r="AY317" s="137">
        <v>254000</v>
      </c>
      <c r="AZ317" s="137">
        <v>2306.25</v>
      </c>
      <c r="BA317" s="137">
        <v>22853.282055047777</v>
      </c>
      <c r="BB317" s="137">
        <v>0</v>
      </c>
      <c r="BC317" s="137">
        <v>0</v>
      </c>
      <c r="BD317" s="137">
        <v>0</v>
      </c>
      <c r="BE317" s="137">
        <v>0</v>
      </c>
      <c r="BF317" s="137">
        <v>0</v>
      </c>
      <c r="BG317" s="137">
        <v>0</v>
      </c>
      <c r="BH317" s="137">
        <v>62500</v>
      </c>
      <c r="BI317" s="137">
        <v>250000</v>
      </c>
      <c r="BJ317" s="137">
        <v>0.98870000000000002</v>
      </c>
      <c r="BK317" s="137">
        <v>4.1666666666666664E-2</v>
      </c>
      <c r="BL317" s="113">
        <v>0</v>
      </c>
      <c r="BM317" s="113" t="s">
        <v>1663</v>
      </c>
      <c r="BN317" s="168">
        <v>0</v>
      </c>
      <c r="BO317" s="152">
        <v>0</v>
      </c>
      <c r="BP317" s="152">
        <v>0</v>
      </c>
      <c r="BQ317" s="137">
        <v>250000</v>
      </c>
      <c r="BR317" s="137">
        <v>0</v>
      </c>
      <c r="BS317" s="166" t="s">
        <v>1806</v>
      </c>
      <c r="BT317" s="168">
        <v>0.12619699042407662</v>
      </c>
      <c r="BU317" s="137">
        <v>4062.5</v>
      </c>
      <c r="BV317" s="137">
        <v>15968.75</v>
      </c>
      <c r="BW317" s="137">
        <v>3.9307692307692306</v>
      </c>
      <c r="BX317" s="89">
        <v>0.87380300957592338</v>
      </c>
      <c r="BY317" s="89">
        <v>0</v>
      </c>
      <c r="BZ317" s="153">
        <v>0</v>
      </c>
      <c r="CA317" s="153">
        <v>0</v>
      </c>
      <c r="CB317" s="153">
        <v>45756</v>
      </c>
      <c r="CC317" s="153">
        <v>45756</v>
      </c>
      <c r="CD317" s="153"/>
      <c r="CE317" s="153"/>
      <c r="CF317" s="153"/>
      <c r="CG317" s="34" t="s">
        <v>1347</v>
      </c>
      <c r="CH317" s="34" t="s">
        <v>1333</v>
      </c>
    </row>
    <row r="318" spans="1:86" x14ac:dyDescent="0.3">
      <c r="A318" s="34">
        <v>11</v>
      </c>
      <c r="B318" s="34" t="s">
        <v>943</v>
      </c>
      <c r="C318" s="34" t="s">
        <v>1357</v>
      </c>
      <c r="D318" s="34" t="s">
        <v>133</v>
      </c>
      <c r="E318" s="34" t="s">
        <v>1336</v>
      </c>
      <c r="F318" s="34" t="s">
        <v>1805</v>
      </c>
      <c r="G318" s="34"/>
      <c r="H318" s="34" t="s">
        <v>1456</v>
      </c>
      <c r="I318" s="34" t="s">
        <v>946</v>
      </c>
      <c r="J318" s="34" t="s">
        <v>1806</v>
      </c>
      <c r="K318" s="34"/>
      <c r="L318" s="34">
        <v>6.7999999999999996E-3</v>
      </c>
      <c r="M318" s="34">
        <v>0</v>
      </c>
      <c r="N318" s="153">
        <v>1</v>
      </c>
      <c r="O318" s="34">
        <v>0</v>
      </c>
      <c r="P318" s="34"/>
      <c r="Q318" s="153">
        <v>45098</v>
      </c>
      <c r="R318" s="153">
        <v>46211</v>
      </c>
      <c r="S318" s="153">
        <v>8</v>
      </c>
      <c r="T318" s="34"/>
      <c r="U318" s="153" t="s">
        <v>1325</v>
      </c>
      <c r="V318" s="153" t="s">
        <v>1807</v>
      </c>
      <c r="W318" s="153">
        <v>1</v>
      </c>
      <c r="X318" s="166"/>
      <c r="Y318" s="137"/>
      <c r="Z318" s="137"/>
      <c r="AA318" s="137"/>
      <c r="AB318" s="137">
        <v>0</v>
      </c>
      <c r="AC318" s="137">
        <v>150000000</v>
      </c>
      <c r="AD318" s="137">
        <v>11677500</v>
      </c>
      <c r="AE318" s="137">
        <v>250000.5</v>
      </c>
      <c r="AF318" s="137">
        <v>250000.5</v>
      </c>
      <c r="AG318" s="137">
        <v>250000</v>
      </c>
      <c r="AH318" s="153"/>
      <c r="AI318" s="167">
        <v>0</v>
      </c>
      <c r="AJ318" s="153"/>
      <c r="AK318" s="153"/>
      <c r="AL318" s="154">
        <v>101.15</v>
      </c>
      <c r="AM318" s="154">
        <v>7.7850000000000003E-2</v>
      </c>
      <c r="AN318" s="168" t="s">
        <v>1326</v>
      </c>
      <c r="AO318" s="168">
        <v>45775</v>
      </c>
      <c r="AP318" s="154">
        <v>0</v>
      </c>
      <c r="AQ318" s="168"/>
      <c r="AR318" s="155">
        <v>1.6666700000000001E-3</v>
      </c>
      <c r="AS318" s="152">
        <v>3.8097329999999999E-2</v>
      </c>
      <c r="AT318" s="154">
        <v>0</v>
      </c>
      <c r="AU318" s="137">
        <v>6.9939169999999995E-2</v>
      </c>
      <c r="AV318" s="137">
        <v>0</v>
      </c>
      <c r="AW318" s="137">
        <v>19462.538925000001</v>
      </c>
      <c r="AX318" s="137">
        <v>175000.35</v>
      </c>
      <c r="AY318" s="137">
        <v>252875.50575000004</v>
      </c>
      <c r="AZ318" s="137">
        <v>1609.9947633145066</v>
      </c>
      <c r="BA318" s="137">
        <v>19799.755023787478</v>
      </c>
      <c r="BB318" s="137">
        <v>0</v>
      </c>
      <c r="BC318" s="137">
        <v>0</v>
      </c>
      <c r="BD318" s="137">
        <v>0</v>
      </c>
      <c r="BE318" s="137">
        <v>0</v>
      </c>
      <c r="BF318" s="137">
        <v>0</v>
      </c>
      <c r="BG318" s="137">
        <v>0</v>
      </c>
      <c r="BH318" s="137">
        <v>0</v>
      </c>
      <c r="BI318" s="137">
        <v>250000.5</v>
      </c>
      <c r="BJ318" s="137">
        <v>0.99329999999999996</v>
      </c>
      <c r="BK318" s="137">
        <v>4.1666750000000002E-2</v>
      </c>
      <c r="BL318" s="113">
        <v>0</v>
      </c>
      <c r="BM318" s="113" t="s">
        <v>1663</v>
      </c>
      <c r="BN318" s="168">
        <v>0</v>
      </c>
      <c r="BO318" s="152">
        <v>0</v>
      </c>
      <c r="BP318" s="152">
        <v>0</v>
      </c>
      <c r="BQ318" s="137">
        <v>250000.5</v>
      </c>
      <c r="BR318" s="137">
        <v>0</v>
      </c>
      <c r="BS318" s="166" t="s">
        <v>1806</v>
      </c>
      <c r="BT318" s="168">
        <v>8.2722751102449324E-2</v>
      </c>
      <c r="BU318" s="137">
        <v>109649.3796652029</v>
      </c>
      <c r="BV318" s="137">
        <v>17852.544161685495</v>
      </c>
      <c r="BW318" s="137">
        <v>0.16281482135325731</v>
      </c>
      <c r="BX318" s="89">
        <v>0.91727724889755069</v>
      </c>
      <c r="BY318" s="89">
        <v>0</v>
      </c>
      <c r="BZ318" s="153">
        <v>0</v>
      </c>
      <c r="CA318" s="153">
        <v>0</v>
      </c>
      <c r="CB318" s="153">
        <v>45775</v>
      </c>
      <c r="CC318" s="153">
        <v>45775</v>
      </c>
      <c r="CD318" s="153"/>
      <c r="CE318" s="153"/>
      <c r="CF318" s="153"/>
      <c r="CG318" s="34" t="s">
        <v>139</v>
      </c>
      <c r="CH318" s="34" t="s">
        <v>1333</v>
      </c>
    </row>
    <row r="319" spans="1:86" x14ac:dyDescent="0.3">
      <c r="A319" s="34">
        <v>12</v>
      </c>
      <c r="B319" s="34" t="s">
        <v>963</v>
      </c>
      <c r="C319" s="34" t="s">
        <v>1343</v>
      </c>
      <c r="D319" s="34" t="s">
        <v>150</v>
      </c>
      <c r="E319" s="34" t="s">
        <v>1336</v>
      </c>
      <c r="F319" s="34" t="s">
        <v>1805</v>
      </c>
      <c r="G319" s="34"/>
      <c r="H319" s="34" t="s">
        <v>1456</v>
      </c>
      <c r="I319" s="34" t="s">
        <v>966</v>
      </c>
      <c r="J319" s="34" t="s">
        <v>1806</v>
      </c>
      <c r="K319" s="34"/>
      <c r="L319" s="34">
        <v>2.5000000000000001E-3</v>
      </c>
      <c r="M319" s="34">
        <v>8.0000000000000004E-4</v>
      </c>
      <c r="N319" s="153">
        <v>1</v>
      </c>
      <c r="O319" s="34">
        <v>0</v>
      </c>
      <c r="P319" s="34"/>
      <c r="Q319" s="153">
        <v>45300</v>
      </c>
      <c r="R319" s="153">
        <v>46395</v>
      </c>
      <c r="S319" s="153">
        <v>192</v>
      </c>
      <c r="T319" s="34"/>
      <c r="U319" s="153" t="s">
        <v>1325</v>
      </c>
      <c r="V319" s="153" t="s">
        <v>1807</v>
      </c>
      <c r="W319" s="153">
        <v>1</v>
      </c>
      <c r="X319" s="166"/>
      <c r="Y319" s="137"/>
      <c r="Z319" s="137"/>
      <c r="AA319" s="137"/>
      <c r="AB319" s="137">
        <v>0</v>
      </c>
      <c r="AC319" s="137">
        <v>400000000</v>
      </c>
      <c r="AD319" s="137">
        <v>20017500</v>
      </c>
      <c r="AE319" s="137">
        <v>249999.45</v>
      </c>
      <c r="AF319" s="137">
        <v>249999.45</v>
      </c>
      <c r="AG319" s="137">
        <v>250000</v>
      </c>
      <c r="AH319" s="153"/>
      <c r="AI319" s="167">
        <v>0</v>
      </c>
      <c r="AJ319" s="153"/>
      <c r="AK319" s="153"/>
      <c r="AL319" s="154">
        <v>102.3</v>
      </c>
      <c r="AM319" s="154">
        <v>7.85E-2</v>
      </c>
      <c r="AN319" s="168" t="s">
        <v>1326</v>
      </c>
      <c r="AO319" s="168">
        <v>45756</v>
      </c>
      <c r="AP319" s="154">
        <v>0</v>
      </c>
      <c r="AQ319" s="168"/>
      <c r="AR319" s="155">
        <v>9.8039000000000004E-4</v>
      </c>
      <c r="AS319" s="152">
        <v>4.0195000000000002E-2</v>
      </c>
      <c r="AT319" s="154">
        <v>0</v>
      </c>
      <c r="AU319" s="137">
        <v>6.7969870000000002E-2</v>
      </c>
      <c r="AV319" s="137">
        <v>0</v>
      </c>
      <c r="AW319" s="137">
        <v>19624.956825000001</v>
      </c>
      <c r="AX319" s="137">
        <v>0</v>
      </c>
      <c r="AY319" s="137">
        <v>255749.43734999999</v>
      </c>
      <c r="AZ319" s="137">
        <v>407.35961204826793</v>
      </c>
      <c r="BA319" s="137">
        <v>9001.9858960103247</v>
      </c>
      <c r="BB319" s="137">
        <v>0</v>
      </c>
      <c r="BC319" s="137">
        <v>0</v>
      </c>
      <c r="BD319" s="137">
        <v>0</v>
      </c>
      <c r="BE319" s="137">
        <v>0</v>
      </c>
      <c r="BF319" s="137">
        <v>0</v>
      </c>
      <c r="BG319" s="137">
        <v>0</v>
      </c>
      <c r="BH319" s="137">
        <v>0</v>
      </c>
      <c r="BI319" s="137">
        <v>97412.904708811286</v>
      </c>
      <c r="BJ319" s="137">
        <v>0.99760000000000004</v>
      </c>
      <c r="BK319" s="137">
        <v>4.1666575000000004E-2</v>
      </c>
      <c r="BL319" s="113">
        <v>0</v>
      </c>
      <c r="BM319" s="113" t="s">
        <v>1663</v>
      </c>
      <c r="BN319" s="168">
        <v>0</v>
      </c>
      <c r="BO319" s="152">
        <v>0</v>
      </c>
      <c r="BP319" s="152">
        <v>0</v>
      </c>
      <c r="BQ319" s="137">
        <v>249999.45</v>
      </c>
      <c r="BR319" s="137">
        <v>0</v>
      </c>
      <c r="BS319" s="166" t="s">
        <v>1806</v>
      </c>
      <c r="BT319" s="168">
        <v>2.0757223349879544E-2</v>
      </c>
      <c r="BU319" s="137">
        <v>0</v>
      </c>
      <c r="BV319" s="137">
        <v>19217.597212951732</v>
      </c>
      <c r="BW319" s="137">
        <v>0</v>
      </c>
      <c r="BX319" s="89">
        <v>0.97924277665012038</v>
      </c>
      <c r="BY319" s="89">
        <v>0</v>
      </c>
      <c r="BZ319" s="153">
        <v>0</v>
      </c>
      <c r="CA319" s="153">
        <v>0</v>
      </c>
      <c r="CB319" s="153">
        <v>45756</v>
      </c>
      <c r="CC319" s="153">
        <v>45756</v>
      </c>
      <c r="CD319" s="153"/>
      <c r="CE319" s="153"/>
      <c r="CF319" s="153"/>
      <c r="CG319" s="34" t="s">
        <v>139</v>
      </c>
      <c r="CH319" s="34" t="s">
        <v>1333</v>
      </c>
    </row>
    <row r="320" spans="1:86" x14ac:dyDescent="0.3">
      <c r="A320" s="34">
        <v>13</v>
      </c>
      <c r="B320" s="34" t="s">
        <v>995</v>
      </c>
      <c r="C320" s="34" t="s">
        <v>1360</v>
      </c>
      <c r="D320" s="34" t="s">
        <v>159</v>
      </c>
      <c r="E320" s="34" t="s">
        <v>1336</v>
      </c>
      <c r="F320" s="34"/>
      <c r="G320" s="34"/>
      <c r="H320" s="34" t="s">
        <v>1456</v>
      </c>
      <c r="I320" s="34" t="s">
        <v>996</v>
      </c>
      <c r="J320" s="34" t="s">
        <v>1806</v>
      </c>
      <c r="K320" s="34"/>
      <c r="L320" s="34">
        <v>1.7000000000000001E-2</v>
      </c>
      <c r="M320" s="34">
        <v>1.44E-2</v>
      </c>
      <c r="N320" s="153">
        <v>1</v>
      </c>
      <c r="O320" s="34">
        <v>0</v>
      </c>
      <c r="P320" s="34"/>
      <c r="Q320" s="153">
        <v>45701</v>
      </c>
      <c r="R320" s="153">
        <v>46804</v>
      </c>
      <c r="S320" s="153">
        <v>601</v>
      </c>
      <c r="T320" s="34"/>
      <c r="U320" s="153" t="s">
        <v>1325</v>
      </c>
      <c r="V320" s="153" t="s">
        <v>1809</v>
      </c>
      <c r="W320" s="153">
        <v>1</v>
      </c>
      <c r="X320" s="166"/>
      <c r="Y320" s="137"/>
      <c r="Z320" s="137"/>
      <c r="AA320" s="137"/>
      <c r="AB320" s="137">
        <v>0</v>
      </c>
      <c r="AC320" s="137">
        <v>200000000</v>
      </c>
      <c r="AD320" s="137">
        <v>18060000</v>
      </c>
      <c r="AE320" s="137">
        <v>249999.75000000003</v>
      </c>
      <c r="AF320" s="137">
        <v>249999.75000000003</v>
      </c>
      <c r="AG320" s="137">
        <v>250000</v>
      </c>
      <c r="AH320" s="153"/>
      <c r="AI320" s="167">
        <v>0</v>
      </c>
      <c r="AJ320" s="153"/>
      <c r="AK320" s="153"/>
      <c r="AL320" s="154">
        <v>99.85</v>
      </c>
      <c r="AM320" s="154">
        <v>0.1032</v>
      </c>
      <c r="AN320" s="168" t="s">
        <v>1326</v>
      </c>
      <c r="AO320" s="168">
        <v>45784</v>
      </c>
      <c r="AP320" s="154">
        <v>0</v>
      </c>
      <c r="AQ320" s="168"/>
      <c r="AR320" s="155">
        <v>1.4285700000000001E-3</v>
      </c>
      <c r="AS320" s="152">
        <v>6.497E-2</v>
      </c>
      <c r="AT320" s="154">
        <v>0</v>
      </c>
      <c r="AU320" s="137">
        <v>0.10708301000000001</v>
      </c>
      <c r="AV320" s="137">
        <v>0</v>
      </c>
      <c r="AW320" s="137">
        <v>25799.974200000001</v>
      </c>
      <c r="AX320" s="137">
        <v>57488.84287078277</v>
      </c>
      <c r="AY320" s="137">
        <v>249624.750375</v>
      </c>
      <c r="AZ320" s="137">
        <v>3909.5974537345605</v>
      </c>
      <c r="BA320" s="137">
        <v>30579.134360205946</v>
      </c>
      <c r="BB320" s="137">
        <v>0</v>
      </c>
      <c r="BC320" s="137">
        <v>0</v>
      </c>
      <c r="BD320" s="137">
        <v>0</v>
      </c>
      <c r="BE320" s="137">
        <v>0</v>
      </c>
      <c r="BF320" s="137">
        <v>0</v>
      </c>
      <c r="BG320" s="137">
        <v>249999.75000000003</v>
      </c>
      <c r="BH320" s="137">
        <v>249999.75000000003</v>
      </c>
      <c r="BI320" s="137">
        <v>249999.75000000003</v>
      </c>
      <c r="BJ320" s="137">
        <v>0.98329999999999995</v>
      </c>
      <c r="BK320" s="137">
        <v>4.1666625000000006E-2</v>
      </c>
      <c r="BL320" s="113">
        <v>0</v>
      </c>
      <c r="BM320" s="113" t="s">
        <v>1663</v>
      </c>
      <c r="BN320" s="168">
        <v>0</v>
      </c>
      <c r="BO320" s="152">
        <v>0</v>
      </c>
      <c r="BP320" s="152">
        <v>0</v>
      </c>
      <c r="BQ320" s="137">
        <v>249999.75000000003</v>
      </c>
      <c r="BR320" s="137">
        <v>0</v>
      </c>
      <c r="BS320" s="166" t="s">
        <v>1806</v>
      </c>
      <c r="BT320" s="168">
        <v>0.15153493656340788</v>
      </c>
      <c r="BU320" s="137">
        <v>45748.844287078282</v>
      </c>
      <c r="BV320" s="137">
        <v>21890.37674626544</v>
      </c>
      <c r="BW320" s="137">
        <v>0.47849026762077912</v>
      </c>
      <c r="BX320" s="89">
        <v>0.84846506343659212</v>
      </c>
      <c r="BY320" s="89">
        <v>0</v>
      </c>
      <c r="BZ320" s="153">
        <v>0</v>
      </c>
      <c r="CA320" s="153">
        <v>0</v>
      </c>
      <c r="CB320" s="153">
        <v>45784</v>
      </c>
      <c r="CC320" s="153">
        <v>45784</v>
      </c>
      <c r="CD320" s="153"/>
      <c r="CE320" s="153"/>
      <c r="CF320" s="153"/>
      <c r="CG320" s="34" t="s">
        <v>139</v>
      </c>
      <c r="CH320" s="34" t="s">
        <v>1333</v>
      </c>
    </row>
    <row r="321" spans="1:86" x14ac:dyDescent="0.3">
      <c r="A321" s="34">
        <v>14</v>
      </c>
      <c r="B321" s="34" t="s">
        <v>1000</v>
      </c>
      <c r="C321" s="34" t="s">
        <v>1353</v>
      </c>
      <c r="D321" s="34" t="s">
        <v>133</v>
      </c>
      <c r="E321" s="34" t="s">
        <v>1336</v>
      </c>
      <c r="F321" s="34"/>
      <c r="G321" s="34"/>
      <c r="H321" s="34" t="s">
        <v>1456</v>
      </c>
      <c r="I321" s="34" t="s">
        <v>1003</v>
      </c>
      <c r="J321" s="34" t="s">
        <v>1806</v>
      </c>
      <c r="K321" s="34"/>
      <c r="L321" s="34">
        <v>9.7000000000000003E-3</v>
      </c>
      <c r="M321" s="34">
        <v>6.0000000000000001E-3</v>
      </c>
      <c r="N321" s="153">
        <v>1</v>
      </c>
      <c r="O321" s="34">
        <v>0</v>
      </c>
      <c r="P321" s="34"/>
      <c r="Q321" s="153">
        <v>45104</v>
      </c>
      <c r="R321" s="153">
        <v>46332</v>
      </c>
      <c r="S321" s="153">
        <v>129</v>
      </c>
      <c r="T321" s="34"/>
      <c r="U321" s="153" t="s">
        <v>1325</v>
      </c>
      <c r="V321" s="153" t="s">
        <v>1807</v>
      </c>
      <c r="W321" s="153">
        <v>1</v>
      </c>
      <c r="X321" s="166"/>
      <c r="Y321" s="137"/>
      <c r="Z321" s="137"/>
      <c r="AA321" s="137"/>
      <c r="AB321" s="137">
        <v>0</v>
      </c>
      <c r="AC321" s="137">
        <v>150000000</v>
      </c>
      <c r="AD321" s="137">
        <v>12256230</v>
      </c>
      <c r="AE321" s="137">
        <v>250000.5</v>
      </c>
      <c r="AF321" s="137">
        <v>250000.5</v>
      </c>
      <c r="AG321" s="137">
        <v>250000</v>
      </c>
      <c r="AH321" s="153"/>
      <c r="AI321" s="167">
        <v>0</v>
      </c>
      <c r="AJ321" s="153"/>
      <c r="AK321" s="153"/>
      <c r="AL321" s="154">
        <v>102.4</v>
      </c>
      <c r="AM321" s="154">
        <v>8.1708199999999995E-2</v>
      </c>
      <c r="AN321" s="168" t="s">
        <v>1326</v>
      </c>
      <c r="AO321" s="168">
        <v>45763</v>
      </c>
      <c r="AP321" s="154">
        <v>0</v>
      </c>
      <c r="AQ321" s="168"/>
      <c r="AR321" s="155">
        <v>1.6666700000000001E-3</v>
      </c>
      <c r="AS321" s="152">
        <v>4.3428769999999998E-2</v>
      </c>
      <c r="AT321" s="154">
        <v>0</v>
      </c>
      <c r="AU321" s="137">
        <v>6.8990380000000004E-2</v>
      </c>
      <c r="AV321" s="137">
        <v>0</v>
      </c>
      <c r="AW321" s="137">
        <v>20427.090854099999</v>
      </c>
      <c r="AX321" s="137">
        <v>25000.05</v>
      </c>
      <c r="AY321" s="137">
        <v>256000.51200000002</v>
      </c>
      <c r="AZ321" s="137">
        <v>1946.8788937500001</v>
      </c>
      <c r="BA321" s="137">
        <v>20829.125148716455</v>
      </c>
      <c r="BB321" s="137">
        <v>0</v>
      </c>
      <c r="BC321" s="137">
        <v>0</v>
      </c>
      <c r="BD321" s="137">
        <v>0</v>
      </c>
      <c r="BE321" s="137">
        <v>0</v>
      </c>
      <c r="BF321" s="137">
        <v>0</v>
      </c>
      <c r="BG321" s="137">
        <v>0</v>
      </c>
      <c r="BH321" s="137">
        <v>0</v>
      </c>
      <c r="BI321" s="137">
        <v>250000.5</v>
      </c>
      <c r="BJ321" s="137">
        <v>0.99029999999999996</v>
      </c>
      <c r="BK321" s="137">
        <v>4.1666750000000002E-2</v>
      </c>
      <c r="BL321" s="113">
        <v>0</v>
      </c>
      <c r="BM321" s="113" t="s">
        <v>1663</v>
      </c>
      <c r="BN321" s="168">
        <v>0</v>
      </c>
      <c r="BO321" s="152">
        <v>0</v>
      </c>
      <c r="BP321" s="152">
        <v>0</v>
      </c>
      <c r="BQ321" s="137">
        <v>250000.5</v>
      </c>
      <c r="BR321" s="137">
        <v>0</v>
      </c>
      <c r="BS321" s="166" t="s">
        <v>1806</v>
      </c>
      <c r="BT321" s="168">
        <v>9.5308671589877159E-2</v>
      </c>
      <c r="BU321" s="137">
        <v>29062.558125</v>
      </c>
      <c r="BV321" s="137">
        <v>18480.21196035</v>
      </c>
      <c r="BW321" s="137">
        <v>0.63587698924731184</v>
      </c>
      <c r="BX321" s="89">
        <v>0.9046913284101229</v>
      </c>
      <c r="BY321" s="89">
        <v>0</v>
      </c>
      <c r="BZ321" s="153">
        <v>0</v>
      </c>
      <c r="CA321" s="153">
        <v>0</v>
      </c>
      <c r="CB321" s="153">
        <v>45763</v>
      </c>
      <c r="CC321" s="153">
        <v>45763</v>
      </c>
      <c r="CD321" s="153"/>
      <c r="CE321" s="153"/>
      <c r="CF321" s="153"/>
      <c r="CG321" s="34" t="s">
        <v>1347</v>
      </c>
      <c r="CH321" s="34" t="s">
        <v>1333</v>
      </c>
    </row>
    <row r="322" spans="1:86" x14ac:dyDescent="0.3">
      <c r="A322" s="34">
        <v>15</v>
      </c>
      <c r="B322" s="34" t="s">
        <v>1028</v>
      </c>
      <c r="C322" s="34" t="s">
        <v>1339</v>
      </c>
      <c r="D322" s="34" t="s">
        <v>528</v>
      </c>
      <c r="E322" s="34" t="s">
        <v>1340</v>
      </c>
      <c r="F322" s="34" t="s">
        <v>1808</v>
      </c>
      <c r="G322" s="34"/>
      <c r="H322" s="34" t="s">
        <v>1456</v>
      </c>
      <c r="I322" s="34" t="s">
        <v>1029</v>
      </c>
      <c r="J322" s="34" t="s">
        <v>1806</v>
      </c>
      <c r="K322" s="34"/>
      <c r="L322" s="34">
        <v>8.5000000000000006E-3</v>
      </c>
      <c r="M322" s="34">
        <v>7.7000000000000002E-3</v>
      </c>
      <c r="N322" s="153">
        <v>1</v>
      </c>
      <c r="O322" s="34">
        <v>0</v>
      </c>
      <c r="P322" s="34"/>
      <c r="Q322" s="153">
        <v>45267</v>
      </c>
      <c r="R322" s="153">
        <v>46363</v>
      </c>
      <c r="S322" s="153">
        <v>160</v>
      </c>
      <c r="T322" s="34"/>
      <c r="U322" s="153" t="s">
        <v>1325</v>
      </c>
      <c r="V322" s="153" t="s">
        <v>1807</v>
      </c>
      <c r="W322" s="153">
        <v>1</v>
      </c>
      <c r="X322" s="166"/>
      <c r="Y322" s="137"/>
      <c r="Z322" s="137"/>
      <c r="AA322" s="137"/>
      <c r="AB322" s="137">
        <v>0</v>
      </c>
      <c r="AC322" s="137">
        <v>1000000000</v>
      </c>
      <c r="AD322" s="137">
        <v>27960000</v>
      </c>
      <c r="AE322" s="137">
        <v>249999</v>
      </c>
      <c r="AF322" s="137">
        <v>249999</v>
      </c>
      <c r="AG322" s="137">
        <v>250000</v>
      </c>
      <c r="AH322" s="153"/>
      <c r="AI322" s="167">
        <v>0</v>
      </c>
      <c r="AJ322" s="153"/>
      <c r="AK322" s="153"/>
      <c r="AL322" s="154">
        <v>103.95</v>
      </c>
      <c r="AM322" s="154">
        <v>9.3200000000000005E-2</v>
      </c>
      <c r="AN322" s="168" t="s">
        <v>1326</v>
      </c>
      <c r="AO322" s="168">
        <v>45751</v>
      </c>
      <c r="AP322" s="154">
        <v>0</v>
      </c>
      <c r="AQ322" s="168"/>
      <c r="AR322" s="155">
        <v>8.3332999999999996E-4</v>
      </c>
      <c r="AS322" s="152">
        <v>5.500062E-2</v>
      </c>
      <c r="AT322" s="154">
        <v>0</v>
      </c>
      <c r="AU322" s="137">
        <v>7.1253140000000006E-2</v>
      </c>
      <c r="AV322" s="137">
        <v>0</v>
      </c>
      <c r="AW322" s="137">
        <v>23299.906800000001</v>
      </c>
      <c r="AX322" s="137">
        <v>24999.899999999994</v>
      </c>
      <c r="AY322" s="137">
        <v>259873.96050000002</v>
      </c>
      <c r="AZ322" s="137">
        <v>2019.6864694769979</v>
      </c>
      <c r="BA322" s="137">
        <v>22128.200213811611</v>
      </c>
      <c r="BB322" s="137">
        <v>0</v>
      </c>
      <c r="BC322" s="137">
        <v>0</v>
      </c>
      <c r="BD322" s="137">
        <v>0</v>
      </c>
      <c r="BE322" s="137">
        <v>0</v>
      </c>
      <c r="BF322" s="137">
        <v>0</v>
      </c>
      <c r="BG322" s="137">
        <v>0</v>
      </c>
      <c r="BH322" s="137">
        <v>0</v>
      </c>
      <c r="BI322" s="137">
        <v>249999</v>
      </c>
      <c r="BJ322" s="137">
        <v>0.99150000000000005</v>
      </c>
      <c r="BK322" s="137">
        <v>4.1666500000000002E-2</v>
      </c>
      <c r="BL322" s="113">
        <v>0</v>
      </c>
      <c r="BM322" s="113" t="s">
        <v>1663</v>
      </c>
      <c r="BN322" s="168">
        <v>0</v>
      </c>
      <c r="BO322" s="152">
        <v>0</v>
      </c>
      <c r="BP322" s="152">
        <v>0</v>
      </c>
      <c r="BQ322" s="137">
        <v>249999</v>
      </c>
      <c r="BR322" s="137">
        <v>0</v>
      </c>
      <c r="BS322" s="166" t="s">
        <v>1806</v>
      </c>
      <c r="BT322" s="168">
        <v>8.6682169453012478E-2</v>
      </c>
      <c r="BU322" s="137">
        <v>54999.78</v>
      </c>
      <c r="BV322" s="137">
        <v>21280.220330523003</v>
      </c>
      <c r="BW322" s="137">
        <v>0.38691464457717839</v>
      </c>
      <c r="BX322" s="89">
        <v>0.91331783054698756</v>
      </c>
      <c r="BY322" s="89">
        <v>0</v>
      </c>
      <c r="BZ322" s="153">
        <v>0</v>
      </c>
      <c r="CA322" s="153">
        <v>0</v>
      </c>
      <c r="CB322" s="153">
        <v>45751</v>
      </c>
      <c r="CC322" s="153">
        <v>45751</v>
      </c>
      <c r="CD322" s="153"/>
      <c r="CE322" s="153"/>
      <c r="CF322" s="153"/>
      <c r="CG322" s="34" t="s">
        <v>139</v>
      </c>
      <c r="CH322" s="34" t="s">
        <v>1329</v>
      </c>
    </row>
    <row r="323" spans="1:86" x14ac:dyDescent="0.3">
      <c r="A323" s="34">
        <v>16</v>
      </c>
      <c r="B323" s="34" t="s">
        <v>1061</v>
      </c>
      <c r="C323" s="34" t="s">
        <v>1354</v>
      </c>
      <c r="D323" s="34" t="s">
        <v>133</v>
      </c>
      <c r="E323" s="34" t="s">
        <v>1336</v>
      </c>
      <c r="F323" s="34" t="s">
        <v>1805</v>
      </c>
      <c r="G323" s="34"/>
      <c r="H323" s="34" t="s">
        <v>1456</v>
      </c>
      <c r="I323" s="34" t="s">
        <v>1064</v>
      </c>
      <c r="J323" s="34" t="s">
        <v>1806</v>
      </c>
      <c r="K323" s="34"/>
      <c r="L323" s="34">
        <v>1.7600000000000001E-2</v>
      </c>
      <c r="M323" s="34">
        <v>0</v>
      </c>
      <c r="N323" s="153">
        <v>1</v>
      </c>
      <c r="O323" s="34">
        <v>0</v>
      </c>
      <c r="P323" s="34"/>
      <c r="Q323" s="153">
        <v>45287</v>
      </c>
      <c r="R323" s="153">
        <v>46395</v>
      </c>
      <c r="S323" s="153">
        <v>192</v>
      </c>
      <c r="T323" s="34"/>
      <c r="U323" s="153" t="s">
        <v>1325</v>
      </c>
      <c r="V323" s="153" t="s">
        <v>1807</v>
      </c>
      <c r="W323" s="153">
        <v>1</v>
      </c>
      <c r="X323" s="166"/>
      <c r="Y323" s="137"/>
      <c r="Z323" s="137"/>
      <c r="AA323" s="137"/>
      <c r="AB323" s="137">
        <v>0</v>
      </c>
      <c r="AC323" s="137">
        <v>301000000</v>
      </c>
      <c r="AD323" s="137">
        <v>20180000</v>
      </c>
      <c r="AE323" s="137">
        <v>250000</v>
      </c>
      <c r="AF323" s="137">
        <v>250000</v>
      </c>
      <c r="AG323" s="137">
        <v>250000</v>
      </c>
      <c r="AH323" s="153"/>
      <c r="AI323" s="167">
        <v>0</v>
      </c>
      <c r="AJ323" s="153"/>
      <c r="AK323" s="153"/>
      <c r="AL323" s="154">
        <v>103.1</v>
      </c>
      <c r="AM323" s="154">
        <v>0.1009</v>
      </c>
      <c r="AN323" s="168" t="s">
        <v>1326</v>
      </c>
      <c r="AO323" s="168">
        <v>45770</v>
      </c>
      <c r="AP323" s="154">
        <v>0</v>
      </c>
      <c r="AQ323" s="168"/>
      <c r="AR323" s="155">
        <v>1.25E-3</v>
      </c>
      <c r="AS323" s="152">
        <v>6.2344139999999999E-2</v>
      </c>
      <c r="AT323" s="154">
        <v>0</v>
      </c>
      <c r="AU323" s="137">
        <v>8.4681469999999995E-2</v>
      </c>
      <c r="AV323" s="137">
        <v>0</v>
      </c>
      <c r="AW323" s="137">
        <v>25225.000000000004</v>
      </c>
      <c r="AX323" s="137">
        <v>231719.34507808808</v>
      </c>
      <c r="AY323" s="137">
        <v>257750</v>
      </c>
      <c r="AZ323" s="137">
        <v>3592.3576575519792</v>
      </c>
      <c r="BA323" s="137">
        <v>28646.09637168363</v>
      </c>
      <c r="BB323" s="137">
        <v>0</v>
      </c>
      <c r="BC323" s="137">
        <v>0</v>
      </c>
      <c r="BD323" s="137">
        <v>0</v>
      </c>
      <c r="BE323" s="137">
        <v>0</v>
      </c>
      <c r="BF323" s="137">
        <v>0</v>
      </c>
      <c r="BG323" s="137">
        <v>175034.94974073794</v>
      </c>
      <c r="BH323" s="137">
        <v>250000.00103749998</v>
      </c>
      <c r="BI323" s="137">
        <v>250000.00103749998</v>
      </c>
      <c r="BJ323" s="137">
        <v>0.9829</v>
      </c>
      <c r="BK323" s="137">
        <v>4.1666666666666664E-2</v>
      </c>
      <c r="BL323" s="113">
        <v>0</v>
      </c>
      <c r="BM323" s="113" t="s">
        <v>1663</v>
      </c>
      <c r="BN323" s="168">
        <v>0</v>
      </c>
      <c r="BO323" s="152">
        <v>0</v>
      </c>
      <c r="BP323" s="152">
        <v>0</v>
      </c>
      <c r="BQ323" s="137">
        <v>250000</v>
      </c>
      <c r="BR323" s="137">
        <v>0</v>
      </c>
      <c r="BS323" s="166" t="s">
        <v>1806</v>
      </c>
      <c r="BT323" s="168">
        <v>0.14241259296539063</v>
      </c>
      <c r="BU323" s="137">
        <v>218048.36203450948</v>
      </c>
      <c r="BV323" s="137">
        <v>21632.642342448024</v>
      </c>
      <c r="BW323" s="137">
        <v>9.9210295095105219E-2</v>
      </c>
      <c r="BX323" s="89">
        <v>0.85758740703460934</v>
      </c>
      <c r="BY323" s="89">
        <v>0</v>
      </c>
      <c r="BZ323" s="153">
        <v>0</v>
      </c>
      <c r="CA323" s="153">
        <v>0</v>
      </c>
      <c r="CB323" s="153">
        <v>45770</v>
      </c>
      <c r="CC323" s="153">
        <v>45770</v>
      </c>
      <c r="CD323" s="153"/>
      <c r="CE323" s="153"/>
      <c r="CF323" s="153"/>
      <c r="CG323" s="34" t="s">
        <v>139</v>
      </c>
      <c r="CH323" s="34" t="s">
        <v>1333</v>
      </c>
    </row>
    <row r="324" spans="1:86" x14ac:dyDescent="0.3">
      <c r="A324" s="34">
        <v>17</v>
      </c>
      <c r="B324" s="34" t="s">
        <v>1061</v>
      </c>
      <c r="C324" s="34" t="s">
        <v>1354</v>
      </c>
      <c r="D324" s="34" t="s">
        <v>133</v>
      </c>
      <c r="E324" s="34" t="s">
        <v>1336</v>
      </c>
      <c r="F324" s="34" t="s">
        <v>1805</v>
      </c>
      <c r="G324" s="34"/>
      <c r="H324" s="34" t="s">
        <v>1456</v>
      </c>
      <c r="I324" s="34" t="s">
        <v>1064</v>
      </c>
      <c r="J324" s="34" t="s">
        <v>1806</v>
      </c>
      <c r="K324" s="34"/>
      <c r="L324" s="34">
        <v>1.7600000000000001E-2</v>
      </c>
      <c r="M324" s="34">
        <v>0</v>
      </c>
      <c r="N324" s="153">
        <v>1</v>
      </c>
      <c r="O324" s="34">
        <v>0</v>
      </c>
      <c r="P324" s="34"/>
      <c r="Q324" s="153">
        <v>45287</v>
      </c>
      <c r="R324" s="153">
        <v>46395</v>
      </c>
      <c r="S324" s="153">
        <v>192</v>
      </c>
      <c r="T324" s="34"/>
      <c r="U324" s="153" t="s">
        <v>1325</v>
      </c>
      <c r="V324" s="153" t="s">
        <v>1807</v>
      </c>
      <c r="W324" s="153">
        <v>1</v>
      </c>
      <c r="X324" s="166"/>
      <c r="Y324" s="137"/>
      <c r="Z324" s="137"/>
      <c r="AA324" s="137"/>
      <c r="AB324" s="137">
        <v>0</v>
      </c>
      <c r="AC324" s="137">
        <v>301000000</v>
      </c>
      <c r="AD324" s="137">
        <v>20180000</v>
      </c>
      <c r="AE324" s="137">
        <v>250000</v>
      </c>
      <c r="AF324" s="137">
        <v>250000</v>
      </c>
      <c r="AG324" s="137">
        <v>250000</v>
      </c>
      <c r="AH324" s="153"/>
      <c r="AI324" s="167">
        <v>0</v>
      </c>
      <c r="AJ324" s="153"/>
      <c r="AK324" s="153"/>
      <c r="AL324" s="154">
        <v>103.6</v>
      </c>
      <c r="AM324" s="154">
        <v>0.1009</v>
      </c>
      <c r="AN324" s="168" t="s">
        <v>1326</v>
      </c>
      <c r="AO324" s="168">
        <v>45889</v>
      </c>
      <c r="AP324" s="154">
        <v>0</v>
      </c>
      <c r="AQ324" s="168"/>
      <c r="AR324" s="155">
        <v>1.25E-3</v>
      </c>
      <c r="AS324" s="152">
        <v>6.2344139999999999E-2</v>
      </c>
      <c r="AT324" s="154">
        <v>0</v>
      </c>
      <c r="AU324" s="137">
        <v>7.6477260000000005E-2</v>
      </c>
      <c r="AV324" s="137">
        <v>0</v>
      </c>
      <c r="AW324" s="137">
        <v>25225.000000000004</v>
      </c>
      <c r="AX324" s="137">
        <v>231719.34507808808</v>
      </c>
      <c r="AY324" s="137">
        <v>259000</v>
      </c>
      <c r="AZ324" s="137">
        <v>3592.3576575519787</v>
      </c>
      <c r="BA324" s="137">
        <v>28646.09637168363</v>
      </c>
      <c r="BB324" s="137">
        <v>0</v>
      </c>
      <c r="BC324" s="137">
        <v>0</v>
      </c>
      <c r="BD324" s="137">
        <v>0</v>
      </c>
      <c r="BE324" s="137">
        <v>0</v>
      </c>
      <c r="BF324" s="137">
        <v>0</v>
      </c>
      <c r="BG324" s="137">
        <v>175034.94974073794</v>
      </c>
      <c r="BH324" s="137">
        <v>250000.00103749998</v>
      </c>
      <c r="BI324" s="137">
        <v>250000.00103749998</v>
      </c>
      <c r="BJ324" s="137">
        <v>0.9829</v>
      </c>
      <c r="BK324" s="137">
        <v>4.1666666666666664E-2</v>
      </c>
      <c r="BL324" s="113">
        <v>0</v>
      </c>
      <c r="BM324" s="113" t="s">
        <v>1663</v>
      </c>
      <c r="BN324" s="168">
        <v>0</v>
      </c>
      <c r="BO324" s="152">
        <v>0</v>
      </c>
      <c r="BP324" s="152">
        <v>0</v>
      </c>
      <c r="BQ324" s="137">
        <v>250000</v>
      </c>
      <c r="BR324" s="137">
        <v>0</v>
      </c>
      <c r="BS324" s="166" t="s">
        <v>1806</v>
      </c>
      <c r="BT324" s="168">
        <v>0.14241259296539061</v>
      </c>
      <c r="BU324" s="137">
        <v>218048.36203450948</v>
      </c>
      <c r="BV324" s="137">
        <v>21632.642342448024</v>
      </c>
      <c r="BW324" s="137">
        <v>9.9210295095105219E-2</v>
      </c>
      <c r="BX324" s="89">
        <v>0.85758740703460934</v>
      </c>
      <c r="BY324" s="89">
        <v>0</v>
      </c>
      <c r="BZ324" s="153">
        <v>0</v>
      </c>
      <c r="CA324" s="153">
        <v>0</v>
      </c>
      <c r="CB324" s="153">
        <v>45889</v>
      </c>
      <c r="CC324" s="153">
        <v>45889</v>
      </c>
      <c r="CD324" s="153"/>
      <c r="CE324" s="153"/>
      <c r="CF324" s="153"/>
      <c r="CG324" s="34" t="s">
        <v>139</v>
      </c>
      <c r="CH324" s="34" t="s">
        <v>1333</v>
      </c>
    </row>
    <row r="325" spans="1:86" x14ac:dyDescent="0.3">
      <c r="A325" s="34">
        <v>18</v>
      </c>
      <c r="B325" s="34" t="s">
        <v>1099</v>
      </c>
      <c r="C325" s="34" t="s">
        <v>1358</v>
      </c>
      <c r="D325" s="34" t="s">
        <v>133</v>
      </c>
      <c r="E325" s="34" t="s">
        <v>1336</v>
      </c>
      <c r="F325" s="34" t="s">
        <v>1805</v>
      </c>
      <c r="G325" s="34"/>
      <c r="H325" s="34" t="s">
        <v>1456</v>
      </c>
      <c r="I325" s="34" t="s">
        <v>1100</v>
      </c>
      <c r="J325" s="34" t="s">
        <v>1806</v>
      </c>
      <c r="K325" s="34"/>
      <c r="L325" s="34">
        <v>7.0000000000000001E-3</v>
      </c>
      <c r="M325" s="34">
        <v>0</v>
      </c>
      <c r="N325" s="153">
        <v>1</v>
      </c>
      <c r="O325" s="34">
        <v>0</v>
      </c>
      <c r="P325" s="34"/>
      <c r="Q325" s="153">
        <v>45126</v>
      </c>
      <c r="R325" s="153">
        <v>46241</v>
      </c>
      <c r="S325" s="153">
        <v>38</v>
      </c>
      <c r="T325" s="34"/>
      <c r="U325" s="153" t="s">
        <v>1325</v>
      </c>
      <c r="V325" s="153" t="s">
        <v>1807</v>
      </c>
      <c r="W325" s="153">
        <v>1</v>
      </c>
      <c r="X325" s="166"/>
      <c r="Y325" s="137"/>
      <c r="Z325" s="137"/>
      <c r="AA325" s="137"/>
      <c r="AB325" s="137">
        <v>0</v>
      </c>
      <c r="AC325" s="137">
        <v>300000000</v>
      </c>
      <c r="AD325" s="137">
        <v>10040000</v>
      </c>
      <c r="AE325" s="137">
        <v>250000</v>
      </c>
      <c r="AF325" s="137">
        <v>250000</v>
      </c>
      <c r="AG325" s="137">
        <v>250000</v>
      </c>
      <c r="AH325" s="153"/>
      <c r="AI325" s="167">
        <v>0</v>
      </c>
      <c r="AJ325" s="153"/>
      <c r="AK325" s="153"/>
      <c r="AL325" s="154">
        <v>101.95</v>
      </c>
      <c r="AM325" s="154">
        <v>0.1004</v>
      </c>
      <c r="AN325" s="168" t="s">
        <v>1326</v>
      </c>
      <c r="AO325" s="168">
        <v>45777</v>
      </c>
      <c r="AP325" s="154">
        <v>0</v>
      </c>
      <c r="AQ325" s="168"/>
      <c r="AR325" s="155">
        <v>2.5000000000000001E-3</v>
      </c>
      <c r="AS325" s="152">
        <v>6.1561049999999999E-2</v>
      </c>
      <c r="AT325" s="154">
        <v>0</v>
      </c>
      <c r="AU325" s="137">
        <v>8.6950429999999995E-2</v>
      </c>
      <c r="AV325" s="137">
        <v>0</v>
      </c>
      <c r="AW325" s="137">
        <v>25100.000000000004</v>
      </c>
      <c r="AX325" s="137">
        <v>26124.122320711173</v>
      </c>
      <c r="AY325" s="137">
        <v>254875</v>
      </c>
      <c r="AZ325" s="137">
        <v>962.19950362076645</v>
      </c>
      <c r="BA325" s="137">
        <v>13617.280628733675</v>
      </c>
      <c r="BB325" s="137">
        <v>0</v>
      </c>
      <c r="BC325" s="137">
        <v>0</v>
      </c>
      <c r="BD325" s="137">
        <v>0</v>
      </c>
      <c r="BE325" s="137">
        <v>0</v>
      </c>
      <c r="BF325" s="137">
        <v>0</v>
      </c>
      <c r="BG325" s="137">
        <v>0</v>
      </c>
      <c r="BH325" s="137">
        <v>0</v>
      </c>
      <c r="BI325" s="137">
        <v>233793.04499264315</v>
      </c>
      <c r="BJ325" s="137">
        <v>0.99380000000000002</v>
      </c>
      <c r="BK325" s="137">
        <v>4.1666666666666664E-2</v>
      </c>
      <c r="BL325" s="113">
        <v>0</v>
      </c>
      <c r="BM325" s="113" t="s">
        <v>1663</v>
      </c>
      <c r="BN325" s="168">
        <v>0</v>
      </c>
      <c r="BO325" s="152">
        <v>0</v>
      </c>
      <c r="BP325" s="152">
        <v>0</v>
      </c>
      <c r="BQ325" s="137">
        <v>250000</v>
      </c>
      <c r="BR325" s="137">
        <v>0</v>
      </c>
      <c r="BS325" s="166" t="s">
        <v>1806</v>
      </c>
      <c r="BT325" s="168">
        <v>3.8334641578516584E-2</v>
      </c>
      <c r="BU325" s="137">
        <v>24883.360704355491</v>
      </c>
      <c r="BV325" s="137">
        <v>24137.800496379237</v>
      </c>
      <c r="BW325" s="137">
        <v>0.97003780088893887</v>
      </c>
      <c r="BX325" s="89">
        <v>0.96166535842148337</v>
      </c>
      <c r="BY325" s="89">
        <v>0</v>
      </c>
      <c r="BZ325" s="153">
        <v>0</v>
      </c>
      <c r="CA325" s="153">
        <v>0</v>
      </c>
      <c r="CB325" s="153">
        <v>45777</v>
      </c>
      <c r="CC325" s="153">
        <v>45777</v>
      </c>
      <c r="CD325" s="153"/>
      <c r="CE325" s="153"/>
      <c r="CF325" s="153"/>
      <c r="CG325" s="34" t="s">
        <v>139</v>
      </c>
      <c r="CH325" s="34" t="s">
        <v>1333</v>
      </c>
    </row>
    <row r="326" spans="1:86" x14ac:dyDescent="0.3">
      <c r="A326" s="34">
        <v>19</v>
      </c>
      <c r="B326" s="34" t="s">
        <v>1114</v>
      </c>
      <c r="C326" s="34" t="s">
        <v>1342</v>
      </c>
      <c r="D326" s="34" t="s">
        <v>150</v>
      </c>
      <c r="E326" s="34" t="s">
        <v>1336</v>
      </c>
      <c r="F326" s="34" t="s">
        <v>1805</v>
      </c>
      <c r="G326" s="34"/>
      <c r="H326" s="34" t="s">
        <v>1456</v>
      </c>
      <c r="I326" s="34" t="s">
        <v>1117</v>
      </c>
      <c r="J326" s="34" t="s">
        <v>1806</v>
      </c>
      <c r="K326" s="34"/>
      <c r="L326" s="34">
        <v>1.4999999999999999E-2</v>
      </c>
      <c r="M326" s="34">
        <v>9.1999999999999998E-3</v>
      </c>
      <c r="N326" s="153">
        <v>1</v>
      </c>
      <c r="O326" s="34">
        <v>0</v>
      </c>
      <c r="P326" s="34"/>
      <c r="Q326" s="153">
        <v>45649</v>
      </c>
      <c r="R326" s="153">
        <v>46849</v>
      </c>
      <c r="S326" s="153">
        <v>646</v>
      </c>
      <c r="T326" s="34"/>
      <c r="U326" s="153" t="s">
        <v>1325</v>
      </c>
      <c r="V326" s="153" t="s">
        <v>1807</v>
      </c>
      <c r="W326" s="153">
        <v>1</v>
      </c>
      <c r="X326" s="166"/>
      <c r="Y326" s="137"/>
      <c r="Z326" s="137"/>
      <c r="AA326" s="137"/>
      <c r="AB326" s="137">
        <v>0</v>
      </c>
      <c r="AC326" s="137">
        <v>300000000</v>
      </c>
      <c r="AD326" s="137">
        <v>17920000</v>
      </c>
      <c r="AE326" s="137">
        <v>250000</v>
      </c>
      <c r="AF326" s="137">
        <v>250000</v>
      </c>
      <c r="AG326" s="137">
        <v>250000</v>
      </c>
      <c r="AH326" s="153"/>
      <c r="AI326" s="167">
        <v>0</v>
      </c>
      <c r="AJ326" s="153"/>
      <c r="AK326" s="153"/>
      <c r="AL326" s="154">
        <v>100.65</v>
      </c>
      <c r="AM326" s="154">
        <v>8.9599999999999999E-2</v>
      </c>
      <c r="AN326" s="168" t="s">
        <v>1326</v>
      </c>
      <c r="AO326" s="168">
        <v>45755</v>
      </c>
      <c r="AP326" s="154">
        <v>0</v>
      </c>
      <c r="AQ326" s="168"/>
      <c r="AR326" s="155">
        <v>1.25E-3</v>
      </c>
      <c r="AS326" s="152">
        <v>5.1341879999999999E-2</v>
      </c>
      <c r="AT326" s="154">
        <v>0</v>
      </c>
      <c r="AU326" s="137">
        <v>9.0424110000000002E-2</v>
      </c>
      <c r="AV326" s="137">
        <v>0</v>
      </c>
      <c r="AW326" s="137">
        <v>22400</v>
      </c>
      <c r="AX326" s="137">
        <v>103534.37975686407</v>
      </c>
      <c r="AY326" s="137">
        <v>251625</v>
      </c>
      <c r="AZ326" s="137">
        <v>2970.2306110109021</v>
      </c>
      <c r="BA326" s="137">
        <v>25886.92579951205</v>
      </c>
      <c r="BB326" s="137">
        <v>0</v>
      </c>
      <c r="BC326" s="137">
        <v>0</v>
      </c>
      <c r="BD326" s="137">
        <v>0</v>
      </c>
      <c r="BE326" s="137">
        <v>0</v>
      </c>
      <c r="BF326" s="137">
        <v>0</v>
      </c>
      <c r="BG326" s="137">
        <v>75931.153607653789</v>
      </c>
      <c r="BH326" s="137">
        <v>212102.31331062448</v>
      </c>
      <c r="BI326" s="137">
        <v>250000.00125</v>
      </c>
      <c r="BJ326" s="137">
        <v>0.98550000000000004</v>
      </c>
      <c r="BK326" s="137">
        <v>4.1666666666666664E-2</v>
      </c>
      <c r="BL326" s="113">
        <v>0</v>
      </c>
      <c r="BM326" s="113" t="s">
        <v>1663</v>
      </c>
      <c r="BN326" s="168">
        <v>0</v>
      </c>
      <c r="BO326" s="152">
        <v>0</v>
      </c>
      <c r="BP326" s="152">
        <v>0</v>
      </c>
      <c r="BQ326" s="137">
        <v>250000</v>
      </c>
      <c r="BR326" s="137">
        <v>0</v>
      </c>
      <c r="BS326" s="166" t="s">
        <v>1806</v>
      </c>
      <c r="BT326" s="168">
        <v>0.13259958084870099</v>
      </c>
      <c r="BU326" s="137">
        <v>73396.866118346283</v>
      </c>
      <c r="BV326" s="137">
        <v>19429.769388989098</v>
      </c>
      <c r="BW326" s="137">
        <v>0.26472205717421537</v>
      </c>
      <c r="BX326" s="89">
        <v>0.86740041915129906</v>
      </c>
      <c r="BY326" s="89">
        <v>0</v>
      </c>
      <c r="BZ326" s="153">
        <v>0</v>
      </c>
      <c r="CA326" s="153">
        <v>0</v>
      </c>
      <c r="CB326" s="153">
        <v>45755</v>
      </c>
      <c r="CC326" s="153">
        <v>45755</v>
      </c>
      <c r="CD326" s="153"/>
      <c r="CE326" s="153"/>
      <c r="CF326" s="153"/>
      <c r="CG326" s="34" t="s">
        <v>139</v>
      </c>
      <c r="CH326" s="34" t="s">
        <v>1333</v>
      </c>
    </row>
    <row r="327" spans="1:86" x14ac:dyDescent="0.3">
      <c r="A327" s="34">
        <v>20</v>
      </c>
      <c r="B327" s="34" t="s">
        <v>1120</v>
      </c>
      <c r="C327" s="34" t="s">
        <v>1331</v>
      </c>
      <c r="D327" s="34" t="s">
        <v>159</v>
      </c>
      <c r="E327" s="34" t="s">
        <v>1332</v>
      </c>
      <c r="F327" s="34" t="s">
        <v>1805</v>
      </c>
      <c r="G327" s="34"/>
      <c r="H327" s="34" t="s">
        <v>1456</v>
      </c>
      <c r="I327" s="34" t="s">
        <v>1121</v>
      </c>
      <c r="J327" s="34" t="s">
        <v>1806</v>
      </c>
      <c r="K327" s="34"/>
      <c r="L327" s="34">
        <v>3.3399999999999999E-2</v>
      </c>
      <c r="M327" s="34">
        <v>3.1300000000000001E-2</v>
      </c>
      <c r="N327" s="153">
        <v>1</v>
      </c>
      <c r="O327" s="34">
        <v>0</v>
      </c>
      <c r="P327" s="34"/>
      <c r="Q327" s="153">
        <v>45686</v>
      </c>
      <c r="R327" s="153">
        <v>46850</v>
      </c>
      <c r="S327" s="153">
        <v>647</v>
      </c>
      <c r="T327" s="34"/>
      <c r="U327" s="153" t="s">
        <v>1325</v>
      </c>
      <c r="V327" s="153" t="s">
        <v>1809</v>
      </c>
      <c r="W327" s="153">
        <v>1</v>
      </c>
      <c r="X327" s="166"/>
      <c r="Y327" s="137"/>
      <c r="Z327" s="137"/>
      <c r="AA327" s="137"/>
      <c r="AB327" s="137">
        <v>5000000</v>
      </c>
      <c r="AC327" s="137">
        <v>5000000</v>
      </c>
      <c r="AD327" s="137">
        <v>3142943.6999999997</v>
      </c>
      <c r="AE327" s="137">
        <v>249999.9</v>
      </c>
      <c r="AF327" s="137">
        <v>249999.9</v>
      </c>
      <c r="AG327" s="137">
        <v>250000</v>
      </c>
      <c r="AH327" s="153"/>
      <c r="AI327" s="167">
        <v>0</v>
      </c>
      <c r="AJ327" s="153"/>
      <c r="AK327" s="153"/>
      <c r="AL327" s="154">
        <v>100.2</v>
      </c>
      <c r="AM327" s="154">
        <v>0.10476479</v>
      </c>
      <c r="AN327" s="168" t="s">
        <v>1326</v>
      </c>
      <c r="AO327" s="168">
        <v>45751</v>
      </c>
      <c r="AP327" s="154">
        <v>0</v>
      </c>
      <c r="AQ327" s="168"/>
      <c r="AR327" s="155">
        <v>8.3333299999999999E-3</v>
      </c>
      <c r="AS327" s="152">
        <v>6.6102750000000002E-2</v>
      </c>
      <c r="AT327" s="154">
        <v>0</v>
      </c>
      <c r="AU327" s="137">
        <v>0.10367698</v>
      </c>
      <c r="AV327" s="137">
        <v>0</v>
      </c>
      <c r="AW327" s="137">
        <v>26191.187023521001</v>
      </c>
      <c r="AX327" s="137">
        <v>199999.92</v>
      </c>
      <c r="AY327" s="137">
        <v>250499.89980000001</v>
      </c>
      <c r="AZ327" s="137">
        <v>7224.1725552252974</v>
      </c>
      <c r="BA327" s="137">
        <v>40913.053250054196</v>
      </c>
      <c r="BB327" s="137">
        <v>0</v>
      </c>
      <c r="BC327" s="137">
        <v>0</v>
      </c>
      <c r="BD327" s="137">
        <v>0</v>
      </c>
      <c r="BE327" s="137">
        <v>0</v>
      </c>
      <c r="BF327" s="137">
        <v>249999.89999999994</v>
      </c>
      <c r="BG327" s="137">
        <v>249999.9</v>
      </c>
      <c r="BH327" s="137">
        <v>249999.9</v>
      </c>
      <c r="BI327" s="137">
        <v>249999.90000000005</v>
      </c>
      <c r="BJ327" s="137">
        <v>0.96840000000000004</v>
      </c>
      <c r="BK327" s="137">
        <v>4.166665E-2</v>
      </c>
      <c r="BL327" s="113">
        <v>0</v>
      </c>
      <c r="BM327" s="113" t="s">
        <v>1663</v>
      </c>
      <c r="BN327" s="168">
        <v>0</v>
      </c>
      <c r="BO327" s="152">
        <v>0</v>
      </c>
      <c r="BP327" s="152">
        <v>0</v>
      </c>
      <c r="BQ327" s="137">
        <v>249999.9</v>
      </c>
      <c r="BR327" s="137">
        <v>0</v>
      </c>
      <c r="BS327" s="166" t="s">
        <v>1806</v>
      </c>
      <c r="BT327" s="168">
        <v>0.27582455689150814</v>
      </c>
      <c r="BU327" s="137">
        <v>80373.986777222919</v>
      </c>
      <c r="BV327" s="137">
        <v>18967.014468295703</v>
      </c>
      <c r="BW327" s="137">
        <v>0.23598449235655861</v>
      </c>
      <c r="BX327" s="89">
        <v>0.72417544310849191</v>
      </c>
      <c r="BY327" s="89">
        <v>0</v>
      </c>
      <c r="BZ327" s="153">
        <v>0</v>
      </c>
      <c r="CA327" s="153">
        <v>0</v>
      </c>
      <c r="CB327" s="153">
        <v>45751</v>
      </c>
      <c r="CC327" s="153">
        <v>45751</v>
      </c>
      <c r="CD327" s="153"/>
      <c r="CE327" s="153"/>
      <c r="CF327" s="153"/>
      <c r="CG327" s="34" t="s">
        <v>1334</v>
      </c>
      <c r="CH327" s="34" t="s">
        <v>1333</v>
      </c>
    </row>
  </sheetData>
  <mergeCells count="2">
    <mergeCell ref="A126:A127"/>
    <mergeCell ref="B126:B1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230C-7C67-4063-9CC0-A20A4FFBB021}">
  <sheetPr codeName="Sheet8"/>
  <dimension ref="A1:CH333"/>
  <sheetViews>
    <sheetView topLeftCell="A123" workbookViewId="0">
      <selection activeCell="J115" sqref="J115"/>
    </sheetView>
  </sheetViews>
  <sheetFormatPr defaultRowHeight="14.4" x14ac:dyDescent="0.3"/>
  <cols>
    <col min="1" max="1" width="28.6640625" customWidth="1"/>
    <col min="2" max="2" width="24.33203125" customWidth="1"/>
    <col min="3" max="12" width="14.88671875" customWidth="1"/>
  </cols>
  <sheetData>
    <row r="1" spans="1:19" x14ac:dyDescent="0.3">
      <c r="A1" s="34" t="s">
        <v>1432</v>
      </c>
      <c r="B1" s="34" t="s">
        <v>1584</v>
      </c>
      <c r="C1" s="34" t="s">
        <v>1585</v>
      </c>
      <c r="D1" s="34" t="s">
        <v>1586</v>
      </c>
      <c r="E1" s="34" t="s">
        <v>1408</v>
      </c>
      <c r="F1" s="34" t="s">
        <v>1409</v>
      </c>
      <c r="G1" s="34" t="s">
        <v>1444</v>
      </c>
      <c r="H1" s="34" t="s">
        <v>1587</v>
      </c>
      <c r="I1" s="34" t="s">
        <v>1588</v>
      </c>
      <c r="J1" s="34" t="s">
        <v>1589</v>
      </c>
      <c r="K1" s="34" t="s">
        <v>1590</v>
      </c>
      <c r="L1" s="34" t="s">
        <v>76</v>
      </c>
      <c r="M1" s="34" t="s">
        <v>1591</v>
      </c>
      <c r="N1" s="34" t="s">
        <v>1592</v>
      </c>
      <c r="O1" s="34" t="s">
        <v>1593</v>
      </c>
      <c r="P1" s="34" t="s">
        <v>1594</v>
      </c>
      <c r="Q1" s="34" t="s">
        <v>1595</v>
      </c>
      <c r="R1" s="34" t="s">
        <v>1596</v>
      </c>
      <c r="S1" s="34" t="s">
        <v>1429</v>
      </c>
    </row>
    <row r="2" spans="1:19" x14ac:dyDescent="0.3">
      <c r="A2" s="34">
        <v>110</v>
      </c>
      <c r="B2" s="34">
        <v>1</v>
      </c>
      <c r="C2" s="34" t="s">
        <v>1818</v>
      </c>
      <c r="D2" s="34">
        <v>6000000</v>
      </c>
      <c r="E2" s="34" t="s">
        <v>123</v>
      </c>
      <c r="F2" s="34" t="s">
        <v>123</v>
      </c>
      <c r="G2" s="34" t="s">
        <v>1330</v>
      </c>
      <c r="H2" s="34" t="s">
        <v>123</v>
      </c>
      <c r="I2" s="34" t="s">
        <v>123</v>
      </c>
      <c r="J2" s="35">
        <v>46203</v>
      </c>
      <c r="K2" s="34" t="s">
        <v>1819</v>
      </c>
      <c r="L2" s="35">
        <v>46203.670992824074</v>
      </c>
      <c r="M2" s="34">
        <v>1</v>
      </c>
      <c r="N2" s="34">
        <v>0</v>
      </c>
      <c r="O2" s="34" t="s">
        <v>1599</v>
      </c>
      <c r="P2" s="34" t="s">
        <v>1600</v>
      </c>
      <c r="Q2" s="34">
        <v>5109504</v>
      </c>
      <c r="R2" s="34" t="s">
        <v>123</v>
      </c>
      <c r="S2" s="34">
        <v>110</v>
      </c>
    </row>
    <row r="4" spans="1:19" x14ac:dyDescent="0.3">
      <c r="A4" s="34" t="s">
        <v>1601</v>
      </c>
      <c r="B4" s="34" t="s">
        <v>1602</v>
      </c>
      <c r="C4" s="34" t="s">
        <v>1603</v>
      </c>
      <c r="D4" s="34" t="s">
        <v>1604</v>
      </c>
      <c r="E4" s="34" t="s">
        <v>1605</v>
      </c>
      <c r="F4" s="34" t="s">
        <v>63</v>
      </c>
      <c r="G4" s="34" t="s">
        <v>71</v>
      </c>
      <c r="H4" s="34" t="s">
        <v>1606</v>
      </c>
      <c r="I4" s="34" t="s">
        <v>67</v>
      </c>
      <c r="J4" s="34" t="s">
        <v>1607</v>
      </c>
      <c r="K4" s="34" t="s">
        <v>1608</v>
      </c>
      <c r="L4" s="34" t="s">
        <v>1429</v>
      </c>
      <c r="M4" s="34" t="s">
        <v>1609</v>
      </c>
      <c r="N4" s="34" t="s">
        <v>1610</v>
      </c>
      <c r="O4" s="34" t="s">
        <v>1611</v>
      </c>
      <c r="P4" s="34" t="s">
        <v>1612</v>
      </c>
    </row>
    <row r="5" spans="1:19" x14ac:dyDescent="0.3">
      <c r="A5" s="34">
        <v>93</v>
      </c>
      <c r="B5" s="34">
        <v>1</v>
      </c>
      <c r="C5" s="34">
        <v>1.2E-2</v>
      </c>
      <c r="D5" s="34">
        <v>0</v>
      </c>
      <c r="E5" s="34" t="s">
        <v>1613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3.8E-3</v>
      </c>
      <c r="L5" s="34">
        <v>110</v>
      </c>
      <c r="M5" s="34">
        <v>3.8699999999999998E-2</v>
      </c>
      <c r="N5" s="34">
        <v>0</v>
      </c>
      <c r="O5" s="34">
        <v>0</v>
      </c>
      <c r="P5" s="34">
        <v>0</v>
      </c>
    </row>
    <row r="8" spans="1:19" x14ac:dyDescent="0.3">
      <c r="A8" s="34" t="s">
        <v>1432</v>
      </c>
      <c r="B8" s="34" t="s">
        <v>1584</v>
      </c>
      <c r="C8" s="34" t="s">
        <v>1614</v>
      </c>
      <c r="D8" s="34" t="s">
        <v>1615</v>
      </c>
      <c r="E8" s="34" t="s">
        <v>1616</v>
      </c>
      <c r="F8" s="34" t="s">
        <v>1617</v>
      </c>
      <c r="G8" s="34" t="s">
        <v>1618</v>
      </c>
      <c r="H8" s="34" t="s">
        <v>1619</v>
      </c>
      <c r="I8" s="34" t="s">
        <v>1429</v>
      </c>
    </row>
    <row r="9" spans="1:19" x14ac:dyDescent="0.3">
      <c r="A9" s="34">
        <v>5924</v>
      </c>
      <c r="B9" s="34">
        <v>1</v>
      </c>
      <c r="C9" s="34" t="s">
        <v>1620</v>
      </c>
      <c r="D9" s="34" t="s">
        <v>1621</v>
      </c>
      <c r="E9" s="34">
        <v>0</v>
      </c>
      <c r="F9" s="34">
        <v>0.15</v>
      </c>
      <c r="G9" s="34"/>
      <c r="H9" s="34">
        <v>0</v>
      </c>
      <c r="I9" s="34">
        <v>110</v>
      </c>
    </row>
    <row r="10" spans="1:19" x14ac:dyDescent="0.3">
      <c r="A10" s="34">
        <v>5925</v>
      </c>
      <c r="B10" s="34">
        <v>1</v>
      </c>
      <c r="C10" s="34" t="s">
        <v>1620</v>
      </c>
      <c r="D10" s="34" t="s">
        <v>1622</v>
      </c>
      <c r="E10" s="34">
        <v>0</v>
      </c>
      <c r="F10" s="34">
        <v>0.3</v>
      </c>
      <c r="G10" s="34"/>
      <c r="H10" s="34">
        <v>0</v>
      </c>
      <c r="I10" s="34">
        <v>110</v>
      </c>
    </row>
    <row r="11" spans="1:19" x14ac:dyDescent="0.3">
      <c r="A11" s="34">
        <v>5926</v>
      </c>
      <c r="B11" s="34">
        <v>1</v>
      </c>
      <c r="C11" s="34" t="s">
        <v>1315</v>
      </c>
      <c r="D11" s="34" t="s">
        <v>1344</v>
      </c>
      <c r="E11" s="34">
        <v>0</v>
      </c>
      <c r="F11" s="34">
        <v>0.3</v>
      </c>
      <c r="G11" s="34"/>
      <c r="H11" s="34">
        <v>0</v>
      </c>
      <c r="I11" s="34">
        <v>110</v>
      </c>
    </row>
    <row r="12" spans="1:19" x14ac:dyDescent="0.3">
      <c r="A12" s="34">
        <v>5927</v>
      </c>
      <c r="B12" s="34">
        <v>1</v>
      </c>
      <c r="C12" s="34" t="s">
        <v>1315</v>
      </c>
      <c r="D12" s="34" t="s">
        <v>1342</v>
      </c>
      <c r="E12" s="34">
        <v>0</v>
      </c>
      <c r="F12" s="34">
        <v>0.3</v>
      </c>
      <c r="G12" s="34"/>
      <c r="H12" s="34">
        <v>0</v>
      </c>
      <c r="I12" s="34">
        <v>110</v>
      </c>
    </row>
    <row r="13" spans="1:19" x14ac:dyDescent="0.3">
      <c r="A13" s="34">
        <v>5928</v>
      </c>
      <c r="B13" s="34">
        <v>1</v>
      </c>
      <c r="C13" s="34" t="s">
        <v>1315</v>
      </c>
      <c r="D13" s="34" t="s">
        <v>1339</v>
      </c>
      <c r="E13" s="34">
        <v>0</v>
      </c>
      <c r="F13" s="34">
        <v>0.3</v>
      </c>
      <c r="G13" s="34"/>
      <c r="H13" s="34">
        <v>0</v>
      </c>
      <c r="I13" s="34">
        <v>110</v>
      </c>
    </row>
    <row r="14" spans="1:19" x14ac:dyDescent="0.3">
      <c r="A14" s="34">
        <v>5929</v>
      </c>
      <c r="B14" s="34">
        <v>1</v>
      </c>
      <c r="C14" s="34" t="s">
        <v>1315</v>
      </c>
      <c r="D14" s="34" t="s">
        <v>1341</v>
      </c>
      <c r="E14" s="34">
        <v>0</v>
      </c>
      <c r="F14" s="34">
        <v>0.3</v>
      </c>
      <c r="G14" s="34"/>
      <c r="H14" s="34">
        <v>0</v>
      </c>
      <c r="I14" s="34">
        <v>110</v>
      </c>
    </row>
    <row r="15" spans="1:19" x14ac:dyDescent="0.3">
      <c r="A15" s="34">
        <v>5930</v>
      </c>
      <c r="B15" s="34">
        <v>1</v>
      </c>
      <c r="C15" s="34" t="s">
        <v>1315</v>
      </c>
      <c r="D15" s="34" t="s">
        <v>1331</v>
      </c>
      <c r="E15" s="34">
        <v>0</v>
      </c>
      <c r="F15" s="34">
        <v>0.3</v>
      </c>
      <c r="G15" s="34"/>
      <c r="H15" s="34">
        <v>0</v>
      </c>
      <c r="I15" s="34">
        <v>110</v>
      </c>
    </row>
    <row r="16" spans="1:19" x14ac:dyDescent="0.3">
      <c r="A16" s="34">
        <v>5931</v>
      </c>
      <c r="B16" s="34">
        <v>1</v>
      </c>
      <c r="C16" s="34" t="s">
        <v>1315</v>
      </c>
      <c r="D16" s="34" t="s">
        <v>1337</v>
      </c>
      <c r="E16" s="34">
        <v>0</v>
      </c>
      <c r="F16" s="34">
        <v>0.3</v>
      </c>
      <c r="G16" s="34"/>
      <c r="H16" s="34">
        <v>0</v>
      </c>
      <c r="I16" s="34">
        <v>110</v>
      </c>
    </row>
    <row r="17" spans="1:9" x14ac:dyDescent="0.3">
      <c r="A17" s="34">
        <v>5932</v>
      </c>
      <c r="B17" s="34">
        <v>1</v>
      </c>
      <c r="C17" s="34" t="s">
        <v>1315</v>
      </c>
      <c r="D17" s="34" t="s">
        <v>1335</v>
      </c>
      <c r="E17" s="34">
        <v>0</v>
      </c>
      <c r="F17" s="34">
        <v>0.3</v>
      </c>
      <c r="G17" s="34"/>
      <c r="H17" s="34">
        <v>0</v>
      </c>
      <c r="I17" s="34">
        <v>110</v>
      </c>
    </row>
    <row r="18" spans="1:9" x14ac:dyDescent="0.3">
      <c r="A18" s="34">
        <v>5933</v>
      </c>
      <c r="B18" s="34">
        <v>1</v>
      </c>
      <c r="C18" s="34" t="s">
        <v>1315</v>
      </c>
      <c r="D18" s="34" t="s">
        <v>1345</v>
      </c>
      <c r="E18" s="34">
        <v>0</v>
      </c>
      <c r="F18" s="34">
        <v>0.3</v>
      </c>
      <c r="G18" s="34"/>
      <c r="H18" s="34">
        <v>0</v>
      </c>
      <c r="I18" s="34">
        <v>110</v>
      </c>
    </row>
    <row r="19" spans="1:9" x14ac:dyDescent="0.3">
      <c r="A19" s="34">
        <v>5934</v>
      </c>
      <c r="B19" s="34">
        <v>1</v>
      </c>
      <c r="C19" s="34" t="s">
        <v>1315</v>
      </c>
      <c r="D19" s="34" t="s">
        <v>1343</v>
      </c>
      <c r="E19" s="34">
        <v>0</v>
      </c>
      <c r="F19" s="34">
        <v>0.3</v>
      </c>
      <c r="G19" s="34"/>
      <c r="H19" s="34">
        <v>0</v>
      </c>
      <c r="I19" s="34">
        <v>110</v>
      </c>
    </row>
    <row r="20" spans="1:9" x14ac:dyDescent="0.3">
      <c r="A20" s="34">
        <v>5935</v>
      </c>
      <c r="B20" s="34">
        <v>1</v>
      </c>
      <c r="C20" s="34" t="s">
        <v>1315</v>
      </c>
      <c r="D20" s="34" t="s">
        <v>1327</v>
      </c>
      <c r="E20" s="34">
        <v>0</v>
      </c>
      <c r="F20" s="34">
        <v>0.3</v>
      </c>
      <c r="G20" s="34"/>
      <c r="H20" s="34">
        <v>0</v>
      </c>
      <c r="I20" s="34">
        <v>110</v>
      </c>
    </row>
    <row r="21" spans="1:9" x14ac:dyDescent="0.3">
      <c r="A21" s="34">
        <v>5936</v>
      </c>
      <c r="B21" s="34">
        <v>1</v>
      </c>
      <c r="C21" s="34" t="s">
        <v>1315</v>
      </c>
      <c r="D21" s="34" t="s">
        <v>1348</v>
      </c>
      <c r="E21" s="34">
        <v>0</v>
      </c>
      <c r="F21" s="34">
        <v>0.3</v>
      </c>
      <c r="G21" s="34"/>
      <c r="H21" s="34">
        <v>0</v>
      </c>
      <c r="I21" s="34">
        <v>110</v>
      </c>
    </row>
    <row r="22" spans="1:9" x14ac:dyDescent="0.3">
      <c r="A22" s="34">
        <v>5937</v>
      </c>
      <c r="B22" s="34">
        <v>1</v>
      </c>
      <c r="C22" s="34" t="s">
        <v>1315</v>
      </c>
      <c r="D22" s="34" t="s">
        <v>1351</v>
      </c>
      <c r="E22" s="34">
        <v>0</v>
      </c>
      <c r="F22" s="34">
        <v>0.3</v>
      </c>
      <c r="G22" s="34"/>
      <c r="H22" s="34">
        <v>0</v>
      </c>
      <c r="I22" s="34">
        <v>110</v>
      </c>
    </row>
    <row r="23" spans="1:9" x14ac:dyDescent="0.3">
      <c r="A23" s="34">
        <v>5938</v>
      </c>
      <c r="B23" s="34">
        <v>1</v>
      </c>
      <c r="C23" s="34" t="s">
        <v>1315</v>
      </c>
      <c r="D23" s="34" t="s">
        <v>1352</v>
      </c>
      <c r="E23" s="34">
        <v>0</v>
      </c>
      <c r="F23" s="34">
        <v>0.3</v>
      </c>
      <c r="G23" s="34"/>
      <c r="H23" s="34">
        <v>0</v>
      </c>
      <c r="I23" s="34">
        <v>110</v>
      </c>
    </row>
    <row r="24" spans="1:9" x14ac:dyDescent="0.3">
      <c r="A24" s="34">
        <v>5939</v>
      </c>
      <c r="B24" s="34">
        <v>1</v>
      </c>
      <c r="C24" s="34" t="s">
        <v>1315</v>
      </c>
      <c r="D24" s="34" t="s">
        <v>1353</v>
      </c>
      <c r="E24" s="34">
        <v>0</v>
      </c>
      <c r="F24" s="34">
        <v>0.3</v>
      </c>
      <c r="G24" s="34"/>
      <c r="H24" s="34">
        <v>0</v>
      </c>
      <c r="I24" s="34">
        <v>110</v>
      </c>
    </row>
    <row r="25" spans="1:9" x14ac:dyDescent="0.3">
      <c r="A25" s="34">
        <v>5940</v>
      </c>
      <c r="B25" s="34">
        <v>1</v>
      </c>
      <c r="C25" s="34" t="s">
        <v>1315</v>
      </c>
      <c r="D25" s="34" t="s">
        <v>1354</v>
      </c>
      <c r="E25" s="34">
        <v>0</v>
      </c>
      <c r="F25" s="34">
        <v>0.3</v>
      </c>
      <c r="G25" s="34"/>
      <c r="H25" s="34">
        <v>0</v>
      </c>
      <c r="I25" s="34">
        <v>110</v>
      </c>
    </row>
    <row r="26" spans="1:9" x14ac:dyDescent="0.3">
      <c r="A26" s="34">
        <v>5941</v>
      </c>
      <c r="B26" s="34">
        <v>1</v>
      </c>
      <c r="C26" s="34" t="s">
        <v>1315</v>
      </c>
      <c r="D26" s="34" t="s">
        <v>1357</v>
      </c>
      <c r="E26" s="34">
        <v>0</v>
      </c>
      <c r="F26" s="34">
        <v>0.3</v>
      </c>
      <c r="G26" s="34"/>
      <c r="H26" s="34">
        <v>0</v>
      </c>
      <c r="I26" s="34">
        <v>110</v>
      </c>
    </row>
    <row r="27" spans="1:9" x14ac:dyDescent="0.3">
      <c r="A27" s="34">
        <v>5942</v>
      </c>
      <c r="B27" s="34">
        <v>1</v>
      </c>
      <c r="C27" s="34" t="s">
        <v>1315</v>
      </c>
      <c r="D27" s="34" t="s">
        <v>1358</v>
      </c>
      <c r="E27" s="34">
        <v>0</v>
      </c>
      <c r="F27" s="34">
        <v>0.3</v>
      </c>
      <c r="G27" s="34"/>
      <c r="H27" s="34">
        <v>0</v>
      </c>
      <c r="I27" s="34">
        <v>110</v>
      </c>
    </row>
    <row r="28" spans="1:9" x14ac:dyDescent="0.3">
      <c r="A28" s="34">
        <v>5943</v>
      </c>
      <c r="B28" s="34">
        <v>1</v>
      </c>
      <c r="C28" s="34" t="s">
        <v>1315</v>
      </c>
      <c r="D28" s="34" t="s">
        <v>1359</v>
      </c>
      <c r="E28" s="34">
        <v>0</v>
      </c>
      <c r="F28" s="34">
        <v>0.3</v>
      </c>
      <c r="G28" s="34"/>
      <c r="H28" s="34">
        <v>0</v>
      </c>
      <c r="I28" s="34">
        <v>110</v>
      </c>
    </row>
    <row r="29" spans="1:9" x14ac:dyDescent="0.3">
      <c r="A29" s="34">
        <v>5944</v>
      </c>
      <c r="B29" s="34">
        <v>1</v>
      </c>
      <c r="C29" s="34" t="s">
        <v>1315</v>
      </c>
      <c r="D29" s="34" t="s">
        <v>1360</v>
      </c>
      <c r="E29" s="34">
        <v>0</v>
      </c>
      <c r="F29" s="34">
        <v>0.3</v>
      </c>
      <c r="G29" s="34"/>
      <c r="H29" s="34">
        <v>0</v>
      </c>
      <c r="I29" s="34">
        <v>110</v>
      </c>
    </row>
    <row r="30" spans="1:9" x14ac:dyDescent="0.3">
      <c r="A30" s="34">
        <v>5945</v>
      </c>
      <c r="B30" s="34">
        <v>1</v>
      </c>
      <c r="C30" s="34" t="s">
        <v>1630</v>
      </c>
      <c r="D30" s="34" t="s">
        <v>130</v>
      </c>
      <c r="E30" s="34">
        <v>0</v>
      </c>
      <c r="F30" s="34">
        <v>0.05</v>
      </c>
      <c r="G30" s="34"/>
      <c r="H30" s="34">
        <v>0</v>
      </c>
      <c r="I30" s="34">
        <v>110</v>
      </c>
    </row>
    <row r="31" spans="1:9" x14ac:dyDescent="0.3">
      <c r="A31" s="34">
        <v>5946</v>
      </c>
      <c r="B31" s="34">
        <v>1</v>
      </c>
      <c r="C31" s="34" t="s">
        <v>1630</v>
      </c>
      <c r="D31" s="34" t="s">
        <v>1624</v>
      </c>
      <c r="E31" s="34">
        <v>0</v>
      </c>
      <c r="F31" s="34">
        <v>2.5000000000000001E-2</v>
      </c>
      <c r="G31" s="34"/>
      <c r="H31" s="34">
        <v>0</v>
      </c>
      <c r="I31" s="34">
        <v>110</v>
      </c>
    </row>
    <row r="32" spans="1:9" x14ac:dyDescent="0.3">
      <c r="A32" s="34">
        <v>5947</v>
      </c>
      <c r="B32" s="34">
        <v>1</v>
      </c>
      <c r="C32" s="34" t="s">
        <v>1630</v>
      </c>
      <c r="D32" s="34" t="s">
        <v>1625</v>
      </c>
      <c r="E32" s="34">
        <v>0</v>
      </c>
      <c r="F32" s="34">
        <v>0.4</v>
      </c>
      <c r="G32" s="34"/>
      <c r="H32" s="34">
        <v>0</v>
      </c>
      <c r="I32" s="34">
        <v>110</v>
      </c>
    </row>
    <row r="33" spans="1:9" x14ac:dyDescent="0.3">
      <c r="A33" s="34">
        <v>5948</v>
      </c>
      <c r="B33" s="34">
        <v>1</v>
      </c>
      <c r="C33" s="34" t="s">
        <v>1630</v>
      </c>
      <c r="D33" s="34" t="s">
        <v>1627</v>
      </c>
      <c r="E33" s="34">
        <v>0</v>
      </c>
      <c r="F33" s="34">
        <v>0.4</v>
      </c>
      <c r="G33" s="34"/>
      <c r="H33" s="34">
        <v>0</v>
      </c>
      <c r="I33" s="34">
        <v>110</v>
      </c>
    </row>
    <row r="34" spans="1:9" x14ac:dyDescent="0.3">
      <c r="A34" s="34">
        <v>5949</v>
      </c>
      <c r="B34" s="34">
        <v>1</v>
      </c>
      <c r="C34" s="34" t="s">
        <v>1630</v>
      </c>
      <c r="D34" s="34" t="s">
        <v>1626</v>
      </c>
      <c r="E34" s="34">
        <v>0</v>
      </c>
      <c r="F34" s="34">
        <v>0.05</v>
      </c>
      <c r="G34" s="34"/>
      <c r="H34" s="34">
        <v>0</v>
      </c>
      <c r="I34" s="34">
        <v>110</v>
      </c>
    </row>
    <row r="35" spans="1:9" x14ac:dyDescent="0.3">
      <c r="A35" s="34">
        <v>5950</v>
      </c>
      <c r="B35" s="34">
        <v>1</v>
      </c>
      <c r="C35" s="34" t="s">
        <v>1630</v>
      </c>
      <c r="D35" s="34" t="s">
        <v>1629</v>
      </c>
      <c r="E35" s="34">
        <v>0</v>
      </c>
      <c r="F35" s="34">
        <v>0.1</v>
      </c>
      <c r="G35" s="34"/>
      <c r="H35" s="34">
        <v>0</v>
      </c>
      <c r="I35" s="34">
        <v>110</v>
      </c>
    </row>
    <row r="36" spans="1:9" x14ac:dyDescent="0.3">
      <c r="A36" s="34">
        <v>5951</v>
      </c>
      <c r="B36" s="34">
        <v>1</v>
      </c>
      <c r="C36" s="34" t="s">
        <v>1630</v>
      </c>
      <c r="D36" s="34" t="s">
        <v>1623</v>
      </c>
      <c r="E36" s="34">
        <v>0</v>
      </c>
      <c r="F36" s="34">
        <v>0.1</v>
      </c>
      <c r="G36" s="34"/>
      <c r="H36" s="34">
        <v>0</v>
      </c>
      <c r="I36" s="34">
        <v>110</v>
      </c>
    </row>
    <row r="37" spans="1:9" x14ac:dyDescent="0.3">
      <c r="A37" s="34">
        <v>5952</v>
      </c>
      <c r="B37" s="34">
        <v>1</v>
      </c>
      <c r="C37" s="34" t="s">
        <v>1630</v>
      </c>
      <c r="D37" s="34" t="s">
        <v>1631</v>
      </c>
      <c r="E37" s="34">
        <v>0</v>
      </c>
      <c r="F37" s="34">
        <v>0</v>
      </c>
      <c r="G37" s="34"/>
      <c r="H37" s="34">
        <v>0</v>
      </c>
      <c r="I37" s="34">
        <v>110</v>
      </c>
    </row>
    <row r="38" spans="1:9" x14ac:dyDescent="0.3">
      <c r="A38" s="34">
        <v>5953</v>
      </c>
      <c r="B38" s="34">
        <v>1</v>
      </c>
      <c r="C38" s="34" t="s">
        <v>1632</v>
      </c>
      <c r="D38" s="34" t="s">
        <v>1633</v>
      </c>
      <c r="E38" s="34">
        <v>0</v>
      </c>
      <c r="F38" s="34">
        <v>0.35</v>
      </c>
      <c r="G38" s="34" t="s">
        <v>1634</v>
      </c>
      <c r="H38" s="34">
        <v>100</v>
      </c>
      <c r="I38" s="34">
        <v>110</v>
      </c>
    </row>
    <row r="39" spans="1:9" x14ac:dyDescent="0.3">
      <c r="A39" s="34">
        <v>5954</v>
      </c>
      <c r="B39" s="34">
        <v>1</v>
      </c>
      <c r="C39" s="34" t="s">
        <v>1632</v>
      </c>
      <c r="D39" s="34" t="s">
        <v>1635</v>
      </c>
      <c r="E39" s="34">
        <v>0</v>
      </c>
      <c r="F39" s="34">
        <v>0.15</v>
      </c>
      <c r="G39" s="34" t="s">
        <v>1634</v>
      </c>
      <c r="H39" s="34">
        <v>100</v>
      </c>
      <c r="I39" s="34">
        <v>110</v>
      </c>
    </row>
    <row r="40" spans="1:9" x14ac:dyDescent="0.3">
      <c r="A40" s="34">
        <v>5955</v>
      </c>
      <c r="B40" s="34">
        <v>1</v>
      </c>
      <c r="C40" s="34" t="s">
        <v>1632</v>
      </c>
      <c r="D40" s="34" t="s">
        <v>1636</v>
      </c>
      <c r="E40" s="34">
        <v>0</v>
      </c>
      <c r="F40" s="34">
        <v>0.15</v>
      </c>
      <c r="G40" s="34" t="s">
        <v>1634</v>
      </c>
      <c r="H40" s="34">
        <v>100</v>
      </c>
      <c r="I40" s="34">
        <v>110</v>
      </c>
    </row>
    <row r="41" spans="1:9" x14ac:dyDescent="0.3">
      <c r="A41" s="34">
        <v>5956</v>
      </c>
      <c r="B41" s="34">
        <v>1</v>
      </c>
      <c r="C41" s="34" t="s">
        <v>1632</v>
      </c>
      <c r="D41" s="34" t="s">
        <v>1637</v>
      </c>
      <c r="E41" s="34">
        <v>0</v>
      </c>
      <c r="F41" s="34">
        <v>0.15</v>
      </c>
      <c r="G41" s="34" t="s">
        <v>1634</v>
      </c>
      <c r="H41" s="34">
        <v>100</v>
      </c>
      <c r="I41" s="34">
        <v>110</v>
      </c>
    </row>
    <row r="42" spans="1:9" x14ac:dyDescent="0.3">
      <c r="A42" s="34">
        <v>5957</v>
      </c>
      <c r="B42" s="34">
        <v>1</v>
      </c>
      <c r="C42" s="34" t="s">
        <v>1632</v>
      </c>
      <c r="D42" s="34" t="s">
        <v>1638</v>
      </c>
      <c r="E42" s="34">
        <v>0</v>
      </c>
      <c r="F42" s="34">
        <v>0.15</v>
      </c>
      <c r="G42" s="34" t="s">
        <v>1634</v>
      </c>
      <c r="H42" s="34">
        <v>100</v>
      </c>
      <c r="I42" s="34">
        <v>110</v>
      </c>
    </row>
    <row r="43" spans="1:9" x14ac:dyDescent="0.3">
      <c r="A43" s="34">
        <v>5958</v>
      </c>
      <c r="B43" s="34">
        <v>1</v>
      </c>
      <c r="C43" s="34" t="s">
        <v>1632</v>
      </c>
      <c r="D43" s="34" t="s">
        <v>1639</v>
      </c>
      <c r="E43" s="34">
        <v>0</v>
      </c>
      <c r="F43" s="34">
        <v>0.15</v>
      </c>
      <c r="G43" s="34" t="s">
        <v>1634</v>
      </c>
      <c r="H43" s="34">
        <v>100</v>
      </c>
      <c r="I43" s="34">
        <v>110</v>
      </c>
    </row>
    <row r="44" spans="1:9" x14ac:dyDescent="0.3">
      <c r="A44" s="34">
        <v>5959</v>
      </c>
      <c r="B44" s="34">
        <v>1</v>
      </c>
      <c r="C44" s="34" t="s">
        <v>1632</v>
      </c>
      <c r="D44" s="34" t="s">
        <v>1640</v>
      </c>
      <c r="E44" s="34">
        <v>0</v>
      </c>
      <c r="F44" s="34">
        <v>0.15</v>
      </c>
      <c r="G44" s="34" t="s">
        <v>1634</v>
      </c>
      <c r="H44" s="34">
        <v>100</v>
      </c>
      <c r="I44" s="34">
        <v>110</v>
      </c>
    </row>
    <row r="45" spans="1:9" x14ac:dyDescent="0.3">
      <c r="A45" s="34">
        <v>5960</v>
      </c>
      <c r="B45" s="34">
        <v>1</v>
      </c>
      <c r="C45" s="34" t="s">
        <v>1632</v>
      </c>
      <c r="D45" s="34" t="s">
        <v>1641</v>
      </c>
      <c r="E45" s="34">
        <v>0</v>
      </c>
      <c r="F45" s="34">
        <v>0.15</v>
      </c>
      <c r="G45" s="34" t="s">
        <v>1634</v>
      </c>
      <c r="H45" s="34">
        <v>100</v>
      </c>
      <c r="I45" s="34">
        <v>110</v>
      </c>
    </row>
    <row r="46" spans="1:9" x14ac:dyDescent="0.3">
      <c r="A46" s="34">
        <v>5961</v>
      </c>
      <c r="B46" s="34">
        <v>1</v>
      </c>
      <c r="C46" s="34" t="s">
        <v>1632</v>
      </c>
      <c r="D46" s="34" t="s">
        <v>1642</v>
      </c>
      <c r="E46" s="34">
        <v>0</v>
      </c>
      <c r="F46" s="34">
        <v>0.15</v>
      </c>
      <c r="G46" s="34" t="s">
        <v>1634</v>
      </c>
      <c r="H46" s="34">
        <v>100</v>
      </c>
      <c r="I46" s="34">
        <v>110</v>
      </c>
    </row>
    <row r="47" spans="1:9" x14ac:dyDescent="0.3">
      <c r="A47" s="34">
        <v>5962</v>
      </c>
      <c r="B47" s="34">
        <v>1</v>
      </c>
      <c r="C47" s="34" t="s">
        <v>1632</v>
      </c>
      <c r="D47" s="34" t="s">
        <v>1643</v>
      </c>
      <c r="E47" s="34">
        <v>0</v>
      </c>
      <c r="F47" s="34">
        <v>0.15</v>
      </c>
      <c r="G47" s="34" t="s">
        <v>1634</v>
      </c>
      <c r="H47" s="34">
        <v>100</v>
      </c>
      <c r="I47" s="34">
        <v>110</v>
      </c>
    </row>
    <row r="48" spans="1:9" x14ac:dyDescent="0.3">
      <c r="A48" s="34">
        <v>5963</v>
      </c>
      <c r="B48" s="34">
        <v>1</v>
      </c>
      <c r="C48" s="34" t="s">
        <v>1632</v>
      </c>
      <c r="D48" s="34" t="s">
        <v>1644</v>
      </c>
      <c r="E48" s="34">
        <v>0</v>
      </c>
      <c r="F48" s="34">
        <v>0.15</v>
      </c>
      <c r="G48" s="34" t="s">
        <v>1634</v>
      </c>
      <c r="H48" s="34">
        <v>100</v>
      </c>
      <c r="I48" s="34">
        <v>110</v>
      </c>
    </row>
    <row r="49" spans="1:9" x14ac:dyDescent="0.3">
      <c r="A49" s="34">
        <v>5964</v>
      </c>
      <c r="B49" s="34">
        <v>1</v>
      </c>
      <c r="C49" s="34" t="s">
        <v>1632</v>
      </c>
      <c r="D49" s="34" t="s">
        <v>1645</v>
      </c>
      <c r="E49" s="34">
        <v>0</v>
      </c>
      <c r="F49" s="34">
        <v>0.15</v>
      </c>
      <c r="G49" s="34" t="s">
        <v>1634</v>
      </c>
      <c r="H49" s="34">
        <v>100</v>
      </c>
      <c r="I49" s="34">
        <v>110</v>
      </c>
    </row>
    <row r="50" spans="1:9" x14ac:dyDescent="0.3">
      <c r="A50" s="34">
        <v>5965</v>
      </c>
      <c r="B50" s="34">
        <v>1</v>
      </c>
      <c r="C50" s="34" t="s">
        <v>1632</v>
      </c>
      <c r="D50" s="34" t="s">
        <v>1646</v>
      </c>
      <c r="E50" s="34">
        <v>0</v>
      </c>
      <c r="F50" s="34">
        <v>0.15</v>
      </c>
      <c r="G50" s="34" t="s">
        <v>1634</v>
      </c>
      <c r="H50" s="34">
        <v>100</v>
      </c>
      <c r="I50" s="34">
        <v>110</v>
      </c>
    </row>
    <row r="51" spans="1:9" x14ac:dyDescent="0.3">
      <c r="A51" s="34">
        <v>5966</v>
      </c>
      <c r="B51" s="34">
        <v>1</v>
      </c>
      <c r="C51" s="34" t="s">
        <v>1632</v>
      </c>
      <c r="D51" s="34" t="s">
        <v>1647</v>
      </c>
      <c r="E51" s="34">
        <v>0</v>
      </c>
      <c r="F51" s="34">
        <v>0.15</v>
      </c>
      <c r="G51" s="34" t="s">
        <v>1634</v>
      </c>
      <c r="H51" s="34">
        <v>100</v>
      </c>
      <c r="I51" s="34">
        <v>110</v>
      </c>
    </row>
    <row r="52" spans="1:9" x14ac:dyDescent="0.3">
      <c r="A52" s="34">
        <v>5967</v>
      </c>
      <c r="B52" s="34">
        <v>1</v>
      </c>
      <c r="C52" s="34" t="s">
        <v>1632</v>
      </c>
      <c r="D52" s="34" t="s">
        <v>1633</v>
      </c>
      <c r="E52" s="34">
        <v>0</v>
      </c>
      <c r="F52" s="34">
        <v>0.2</v>
      </c>
      <c r="G52" s="34" t="s">
        <v>1648</v>
      </c>
      <c r="H52" s="34">
        <v>500</v>
      </c>
      <c r="I52" s="34">
        <v>110</v>
      </c>
    </row>
    <row r="53" spans="1:9" x14ac:dyDescent="0.3">
      <c r="A53" s="34">
        <v>5968</v>
      </c>
      <c r="B53" s="34">
        <v>1</v>
      </c>
      <c r="C53" s="34" t="s">
        <v>1632</v>
      </c>
      <c r="D53" s="34" t="s">
        <v>1635</v>
      </c>
      <c r="E53" s="34">
        <v>0</v>
      </c>
      <c r="F53" s="34">
        <v>0.2</v>
      </c>
      <c r="G53" s="34" t="s">
        <v>1648</v>
      </c>
      <c r="H53" s="34">
        <v>500</v>
      </c>
      <c r="I53" s="34">
        <v>110</v>
      </c>
    </row>
    <row r="54" spans="1:9" x14ac:dyDescent="0.3">
      <c r="A54" s="34">
        <v>5969</v>
      </c>
      <c r="B54" s="34">
        <v>1</v>
      </c>
      <c r="C54" s="34" t="s">
        <v>1632</v>
      </c>
      <c r="D54" s="34" t="s">
        <v>1636</v>
      </c>
      <c r="E54" s="34">
        <v>0</v>
      </c>
      <c r="F54" s="34">
        <v>0.2</v>
      </c>
      <c r="G54" s="34" t="s">
        <v>1648</v>
      </c>
      <c r="H54" s="34">
        <v>500</v>
      </c>
      <c r="I54" s="34">
        <v>110</v>
      </c>
    </row>
    <row r="55" spans="1:9" x14ac:dyDescent="0.3">
      <c r="A55" s="34">
        <v>5970</v>
      </c>
      <c r="B55" s="34">
        <v>1</v>
      </c>
      <c r="C55" s="34" t="s">
        <v>1632</v>
      </c>
      <c r="D55" s="34" t="s">
        <v>1637</v>
      </c>
      <c r="E55" s="34">
        <v>0</v>
      </c>
      <c r="F55" s="34">
        <v>0.2</v>
      </c>
      <c r="G55" s="34" t="s">
        <v>1648</v>
      </c>
      <c r="H55" s="34">
        <v>500</v>
      </c>
      <c r="I55" s="34">
        <v>110</v>
      </c>
    </row>
    <row r="56" spans="1:9" x14ac:dyDescent="0.3">
      <c r="A56" s="34">
        <v>5971</v>
      </c>
      <c r="B56" s="34">
        <v>1</v>
      </c>
      <c r="C56" s="34" t="s">
        <v>1632</v>
      </c>
      <c r="D56" s="34" t="s">
        <v>1638</v>
      </c>
      <c r="E56" s="34">
        <v>0</v>
      </c>
      <c r="F56" s="34">
        <v>0.2</v>
      </c>
      <c r="G56" s="34" t="s">
        <v>1648</v>
      </c>
      <c r="H56" s="34">
        <v>500</v>
      </c>
      <c r="I56" s="34">
        <v>110</v>
      </c>
    </row>
    <row r="57" spans="1:9" x14ac:dyDescent="0.3">
      <c r="A57" s="34">
        <v>5972</v>
      </c>
      <c r="B57" s="34">
        <v>1</v>
      </c>
      <c r="C57" s="34" t="s">
        <v>1632</v>
      </c>
      <c r="D57" s="34" t="s">
        <v>1639</v>
      </c>
      <c r="E57" s="34">
        <v>0</v>
      </c>
      <c r="F57" s="34">
        <v>0.2</v>
      </c>
      <c r="G57" s="34" t="s">
        <v>1648</v>
      </c>
      <c r="H57" s="34">
        <v>500</v>
      </c>
      <c r="I57" s="34">
        <v>110</v>
      </c>
    </row>
    <row r="58" spans="1:9" x14ac:dyDescent="0.3">
      <c r="A58" s="34">
        <v>5973</v>
      </c>
      <c r="B58" s="34">
        <v>1</v>
      </c>
      <c r="C58" s="34" t="s">
        <v>1632</v>
      </c>
      <c r="D58" s="34" t="s">
        <v>1640</v>
      </c>
      <c r="E58" s="34">
        <v>0</v>
      </c>
      <c r="F58" s="34">
        <v>0.2</v>
      </c>
      <c r="G58" s="34" t="s">
        <v>1648</v>
      </c>
      <c r="H58" s="34">
        <v>500</v>
      </c>
      <c r="I58" s="34">
        <v>110</v>
      </c>
    </row>
    <row r="59" spans="1:9" x14ac:dyDescent="0.3">
      <c r="A59" s="34">
        <v>5974</v>
      </c>
      <c r="B59" s="34">
        <v>1</v>
      </c>
      <c r="C59" s="34" t="s">
        <v>1632</v>
      </c>
      <c r="D59" s="34" t="s">
        <v>1641</v>
      </c>
      <c r="E59" s="34">
        <v>0</v>
      </c>
      <c r="F59" s="34">
        <v>0.2</v>
      </c>
      <c r="G59" s="34" t="s">
        <v>1648</v>
      </c>
      <c r="H59" s="34">
        <v>500</v>
      </c>
      <c r="I59" s="34">
        <v>110</v>
      </c>
    </row>
    <row r="60" spans="1:9" x14ac:dyDescent="0.3">
      <c r="A60" s="34">
        <v>5975</v>
      </c>
      <c r="B60" s="34">
        <v>1</v>
      </c>
      <c r="C60" s="34" t="s">
        <v>1632</v>
      </c>
      <c r="D60" s="34" t="s">
        <v>1642</v>
      </c>
      <c r="E60" s="34">
        <v>0</v>
      </c>
      <c r="F60" s="34">
        <v>0.2</v>
      </c>
      <c r="G60" s="34" t="s">
        <v>1648</v>
      </c>
      <c r="H60" s="34">
        <v>500</v>
      </c>
      <c r="I60" s="34">
        <v>110</v>
      </c>
    </row>
    <row r="61" spans="1:9" x14ac:dyDescent="0.3">
      <c r="A61" s="34">
        <v>5976</v>
      </c>
      <c r="B61" s="34">
        <v>1</v>
      </c>
      <c r="C61" s="34" t="s">
        <v>1632</v>
      </c>
      <c r="D61" s="34" t="s">
        <v>1643</v>
      </c>
      <c r="E61" s="34">
        <v>0</v>
      </c>
      <c r="F61" s="34">
        <v>0.2</v>
      </c>
      <c r="G61" s="34" t="s">
        <v>1648</v>
      </c>
      <c r="H61" s="34">
        <v>500</v>
      </c>
      <c r="I61" s="34">
        <v>110</v>
      </c>
    </row>
    <row r="62" spans="1:9" x14ac:dyDescent="0.3">
      <c r="A62" s="34">
        <v>5977</v>
      </c>
      <c r="B62" s="34">
        <v>1</v>
      </c>
      <c r="C62" s="34" t="s">
        <v>1632</v>
      </c>
      <c r="D62" s="34" t="s">
        <v>1644</v>
      </c>
      <c r="E62" s="34">
        <v>0</v>
      </c>
      <c r="F62" s="34">
        <v>0.2</v>
      </c>
      <c r="G62" s="34" t="s">
        <v>1648</v>
      </c>
      <c r="H62" s="34">
        <v>500</v>
      </c>
      <c r="I62" s="34">
        <v>110</v>
      </c>
    </row>
    <row r="63" spans="1:9" x14ac:dyDescent="0.3">
      <c r="A63" s="34">
        <v>5978</v>
      </c>
      <c r="B63" s="34">
        <v>1</v>
      </c>
      <c r="C63" s="34" t="s">
        <v>1632</v>
      </c>
      <c r="D63" s="34" t="s">
        <v>1645</v>
      </c>
      <c r="E63" s="34">
        <v>0</v>
      </c>
      <c r="F63" s="34">
        <v>0.2</v>
      </c>
      <c r="G63" s="34" t="s">
        <v>1648</v>
      </c>
      <c r="H63" s="34">
        <v>500</v>
      </c>
      <c r="I63" s="34">
        <v>110</v>
      </c>
    </row>
    <row r="64" spans="1:9" x14ac:dyDescent="0.3">
      <c r="A64" s="34">
        <v>5979</v>
      </c>
      <c r="B64" s="34">
        <v>1</v>
      </c>
      <c r="C64" s="34" t="s">
        <v>1632</v>
      </c>
      <c r="D64" s="34" t="s">
        <v>1646</v>
      </c>
      <c r="E64" s="34">
        <v>0</v>
      </c>
      <c r="F64" s="34">
        <v>0.2</v>
      </c>
      <c r="G64" s="34" t="s">
        <v>1648</v>
      </c>
      <c r="H64" s="34">
        <v>500</v>
      </c>
      <c r="I64" s="34">
        <v>110</v>
      </c>
    </row>
    <row r="65" spans="1:9" x14ac:dyDescent="0.3">
      <c r="A65" s="34">
        <v>5980</v>
      </c>
      <c r="B65" s="34">
        <v>1</v>
      </c>
      <c r="C65" s="34" t="s">
        <v>1632</v>
      </c>
      <c r="D65" s="34" t="s">
        <v>1647</v>
      </c>
      <c r="E65" s="34">
        <v>0</v>
      </c>
      <c r="F65" s="34">
        <v>0.2</v>
      </c>
      <c r="G65" s="34" t="s">
        <v>1648</v>
      </c>
      <c r="H65" s="34">
        <v>500</v>
      </c>
      <c r="I65" s="34">
        <v>110</v>
      </c>
    </row>
    <row r="66" spans="1:9" x14ac:dyDescent="0.3">
      <c r="A66" s="34">
        <v>5981</v>
      </c>
      <c r="B66" s="34">
        <v>1</v>
      </c>
      <c r="C66" s="34" t="s">
        <v>1632</v>
      </c>
      <c r="D66" s="34" t="s">
        <v>1649</v>
      </c>
      <c r="E66" s="34">
        <v>0</v>
      </c>
      <c r="F66" s="34">
        <v>0.4</v>
      </c>
      <c r="G66" s="34" t="s">
        <v>1634</v>
      </c>
      <c r="H66" s="34">
        <v>100</v>
      </c>
      <c r="I66" s="34">
        <v>110</v>
      </c>
    </row>
    <row r="67" spans="1:9" x14ac:dyDescent="0.3">
      <c r="A67" s="34">
        <v>5982</v>
      </c>
      <c r="B67" s="34">
        <v>1</v>
      </c>
      <c r="C67" s="34" t="s">
        <v>1632</v>
      </c>
      <c r="D67" s="34" t="s">
        <v>1649</v>
      </c>
      <c r="E67" s="34">
        <v>0</v>
      </c>
      <c r="F67" s="34">
        <v>0.65</v>
      </c>
      <c r="G67" s="34" t="s">
        <v>1648</v>
      </c>
      <c r="H67" s="34">
        <v>500</v>
      </c>
      <c r="I67" s="34">
        <v>110</v>
      </c>
    </row>
    <row r="68" spans="1:9" x14ac:dyDescent="0.3">
      <c r="A68" s="34">
        <v>5983</v>
      </c>
      <c r="B68" s="34">
        <v>1</v>
      </c>
      <c r="C68" s="34" t="s">
        <v>1632</v>
      </c>
      <c r="D68" s="34" t="s">
        <v>1650</v>
      </c>
      <c r="E68" s="34">
        <v>0</v>
      </c>
      <c r="F68" s="34">
        <v>0.65</v>
      </c>
      <c r="G68" s="34" t="s">
        <v>1648</v>
      </c>
      <c r="H68" s="34">
        <v>500</v>
      </c>
      <c r="I68" s="34">
        <v>110</v>
      </c>
    </row>
    <row r="69" spans="1:9" x14ac:dyDescent="0.3">
      <c r="A69" s="34">
        <v>5984</v>
      </c>
      <c r="B69" s="34">
        <v>1</v>
      </c>
      <c r="C69" s="34" t="s">
        <v>1632</v>
      </c>
      <c r="D69" s="34" t="s">
        <v>1650</v>
      </c>
      <c r="E69" s="34">
        <v>0</v>
      </c>
      <c r="F69" s="34">
        <v>0.4</v>
      </c>
      <c r="G69" s="34" t="s">
        <v>1634</v>
      </c>
      <c r="H69" s="34">
        <v>100</v>
      </c>
      <c r="I69" s="34">
        <v>110</v>
      </c>
    </row>
    <row r="70" spans="1:9" x14ac:dyDescent="0.3">
      <c r="A70" s="34">
        <v>5985</v>
      </c>
      <c r="B70" s="34">
        <v>1</v>
      </c>
      <c r="C70" s="34" t="s">
        <v>1632</v>
      </c>
      <c r="D70" s="34" t="s">
        <v>1651</v>
      </c>
      <c r="E70" s="34">
        <v>0</v>
      </c>
      <c r="F70" s="34">
        <v>0.4</v>
      </c>
      <c r="G70" s="34" t="s">
        <v>1634</v>
      </c>
      <c r="H70" s="34">
        <v>100</v>
      </c>
      <c r="I70" s="34">
        <v>110</v>
      </c>
    </row>
    <row r="71" spans="1:9" x14ac:dyDescent="0.3">
      <c r="A71" s="34">
        <v>5986</v>
      </c>
      <c r="B71" s="34">
        <v>1</v>
      </c>
      <c r="C71" s="34" t="s">
        <v>1632</v>
      </c>
      <c r="D71" s="34" t="s">
        <v>1651</v>
      </c>
      <c r="E71" s="34">
        <v>0</v>
      </c>
      <c r="F71" s="34">
        <v>0.65</v>
      </c>
      <c r="G71" s="34" t="s">
        <v>1648</v>
      </c>
      <c r="H71" s="34">
        <v>500</v>
      </c>
      <c r="I71" s="34">
        <v>110</v>
      </c>
    </row>
    <row r="72" spans="1:9" x14ac:dyDescent="0.3">
      <c r="A72" s="34">
        <v>5987</v>
      </c>
      <c r="B72" s="34">
        <v>1</v>
      </c>
      <c r="C72" s="34" t="s">
        <v>1632</v>
      </c>
      <c r="D72" s="34" t="s">
        <v>1652</v>
      </c>
      <c r="E72" s="34">
        <v>0</v>
      </c>
      <c r="F72" s="34">
        <v>0.65</v>
      </c>
      <c r="G72" s="34" t="s">
        <v>1648</v>
      </c>
      <c r="H72" s="34">
        <v>500</v>
      </c>
      <c r="I72" s="34">
        <v>110</v>
      </c>
    </row>
    <row r="73" spans="1:9" x14ac:dyDescent="0.3">
      <c r="A73" s="34">
        <v>5988</v>
      </c>
      <c r="B73" s="34">
        <v>1</v>
      </c>
      <c r="C73" s="34" t="s">
        <v>1632</v>
      </c>
      <c r="D73" s="34" t="s">
        <v>1652</v>
      </c>
      <c r="E73" s="34">
        <v>0</v>
      </c>
      <c r="F73" s="34">
        <v>0.4</v>
      </c>
      <c r="G73" s="34" t="s">
        <v>1634</v>
      </c>
      <c r="H73" s="34">
        <v>100</v>
      </c>
      <c r="I73" s="34">
        <v>110</v>
      </c>
    </row>
    <row r="74" spans="1:9" x14ac:dyDescent="0.3">
      <c r="A74" s="34">
        <v>5989</v>
      </c>
      <c r="B74" s="34">
        <v>1</v>
      </c>
      <c r="C74" s="34" t="s">
        <v>1632</v>
      </c>
      <c r="D74" s="34" t="s">
        <v>1653</v>
      </c>
      <c r="E74" s="34">
        <v>0</v>
      </c>
      <c r="F74" s="34">
        <v>0.3</v>
      </c>
      <c r="G74" s="34" t="s">
        <v>1634</v>
      </c>
      <c r="H74" s="34">
        <v>100</v>
      </c>
      <c r="I74" s="34">
        <v>110</v>
      </c>
    </row>
    <row r="75" spans="1:9" x14ac:dyDescent="0.3">
      <c r="A75" s="34">
        <v>5990</v>
      </c>
      <c r="B75" s="34">
        <v>1</v>
      </c>
      <c r="C75" s="34" t="s">
        <v>1632</v>
      </c>
      <c r="D75" s="34" t="s">
        <v>1653</v>
      </c>
      <c r="E75" s="34">
        <v>0</v>
      </c>
      <c r="F75" s="34">
        <v>0.45</v>
      </c>
      <c r="G75" s="34" t="s">
        <v>1648</v>
      </c>
      <c r="H75" s="34">
        <v>500</v>
      </c>
      <c r="I75" s="34">
        <v>110</v>
      </c>
    </row>
    <row r="76" spans="1:9" x14ac:dyDescent="0.3">
      <c r="A76" s="34">
        <v>5991</v>
      </c>
      <c r="B76" s="34">
        <v>1</v>
      </c>
      <c r="C76" s="34" t="s">
        <v>1632</v>
      </c>
      <c r="D76" s="34" t="s">
        <v>1654</v>
      </c>
      <c r="E76" s="34">
        <v>0</v>
      </c>
      <c r="F76" s="34">
        <v>0.45</v>
      </c>
      <c r="G76" s="34" t="s">
        <v>1648</v>
      </c>
      <c r="H76" s="34">
        <v>500</v>
      </c>
      <c r="I76" s="34">
        <v>110</v>
      </c>
    </row>
    <row r="77" spans="1:9" x14ac:dyDescent="0.3">
      <c r="A77" s="34">
        <v>5992</v>
      </c>
      <c r="B77" s="34">
        <v>1</v>
      </c>
      <c r="C77" s="34" t="s">
        <v>1632</v>
      </c>
      <c r="D77" s="34" t="s">
        <v>1654</v>
      </c>
      <c r="E77" s="34">
        <v>0</v>
      </c>
      <c r="F77" s="34">
        <v>0.3</v>
      </c>
      <c r="G77" s="34" t="s">
        <v>1634</v>
      </c>
      <c r="H77" s="34">
        <v>100</v>
      </c>
      <c r="I77" s="34">
        <v>110</v>
      </c>
    </row>
    <row r="78" spans="1:9" x14ac:dyDescent="0.3">
      <c r="A78" s="34">
        <v>5993</v>
      </c>
      <c r="B78" s="34">
        <v>1</v>
      </c>
      <c r="C78" s="34" t="s">
        <v>1632</v>
      </c>
      <c r="D78" s="34" t="s">
        <v>1655</v>
      </c>
      <c r="E78" s="34">
        <v>0</v>
      </c>
      <c r="F78" s="34">
        <v>0.3</v>
      </c>
      <c r="G78" s="34" t="s">
        <v>1634</v>
      </c>
      <c r="H78" s="34">
        <v>100</v>
      </c>
      <c r="I78" s="34">
        <v>110</v>
      </c>
    </row>
    <row r="79" spans="1:9" x14ac:dyDescent="0.3">
      <c r="A79" s="34">
        <v>5994</v>
      </c>
      <c r="B79" s="34">
        <v>1</v>
      </c>
      <c r="C79" s="34" t="s">
        <v>1632</v>
      </c>
      <c r="D79" s="34" t="s">
        <v>1655</v>
      </c>
      <c r="E79" s="34">
        <v>0</v>
      </c>
      <c r="F79" s="34">
        <v>0.45</v>
      </c>
      <c r="G79" s="34" t="s">
        <v>1648</v>
      </c>
      <c r="H79" s="34">
        <v>500</v>
      </c>
      <c r="I79" s="34">
        <v>110</v>
      </c>
    </row>
    <row r="80" spans="1:9" x14ac:dyDescent="0.3">
      <c r="A80" s="34">
        <v>5995</v>
      </c>
      <c r="B80" s="34">
        <v>1</v>
      </c>
      <c r="C80" s="34" t="s">
        <v>1632</v>
      </c>
      <c r="D80" s="34" t="s">
        <v>1656</v>
      </c>
      <c r="E80" s="34">
        <v>0</v>
      </c>
      <c r="F80" s="34">
        <v>0.3</v>
      </c>
      <c r="G80" s="34" t="s">
        <v>1634</v>
      </c>
      <c r="H80" s="34">
        <v>100</v>
      </c>
      <c r="I80" s="34">
        <v>110</v>
      </c>
    </row>
    <row r="81" spans="1:9" x14ac:dyDescent="0.3">
      <c r="A81" s="34">
        <v>5996</v>
      </c>
      <c r="B81" s="34">
        <v>1</v>
      </c>
      <c r="C81" s="34" t="s">
        <v>1632</v>
      </c>
      <c r="D81" s="34" t="s">
        <v>1657</v>
      </c>
      <c r="E81" s="34">
        <v>0</v>
      </c>
      <c r="F81" s="34">
        <v>0.2</v>
      </c>
      <c r="G81" s="34" t="s">
        <v>1634</v>
      </c>
      <c r="H81" s="34">
        <v>100</v>
      </c>
      <c r="I81" s="34">
        <v>110</v>
      </c>
    </row>
    <row r="82" spans="1:9" x14ac:dyDescent="0.3">
      <c r="A82" s="34">
        <v>5997</v>
      </c>
      <c r="B82" s="34">
        <v>1</v>
      </c>
      <c r="C82" s="34" t="s">
        <v>1632</v>
      </c>
      <c r="D82" s="34" t="s">
        <v>1658</v>
      </c>
      <c r="E82" s="34">
        <v>0</v>
      </c>
      <c r="F82" s="34">
        <v>0.2</v>
      </c>
      <c r="G82" s="34" t="s">
        <v>1634</v>
      </c>
      <c r="H82" s="34">
        <v>100</v>
      </c>
      <c r="I82" s="34">
        <v>110</v>
      </c>
    </row>
    <row r="83" spans="1:9" x14ac:dyDescent="0.3">
      <c r="A83" s="34">
        <v>5998</v>
      </c>
      <c r="B83" s="34">
        <v>1</v>
      </c>
      <c r="C83" s="34" t="s">
        <v>1632</v>
      </c>
      <c r="D83" s="34" t="s">
        <v>1659</v>
      </c>
      <c r="E83" s="34">
        <v>0</v>
      </c>
      <c r="F83" s="34">
        <v>0.2</v>
      </c>
      <c r="G83" s="34" t="s">
        <v>1634</v>
      </c>
      <c r="H83" s="34">
        <v>100</v>
      </c>
      <c r="I83" s="34">
        <v>110</v>
      </c>
    </row>
    <row r="84" spans="1:9" x14ac:dyDescent="0.3">
      <c r="A84" s="34">
        <v>5999</v>
      </c>
      <c r="B84" s="34">
        <v>1</v>
      </c>
      <c r="C84" s="34" t="s">
        <v>1632</v>
      </c>
      <c r="D84" s="34" t="s">
        <v>1660</v>
      </c>
      <c r="E84" s="34">
        <v>0</v>
      </c>
      <c r="F84" s="34">
        <v>0.2</v>
      </c>
      <c r="G84" s="34" t="s">
        <v>1634</v>
      </c>
      <c r="H84" s="34">
        <v>100</v>
      </c>
      <c r="I84" s="34">
        <v>110</v>
      </c>
    </row>
    <row r="85" spans="1:9" x14ac:dyDescent="0.3">
      <c r="A85" s="34">
        <v>6000</v>
      </c>
      <c r="B85" s="34">
        <v>1</v>
      </c>
      <c r="C85" s="34" t="s">
        <v>1632</v>
      </c>
      <c r="D85" s="34" t="s">
        <v>1656</v>
      </c>
      <c r="E85" s="34">
        <v>0</v>
      </c>
      <c r="F85" s="34">
        <v>0.45</v>
      </c>
      <c r="G85" s="34" t="s">
        <v>1648</v>
      </c>
      <c r="H85" s="34">
        <v>500</v>
      </c>
      <c r="I85" s="34">
        <v>110</v>
      </c>
    </row>
    <row r="86" spans="1:9" x14ac:dyDescent="0.3">
      <c r="A86" s="34">
        <v>6001</v>
      </c>
      <c r="B86" s="34">
        <v>1</v>
      </c>
      <c r="C86" s="34" t="s">
        <v>1632</v>
      </c>
      <c r="D86" s="34" t="s">
        <v>1657</v>
      </c>
      <c r="E86" s="34">
        <v>0</v>
      </c>
      <c r="F86" s="34">
        <v>0.35</v>
      </c>
      <c r="G86" s="34" t="s">
        <v>1648</v>
      </c>
      <c r="H86" s="34">
        <v>500</v>
      </c>
      <c r="I86" s="34">
        <v>110</v>
      </c>
    </row>
    <row r="87" spans="1:9" x14ac:dyDescent="0.3">
      <c r="A87" s="34">
        <v>6002</v>
      </c>
      <c r="B87" s="34">
        <v>1</v>
      </c>
      <c r="C87" s="34" t="s">
        <v>1632</v>
      </c>
      <c r="D87" s="34" t="s">
        <v>1658</v>
      </c>
      <c r="E87" s="34">
        <v>0</v>
      </c>
      <c r="F87" s="34">
        <v>0.35</v>
      </c>
      <c r="G87" s="34" t="s">
        <v>1648</v>
      </c>
      <c r="H87" s="34">
        <v>500</v>
      </c>
      <c r="I87" s="34">
        <v>110</v>
      </c>
    </row>
    <row r="88" spans="1:9" x14ac:dyDescent="0.3">
      <c r="A88" s="34">
        <v>6003</v>
      </c>
      <c r="B88" s="34">
        <v>1</v>
      </c>
      <c r="C88" s="34" t="s">
        <v>1632</v>
      </c>
      <c r="D88" s="34" t="s">
        <v>1659</v>
      </c>
      <c r="E88" s="34">
        <v>0</v>
      </c>
      <c r="F88" s="34">
        <v>0.35</v>
      </c>
      <c r="G88" s="34" t="s">
        <v>1648</v>
      </c>
      <c r="H88" s="34">
        <v>500</v>
      </c>
      <c r="I88" s="34">
        <v>110</v>
      </c>
    </row>
    <row r="89" spans="1:9" x14ac:dyDescent="0.3">
      <c r="A89" s="34">
        <v>6004</v>
      </c>
      <c r="B89" s="34">
        <v>1</v>
      </c>
      <c r="C89" s="34" t="s">
        <v>1632</v>
      </c>
      <c r="D89" s="34" t="s">
        <v>1660</v>
      </c>
      <c r="E89" s="34">
        <v>0</v>
      </c>
      <c r="F89" s="34">
        <v>0.35</v>
      </c>
      <c r="G89" s="34" t="s">
        <v>1648</v>
      </c>
      <c r="H89" s="34">
        <v>500</v>
      </c>
      <c r="I89" s="34">
        <v>110</v>
      </c>
    </row>
    <row r="90" spans="1:9" x14ac:dyDescent="0.3">
      <c r="A90" s="34">
        <v>6005</v>
      </c>
      <c r="B90" s="34">
        <v>1</v>
      </c>
      <c r="C90" s="34" t="s">
        <v>1632</v>
      </c>
      <c r="D90" s="34" t="s">
        <v>1661</v>
      </c>
      <c r="E90" s="34">
        <v>0</v>
      </c>
      <c r="F90" s="34">
        <v>0.45</v>
      </c>
      <c r="G90" s="34" t="s">
        <v>1634</v>
      </c>
      <c r="H90" s="34">
        <v>100</v>
      </c>
      <c r="I90" s="34">
        <v>110</v>
      </c>
    </row>
    <row r="91" spans="1:9" x14ac:dyDescent="0.3">
      <c r="A91" s="34">
        <v>6006</v>
      </c>
      <c r="B91" s="34">
        <v>1</v>
      </c>
      <c r="C91" s="34" t="s">
        <v>1632</v>
      </c>
      <c r="D91" s="34" t="s">
        <v>1661</v>
      </c>
      <c r="E91" s="34">
        <v>0</v>
      </c>
      <c r="F91" s="34">
        <v>0.45</v>
      </c>
      <c r="G91" s="34" t="s">
        <v>1648</v>
      </c>
      <c r="H91" s="34">
        <v>500</v>
      </c>
      <c r="I91" s="34">
        <v>110</v>
      </c>
    </row>
    <row r="92" spans="1:9" x14ac:dyDescent="0.3">
      <c r="A92" s="34">
        <v>6007</v>
      </c>
      <c r="B92" s="34">
        <v>1</v>
      </c>
      <c r="C92" s="34" t="s">
        <v>1662</v>
      </c>
      <c r="D92" s="34" t="s">
        <v>130</v>
      </c>
      <c r="E92" s="34">
        <v>0</v>
      </c>
      <c r="F92" s="34">
        <v>0.5</v>
      </c>
      <c r="G92" s="34"/>
      <c r="H92" s="34">
        <v>0</v>
      </c>
      <c r="I92" s="34">
        <v>110</v>
      </c>
    </row>
    <row r="93" spans="1:9" x14ac:dyDescent="0.3">
      <c r="A93" s="34">
        <v>6008</v>
      </c>
      <c r="B93" s="34">
        <v>1</v>
      </c>
      <c r="C93" s="34" t="s">
        <v>1662</v>
      </c>
      <c r="D93" s="34" t="s">
        <v>1624</v>
      </c>
      <c r="E93" s="34">
        <v>0</v>
      </c>
      <c r="F93" s="34">
        <v>0.3</v>
      </c>
      <c r="G93" s="34"/>
      <c r="H93" s="34">
        <v>0</v>
      </c>
      <c r="I93" s="34">
        <v>110</v>
      </c>
    </row>
    <row r="94" spans="1:9" x14ac:dyDescent="0.3">
      <c r="A94" s="34">
        <v>6009</v>
      </c>
      <c r="B94" s="34">
        <v>1</v>
      </c>
      <c r="C94" s="34" t="s">
        <v>1662</v>
      </c>
      <c r="D94" s="34" t="s">
        <v>1625</v>
      </c>
      <c r="E94" s="34">
        <v>0</v>
      </c>
      <c r="F94" s="34">
        <v>0.7</v>
      </c>
      <c r="G94" s="34"/>
      <c r="H94" s="34">
        <v>0</v>
      </c>
      <c r="I94" s="34">
        <v>110</v>
      </c>
    </row>
    <row r="95" spans="1:9" x14ac:dyDescent="0.3">
      <c r="A95" s="34">
        <v>6010</v>
      </c>
      <c r="B95" s="34">
        <v>1</v>
      </c>
      <c r="C95" s="34" t="s">
        <v>1662</v>
      </c>
      <c r="D95" s="34" t="s">
        <v>1627</v>
      </c>
      <c r="E95" s="34">
        <v>0</v>
      </c>
      <c r="F95" s="34">
        <v>0.7</v>
      </c>
      <c r="G95" s="34"/>
      <c r="H95" s="34">
        <v>0</v>
      </c>
      <c r="I95" s="34">
        <v>110</v>
      </c>
    </row>
    <row r="96" spans="1:9" x14ac:dyDescent="0.3">
      <c r="A96" s="34">
        <v>6011</v>
      </c>
      <c r="B96" s="34">
        <v>1</v>
      </c>
      <c r="C96" s="34" t="s">
        <v>1662</v>
      </c>
      <c r="D96" s="34" t="s">
        <v>1626</v>
      </c>
      <c r="E96" s="34">
        <v>0</v>
      </c>
      <c r="F96" s="34">
        <v>0.3</v>
      </c>
      <c r="G96" s="34"/>
      <c r="H96" s="34">
        <v>0</v>
      </c>
      <c r="I96" s="34">
        <v>110</v>
      </c>
    </row>
    <row r="97" spans="1:81" x14ac:dyDescent="0.3">
      <c r="A97" s="34">
        <v>6012</v>
      </c>
      <c r="B97" s="34">
        <v>1</v>
      </c>
      <c r="C97" s="34" t="s">
        <v>1662</v>
      </c>
      <c r="D97" s="34" t="s">
        <v>1629</v>
      </c>
      <c r="E97" s="34">
        <v>0</v>
      </c>
      <c r="F97" s="34">
        <v>0.75</v>
      </c>
      <c r="G97" s="34"/>
      <c r="H97" s="34">
        <v>0</v>
      </c>
      <c r="I97" s="34">
        <v>110</v>
      </c>
    </row>
    <row r="98" spans="1:81" x14ac:dyDescent="0.3">
      <c r="A98" s="34">
        <v>6013</v>
      </c>
      <c r="B98" s="34">
        <v>1</v>
      </c>
      <c r="C98" s="34" t="s">
        <v>1662</v>
      </c>
      <c r="D98" s="34" t="s">
        <v>1623</v>
      </c>
      <c r="E98" s="34">
        <v>0</v>
      </c>
      <c r="F98" s="34">
        <v>0.15</v>
      </c>
      <c r="G98" s="34"/>
      <c r="H98" s="34">
        <v>0</v>
      </c>
      <c r="I98" s="34">
        <v>110</v>
      </c>
    </row>
    <row r="102" spans="1:81" x14ac:dyDescent="0.3">
      <c r="A102" s="34" t="s">
        <v>2</v>
      </c>
      <c r="B102" s="34" t="s">
        <v>3</v>
      </c>
      <c r="C102" s="34" t="s">
        <v>1315</v>
      </c>
      <c r="D102" s="34" t="s">
        <v>1389</v>
      </c>
      <c r="E102" s="34" t="s">
        <v>1390</v>
      </c>
      <c r="F102" s="34" t="s">
        <v>1391</v>
      </c>
      <c r="G102" s="34" t="s">
        <v>1392</v>
      </c>
      <c r="H102" s="34" t="s">
        <v>1393</v>
      </c>
      <c r="I102" s="34" t="s">
        <v>1394</v>
      </c>
      <c r="J102" s="34" t="s">
        <v>1395</v>
      </c>
      <c r="K102" s="34" t="s">
        <v>1396</v>
      </c>
      <c r="L102" s="34" t="s">
        <v>1397</v>
      </c>
      <c r="M102" s="34" t="s">
        <v>1398</v>
      </c>
      <c r="N102" s="34" t="s">
        <v>1399</v>
      </c>
      <c r="O102" s="34" t="s">
        <v>1400</v>
      </c>
      <c r="P102" s="34" t="s">
        <v>1401</v>
      </c>
      <c r="Q102" s="34" t="s">
        <v>1322</v>
      </c>
      <c r="R102" s="34" t="s">
        <v>1402</v>
      </c>
      <c r="S102" s="34" t="s">
        <v>1403</v>
      </c>
      <c r="T102" s="34" t="s">
        <v>1404</v>
      </c>
      <c r="U102" s="34" t="s">
        <v>1405</v>
      </c>
      <c r="V102" s="34" t="s">
        <v>1406</v>
      </c>
      <c r="W102" s="34" t="s">
        <v>1407</v>
      </c>
      <c r="X102" s="34" t="s">
        <v>1408</v>
      </c>
      <c r="Y102" s="34" t="s">
        <v>1409</v>
      </c>
      <c r="Z102" s="34" t="s">
        <v>1410</v>
      </c>
      <c r="AA102" s="34" t="s">
        <v>1411</v>
      </c>
      <c r="AB102" s="34" t="s">
        <v>1412</v>
      </c>
      <c r="AC102" s="34" t="s">
        <v>1413</v>
      </c>
      <c r="AD102" s="34" t="s">
        <v>1414</v>
      </c>
      <c r="AE102" s="34" t="s">
        <v>1415</v>
      </c>
      <c r="AF102" s="34" t="s">
        <v>1416</v>
      </c>
      <c r="AG102" s="34" t="s">
        <v>1417</v>
      </c>
      <c r="AH102" s="34" t="s">
        <v>1418</v>
      </c>
      <c r="AI102" s="34" t="s">
        <v>71</v>
      </c>
      <c r="AJ102" s="34" t="s">
        <v>1419</v>
      </c>
      <c r="AK102" s="34" t="s">
        <v>1420</v>
      </c>
      <c r="AL102" s="34" t="s">
        <v>1421</v>
      </c>
      <c r="AM102" s="34" t="s">
        <v>1422</v>
      </c>
      <c r="AN102" s="34" t="s">
        <v>1423</v>
      </c>
      <c r="AO102" s="34" t="s">
        <v>1424</v>
      </c>
      <c r="AP102" s="34" t="s">
        <v>1425</v>
      </c>
      <c r="AQ102" s="34" t="s">
        <v>1318</v>
      </c>
      <c r="AR102" s="34" t="s">
        <v>1426</v>
      </c>
      <c r="AS102" s="34" t="s">
        <v>1427</v>
      </c>
      <c r="AT102" s="34" t="s">
        <v>1428</v>
      </c>
      <c r="AU102" s="34" t="s">
        <v>1429</v>
      </c>
      <c r="AV102" s="34" t="s">
        <v>1430</v>
      </c>
      <c r="AW102" s="34" t="s">
        <v>1431</v>
      </c>
      <c r="AX102" s="34" t="s">
        <v>1432</v>
      </c>
      <c r="AY102" s="34" t="s">
        <v>1433</v>
      </c>
      <c r="AZ102" s="34" t="s">
        <v>1434</v>
      </c>
      <c r="BA102" s="34" t="s">
        <v>1435</v>
      </c>
      <c r="BB102" s="34" t="s">
        <v>1436</v>
      </c>
      <c r="BC102" s="34" t="s">
        <v>1437</v>
      </c>
      <c r="BD102" s="34" t="s">
        <v>1438</v>
      </c>
      <c r="BE102" s="34" t="s">
        <v>1439</v>
      </c>
      <c r="BF102" s="34" t="s">
        <v>0</v>
      </c>
      <c r="BG102" s="34" t="s">
        <v>1440</v>
      </c>
      <c r="BH102" s="34" t="s">
        <v>1441</v>
      </c>
      <c r="BI102" s="34" t="s">
        <v>14</v>
      </c>
      <c r="BJ102" s="34" t="s">
        <v>13</v>
      </c>
      <c r="BK102" s="34" t="s">
        <v>1316</v>
      </c>
      <c r="BL102" s="34" t="s">
        <v>35</v>
      </c>
      <c r="BM102" s="34" t="s">
        <v>1442</v>
      </c>
      <c r="BN102" s="34" t="s">
        <v>1443</v>
      </c>
      <c r="BO102" s="34" t="s">
        <v>1444</v>
      </c>
      <c r="BP102" s="34" t="s">
        <v>1445</v>
      </c>
      <c r="BQ102" s="34" t="s">
        <v>1446</v>
      </c>
      <c r="BR102" s="34" t="s">
        <v>1447</v>
      </c>
      <c r="BS102" s="34" t="s">
        <v>1448</v>
      </c>
      <c r="BT102" s="34" t="s">
        <v>1449</v>
      </c>
      <c r="BU102" s="34" t="s">
        <v>1450</v>
      </c>
      <c r="BV102" s="34" t="s">
        <v>1321</v>
      </c>
      <c r="BW102" s="34" t="s">
        <v>1451</v>
      </c>
      <c r="BX102" s="34" t="s">
        <v>1452</v>
      </c>
      <c r="BY102" s="34" t="s">
        <v>1317</v>
      </c>
      <c r="BZ102" s="34" t="s">
        <v>1320</v>
      </c>
      <c r="CA102" s="34" t="s">
        <v>1453</v>
      </c>
      <c r="CB102" s="34" t="s">
        <v>1323</v>
      </c>
      <c r="CC102" s="34" t="s">
        <v>1324</v>
      </c>
    </row>
    <row r="103" spans="1:81" x14ac:dyDescent="0.3">
      <c r="A103" s="34" t="s">
        <v>1563</v>
      </c>
      <c r="B103" s="34" t="s">
        <v>711</v>
      </c>
      <c r="C103" s="34" t="s">
        <v>1327</v>
      </c>
      <c r="D103" s="34"/>
      <c r="E103" s="35">
        <v>45405</v>
      </c>
      <c r="F103" s="35">
        <v>47212</v>
      </c>
      <c r="G103" s="34"/>
      <c r="H103" s="34" t="s">
        <v>1325</v>
      </c>
      <c r="I103" s="34">
        <v>0</v>
      </c>
      <c r="J103" s="34">
        <v>150000000</v>
      </c>
      <c r="K103" s="34" t="s">
        <v>123</v>
      </c>
      <c r="L103" s="34" t="s">
        <v>123</v>
      </c>
      <c r="M103" s="34" t="s">
        <v>123</v>
      </c>
      <c r="N103" s="34" t="s">
        <v>123</v>
      </c>
      <c r="O103" s="34">
        <v>101</v>
      </c>
      <c r="P103" s="34">
        <v>1.6666700000000001E-3</v>
      </c>
      <c r="Q103" s="34" t="s">
        <v>123</v>
      </c>
      <c r="R103" s="34" t="s">
        <v>123</v>
      </c>
      <c r="S103" s="34" t="s">
        <v>123</v>
      </c>
      <c r="T103" s="34" t="s">
        <v>123</v>
      </c>
      <c r="U103" s="34" t="s">
        <v>123</v>
      </c>
      <c r="V103" s="34" t="s">
        <v>123</v>
      </c>
      <c r="W103" s="34" t="s">
        <v>123</v>
      </c>
      <c r="X103" s="34" t="s">
        <v>123</v>
      </c>
      <c r="Y103" s="34" t="s">
        <v>123</v>
      </c>
      <c r="Z103" s="34">
        <v>0</v>
      </c>
      <c r="AA103" s="34" t="s">
        <v>123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714</v>
      </c>
      <c r="AG103" s="34" t="s">
        <v>123</v>
      </c>
      <c r="AH103" s="34" t="s">
        <v>123</v>
      </c>
      <c r="AI103" s="34" t="s">
        <v>123</v>
      </c>
      <c r="AJ103" s="34" t="s">
        <v>123</v>
      </c>
      <c r="AK103" s="34" t="s">
        <v>123</v>
      </c>
      <c r="AL103" s="34" t="s">
        <v>123</v>
      </c>
      <c r="AM103" s="34" t="s">
        <v>123</v>
      </c>
      <c r="AN103" s="34" t="s">
        <v>123</v>
      </c>
      <c r="AO103" s="34" t="s">
        <v>123</v>
      </c>
      <c r="AP103" s="34">
        <v>0</v>
      </c>
      <c r="AQ103" s="34" t="s">
        <v>123</v>
      </c>
      <c r="AR103" s="34">
        <v>5.6722120000000001E-2</v>
      </c>
      <c r="AS103" s="34"/>
      <c r="AT103" s="34" t="s">
        <v>123</v>
      </c>
      <c r="AU103" s="34">
        <v>110</v>
      </c>
      <c r="AV103" s="34" t="s">
        <v>1564</v>
      </c>
      <c r="AW103" s="34">
        <v>0</v>
      </c>
      <c r="AX103" s="34">
        <v>1432</v>
      </c>
      <c r="AY103" s="34" t="s">
        <v>1329</v>
      </c>
      <c r="AZ103" s="35">
        <v>45749</v>
      </c>
      <c r="BA103" s="35">
        <v>45749</v>
      </c>
      <c r="BB103" s="34" t="s">
        <v>123</v>
      </c>
      <c r="BC103" s="34" t="s">
        <v>123</v>
      </c>
      <c r="BD103" s="34" t="s">
        <v>123</v>
      </c>
      <c r="BE103" s="34" t="s">
        <v>139</v>
      </c>
      <c r="BF103" s="34">
        <v>151</v>
      </c>
      <c r="BG103" s="34">
        <v>0</v>
      </c>
      <c r="BH103" s="34">
        <v>2.3430280000000001E-2</v>
      </c>
      <c r="BI103" s="34" t="s">
        <v>150</v>
      </c>
      <c r="BJ103" s="34" t="s">
        <v>1328</v>
      </c>
      <c r="BK103" s="34">
        <v>2025</v>
      </c>
      <c r="BL103" s="34" t="s">
        <v>1456</v>
      </c>
      <c r="BM103" s="34"/>
      <c r="BN103" s="34">
        <v>0</v>
      </c>
      <c r="BO103" s="34" t="s">
        <v>1330</v>
      </c>
      <c r="BP103" s="34">
        <v>6.2164799999999999E-2</v>
      </c>
      <c r="BQ103" s="34" t="s">
        <v>1326</v>
      </c>
      <c r="BR103" s="35">
        <v>45749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151</v>
      </c>
      <c r="BY103" s="34">
        <v>0</v>
      </c>
      <c r="BZ103" s="34">
        <v>1</v>
      </c>
      <c r="CA103" s="34" t="s">
        <v>123</v>
      </c>
      <c r="CB103" s="34" t="s">
        <v>123</v>
      </c>
      <c r="CC103" s="34" t="s">
        <v>123</v>
      </c>
    </row>
    <row r="104" spans="1:81" x14ac:dyDescent="0.3">
      <c r="A104" s="34" t="s">
        <v>1565</v>
      </c>
      <c r="B104" s="34" t="s">
        <v>1120</v>
      </c>
      <c r="C104" s="34" t="s">
        <v>1331</v>
      </c>
      <c r="D104" s="34"/>
      <c r="E104" s="35">
        <v>45686</v>
      </c>
      <c r="F104" s="35">
        <v>46850</v>
      </c>
      <c r="G104" s="34"/>
      <c r="H104" s="34" t="s">
        <v>1325</v>
      </c>
      <c r="I104" s="34">
        <v>5000000</v>
      </c>
      <c r="J104" s="34">
        <v>5000000</v>
      </c>
      <c r="K104" s="34" t="s">
        <v>123</v>
      </c>
      <c r="L104" s="34" t="s">
        <v>123</v>
      </c>
      <c r="M104" s="34" t="s">
        <v>123</v>
      </c>
      <c r="N104" s="34" t="s">
        <v>123</v>
      </c>
      <c r="O104" s="34">
        <v>100.2</v>
      </c>
      <c r="P104" s="34">
        <v>8.3333299999999999E-3</v>
      </c>
      <c r="Q104" s="34" t="s">
        <v>123</v>
      </c>
      <c r="R104" s="34" t="s">
        <v>123</v>
      </c>
      <c r="S104" s="34" t="s">
        <v>123</v>
      </c>
      <c r="T104" s="34" t="s">
        <v>123</v>
      </c>
      <c r="U104" s="34" t="s">
        <v>123</v>
      </c>
      <c r="V104" s="34" t="s">
        <v>123</v>
      </c>
      <c r="W104" s="34" t="s">
        <v>123</v>
      </c>
      <c r="X104" s="34" t="s">
        <v>123</v>
      </c>
      <c r="Y104" s="34" t="s">
        <v>123</v>
      </c>
      <c r="Z104" s="34">
        <v>0</v>
      </c>
      <c r="AA104" s="34" t="s">
        <v>123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1121</v>
      </c>
      <c r="AG104" s="34" t="s">
        <v>123</v>
      </c>
      <c r="AH104" s="34" t="s">
        <v>123</v>
      </c>
      <c r="AI104" s="34" t="s">
        <v>123</v>
      </c>
      <c r="AJ104" s="34" t="s">
        <v>123</v>
      </c>
      <c r="AK104" s="34" t="s">
        <v>123</v>
      </c>
      <c r="AL104" s="34" t="s">
        <v>123</v>
      </c>
      <c r="AM104" s="34" t="s">
        <v>123</v>
      </c>
      <c r="AN104" s="34" t="s">
        <v>123</v>
      </c>
      <c r="AO104" s="34" t="s">
        <v>123</v>
      </c>
      <c r="AP104" s="34">
        <v>0</v>
      </c>
      <c r="AQ104" s="34" t="s">
        <v>123</v>
      </c>
      <c r="AR104" s="34">
        <v>0.10367698</v>
      </c>
      <c r="AS104" s="34"/>
      <c r="AT104" s="34" t="s">
        <v>123</v>
      </c>
      <c r="AU104" s="34">
        <v>110</v>
      </c>
      <c r="AV104" s="34" t="s">
        <v>1566</v>
      </c>
      <c r="AW104" s="34">
        <v>0</v>
      </c>
      <c r="AX104" s="34">
        <v>1433</v>
      </c>
      <c r="AY104" s="34" t="s">
        <v>1333</v>
      </c>
      <c r="AZ104" s="35">
        <v>45751</v>
      </c>
      <c r="BA104" s="35">
        <v>45751</v>
      </c>
      <c r="BB104" s="34" t="s">
        <v>123</v>
      </c>
      <c r="BC104" s="34" t="s">
        <v>123</v>
      </c>
      <c r="BD104" s="34" t="s">
        <v>123</v>
      </c>
      <c r="BE104" s="34" t="s">
        <v>1334</v>
      </c>
      <c r="BF104" s="34">
        <v>268</v>
      </c>
      <c r="BG104" s="34">
        <v>0</v>
      </c>
      <c r="BH104" s="34">
        <v>6.6102750000000002E-2</v>
      </c>
      <c r="BI104" s="34" t="s">
        <v>159</v>
      </c>
      <c r="BJ104" s="34" t="s">
        <v>1332</v>
      </c>
      <c r="BK104" s="34">
        <v>2025</v>
      </c>
      <c r="BL104" s="34" t="s">
        <v>1456</v>
      </c>
      <c r="BM104" s="34"/>
      <c r="BN104" s="34">
        <v>0</v>
      </c>
      <c r="BO104" s="34" t="s">
        <v>1330</v>
      </c>
      <c r="BP104" s="34">
        <v>0.10476479</v>
      </c>
      <c r="BQ104" s="34" t="s">
        <v>1326</v>
      </c>
      <c r="BR104" s="35">
        <v>45751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268</v>
      </c>
      <c r="BY104" s="34">
        <v>0</v>
      </c>
      <c r="BZ104" s="34">
        <v>1</v>
      </c>
      <c r="CA104" s="34" t="s">
        <v>123</v>
      </c>
      <c r="CB104" s="34" t="s">
        <v>123</v>
      </c>
      <c r="CC104" s="34" t="s">
        <v>123</v>
      </c>
    </row>
    <row r="105" spans="1:81" x14ac:dyDescent="0.3">
      <c r="A105" s="34" t="s">
        <v>1567</v>
      </c>
      <c r="B105" s="34" t="s">
        <v>668</v>
      </c>
      <c r="C105" s="34" t="s">
        <v>1335</v>
      </c>
      <c r="D105" s="34"/>
      <c r="E105" s="35">
        <v>45252</v>
      </c>
      <c r="F105" s="35">
        <v>46395</v>
      </c>
      <c r="G105" s="34"/>
      <c r="H105" s="34" t="s">
        <v>1325</v>
      </c>
      <c r="I105" s="34">
        <v>0</v>
      </c>
      <c r="J105" s="34">
        <v>600000000</v>
      </c>
      <c r="K105" s="34" t="s">
        <v>123</v>
      </c>
      <c r="L105" s="34" t="s">
        <v>123</v>
      </c>
      <c r="M105" s="34" t="s">
        <v>123</v>
      </c>
      <c r="N105" s="34" t="s">
        <v>123</v>
      </c>
      <c r="O105" s="34">
        <v>102.85</v>
      </c>
      <c r="P105" s="34">
        <v>1.25E-3</v>
      </c>
      <c r="Q105" s="34" t="s">
        <v>123</v>
      </c>
      <c r="R105" s="34" t="s">
        <v>123</v>
      </c>
      <c r="S105" s="34" t="s">
        <v>123</v>
      </c>
      <c r="T105" s="34" t="s">
        <v>123</v>
      </c>
      <c r="U105" s="34" t="s">
        <v>123</v>
      </c>
      <c r="V105" s="34" t="s">
        <v>123</v>
      </c>
      <c r="W105" s="34" t="s">
        <v>123</v>
      </c>
      <c r="X105" s="34" t="s">
        <v>123</v>
      </c>
      <c r="Y105" s="34" t="s">
        <v>123</v>
      </c>
      <c r="Z105" s="34">
        <v>0</v>
      </c>
      <c r="AA105" s="34" t="s">
        <v>123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671</v>
      </c>
      <c r="AG105" s="34" t="s">
        <v>123</v>
      </c>
      <c r="AH105" s="34" t="s">
        <v>123</v>
      </c>
      <c r="AI105" s="34" t="s">
        <v>123</v>
      </c>
      <c r="AJ105" s="34" t="s">
        <v>123</v>
      </c>
      <c r="AK105" s="34" t="s">
        <v>123</v>
      </c>
      <c r="AL105" s="34" t="s">
        <v>123</v>
      </c>
      <c r="AM105" s="34" t="s">
        <v>123</v>
      </c>
      <c r="AN105" s="34" t="s">
        <v>123</v>
      </c>
      <c r="AO105" s="34" t="s">
        <v>123</v>
      </c>
      <c r="AP105" s="34">
        <v>0</v>
      </c>
      <c r="AQ105" s="34" t="s">
        <v>123</v>
      </c>
      <c r="AR105" s="34">
        <v>7.6703099999999996E-2</v>
      </c>
      <c r="AS105" s="34"/>
      <c r="AT105" s="34" t="s">
        <v>123</v>
      </c>
      <c r="AU105" s="34">
        <v>110</v>
      </c>
      <c r="AV105" s="34" t="s">
        <v>1568</v>
      </c>
      <c r="AW105" s="34">
        <v>0</v>
      </c>
      <c r="AX105" s="34">
        <v>1434</v>
      </c>
      <c r="AY105" s="34" t="s">
        <v>1333</v>
      </c>
      <c r="AZ105" s="35">
        <v>45751</v>
      </c>
      <c r="BA105" s="35">
        <v>45751</v>
      </c>
      <c r="BB105" s="34" t="s">
        <v>123</v>
      </c>
      <c r="BC105" s="34" t="s">
        <v>123</v>
      </c>
      <c r="BD105" s="34" t="s">
        <v>123</v>
      </c>
      <c r="BE105" s="34" t="s">
        <v>139</v>
      </c>
      <c r="BF105" s="34">
        <v>138</v>
      </c>
      <c r="BG105" s="34">
        <v>0</v>
      </c>
      <c r="BH105" s="34">
        <v>5.2493049999999999E-2</v>
      </c>
      <c r="BI105" s="34" t="s">
        <v>133</v>
      </c>
      <c r="BJ105" s="34" t="s">
        <v>1336</v>
      </c>
      <c r="BK105" s="34">
        <v>2025</v>
      </c>
      <c r="BL105" s="34" t="s">
        <v>1456</v>
      </c>
      <c r="BM105" s="34"/>
      <c r="BN105" s="34">
        <v>0</v>
      </c>
      <c r="BO105" s="34" t="s">
        <v>1330</v>
      </c>
      <c r="BP105" s="34">
        <v>9.06E-2</v>
      </c>
      <c r="BQ105" s="34" t="s">
        <v>1326</v>
      </c>
      <c r="BR105" s="35">
        <v>45751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138</v>
      </c>
      <c r="BY105" s="34">
        <v>0</v>
      </c>
      <c r="BZ105" s="34">
        <v>1</v>
      </c>
      <c r="CA105" s="34" t="s">
        <v>123</v>
      </c>
      <c r="CB105" s="34" t="s">
        <v>123</v>
      </c>
      <c r="CC105" s="34" t="s">
        <v>123</v>
      </c>
    </row>
    <row r="106" spans="1:81" x14ac:dyDescent="0.3">
      <c r="A106" s="34" t="s">
        <v>1569</v>
      </c>
      <c r="B106" s="34" t="s">
        <v>856</v>
      </c>
      <c r="C106" s="34" t="s">
        <v>1337</v>
      </c>
      <c r="D106" s="34"/>
      <c r="E106" s="35">
        <v>44650</v>
      </c>
      <c r="F106" s="35">
        <v>46119</v>
      </c>
      <c r="G106" s="34"/>
      <c r="H106" s="34" t="s">
        <v>1325</v>
      </c>
      <c r="I106" s="34">
        <v>0</v>
      </c>
      <c r="J106" s="34">
        <v>100000000</v>
      </c>
      <c r="K106" s="34" t="s">
        <v>123</v>
      </c>
      <c r="L106" s="34" t="s">
        <v>123</v>
      </c>
      <c r="M106" s="34" t="s">
        <v>123</v>
      </c>
      <c r="N106" s="34" t="s">
        <v>123</v>
      </c>
      <c r="O106" s="34">
        <v>101</v>
      </c>
      <c r="P106" s="34">
        <v>2.08333E-3</v>
      </c>
      <c r="Q106" s="34" t="s">
        <v>123</v>
      </c>
      <c r="R106" s="34" t="s">
        <v>123</v>
      </c>
      <c r="S106" s="34" t="s">
        <v>123</v>
      </c>
      <c r="T106" s="34" t="s">
        <v>123</v>
      </c>
      <c r="U106" s="34" t="s">
        <v>123</v>
      </c>
      <c r="V106" s="34" t="s">
        <v>123</v>
      </c>
      <c r="W106" s="34" t="s">
        <v>123</v>
      </c>
      <c r="X106" s="34" t="s">
        <v>123</v>
      </c>
      <c r="Y106" s="34" t="s">
        <v>123</v>
      </c>
      <c r="Z106" s="34">
        <v>0</v>
      </c>
      <c r="AA106" s="34" t="s">
        <v>123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858</v>
      </c>
      <c r="AG106" s="34" t="s">
        <v>123</v>
      </c>
      <c r="AH106" s="34" t="s">
        <v>123</v>
      </c>
      <c r="AI106" s="34" t="s">
        <v>123</v>
      </c>
      <c r="AJ106" s="34" t="s">
        <v>123</v>
      </c>
      <c r="AK106" s="34" t="s">
        <v>123</v>
      </c>
      <c r="AL106" s="34" t="s">
        <v>123</v>
      </c>
      <c r="AM106" s="34" t="s">
        <v>123</v>
      </c>
      <c r="AN106" s="34" t="s">
        <v>123</v>
      </c>
      <c r="AO106" s="34" t="s">
        <v>123</v>
      </c>
      <c r="AP106" s="34">
        <v>0</v>
      </c>
      <c r="AQ106" s="34" t="s">
        <v>123</v>
      </c>
      <c r="AR106" s="34">
        <v>5.962858E-2</v>
      </c>
      <c r="AS106" s="34"/>
      <c r="AT106" s="34" t="s">
        <v>123</v>
      </c>
      <c r="AU106" s="34">
        <v>110</v>
      </c>
      <c r="AV106" s="34" t="s">
        <v>1570</v>
      </c>
      <c r="AW106" s="34">
        <v>0</v>
      </c>
      <c r="AX106" s="34">
        <v>1435</v>
      </c>
      <c r="AY106" s="34" t="s">
        <v>1333</v>
      </c>
      <c r="AZ106" s="35">
        <v>45751</v>
      </c>
      <c r="BA106" s="35">
        <v>45751</v>
      </c>
      <c r="BB106" s="34" t="s">
        <v>123</v>
      </c>
      <c r="BC106" s="34" t="s">
        <v>123</v>
      </c>
      <c r="BD106" s="34" t="s">
        <v>123</v>
      </c>
      <c r="BE106" s="34" t="s">
        <v>139</v>
      </c>
      <c r="BF106" s="34">
        <v>196</v>
      </c>
      <c r="BG106" s="34">
        <v>0</v>
      </c>
      <c r="BH106" s="34">
        <v>2.8000799999999999E-2</v>
      </c>
      <c r="BI106" s="34" t="s">
        <v>167</v>
      </c>
      <c r="BJ106" s="34" t="s">
        <v>1338</v>
      </c>
      <c r="BK106" s="34">
        <v>2025</v>
      </c>
      <c r="BL106" s="34" t="s">
        <v>1456</v>
      </c>
      <c r="BM106" s="34"/>
      <c r="BN106" s="34">
        <v>0</v>
      </c>
      <c r="BO106" s="34" t="s">
        <v>1330</v>
      </c>
      <c r="BP106" s="34">
        <v>6.6600000000000006E-2</v>
      </c>
      <c r="BQ106" s="34" t="s">
        <v>1326</v>
      </c>
      <c r="BR106" s="35">
        <v>45751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196</v>
      </c>
      <c r="BY106" s="34">
        <v>0</v>
      </c>
      <c r="BZ106" s="34">
        <v>1</v>
      </c>
      <c r="CA106" s="34" t="s">
        <v>123</v>
      </c>
      <c r="CB106" s="34" t="s">
        <v>123</v>
      </c>
      <c r="CC106" s="34" t="s">
        <v>123</v>
      </c>
    </row>
    <row r="107" spans="1:81" x14ac:dyDescent="0.3">
      <c r="A107" s="34" t="s">
        <v>1454</v>
      </c>
      <c r="B107" s="34" t="s">
        <v>1028</v>
      </c>
      <c r="C107" s="34" t="s">
        <v>1339</v>
      </c>
      <c r="D107" s="34"/>
      <c r="E107" s="35">
        <v>45267</v>
      </c>
      <c r="F107" s="35">
        <v>46363</v>
      </c>
      <c r="G107" s="34"/>
      <c r="H107" s="34" t="s">
        <v>1325</v>
      </c>
      <c r="I107" s="34">
        <v>0</v>
      </c>
      <c r="J107" s="34">
        <v>1000000000</v>
      </c>
      <c r="K107" s="34" t="s">
        <v>123</v>
      </c>
      <c r="L107" s="34" t="s">
        <v>123</v>
      </c>
      <c r="M107" s="34" t="s">
        <v>123</v>
      </c>
      <c r="N107" s="34" t="s">
        <v>123</v>
      </c>
      <c r="O107" s="34">
        <v>103.95</v>
      </c>
      <c r="P107" s="34">
        <v>8.3332999999999996E-4</v>
      </c>
      <c r="Q107" s="34" t="s">
        <v>123</v>
      </c>
      <c r="R107" s="34" t="s">
        <v>123</v>
      </c>
      <c r="S107" s="34" t="s">
        <v>123</v>
      </c>
      <c r="T107" s="34" t="s">
        <v>123</v>
      </c>
      <c r="U107" s="34" t="s">
        <v>123</v>
      </c>
      <c r="V107" s="34" t="s">
        <v>123</v>
      </c>
      <c r="W107" s="34" t="s">
        <v>123</v>
      </c>
      <c r="X107" s="34" t="s">
        <v>123</v>
      </c>
      <c r="Y107" s="34" t="s">
        <v>123</v>
      </c>
      <c r="Z107" s="34">
        <v>0</v>
      </c>
      <c r="AA107" s="34" t="s">
        <v>123</v>
      </c>
      <c r="AB107" s="34">
        <v>0</v>
      </c>
      <c r="AC107" s="34">
        <v>1</v>
      </c>
      <c r="AD107" s="34" t="s">
        <v>123</v>
      </c>
      <c r="AE107" s="34" t="s">
        <v>123</v>
      </c>
      <c r="AF107" s="34" t="s">
        <v>1029</v>
      </c>
      <c r="AG107" s="34" t="s">
        <v>123</v>
      </c>
      <c r="AH107" s="34" t="s">
        <v>123</v>
      </c>
      <c r="AI107" s="34" t="s">
        <v>123</v>
      </c>
      <c r="AJ107" s="34" t="s">
        <v>123</v>
      </c>
      <c r="AK107" s="34" t="s">
        <v>123</v>
      </c>
      <c r="AL107" s="34" t="s">
        <v>123</v>
      </c>
      <c r="AM107" s="34" t="s">
        <v>123</v>
      </c>
      <c r="AN107" s="34" t="s">
        <v>123</v>
      </c>
      <c r="AO107" s="34" t="s">
        <v>123</v>
      </c>
      <c r="AP107" s="34">
        <v>0</v>
      </c>
      <c r="AQ107" s="34" t="s">
        <v>123</v>
      </c>
      <c r="AR107" s="34">
        <v>7.1253140000000006E-2</v>
      </c>
      <c r="AS107" s="34"/>
      <c r="AT107" s="34" t="s">
        <v>123</v>
      </c>
      <c r="AU107" s="34">
        <v>110</v>
      </c>
      <c r="AV107" s="34" t="s">
        <v>1455</v>
      </c>
      <c r="AW107" s="34">
        <v>0</v>
      </c>
      <c r="AX107" s="34">
        <v>1436</v>
      </c>
      <c r="AY107" s="34" t="s">
        <v>1329</v>
      </c>
      <c r="AZ107" s="35">
        <v>45751</v>
      </c>
      <c r="BA107" s="35">
        <v>45751</v>
      </c>
      <c r="BB107" s="34" t="s">
        <v>123</v>
      </c>
      <c r="BC107" s="34" t="s">
        <v>123</v>
      </c>
      <c r="BD107" s="34" t="s">
        <v>123</v>
      </c>
      <c r="BE107" s="34" t="s">
        <v>139</v>
      </c>
      <c r="BF107" s="34">
        <v>243</v>
      </c>
      <c r="BG107" s="34">
        <v>0</v>
      </c>
      <c r="BH107" s="34">
        <v>5.500062E-2</v>
      </c>
      <c r="BI107" s="34" t="s">
        <v>528</v>
      </c>
      <c r="BJ107" s="34" t="s">
        <v>1340</v>
      </c>
      <c r="BK107" s="34">
        <v>2024</v>
      </c>
      <c r="BL107" s="34" t="s">
        <v>1456</v>
      </c>
      <c r="BM107" s="34"/>
      <c r="BN107" s="34">
        <v>0</v>
      </c>
      <c r="BO107" s="34" t="s">
        <v>1330</v>
      </c>
      <c r="BP107" s="34">
        <v>9.3200000000000005E-2</v>
      </c>
      <c r="BQ107" s="34" t="s">
        <v>1326</v>
      </c>
      <c r="BR107" s="35">
        <v>45751</v>
      </c>
      <c r="BS107" s="34">
        <v>0</v>
      </c>
      <c r="BT107" s="34" t="s">
        <v>123</v>
      </c>
      <c r="BU107" s="34">
        <v>0</v>
      </c>
      <c r="BV107" s="34">
        <v>250000</v>
      </c>
      <c r="BW107" s="34">
        <v>0</v>
      </c>
      <c r="BX107" s="34">
        <v>243</v>
      </c>
      <c r="BY107" s="34">
        <v>0</v>
      </c>
      <c r="BZ107" s="34">
        <v>1</v>
      </c>
      <c r="CA107" s="34" t="s">
        <v>123</v>
      </c>
      <c r="CB107" s="34" t="s">
        <v>123</v>
      </c>
      <c r="CC107" s="34" t="s">
        <v>123</v>
      </c>
    </row>
    <row r="108" spans="1:81" x14ac:dyDescent="0.3">
      <c r="A108" s="34" t="s">
        <v>1457</v>
      </c>
      <c r="B108" s="34" t="s">
        <v>625</v>
      </c>
      <c r="C108" s="34" t="s">
        <v>1341</v>
      </c>
      <c r="D108" s="34"/>
      <c r="E108" s="35">
        <v>45693</v>
      </c>
      <c r="F108" s="35">
        <v>46820</v>
      </c>
      <c r="G108" s="34"/>
      <c r="H108" s="34" t="s">
        <v>1325</v>
      </c>
      <c r="I108" s="34">
        <v>0</v>
      </c>
      <c r="J108" s="34">
        <v>300000000</v>
      </c>
      <c r="K108" s="34" t="s">
        <v>123</v>
      </c>
      <c r="L108" s="34" t="s">
        <v>123</v>
      </c>
      <c r="M108" s="34" t="s">
        <v>123</v>
      </c>
      <c r="N108" s="34" t="s">
        <v>123</v>
      </c>
      <c r="O108" s="34">
        <v>100.25</v>
      </c>
      <c r="P108" s="34">
        <v>8.3332999999999996E-4</v>
      </c>
      <c r="Q108" s="34" t="s">
        <v>123</v>
      </c>
      <c r="R108" s="34" t="s">
        <v>123</v>
      </c>
      <c r="S108" s="34" t="s">
        <v>123</v>
      </c>
      <c r="T108" s="34" t="s">
        <v>123</v>
      </c>
      <c r="U108" s="34" t="s">
        <v>123</v>
      </c>
      <c r="V108" s="34" t="s">
        <v>123</v>
      </c>
      <c r="W108" s="34" t="s">
        <v>123</v>
      </c>
      <c r="X108" s="34" t="s">
        <v>123</v>
      </c>
      <c r="Y108" s="34" t="s">
        <v>123</v>
      </c>
      <c r="Z108" s="34">
        <v>0</v>
      </c>
      <c r="AA108" s="34" t="s">
        <v>123</v>
      </c>
      <c r="AB108" s="34">
        <v>0</v>
      </c>
      <c r="AC108" s="34">
        <v>1</v>
      </c>
      <c r="AD108" s="34" t="s">
        <v>123</v>
      </c>
      <c r="AE108" s="34" t="s">
        <v>123</v>
      </c>
      <c r="AF108" s="34" t="s">
        <v>626</v>
      </c>
      <c r="AG108" s="34" t="s">
        <v>123</v>
      </c>
      <c r="AH108" s="34" t="s">
        <v>123</v>
      </c>
      <c r="AI108" s="34" t="s">
        <v>123</v>
      </c>
      <c r="AJ108" s="34" t="s">
        <v>123</v>
      </c>
      <c r="AK108" s="34" t="s">
        <v>123</v>
      </c>
      <c r="AL108" s="34" t="s">
        <v>123</v>
      </c>
      <c r="AM108" s="34" t="s">
        <v>123</v>
      </c>
      <c r="AN108" s="34" t="s">
        <v>123</v>
      </c>
      <c r="AO108" s="34" t="s">
        <v>123</v>
      </c>
      <c r="AP108" s="34">
        <v>0</v>
      </c>
      <c r="AQ108" s="34" t="s">
        <v>123</v>
      </c>
      <c r="AR108" s="34">
        <v>7.558753E-2</v>
      </c>
      <c r="AS108" s="34"/>
      <c r="AT108" s="34" t="s">
        <v>123</v>
      </c>
      <c r="AU108" s="34">
        <v>110</v>
      </c>
      <c r="AV108" s="34" t="s">
        <v>1458</v>
      </c>
      <c r="AW108" s="34">
        <v>0</v>
      </c>
      <c r="AX108" s="34">
        <v>1437</v>
      </c>
      <c r="AY108" s="34" t="s">
        <v>1333</v>
      </c>
      <c r="AZ108" s="35">
        <v>45755</v>
      </c>
      <c r="BA108" s="35">
        <v>45755</v>
      </c>
      <c r="BB108" s="34" t="s">
        <v>123</v>
      </c>
      <c r="BC108" s="34" t="s">
        <v>123</v>
      </c>
      <c r="BD108" s="34" t="s">
        <v>123</v>
      </c>
      <c r="BE108" s="34" t="s">
        <v>139</v>
      </c>
      <c r="BF108" s="34">
        <v>127</v>
      </c>
      <c r="BG108" s="34">
        <v>0</v>
      </c>
      <c r="BH108" s="34">
        <v>3.496664E-2</v>
      </c>
      <c r="BI108" s="34" t="s">
        <v>159</v>
      </c>
      <c r="BJ108" s="34" t="s">
        <v>1336</v>
      </c>
      <c r="BK108" s="34"/>
      <c r="BL108" s="34" t="s">
        <v>1456</v>
      </c>
      <c r="BM108" s="34"/>
      <c r="BN108" s="34">
        <v>0</v>
      </c>
      <c r="BO108" s="34" t="s">
        <v>1330</v>
      </c>
      <c r="BP108" s="34">
        <v>7.3507139999999999E-2</v>
      </c>
      <c r="BQ108" s="34" t="s">
        <v>1326</v>
      </c>
      <c r="BR108" s="35">
        <v>45755</v>
      </c>
      <c r="BS108" s="34">
        <v>0</v>
      </c>
      <c r="BT108" s="34" t="s">
        <v>123</v>
      </c>
      <c r="BU108" s="34">
        <v>0</v>
      </c>
      <c r="BV108" s="34">
        <v>250000</v>
      </c>
      <c r="BW108" s="34">
        <v>0</v>
      </c>
      <c r="BX108" s="34">
        <v>127</v>
      </c>
      <c r="BY108" s="34">
        <v>0</v>
      </c>
      <c r="BZ108" s="34">
        <v>1</v>
      </c>
      <c r="CA108" s="34" t="s">
        <v>123</v>
      </c>
      <c r="CB108" s="34" t="s">
        <v>123</v>
      </c>
      <c r="CC108" s="34" t="s">
        <v>123</v>
      </c>
    </row>
    <row r="109" spans="1:81" x14ac:dyDescent="0.3">
      <c r="A109" s="34" t="s">
        <v>1549</v>
      </c>
      <c r="B109" s="34" t="s">
        <v>1114</v>
      </c>
      <c r="C109" s="34" t="s">
        <v>1342</v>
      </c>
      <c r="D109" s="34"/>
      <c r="E109" s="35">
        <v>45649</v>
      </c>
      <c r="F109" s="35">
        <v>46849</v>
      </c>
      <c r="G109" s="34"/>
      <c r="H109" s="34" t="s">
        <v>1325</v>
      </c>
      <c r="I109" s="34">
        <v>0</v>
      </c>
      <c r="J109" s="34">
        <v>300000000</v>
      </c>
      <c r="K109" s="34" t="s">
        <v>123</v>
      </c>
      <c r="L109" s="34" t="s">
        <v>123</v>
      </c>
      <c r="M109" s="34" t="s">
        <v>123</v>
      </c>
      <c r="N109" s="34" t="s">
        <v>123</v>
      </c>
      <c r="O109" s="34">
        <v>100.65</v>
      </c>
      <c r="P109" s="34">
        <v>1.25E-3</v>
      </c>
      <c r="Q109" s="34" t="s">
        <v>123</v>
      </c>
      <c r="R109" s="34" t="s">
        <v>123</v>
      </c>
      <c r="S109" s="34" t="s">
        <v>123</v>
      </c>
      <c r="T109" s="34" t="s">
        <v>123</v>
      </c>
      <c r="U109" s="34" t="s">
        <v>123</v>
      </c>
      <c r="V109" s="34" t="s">
        <v>123</v>
      </c>
      <c r="W109" s="34" t="s">
        <v>123</v>
      </c>
      <c r="X109" s="34" t="s">
        <v>123</v>
      </c>
      <c r="Y109" s="34" t="s">
        <v>123</v>
      </c>
      <c r="Z109" s="34">
        <v>0</v>
      </c>
      <c r="AA109" s="34" t="s">
        <v>123</v>
      </c>
      <c r="AB109" s="34">
        <v>0</v>
      </c>
      <c r="AC109" s="34">
        <v>1</v>
      </c>
      <c r="AD109" s="34" t="s">
        <v>123</v>
      </c>
      <c r="AE109" s="34" t="s">
        <v>123</v>
      </c>
      <c r="AF109" s="34" t="s">
        <v>1117</v>
      </c>
      <c r="AG109" s="34" t="s">
        <v>123</v>
      </c>
      <c r="AH109" s="34" t="s">
        <v>123</v>
      </c>
      <c r="AI109" s="34" t="s">
        <v>123</v>
      </c>
      <c r="AJ109" s="34" t="s">
        <v>123</v>
      </c>
      <c r="AK109" s="34" t="s">
        <v>123</v>
      </c>
      <c r="AL109" s="34" t="s">
        <v>123</v>
      </c>
      <c r="AM109" s="34" t="s">
        <v>123</v>
      </c>
      <c r="AN109" s="34" t="s">
        <v>123</v>
      </c>
      <c r="AO109" s="34" t="s">
        <v>123</v>
      </c>
      <c r="AP109" s="34">
        <v>0</v>
      </c>
      <c r="AQ109" s="34" t="s">
        <v>123</v>
      </c>
      <c r="AR109" s="34">
        <v>9.0424110000000002E-2</v>
      </c>
      <c r="AS109" s="34"/>
      <c r="AT109" s="34" t="s">
        <v>123</v>
      </c>
      <c r="AU109" s="34">
        <v>110</v>
      </c>
      <c r="AV109" s="34" t="s">
        <v>1550</v>
      </c>
      <c r="AW109" s="34">
        <v>0</v>
      </c>
      <c r="AX109" s="34">
        <v>1438</v>
      </c>
      <c r="AY109" s="34" t="s">
        <v>1333</v>
      </c>
      <c r="AZ109" s="35">
        <v>45755</v>
      </c>
      <c r="BA109" s="35">
        <v>45755</v>
      </c>
      <c r="BB109" s="34" t="s">
        <v>123</v>
      </c>
      <c r="BC109" s="34" t="s">
        <v>123</v>
      </c>
      <c r="BD109" s="34" t="s">
        <v>123</v>
      </c>
      <c r="BE109" s="34" t="s">
        <v>139</v>
      </c>
      <c r="BF109" s="34">
        <v>266</v>
      </c>
      <c r="BG109" s="34">
        <v>0</v>
      </c>
      <c r="BH109" s="34">
        <v>5.1341879999999999E-2</v>
      </c>
      <c r="BI109" s="34" t="s">
        <v>150</v>
      </c>
      <c r="BJ109" s="34" t="s">
        <v>1336</v>
      </c>
      <c r="BK109" s="34">
        <v>2025</v>
      </c>
      <c r="BL109" s="34" t="s">
        <v>1456</v>
      </c>
      <c r="BM109" s="34"/>
      <c r="BN109" s="34">
        <v>0</v>
      </c>
      <c r="BO109" s="34" t="s">
        <v>1330</v>
      </c>
      <c r="BP109" s="34">
        <v>8.9599999999999999E-2</v>
      </c>
      <c r="BQ109" s="34" t="s">
        <v>1326</v>
      </c>
      <c r="BR109" s="35">
        <v>45755</v>
      </c>
      <c r="BS109" s="34">
        <v>0</v>
      </c>
      <c r="BT109" s="34" t="s">
        <v>123</v>
      </c>
      <c r="BU109" s="34">
        <v>0</v>
      </c>
      <c r="BV109" s="34">
        <v>250000</v>
      </c>
      <c r="BW109" s="34">
        <v>0</v>
      </c>
      <c r="BX109" s="34">
        <v>266</v>
      </c>
      <c r="BY109" s="34">
        <v>0</v>
      </c>
      <c r="BZ109" s="34">
        <v>1</v>
      </c>
      <c r="CA109" s="34" t="s">
        <v>123</v>
      </c>
      <c r="CB109" s="34" t="s">
        <v>123</v>
      </c>
      <c r="CC109" s="34" t="s">
        <v>123</v>
      </c>
    </row>
    <row r="110" spans="1:81" x14ac:dyDescent="0.3">
      <c r="A110" s="34" t="s">
        <v>1551</v>
      </c>
      <c r="B110" s="34" t="s">
        <v>963</v>
      </c>
      <c r="C110" s="34" t="s">
        <v>1343</v>
      </c>
      <c r="D110" s="34"/>
      <c r="E110" s="35">
        <v>45300</v>
      </c>
      <c r="F110" s="35">
        <v>46395</v>
      </c>
      <c r="G110" s="34"/>
      <c r="H110" s="34" t="s">
        <v>1325</v>
      </c>
      <c r="I110" s="34">
        <v>0</v>
      </c>
      <c r="J110" s="34">
        <v>400000000</v>
      </c>
      <c r="K110" s="34" t="s">
        <v>123</v>
      </c>
      <c r="L110" s="34" t="s">
        <v>123</v>
      </c>
      <c r="M110" s="34" t="s">
        <v>123</v>
      </c>
      <c r="N110" s="34" t="s">
        <v>123</v>
      </c>
      <c r="O110" s="34">
        <v>102.3</v>
      </c>
      <c r="P110" s="34">
        <v>9.8039000000000004E-4</v>
      </c>
      <c r="Q110" s="34" t="s">
        <v>123</v>
      </c>
      <c r="R110" s="34" t="s">
        <v>123</v>
      </c>
      <c r="S110" s="34" t="s">
        <v>123</v>
      </c>
      <c r="T110" s="34" t="s">
        <v>123</v>
      </c>
      <c r="U110" s="34" t="s">
        <v>123</v>
      </c>
      <c r="V110" s="34" t="s">
        <v>123</v>
      </c>
      <c r="W110" s="34" t="s">
        <v>123</v>
      </c>
      <c r="X110" s="34" t="s">
        <v>123</v>
      </c>
      <c r="Y110" s="34" t="s">
        <v>123</v>
      </c>
      <c r="Z110" s="34">
        <v>0</v>
      </c>
      <c r="AA110" s="34" t="s">
        <v>123</v>
      </c>
      <c r="AB110" s="34">
        <v>0</v>
      </c>
      <c r="AC110" s="34">
        <v>1</v>
      </c>
      <c r="AD110" s="34" t="s">
        <v>123</v>
      </c>
      <c r="AE110" s="34" t="s">
        <v>123</v>
      </c>
      <c r="AF110" s="34" t="s">
        <v>966</v>
      </c>
      <c r="AG110" s="34" t="s">
        <v>123</v>
      </c>
      <c r="AH110" s="34" t="s">
        <v>123</v>
      </c>
      <c r="AI110" s="34" t="s">
        <v>123</v>
      </c>
      <c r="AJ110" s="34" t="s">
        <v>123</v>
      </c>
      <c r="AK110" s="34" t="s">
        <v>123</v>
      </c>
      <c r="AL110" s="34" t="s">
        <v>123</v>
      </c>
      <c r="AM110" s="34" t="s">
        <v>123</v>
      </c>
      <c r="AN110" s="34" t="s">
        <v>123</v>
      </c>
      <c r="AO110" s="34" t="s">
        <v>123</v>
      </c>
      <c r="AP110" s="34">
        <v>0</v>
      </c>
      <c r="AQ110" s="34" t="s">
        <v>123</v>
      </c>
      <c r="AR110" s="34">
        <v>6.7969870000000002E-2</v>
      </c>
      <c r="AS110" s="34"/>
      <c r="AT110" s="34" t="s">
        <v>123</v>
      </c>
      <c r="AU110" s="34">
        <v>110</v>
      </c>
      <c r="AV110" s="34" t="s">
        <v>1552</v>
      </c>
      <c r="AW110" s="34">
        <v>0</v>
      </c>
      <c r="AX110" s="34">
        <v>1439</v>
      </c>
      <c r="AY110" s="34" t="s">
        <v>1333</v>
      </c>
      <c r="AZ110" s="35">
        <v>45756</v>
      </c>
      <c r="BA110" s="35">
        <v>45756</v>
      </c>
      <c r="BB110" s="34" t="s">
        <v>123</v>
      </c>
      <c r="BC110" s="34" t="s">
        <v>123</v>
      </c>
      <c r="BD110" s="34" t="s">
        <v>123</v>
      </c>
      <c r="BE110" s="34" t="s">
        <v>139</v>
      </c>
      <c r="BF110" s="34">
        <v>226</v>
      </c>
      <c r="BG110" s="34">
        <v>0</v>
      </c>
      <c r="BH110" s="34">
        <v>4.0195000000000002E-2</v>
      </c>
      <c r="BI110" s="34" t="s">
        <v>150</v>
      </c>
      <c r="BJ110" s="34" t="s">
        <v>1336</v>
      </c>
      <c r="BK110" s="34">
        <v>2025</v>
      </c>
      <c r="BL110" s="34" t="s">
        <v>1456</v>
      </c>
      <c r="BM110" s="34"/>
      <c r="BN110" s="34">
        <v>0</v>
      </c>
      <c r="BO110" s="34" t="s">
        <v>1330</v>
      </c>
      <c r="BP110" s="34">
        <v>7.85E-2</v>
      </c>
      <c r="BQ110" s="34" t="s">
        <v>1326</v>
      </c>
      <c r="BR110" s="35">
        <v>45756</v>
      </c>
      <c r="BS110" s="34">
        <v>0</v>
      </c>
      <c r="BT110" s="34" t="s">
        <v>123</v>
      </c>
      <c r="BU110" s="34">
        <v>0</v>
      </c>
      <c r="BV110" s="34">
        <v>250000</v>
      </c>
      <c r="BW110" s="34">
        <v>0</v>
      </c>
      <c r="BX110" s="34">
        <v>226</v>
      </c>
      <c r="BY110" s="34">
        <v>0</v>
      </c>
      <c r="BZ110" s="34">
        <v>1</v>
      </c>
      <c r="CA110" s="34" t="s">
        <v>123</v>
      </c>
      <c r="CB110" s="34" t="s">
        <v>123</v>
      </c>
      <c r="CC110" s="34" t="s">
        <v>123</v>
      </c>
    </row>
    <row r="111" spans="1:81" x14ac:dyDescent="0.3">
      <c r="A111" s="34" t="s">
        <v>1459</v>
      </c>
      <c r="B111" s="34" t="s">
        <v>418</v>
      </c>
      <c r="C111" s="34" t="s">
        <v>1344</v>
      </c>
      <c r="D111" s="34"/>
      <c r="E111" s="35">
        <v>45016</v>
      </c>
      <c r="F111" s="35">
        <v>46484</v>
      </c>
      <c r="G111" s="34"/>
      <c r="H111" s="34" t="s">
        <v>1325</v>
      </c>
      <c r="I111" s="34">
        <v>0</v>
      </c>
      <c r="J111" s="34">
        <v>750000000</v>
      </c>
      <c r="K111" s="34" t="s">
        <v>123</v>
      </c>
      <c r="L111" s="34" t="s">
        <v>123</v>
      </c>
      <c r="M111" s="34" t="s">
        <v>123</v>
      </c>
      <c r="N111" s="34" t="s">
        <v>123</v>
      </c>
      <c r="O111" s="34">
        <v>102.6</v>
      </c>
      <c r="P111" s="34">
        <v>2.5000000000000001E-3</v>
      </c>
      <c r="Q111" s="34" t="s">
        <v>123</v>
      </c>
      <c r="R111" s="34" t="s">
        <v>123</v>
      </c>
      <c r="S111" s="34" t="s">
        <v>123</v>
      </c>
      <c r="T111" s="34" t="s">
        <v>123</v>
      </c>
      <c r="U111" s="34" t="s">
        <v>123</v>
      </c>
      <c r="V111" s="34" t="s">
        <v>123</v>
      </c>
      <c r="W111" s="34" t="s">
        <v>123</v>
      </c>
      <c r="X111" s="34" t="s">
        <v>123</v>
      </c>
      <c r="Y111" s="34" t="s">
        <v>123</v>
      </c>
      <c r="Z111" s="34">
        <v>0</v>
      </c>
      <c r="AA111" s="34" t="s">
        <v>123</v>
      </c>
      <c r="AB111" s="34">
        <v>0</v>
      </c>
      <c r="AC111" s="34">
        <v>1</v>
      </c>
      <c r="AD111" s="34" t="s">
        <v>123</v>
      </c>
      <c r="AE111" s="34" t="s">
        <v>123</v>
      </c>
      <c r="AF111" s="34" t="s">
        <v>419</v>
      </c>
      <c r="AG111" s="34" t="s">
        <v>123</v>
      </c>
      <c r="AH111" s="34" t="s">
        <v>123</v>
      </c>
      <c r="AI111" s="34" t="s">
        <v>123</v>
      </c>
      <c r="AJ111" s="34" t="s">
        <v>123</v>
      </c>
      <c r="AK111" s="34" t="s">
        <v>123</v>
      </c>
      <c r="AL111" s="34" t="s">
        <v>123</v>
      </c>
      <c r="AM111" s="34" t="s">
        <v>123</v>
      </c>
      <c r="AN111" s="34" t="s">
        <v>123</v>
      </c>
      <c r="AO111" s="34" t="s">
        <v>123</v>
      </c>
      <c r="AP111" s="34">
        <v>0</v>
      </c>
      <c r="AQ111" s="34" t="s">
        <v>123</v>
      </c>
      <c r="AR111" s="34">
        <v>8.2214540000000003E-2</v>
      </c>
      <c r="AS111" s="34"/>
      <c r="AT111" s="34" t="s">
        <v>123</v>
      </c>
      <c r="AU111" s="34">
        <v>110</v>
      </c>
      <c r="AV111" s="34" t="s">
        <v>1460</v>
      </c>
      <c r="AW111" s="34">
        <v>0</v>
      </c>
      <c r="AX111" s="34">
        <v>1440</v>
      </c>
      <c r="AY111" s="34" t="s">
        <v>1333</v>
      </c>
      <c r="AZ111" s="35">
        <v>45756</v>
      </c>
      <c r="BA111" s="35">
        <v>45756</v>
      </c>
      <c r="BB111" s="34" t="s">
        <v>123</v>
      </c>
      <c r="BC111" s="34" t="s">
        <v>123</v>
      </c>
      <c r="BD111" s="34" t="s">
        <v>123</v>
      </c>
      <c r="BE111" s="34" t="s">
        <v>139</v>
      </c>
      <c r="BF111" s="34">
        <v>65</v>
      </c>
      <c r="BG111" s="34">
        <v>0</v>
      </c>
      <c r="BH111" s="34">
        <v>5.4591849999999997E-2</v>
      </c>
      <c r="BI111" s="34" t="s">
        <v>133</v>
      </c>
      <c r="BJ111" s="34" t="s">
        <v>1336</v>
      </c>
      <c r="BK111" s="34">
        <v>2025</v>
      </c>
      <c r="BL111" s="34" t="s">
        <v>1456</v>
      </c>
      <c r="BM111" s="34"/>
      <c r="BN111" s="34">
        <v>0</v>
      </c>
      <c r="BO111" s="34" t="s">
        <v>1330</v>
      </c>
      <c r="BP111" s="34">
        <v>9.2999999999999999E-2</v>
      </c>
      <c r="BQ111" s="34" t="s">
        <v>1326</v>
      </c>
      <c r="BR111" s="35">
        <v>45756</v>
      </c>
      <c r="BS111" s="34">
        <v>0</v>
      </c>
      <c r="BT111" s="34" t="s">
        <v>123</v>
      </c>
      <c r="BU111" s="34">
        <v>0</v>
      </c>
      <c r="BV111" s="34">
        <v>250000</v>
      </c>
      <c r="BW111" s="34">
        <v>0</v>
      </c>
      <c r="BX111" s="34">
        <v>65</v>
      </c>
      <c r="BY111" s="34">
        <v>0</v>
      </c>
      <c r="BZ111" s="34">
        <v>1</v>
      </c>
      <c r="CA111" s="34" t="s">
        <v>123</v>
      </c>
      <c r="CB111" s="34" t="s">
        <v>123</v>
      </c>
      <c r="CC111" s="34" t="s">
        <v>123</v>
      </c>
    </row>
    <row r="112" spans="1:81" x14ac:dyDescent="0.3">
      <c r="A112" s="34" t="s">
        <v>1461</v>
      </c>
      <c r="B112" s="34" t="s">
        <v>895</v>
      </c>
      <c r="C112" s="34" t="s">
        <v>1345</v>
      </c>
      <c r="D112" s="34"/>
      <c r="E112" s="35">
        <v>45630</v>
      </c>
      <c r="F112" s="35">
        <v>46762</v>
      </c>
      <c r="G112" s="34"/>
      <c r="H112" s="34" t="s">
        <v>1325</v>
      </c>
      <c r="I112" s="34">
        <v>0</v>
      </c>
      <c r="J112" s="34">
        <v>100000000</v>
      </c>
      <c r="K112" s="34" t="s">
        <v>123</v>
      </c>
      <c r="L112" s="34" t="s">
        <v>123</v>
      </c>
      <c r="M112" s="34" t="s">
        <v>123</v>
      </c>
      <c r="N112" s="34" t="s">
        <v>123</v>
      </c>
      <c r="O112" s="34">
        <v>101.6</v>
      </c>
      <c r="P112" s="34">
        <v>2.5000000000000001E-3</v>
      </c>
      <c r="Q112" s="34" t="s">
        <v>123</v>
      </c>
      <c r="R112" s="34" t="s">
        <v>123</v>
      </c>
      <c r="S112" s="34" t="s">
        <v>123</v>
      </c>
      <c r="T112" s="34" t="s">
        <v>123</v>
      </c>
      <c r="U112" s="34" t="s">
        <v>123</v>
      </c>
      <c r="V112" s="34" t="s">
        <v>123</v>
      </c>
      <c r="W112" s="34" t="s">
        <v>123</v>
      </c>
      <c r="X112" s="34" t="s">
        <v>123</v>
      </c>
      <c r="Y112" s="34" t="s">
        <v>123</v>
      </c>
      <c r="Z112" s="34">
        <v>0</v>
      </c>
      <c r="AA112" s="34" t="s">
        <v>123</v>
      </c>
      <c r="AB112" s="34">
        <v>0</v>
      </c>
      <c r="AC112" s="34">
        <v>1</v>
      </c>
      <c r="AD112" s="34" t="s">
        <v>123</v>
      </c>
      <c r="AE112" s="34" t="s">
        <v>123</v>
      </c>
      <c r="AF112" s="34" t="s">
        <v>898</v>
      </c>
      <c r="AG112" s="34" t="s">
        <v>123</v>
      </c>
      <c r="AH112" s="34" t="s">
        <v>123</v>
      </c>
      <c r="AI112" s="34" t="s">
        <v>123</v>
      </c>
      <c r="AJ112" s="34" t="s">
        <v>123</v>
      </c>
      <c r="AK112" s="34" t="s">
        <v>123</v>
      </c>
      <c r="AL112" s="34" t="s">
        <v>123</v>
      </c>
      <c r="AM112" s="34" t="s">
        <v>123</v>
      </c>
      <c r="AN112" s="34" t="s">
        <v>123</v>
      </c>
      <c r="AO112" s="34" t="s">
        <v>123</v>
      </c>
      <c r="AP112" s="34">
        <v>0</v>
      </c>
      <c r="AQ112" s="34" t="s">
        <v>123</v>
      </c>
      <c r="AR112" s="34">
        <v>6.9968119999999995E-2</v>
      </c>
      <c r="AS112" s="34"/>
      <c r="AT112" s="34" t="s">
        <v>123</v>
      </c>
      <c r="AU112" s="34">
        <v>110</v>
      </c>
      <c r="AV112" s="34" t="s">
        <v>1462</v>
      </c>
      <c r="AW112" s="34">
        <v>0</v>
      </c>
      <c r="AX112" s="34">
        <v>1441</v>
      </c>
      <c r="AY112" s="34" t="s">
        <v>1333</v>
      </c>
      <c r="AZ112" s="35">
        <v>45756</v>
      </c>
      <c r="BA112" s="35">
        <v>45756</v>
      </c>
      <c r="BB112" s="34" t="s">
        <v>123</v>
      </c>
      <c r="BC112" s="34" t="s">
        <v>123</v>
      </c>
      <c r="BD112" s="34" t="s">
        <v>123</v>
      </c>
      <c r="BE112" s="34" t="s">
        <v>1347</v>
      </c>
      <c r="BF112" s="34">
        <v>208</v>
      </c>
      <c r="BG112" s="34">
        <v>0</v>
      </c>
      <c r="BH112" s="34">
        <v>3.4997439999999998E-2</v>
      </c>
      <c r="BI112" s="34" t="s">
        <v>150</v>
      </c>
      <c r="BJ112" s="34" t="s">
        <v>1336</v>
      </c>
      <c r="BK112" s="34"/>
      <c r="BL112" s="34" t="s">
        <v>1456</v>
      </c>
      <c r="BM112" s="34"/>
      <c r="BN112" s="34">
        <v>0</v>
      </c>
      <c r="BO112" s="34" t="s">
        <v>1330</v>
      </c>
      <c r="BP112" s="34">
        <v>7.3099999999999998E-2</v>
      </c>
      <c r="BQ112" s="34" t="s">
        <v>1326</v>
      </c>
      <c r="BR112" s="35">
        <v>45756</v>
      </c>
      <c r="BS112" s="34">
        <v>0</v>
      </c>
      <c r="BT112" s="34" t="s">
        <v>123</v>
      </c>
      <c r="BU112" s="34">
        <v>0</v>
      </c>
      <c r="BV112" s="34">
        <v>250000</v>
      </c>
      <c r="BW112" s="34">
        <v>0</v>
      </c>
      <c r="BX112" s="34">
        <v>208</v>
      </c>
      <c r="BY112" s="34">
        <v>0</v>
      </c>
      <c r="BZ112" s="34">
        <v>1</v>
      </c>
      <c r="CA112" s="34" t="s">
        <v>123</v>
      </c>
      <c r="CB112" s="34" t="s">
        <v>123</v>
      </c>
      <c r="CC112" s="34" t="s">
        <v>123</v>
      </c>
    </row>
    <row r="113" spans="1:81" x14ac:dyDescent="0.3">
      <c r="A113" s="34" t="s">
        <v>1463</v>
      </c>
      <c r="B113" s="34" t="s">
        <v>373</v>
      </c>
      <c r="C113" s="34" t="s">
        <v>1348</v>
      </c>
      <c r="D113" s="34"/>
      <c r="E113" s="35">
        <v>45715</v>
      </c>
      <c r="F113" s="35">
        <v>46575</v>
      </c>
      <c r="G113" s="34"/>
      <c r="H113" s="34" t="s">
        <v>1325</v>
      </c>
      <c r="I113" s="34">
        <v>200000000</v>
      </c>
      <c r="J113" s="34">
        <v>200000000</v>
      </c>
      <c r="K113" s="34" t="s">
        <v>123</v>
      </c>
      <c r="L113" s="34" t="s">
        <v>123</v>
      </c>
      <c r="M113" s="34" t="s">
        <v>123</v>
      </c>
      <c r="N113" s="34" t="s">
        <v>123</v>
      </c>
      <c r="O113" s="34">
        <v>100.1</v>
      </c>
      <c r="P113" s="34">
        <v>1.6666700000000001E-3</v>
      </c>
      <c r="Q113" s="34" t="s">
        <v>123</v>
      </c>
      <c r="R113" s="34" t="s">
        <v>123</v>
      </c>
      <c r="S113" s="34" t="s">
        <v>123</v>
      </c>
      <c r="T113" s="34" t="s">
        <v>123</v>
      </c>
      <c r="U113" s="34" t="s">
        <v>123</v>
      </c>
      <c r="V113" s="34" t="s">
        <v>123</v>
      </c>
      <c r="W113" s="34" t="s">
        <v>123</v>
      </c>
      <c r="X113" s="34" t="s">
        <v>123</v>
      </c>
      <c r="Y113" s="34" t="s">
        <v>123</v>
      </c>
      <c r="Z113" s="34">
        <v>0</v>
      </c>
      <c r="AA113" s="34" t="s">
        <v>123</v>
      </c>
      <c r="AB113" s="34">
        <v>0</v>
      </c>
      <c r="AC113" s="34">
        <v>1</v>
      </c>
      <c r="AD113" s="34" t="s">
        <v>123</v>
      </c>
      <c r="AE113" s="34" t="s">
        <v>123</v>
      </c>
      <c r="AF113" s="34" t="s">
        <v>375</v>
      </c>
      <c r="AG113" s="34" t="s">
        <v>123</v>
      </c>
      <c r="AH113" s="34" t="s">
        <v>123</v>
      </c>
      <c r="AI113" s="34" t="s">
        <v>123</v>
      </c>
      <c r="AJ113" s="34" t="s">
        <v>123</v>
      </c>
      <c r="AK113" s="34" t="s">
        <v>123</v>
      </c>
      <c r="AL113" s="34" t="s">
        <v>123</v>
      </c>
      <c r="AM113" s="34" t="s">
        <v>123</v>
      </c>
      <c r="AN113" s="34" t="s">
        <v>123</v>
      </c>
      <c r="AO113" s="34" t="s">
        <v>123</v>
      </c>
      <c r="AP113" s="34">
        <v>0</v>
      </c>
      <c r="AQ113" s="34" t="s">
        <v>123</v>
      </c>
      <c r="AR113" s="34">
        <v>0.13305328999999999</v>
      </c>
      <c r="AS113" s="34"/>
      <c r="AT113" s="34" t="s">
        <v>123</v>
      </c>
      <c r="AU113" s="34">
        <v>110</v>
      </c>
      <c r="AV113" s="34" t="s">
        <v>1464</v>
      </c>
      <c r="AW113" s="34">
        <v>0</v>
      </c>
      <c r="AX113" s="34">
        <v>1442</v>
      </c>
      <c r="AY113" s="34" t="s">
        <v>1350</v>
      </c>
      <c r="AZ113" s="35">
        <v>45758</v>
      </c>
      <c r="BA113" s="35">
        <v>45758</v>
      </c>
      <c r="BB113" s="34" t="s">
        <v>123</v>
      </c>
      <c r="BC113" s="34" t="s">
        <v>123</v>
      </c>
      <c r="BD113" s="34" t="s">
        <v>123</v>
      </c>
      <c r="BE113" s="34" t="s">
        <v>139</v>
      </c>
      <c r="BF113" s="34">
        <v>58</v>
      </c>
      <c r="BG113" s="34">
        <v>0</v>
      </c>
      <c r="BH113" s="34">
        <v>9.4942250000000006E-2</v>
      </c>
      <c r="BI113" s="34" t="s">
        <v>159</v>
      </c>
      <c r="BJ113" s="34" t="s">
        <v>1349</v>
      </c>
      <c r="BK113" s="34"/>
      <c r="BL113" s="34" t="s">
        <v>1456</v>
      </c>
      <c r="BM113" s="34"/>
      <c r="BN113" s="34">
        <v>0</v>
      </c>
      <c r="BO113" s="34" t="s">
        <v>1330</v>
      </c>
      <c r="BP113" s="34">
        <v>0.13366479000000001</v>
      </c>
      <c r="BQ113" s="34" t="s">
        <v>1326</v>
      </c>
      <c r="BR113" s="35">
        <v>45758</v>
      </c>
      <c r="BS113" s="34">
        <v>0</v>
      </c>
      <c r="BT113" s="34" t="s">
        <v>123</v>
      </c>
      <c r="BU113" s="34">
        <v>0</v>
      </c>
      <c r="BV113" s="34">
        <v>250000</v>
      </c>
      <c r="BW113" s="34">
        <v>0</v>
      </c>
      <c r="BX113" s="34">
        <v>58</v>
      </c>
      <c r="BY113" s="34">
        <v>0</v>
      </c>
      <c r="BZ113" s="34">
        <v>1</v>
      </c>
      <c r="CA113" s="34" t="s">
        <v>123</v>
      </c>
      <c r="CB113" s="34" t="s">
        <v>123</v>
      </c>
      <c r="CC113" s="34" t="s">
        <v>123</v>
      </c>
    </row>
    <row r="114" spans="1:81" x14ac:dyDescent="0.3">
      <c r="A114" s="34" t="s">
        <v>1553</v>
      </c>
      <c r="B114" s="34" t="s">
        <v>695</v>
      </c>
      <c r="C114" s="34" t="s">
        <v>1351</v>
      </c>
      <c r="D114" s="34"/>
      <c r="E114" s="35">
        <v>45391</v>
      </c>
      <c r="F114" s="35">
        <v>46545</v>
      </c>
      <c r="G114" s="34"/>
      <c r="H114" s="34" t="s">
        <v>1325</v>
      </c>
      <c r="I114" s="34">
        <v>0</v>
      </c>
      <c r="J114" s="34">
        <v>300000000</v>
      </c>
      <c r="K114" s="34" t="s">
        <v>123</v>
      </c>
      <c r="L114" s="34" t="s">
        <v>123</v>
      </c>
      <c r="M114" s="34" t="s">
        <v>123</v>
      </c>
      <c r="N114" s="34" t="s">
        <v>123</v>
      </c>
      <c r="O114" s="34">
        <v>102.6</v>
      </c>
      <c r="P114" s="34">
        <v>1.1904800000000001E-3</v>
      </c>
      <c r="Q114" s="34" t="s">
        <v>123</v>
      </c>
      <c r="R114" s="34" t="s">
        <v>123</v>
      </c>
      <c r="S114" s="34" t="s">
        <v>123</v>
      </c>
      <c r="T114" s="34" t="s">
        <v>123</v>
      </c>
      <c r="U114" s="34" t="s">
        <v>123</v>
      </c>
      <c r="V114" s="34" t="s">
        <v>123</v>
      </c>
      <c r="W114" s="34" t="s">
        <v>123</v>
      </c>
      <c r="X114" s="34" t="s">
        <v>123</v>
      </c>
      <c r="Y114" s="34" t="s">
        <v>123</v>
      </c>
      <c r="Z114" s="34">
        <v>0</v>
      </c>
      <c r="AA114" s="34" t="s">
        <v>123</v>
      </c>
      <c r="AB114" s="34">
        <v>0</v>
      </c>
      <c r="AC114" s="34">
        <v>1</v>
      </c>
      <c r="AD114" s="34" t="s">
        <v>123</v>
      </c>
      <c r="AE114" s="34" t="s">
        <v>123</v>
      </c>
      <c r="AF114" s="34" t="s">
        <v>697</v>
      </c>
      <c r="AG114" s="34" t="s">
        <v>123</v>
      </c>
      <c r="AH114" s="34" t="s">
        <v>123</v>
      </c>
      <c r="AI114" s="34" t="s">
        <v>123</v>
      </c>
      <c r="AJ114" s="34" t="s">
        <v>123</v>
      </c>
      <c r="AK114" s="34" t="s">
        <v>123</v>
      </c>
      <c r="AL114" s="34" t="s">
        <v>123</v>
      </c>
      <c r="AM114" s="34" t="s">
        <v>123</v>
      </c>
      <c r="AN114" s="34" t="s">
        <v>123</v>
      </c>
      <c r="AO114" s="34" t="s">
        <v>123</v>
      </c>
      <c r="AP114" s="34">
        <v>0</v>
      </c>
      <c r="AQ114" s="34" t="s">
        <v>123</v>
      </c>
      <c r="AR114" s="34">
        <v>0.11921872999999999</v>
      </c>
      <c r="AS114" s="34"/>
      <c r="AT114" s="34" t="s">
        <v>123</v>
      </c>
      <c r="AU114" s="34">
        <v>110</v>
      </c>
      <c r="AV114" s="34" t="s">
        <v>1554</v>
      </c>
      <c r="AW114" s="34">
        <v>0</v>
      </c>
      <c r="AX114" s="34">
        <v>1443</v>
      </c>
      <c r="AY114" s="34" t="s">
        <v>1333</v>
      </c>
      <c r="AZ114" s="35">
        <v>45761</v>
      </c>
      <c r="BA114" s="35">
        <v>45761</v>
      </c>
      <c r="BB114" s="34" t="s">
        <v>123</v>
      </c>
      <c r="BC114" s="34" t="s">
        <v>123</v>
      </c>
      <c r="BD114" s="34" t="s">
        <v>123</v>
      </c>
      <c r="BE114" s="34" t="s">
        <v>139</v>
      </c>
      <c r="BF114" s="34">
        <v>146</v>
      </c>
      <c r="BG114" s="34">
        <v>0</v>
      </c>
      <c r="BH114" s="34">
        <v>9.1247229999999999E-2</v>
      </c>
      <c r="BI114" s="34" t="s">
        <v>150</v>
      </c>
      <c r="BJ114" s="34" t="s">
        <v>1336</v>
      </c>
      <c r="BK114" s="34">
        <v>2025</v>
      </c>
      <c r="BL114" s="34" t="s">
        <v>1456</v>
      </c>
      <c r="BM114" s="34"/>
      <c r="BN114" s="34">
        <v>0</v>
      </c>
      <c r="BO114" s="34" t="s">
        <v>1330</v>
      </c>
      <c r="BP114" s="34">
        <v>0.12966</v>
      </c>
      <c r="BQ114" s="34" t="s">
        <v>1326</v>
      </c>
      <c r="BR114" s="35">
        <v>45761</v>
      </c>
      <c r="BS114" s="34">
        <v>0</v>
      </c>
      <c r="BT114" s="34" t="s">
        <v>123</v>
      </c>
      <c r="BU114" s="34">
        <v>0</v>
      </c>
      <c r="BV114" s="34">
        <v>250000</v>
      </c>
      <c r="BW114" s="34">
        <v>0</v>
      </c>
      <c r="BX114" s="34">
        <v>146</v>
      </c>
      <c r="BY114" s="34">
        <v>0</v>
      </c>
      <c r="BZ114" s="34">
        <v>1</v>
      </c>
      <c r="CA114" s="34" t="s">
        <v>123</v>
      </c>
      <c r="CB114" s="34" t="s">
        <v>123</v>
      </c>
      <c r="CC114" s="34" t="s">
        <v>123</v>
      </c>
    </row>
    <row r="115" spans="1:81" x14ac:dyDescent="0.3">
      <c r="A115" s="34" t="s">
        <v>1465</v>
      </c>
      <c r="B115" s="34" t="s">
        <v>538</v>
      </c>
      <c r="C115" s="34" t="s">
        <v>1352</v>
      </c>
      <c r="D115" s="34"/>
      <c r="E115" s="35">
        <v>45379</v>
      </c>
      <c r="F115" s="35">
        <v>46484</v>
      </c>
      <c r="G115" s="34"/>
      <c r="H115" s="34" t="s">
        <v>1325</v>
      </c>
      <c r="I115" s="34">
        <v>0</v>
      </c>
      <c r="J115" s="34">
        <v>250000000</v>
      </c>
      <c r="K115" s="34" t="s">
        <v>123</v>
      </c>
      <c r="L115" s="34" t="s">
        <v>123</v>
      </c>
      <c r="M115" s="34" t="s">
        <v>123</v>
      </c>
      <c r="N115" s="34" t="s">
        <v>123</v>
      </c>
      <c r="O115" s="34">
        <v>103.85</v>
      </c>
      <c r="P115" s="34">
        <v>2.5000000000000001E-3</v>
      </c>
      <c r="Q115" s="34" t="s">
        <v>123</v>
      </c>
      <c r="R115" s="34" t="s">
        <v>123</v>
      </c>
      <c r="S115" s="34" t="s">
        <v>123</v>
      </c>
      <c r="T115" s="34" t="s">
        <v>123</v>
      </c>
      <c r="U115" s="34" t="s">
        <v>123</v>
      </c>
      <c r="V115" s="34" t="s">
        <v>123</v>
      </c>
      <c r="W115" s="34" t="s">
        <v>123</v>
      </c>
      <c r="X115" s="34" t="s">
        <v>123</v>
      </c>
      <c r="Y115" s="34" t="s">
        <v>123</v>
      </c>
      <c r="Z115" s="34">
        <v>0</v>
      </c>
      <c r="AA115" s="34" t="s">
        <v>123</v>
      </c>
      <c r="AB115" s="34">
        <v>0</v>
      </c>
      <c r="AC115" s="34">
        <v>1</v>
      </c>
      <c r="AD115" s="34" t="s">
        <v>123</v>
      </c>
      <c r="AE115" s="34" t="s">
        <v>123</v>
      </c>
      <c r="AF115" s="34" t="s">
        <v>541</v>
      </c>
      <c r="AG115" s="34" t="s">
        <v>123</v>
      </c>
      <c r="AH115" s="34" t="s">
        <v>123</v>
      </c>
      <c r="AI115" s="34" t="s">
        <v>123</v>
      </c>
      <c r="AJ115" s="34" t="s">
        <v>123</v>
      </c>
      <c r="AK115" s="34" t="s">
        <v>123</v>
      </c>
      <c r="AL115" s="34" t="s">
        <v>123</v>
      </c>
      <c r="AM115" s="34" t="s">
        <v>123</v>
      </c>
      <c r="AN115" s="34" t="s">
        <v>123</v>
      </c>
      <c r="AO115" s="34" t="s">
        <v>123</v>
      </c>
      <c r="AP115" s="34">
        <v>0</v>
      </c>
      <c r="AQ115" s="34" t="s">
        <v>123</v>
      </c>
      <c r="AR115" s="34">
        <v>7.5250440000000002E-2</v>
      </c>
      <c r="AS115" s="34"/>
      <c r="AT115" s="34" t="s">
        <v>123</v>
      </c>
      <c r="AU115" s="34">
        <v>110</v>
      </c>
      <c r="AV115" s="34" t="s">
        <v>1466</v>
      </c>
      <c r="AW115" s="34">
        <v>0</v>
      </c>
      <c r="AX115" s="34">
        <v>1444</v>
      </c>
      <c r="AY115" s="34" t="s">
        <v>1333</v>
      </c>
      <c r="AZ115" s="35">
        <v>45763</v>
      </c>
      <c r="BA115" s="35">
        <v>45763</v>
      </c>
      <c r="BB115" s="34" t="s">
        <v>123</v>
      </c>
      <c r="BC115" s="34" t="s">
        <v>123</v>
      </c>
      <c r="BD115" s="34" t="s">
        <v>123</v>
      </c>
      <c r="BE115" s="34" t="s">
        <v>139</v>
      </c>
      <c r="BF115" s="34">
        <v>104</v>
      </c>
      <c r="BG115" s="34">
        <v>0</v>
      </c>
      <c r="BH115" s="34">
        <v>5.4388600000000002E-2</v>
      </c>
      <c r="BI115" s="34" t="s">
        <v>150</v>
      </c>
      <c r="BJ115" s="34" t="s">
        <v>1336</v>
      </c>
      <c r="BK115" s="34">
        <v>2025</v>
      </c>
      <c r="BL115" s="34" t="s">
        <v>1456</v>
      </c>
      <c r="BM115" s="34"/>
      <c r="BN115" s="34">
        <v>0</v>
      </c>
      <c r="BO115" s="34" t="s">
        <v>1330</v>
      </c>
      <c r="BP115" s="34">
        <v>9.3007140000000002E-2</v>
      </c>
      <c r="BQ115" s="34" t="s">
        <v>1326</v>
      </c>
      <c r="BR115" s="35">
        <v>45763</v>
      </c>
      <c r="BS115" s="34">
        <v>0</v>
      </c>
      <c r="BT115" s="34" t="s">
        <v>123</v>
      </c>
      <c r="BU115" s="34">
        <v>0</v>
      </c>
      <c r="BV115" s="34">
        <v>250000</v>
      </c>
      <c r="BW115" s="34">
        <v>0</v>
      </c>
      <c r="BX115" s="34">
        <v>104</v>
      </c>
      <c r="BY115" s="34">
        <v>0</v>
      </c>
      <c r="BZ115" s="34">
        <v>1</v>
      </c>
      <c r="CA115" s="34" t="s">
        <v>123</v>
      </c>
      <c r="CB115" s="34" t="s">
        <v>123</v>
      </c>
      <c r="CC115" s="34" t="s">
        <v>123</v>
      </c>
    </row>
    <row r="116" spans="1:81" x14ac:dyDescent="0.3">
      <c r="A116" s="34" t="s">
        <v>1467</v>
      </c>
      <c r="B116" s="34" t="s">
        <v>1000</v>
      </c>
      <c r="C116" s="34" t="s">
        <v>1353</v>
      </c>
      <c r="D116" s="34"/>
      <c r="E116" s="35">
        <v>45104</v>
      </c>
      <c r="F116" s="35">
        <v>46332</v>
      </c>
      <c r="G116" s="34"/>
      <c r="H116" s="34" t="s">
        <v>1325</v>
      </c>
      <c r="I116" s="34">
        <v>0</v>
      </c>
      <c r="J116" s="34">
        <v>150000000</v>
      </c>
      <c r="K116" s="34" t="s">
        <v>123</v>
      </c>
      <c r="L116" s="34" t="s">
        <v>123</v>
      </c>
      <c r="M116" s="34" t="s">
        <v>123</v>
      </c>
      <c r="N116" s="34" t="s">
        <v>123</v>
      </c>
      <c r="O116" s="34">
        <v>102.4</v>
      </c>
      <c r="P116" s="34">
        <v>1.6666700000000001E-3</v>
      </c>
      <c r="Q116" s="34" t="s">
        <v>123</v>
      </c>
      <c r="R116" s="34" t="s">
        <v>123</v>
      </c>
      <c r="S116" s="34" t="s">
        <v>123</v>
      </c>
      <c r="T116" s="34" t="s">
        <v>123</v>
      </c>
      <c r="U116" s="34" t="s">
        <v>123</v>
      </c>
      <c r="V116" s="34" t="s">
        <v>123</v>
      </c>
      <c r="W116" s="34" t="s">
        <v>123</v>
      </c>
      <c r="X116" s="34" t="s">
        <v>123</v>
      </c>
      <c r="Y116" s="34" t="s">
        <v>123</v>
      </c>
      <c r="Z116" s="34">
        <v>0</v>
      </c>
      <c r="AA116" s="34" t="s">
        <v>123</v>
      </c>
      <c r="AB116" s="34">
        <v>0</v>
      </c>
      <c r="AC116" s="34">
        <v>1</v>
      </c>
      <c r="AD116" s="34" t="s">
        <v>123</v>
      </c>
      <c r="AE116" s="34" t="s">
        <v>123</v>
      </c>
      <c r="AF116" s="34" t="s">
        <v>1003</v>
      </c>
      <c r="AG116" s="34" t="s">
        <v>123</v>
      </c>
      <c r="AH116" s="34" t="s">
        <v>123</v>
      </c>
      <c r="AI116" s="34" t="s">
        <v>123</v>
      </c>
      <c r="AJ116" s="34" t="s">
        <v>123</v>
      </c>
      <c r="AK116" s="34" t="s">
        <v>123</v>
      </c>
      <c r="AL116" s="34" t="s">
        <v>123</v>
      </c>
      <c r="AM116" s="34" t="s">
        <v>123</v>
      </c>
      <c r="AN116" s="34" t="s">
        <v>123</v>
      </c>
      <c r="AO116" s="34" t="s">
        <v>123</v>
      </c>
      <c r="AP116" s="34">
        <v>0</v>
      </c>
      <c r="AQ116" s="34" t="s">
        <v>123</v>
      </c>
      <c r="AR116" s="34">
        <v>6.8990380000000004E-2</v>
      </c>
      <c r="AS116" s="34"/>
      <c r="AT116" s="34" t="s">
        <v>123</v>
      </c>
      <c r="AU116" s="34">
        <v>110</v>
      </c>
      <c r="AV116" s="34" t="s">
        <v>1468</v>
      </c>
      <c r="AW116" s="34">
        <v>0</v>
      </c>
      <c r="AX116" s="34">
        <v>1445</v>
      </c>
      <c r="AY116" s="34" t="s">
        <v>1333</v>
      </c>
      <c r="AZ116" s="35">
        <v>45763</v>
      </c>
      <c r="BA116" s="35">
        <v>45763</v>
      </c>
      <c r="BB116" s="34" t="s">
        <v>123</v>
      </c>
      <c r="BC116" s="34" t="s">
        <v>123</v>
      </c>
      <c r="BD116" s="34" t="s">
        <v>123</v>
      </c>
      <c r="BE116" s="34" t="s">
        <v>1347</v>
      </c>
      <c r="BF116" s="34">
        <v>236</v>
      </c>
      <c r="BG116" s="34">
        <v>0</v>
      </c>
      <c r="BH116" s="34">
        <v>4.3428769999999998E-2</v>
      </c>
      <c r="BI116" s="34" t="s">
        <v>133</v>
      </c>
      <c r="BJ116" s="34" t="s">
        <v>1336</v>
      </c>
      <c r="BK116" s="34"/>
      <c r="BL116" s="34" t="s">
        <v>1456</v>
      </c>
      <c r="BM116" s="34"/>
      <c r="BN116" s="34">
        <v>0</v>
      </c>
      <c r="BO116" s="34" t="s">
        <v>1330</v>
      </c>
      <c r="BP116" s="34">
        <v>8.1708199999999995E-2</v>
      </c>
      <c r="BQ116" s="34" t="s">
        <v>1326</v>
      </c>
      <c r="BR116" s="35">
        <v>45763</v>
      </c>
      <c r="BS116" s="34">
        <v>0</v>
      </c>
      <c r="BT116" s="34" t="s">
        <v>123</v>
      </c>
      <c r="BU116" s="34">
        <v>0</v>
      </c>
      <c r="BV116" s="34">
        <v>250000</v>
      </c>
      <c r="BW116" s="34">
        <v>0</v>
      </c>
      <c r="BX116" s="34">
        <v>236</v>
      </c>
      <c r="BY116" s="34">
        <v>0</v>
      </c>
      <c r="BZ116" s="34">
        <v>1</v>
      </c>
      <c r="CA116" s="34" t="s">
        <v>123</v>
      </c>
      <c r="CB116" s="34" t="s">
        <v>123</v>
      </c>
      <c r="CC116" s="34" t="s">
        <v>123</v>
      </c>
    </row>
    <row r="117" spans="1:81" x14ac:dyDescent="0.3">
      <c r="A117" s="34" t="s">
        <v>1469</v>
      </c>
      <c r="B117" s="34" t="s">
        <v>1061</v>
      </c>
      <c r="C117" s="34" t="s">
        <v>1354</v>
      </c>
      <c r="D117" s="34"/>
      <c r="E117" s="35">
        <v>45287</v>
      </c>
      <c r="F117" s="35">
        <v>46395</v>
      </c>
      <c r="G117" s="34"/>
      <c r="H117" s="34" t="s">
        <v>1325</v>
      </c>
      <c r="I117" s="34">
        <v>0</v>
      </c>
      <c r="J117" s="34">
        <v>301000000</v>
      </c>
      <c r="K117" s="34" t="s">
        <v>123</v>
      </c>
      <c r="L117" s="34" t="s">
        <v>123</v>
      </c>
      <c r="M117" s="34" t="s">
        <v>123</v>
      </c>
      <c r="N117" s="34" t="s">
        <v>123</v>
      </c>
      <c r="O117" s="34">
        <v>103.1</v>
      </c>
      <c r="P117" s="34">
        <v>1.25E-3</v>
      </c>
      <c r="Q117" s="34" t="s">
        <v>123</v>
      </c>
      <c r="R117" s="34" t="s">
        <v>123</v>
      </c>
      <c r="S117" s="34" t="s">
        <v>123</v>
      </c>
      <c r="T117" s="34" t="s">
        <v>123</v>
      </c>
      <c r="U117" s="34" t="s">
        <v>123</v>
      </c>
      <c r="V117" s="34" t="s">
        <v>123</v>
      </c>
      <c r="W117" s="34" t="s">
        <v>123</v>
      </c>
      <c r="X117" s="34" t="s">
        <v>123</v>
      </c>
      <c r="Y117" s="34" t="s">
        <v>123</v>
      </c>
      <c r="Z117" s="34">
        <v>0</v>
      </c>
      <c r="AA117" s="34" t="s">
        <v>123</v>
      </c>
      <c r="AB117" s="34">
        <v>0</v>
      </c>
      <c r="AC117" s="34">
        <v>1</v>
      </c>
      <c r="AD117" s="34" t="s">
        <v>123</v>
      </c>
      <c r="AE117" s="34" t="s">
        <v>123</v>
      </c>
      <c r="AF117" s="34" t="s">
        <v>1064</v>
      </c>
      <c r="AG117" s="34" t="s">
        <v>123</v>
      </c>
      <c r="AH117" s="34" t="s">
        <v>123</v>
      </c>
      <c r="AI117" s="34" t="s">
        <v>123</v>
      </c>
      <c r="AJ117" s="34" t="s">
        <v>123</v>
      </c>
      <c r="AK117" s="34" t="s">
        <v>123</v>
      </c>
      <c r="AL117" s="34" t="s">
        <v>123</v>
      </c>
      <c r="AM117" s="34" t="s">
        <v>123</v>
      </c>
      <c r="AN117" s="34" t="s">
        <v>123</v>
      </c>
      <c r="AO117" s="34" t="s">
        <v>123</v>
      </c>
      <c r="AP117" s="34">
        <v>0</v>
      </c>
      <c r="AQ117" s="34" t="s">
        <v>123</v>
      </c>
      <c r="AR117" s="34">
        <v>8.4681469999999995E-2</v>
      </c>
      <c r="AS117" s="34"/>
      <c r="AT117" s="34" t="s">
        <v>123</v>
      </c>
      <c r="AU117" s="34">
        <v>110</v>
      </c>
      <c r="AV117" s="34" t="s">
        <v>1470</v>
      </c>
      <c r="AW117" s="34">
        <v>0</v>
      </c>
      <c r="AX117" s="34">
        <v>1446</v>
      </c>
      <c r="AY117" s="34" t="s">
        <v>1333</v>
      </c>
      <c r="AZ117" s="35">
        <v>45770</v>
      </c>
      <c r="BA117" s="35">
        <v>45770</v>
      </c>
      <c r="BB117" s="34" t="s">
        <v>123</v>
      </c>
      <c r="BC117" s="34" t="s">
        <v>123</v>
      </c>
      <c r="BD117" s="34" t="s">
        <v>123</v>
      </c>
      <c r="BE117" s="34" t="s">
        <v>139</v>
      </c>
      <c r="BF117" s="34">
        <v>254</v>
      </c>
      <c r="BG117" s="34">
        <v>0</v>
      </c>
      <c r="BH117" s="34">
        <v>6.2344139999999999E-2</v>
      </c>
      <c r="BI117" s="34" t="s">
        <v>133</v>
      </c>
      <c r="BJ117" s="34" t="s">
        <v>1336</v>
      </c>
      <c r="BK117" s="34">
        <v>2025</v>
      </c>
      <c r="BL117" s="34" t="s">
        <v>1456</v>
      </c>
      <c r="BM117" s="34"/>
      <c r="BN117" s="34">
        <v>0</v>
      </c>
      <c r="BO117" s="34" t="s">
        <v>1330</v>
      </c>
      <c r="BP117" s="34">
        <v>0.1009</v>
      </c>
      <c r="BQ117" s="34" t="s">
        <v>1326</v>
      </c>
      <c r="BR117" s="35">
        <v>45770</v>
      </c>
      <c r="BS117" s="34">
        <v>0</v>
      </c>
      <c r="BT117" s="34" t="s">
        <v>123</v>
      </c>
      <c r="BU117" s="34">
        <v>0</v>
      </c>
      <c r="BV117" s="34">
        <v>250000</v>
      </c>
      <c r="BW117" s="34">
        <v>0</v>
      </c>
      <c r="BX117" s="34">
        <v>254</v>
      </c>
      <c r="BY117" s="34">
        <v>0</v>
      </c>
      <c r="BZ117" s="34">
        <v>1</v>
      </c>
      <c r="CA117" s="34" t="s">
        <v>123</v>
      </c>
      <c r="CB117" s="34" t="s">
        <v>123</v>
      </c>
      <c r="CC117" s="34" t="s">
        <v>123</v>
      </c>
    </row>
    <row r="118" spans="1:81" x14ac:dyDescent="0.3">
      <c r="A118" s="34" t="s">
        <v>1471</v>
      </c>
      <c r="B118" s="34" t="s">
        <v>1061</v>
      </c>
      <c r="C118" s="34" t="s">
        <v>1354</v>
      </c>
      <c r="D118" s="34"/>
      <c r="E118" s="35">
        <v>45287</v>
      </c>
      <c r="F118" s="35">
        <v>46395</v>
      </c>
      <c r="G118" s="34"/>
      <c r="H118" s="34" t="s">
        <v>1325</v>
      </c>
      <c r="I118" s="34">
        <v>0</v>
      </c>
      <c r="J118" s="34">
        <v>301000000</v>
      </c>
      <c r="K118" s="34" t="s">
        <v>123</v>
      </c>
      <c r="L118" s="34" t="s">
        <v>123</v>
      </c>
      <c r="M118" s="34" t="s">
        <v>123</v>
      </c>
      <c r="N118" s="34" t="s">
        <v>123</v>
      </c>
      <c r="O118" s="34">
        <v>103.6</v>
      </c>
      <c r="P118" s="34">
        <v>1.25E-3</v>
      </c>
      <c r="Q118" s="34" t="s">
        <v>123</v>
      </c>
      <c r="R118" s="34" t="s">
        <v>123</v>
      </c>
      <c r="S118" s="34" t="s">
        <v>123</v>
      </c>
      <c r="T118" s="34" t="s">
        <v>123</v>
      </c>
      <c r="U118" s="34" t="s">
        <v>123</v>
      </c>
      <c r="V118" s="34" t="s">
        <v>123</v>
      </c>
      <c r="W118" s="34" t="s">
        <v>123</v>
      </c>
      <c r="X118" s="34" t="s">
        <v>123</v>
      </c>
      <c r="Y118" s="34" t="s">
        <v>123</v>
      </c>
      <c r="Z118" s="34">
        <v>0</v>
      </c>
      <c r="AA118" s="34" t="s">
        <v>123</v>
      </c>
      <c r="AB118" s="34">
        <v>0</v>
      </c>
      <c r="AC118" s="34">
        <v>1</v>
      </c>
      <c r="AD118" s="34" t="s">
        <v>123</v>
      </c>
      <c r="AE118" s="34" t="s">
        <v>123</v>
      </c>
      <c r="AF118" s="34" t="s">
        <v>1064</v>
      </c>
      <c r="AG118" s="34" t="s">
        <v>123</v>
      </c>
      <c r="AH118" s="34" t="s">
        <v>123</v>
      </c>
      <c r="AI118" s="34" t="s">
        <v>123</v>
      </c>
      <c r="AJ118" s="34" t="s">
        <v>123</v>
      </c>
      <c r="AK118" s="34" t="s">
        <v>123</v>
      </c>
      <c r="AL118" s="34" t="s">
        <v>123</v>
      </c>
      <c r="AM118" s="34" t="s">
        <v>123</v>
      </c>
      <c r="AN118" s="34" t="s">
        <v>123</v>
      </c>
      <c r="AO118" s="34" t="s">
        <v>123</v>
      </c>
      <c r="AP118" s="34">
        <v>0</v>
      </c>
      <c r="AQ118" s="34" t="s">
        <v>123</v>
      </c>
      <c r="AR118" s="34">
        <v>7.6477260000000005E-2</v>
      </c>
      <c r="AS118" s="34"/>
      <c r="AT118" s="34" t="s">
        <v>123</v>
      </c>
      <c r="AU118" s="34">
        <v>110</v>
      </c>
      <c r="AV118" s="34" t="s">
        <v>1472</v>
      </c>
      <c r="AW118" s="34">
        <v>0</v>
      </c>
      <c r="AX118" s="34">
        <v>1447</v>
      </c>
      <c r="AY118" s="34" t="s">
        <v>1333</v>
      </c>
      <c r="AZ118" s="35">
        <v>45889</v>
      </c>
      <c r="BA118" s="35">
        <v>45889</v>
      </c>
      <c r="BB118" s="34" t="s">
        <v>123</v>
      </c>
      <c r="BC118" s="34" t="s">
        <v>123</v>
      </c>
      <c r="BD118" s="34" t="s">
        <v>123</v>
      </c>
      <c r="BE118" s="34" t="s">
        <v>139</v>
      </c>
      <c r="BF118" s="34">
        <v>254</v>
      </c>
      <c r="BG118" s="34">
        <v>0</v>
      </c>
      <c r="BH118" s="34">
        <v>6.2344139999999999E-2</v>
      </c>
      <c r="BI118" s="34" t="s">
        <v>133</v>
      </c>
      <c r="BJ118" s="34" t="s">
        <v>1336</v>
      </c>
      <c r="BK118" s="34">
        <v>2025</v>
      </c>
      <c r="BL118" s="34" t="s">
        <v>1456</v>
      </c>
      <c r="BM118" s="34"/>
      <c r="BN118" s="34">
        <v>0</v>
      </c>
      <c r="BO118" s="34" t="s">
        <v>1330</v>
      </c>
      <c r="BP118" s="34">
        <v>0.1009</v>
      </c>
      <c r="BQ118" s="34" t="s">
        <v>1326</v>
      </c>
      <c r="BR118" s="35">
        <v>45889</v>
      </c>
      <c r="BS118" s="34">
        <v>0</v>
      </c>
      <c r="BT118" s="34" t="s">
        <v>123</v>
      </c>
      <c r="BU118" s="34">
        <v>0</v>
      </c>
      <c r="BV118" s="34">
        <v>250000</v>
      </c>
      <c r="BW118" s="34">
        <v>0</v>
      </c>
      <c r="BX118" s="34">
        <v>254</v>
      </c>
      <c r="BY118" s="34">
        <v>0</v>
      </c>
      <c r="BZ118" s="34">
        <v>1</v>
      </c>
      <c r="CA118" s="34" t="s">
        <v>123</v>
      </c>
      <c r="CB118" s="34" t="s">
        <v>123</v>
      </c>
      <c r="CC118" s="34" t="s">
        <v>123</v>
      </c>
    </row>
    <row r="119" spans="1:81" x14ac:dyDescent="0.3">
      <c r="A119" s="34" t="s">
        <v>1473</v>
      </c>
      <c r="B119" s="34" t="s">
        <v>943</v>
      </c>
      <c r="C119" s="34" t="s">
        <v>1357</v>
      </c>
      <c r="D119" s="34"/>
      <c r="E119" s="35">
        <v>45098</v>
      </c>
      <c r="F119" s="35">
        <v>46211</v>
      </c>
      <c r="G119" s="34"/>
      <c r="H119" s="34" t="s">
        <v>1325</v>
      </c>
      <c r="I119" s="34">
        <v>0</v>
      </c>
      <c r="J119" s="34">
        <v>150000000</v>
      </c>
      <c r="K119" s="34" t="s">
        <v>123</v>
      </c>
      <c r="L119" s="34" t="s">
        <v>123</v>
      </c>
      <c r="M119" s="34" t="s">
        <v>123</v>
      </c>
      <c r="N119" s="34" t="s">
        <v>123</v>
      </c>
      <c r="O119" s="34">
        <v>101.15</v>
      </c>
      <c r="P119" s="34">
        <v>1.6666700000000001E-3</v>
      </c>
      <c r="Q119" s="34" t="s">
        <v>123</v>
      </c>
      <c r="R119" s="34" t="s">
        <v>123</v>
      </c>
      <c r="S119" s="34" t="s">
        <v>123</v>
      </c>
      <c r="T119" s="34" t="s">
        <v>123</v>
      </c>
      <c r="U119" s="34" t="s">
        <v>123</v>
      </c>
      <c r="V119" s="34" t="s">
        <v>123</v>
      </c>
      <c r="W119" s="34" t="s">
        <v>123</v>
      </c>
      <c r="X119" s="34" t="s">
        <v>123</v>
      </c>
      <c r="Y119" s="34" t="s">
        <v>123</v>
      </c>
      <c r="Z119" s="34">
        <v>0</v>
      </c>
      <c r="AA119" s="34" t="s">
        <v>123</v>
      </c>
      <c r="AB119" s="34">
        <v>0</v>
      </c>
      <c r="AC119" s="34">
        <v>1</v>
      </c>
      <c r="AD119" s="34" t="s">
        <v>123</v>
      </c>
      <c r="AE119" s="34" t="s">
        <v>123</v>
      </c>
      <c r="AF119" s="34" t="s">
        <v>946</v>
      </c>
      <c r="AG119" s="34" t="s">
        <v>123</v>
      </c>
      <c r="AH119" s="34" t="s">
        <v>123</v>
      </c>
      <c r="AI119" s="34" t="s">
        <v>123</v>
      </c>
      <c r="AJ119" s="34" t="s">
        <v>123</v>
      </c>
      <c r="AK119" s="34" t="s">
        <v>123</v>
      </c>
      <c r="AL119" s="34" t="s">
        <v>123</v>
      </c>
      <c r="AM119" s="34" t="s">
        <v>123</v>
      </c>
      <c r="AN119" s="34" t="s">
        <v>123</v>
      </c>
      <c r="AO119" s="34" t="s">
        <v>123</v>
      </c>
      <c r="AP119" s="34">
        <v>0</v>
      </c>
      <c r="AQ119" s="34" t="s">
        <v>123</v>
      </c>
      <c r="AR119" s="34">
        <v>6.9939169999999995E-2</v>
      </c>
      <c r="AS119" s="34"/>
      <c r="AT119" s="34" t="s">
        <v>123</v>
      </c>
      <c r="AU119" s="34">
        <v>110</v>
      </c>
      <c r="AV119" s="34" t="s">
        <v>1474</v>
      </c>
      <c r="AW119" s="34">
        <v>0</v>
      </c>
      <c r="AX119" s="34">
        <v>1448</v>
      </c>
      <c r="AY119" s="34" t="s">
        <v>1333</v>
      </c>
      <c r="AZ119" s="35">
        <v>45775</v>
      </c>
      <c r="BA119" s="35">
        <v>45775</v>
      </c>
      <c r="BB119" s="34" t="s">
        <v>123</v>
      </c>
      <c r="BC119" s="34" t="s">
        <v>123</v>
      </c>
      <c r="BD119" s="34" t="s">
        <v>123</v>
      </c>
      <c r="BE119" s="34" t="s">
        <v>139</v>
      </c>
      <c r="BF119" s="34">
        <v>218</v>
      </c>
      <c r="BG119" s="34">
        <v>0</v>
      </c>
      <c r="BH119" s="34">
        <v>3.8097329999999999E-2</v>
      </c>
      <c r="BI119" s="34" t="s">
        <v>133</v>
      </c>
      <c r="BJ119" s="34" t="s">
        <v>1336</v>
      </c>
      <c r="BK119" s="34">
        <v>2025</v>
      </c>
      <c r="BL119" s="34" t="s">
        <v>1456</v>
      </c>
      <c r="BM119" s="34"/>
      <c r="BN119" s="34">
        <v>0</v>
      </c>
      <c r="BO119" s="34" t="s">
        <v>1330</v>
      </c>
      <c r="BP119" s="34">
        <v>7.7850000000000003E-2</v>
      </c>
      <c r="BQ119" s="34" t="s">
        <v>1326</v>
      </c>
      <c r="BR119" s="35">
        <v>45775</v>
      </c>
      <c r="BS119" s="34">
        <v>0</v>
      </c>
      <c r="BT119" s="34" t="s">
        <v>123</v>
      </c>
      <c r="BU119" s="34">
        <v>0</v>
      </c>
      <c r="BV119" s="34">
        <v>250000</v>
      </c>
      <c r="BW119" s="34">
        <v>0</v>
      </c>
      <c r="BX119" s="34">
        <v>218</v>
      </c>
      <c r="BY119" s="34">
        <v>0</v>
      </c>
      <c r="BZ119" s="34">
        <v>1</v>
      </c>
      <c r="CA119" s="34" t="s">
        <v>123</v>
      </c>
      <c r="CB119" s="34" t="s">
        <v>123</v>
      </c>
      <c r="CC119" s="34" t="s">
        <v>123</v>
      </c>
    </row>
    <row r="120" spans="1:81" x14ac:dyDescent="0.3">
      <c r="A120" s="34" t="s">
        <v>1475</v>
      </c>
      <c r="B120" s="34" t="s">
        <v>1099</v>
      </c>
      <c r="C120" s="34" t="s">
        <v>1358</v>
      </c>
      <c r="D120" s="34"/>
      <c r="E120" s="35">
        <v>45126</v>
      </c>
      <c r="F120" s="35">
        <v>46241</v>
      </c>
      <c r="G120" s="34"/>
      <c r="H120" s="34" t="s">
        <v>1325</v>
      </c>
      <c r="I120" s="34">
        <v>0</v>
      </c>
      <c r="J120" s="34">
        <v>300000000</v>
      </c>
      <c r="K120" s="34" t="s">
        <v>123</v>
      </c>
      <c r="L120" s="34" t="s">
        <v>123</v>
      </c>
      <c r="M120" s="34" t="s">
        <v>123</v>
      </c>
      <c r="N120" s="34" t="s">
        <v>123</v>
      </c>
      <c r="O120" s="34">
        <v>101.95</v>
      </c>
      <c r="P120" s="34">
        <v>2.5000000000000001E-3</v>
      </c>
      <c r="Q120" s="34" t="s">
        <v>123</v>
      </c>
      <c r="R120" s="34" t="s">
        <v>123</v>
      </c>
      <c r="S120" s="34" t="s">
        <v>123</v>
      </c>
      <c r="T120" s="34" t="s">
        <v>123</v>
      </c>
      <c r="U120" s="34" t="s">
        <v>123</v>
      </c>
      <c r="V120" s="34" t="s">
        <v>123</v>
      </c>
      <c r="W120" s="34" t="s">
        <v>123</v>
      </c>
      <c r="X120" s="34" t="s">
        <v>123</v>
      </c>
      <c r="Y120" s="34" t="s">
        <v>123</v>
      </c>
      <c r="Z120" s="34">
        <v>0</v>
      </c>
      <c r="AA120" s="34" t="s">
        <v>123</v>
      </c>
      <c r="AB120" s="34">
        <v>0</v>
      </c>
      <c r="AC120" s="34">
        <v>1</v>
      </c>
      <c r="AD120" s="34" t="s">
        <v>123</v>
      </c>
      <c r="AE120" s="34" t="s">
        <v>123</v>
      </c>
      <c r="AF120" s="34" t="s">
        <v>1100</v>
      </c>
      <c r="AG120" s="34" t="s">
        <v>123</v>
      </c>
      <c r="AH120" s="34" t="s">
        <v>123</v>
      </c>
      <c r="AI120" s="34" t="s">
        <v>123</v>
      </c>
      <c r="AJ120" s="34" t="s">
        <v>123</v>
      </c>
      <c r="AK120" s="34" t="s">
        <v>123</v>
      </c>
      <c r="AL120" s="34" t="s">
        <v>123</v>
      </c>
      <c r="AM120" s="34" t="s">
        <v>123</v>
      </c>
      <c r="AN120" s="34" t="s">
        <v>123</v>
      </c>
      <c r="AO120" s="34" t="s">
        <v>123</v>
      </c>
      <c r="AP120" s="34">
        <v>0</v>
      </c>
      <c r="AQ120" s="34" t="s">
        <v>123</v>
      </c>
      <c r="AR120" s="34">
        <v>8.6950429999999995E-2</v>
      </c>
      <c r="AS120" s="34"/>
      <c r="AT120" s="34" t="s">
        <v>123</v>
      </c>
      <c r="AU120" s="34">
        <v>110</v>
      </c>
      <c r="AV120" s="34" t="s">
        <v>1476</v>
      </c>
      <c r="AW120" s="34">
        <v>0</v>
      </c>
      <c r="AX120" s="34">
        <v>1449</v>
      </c>
      <c r="AY120" s="34" t="s">
        <v>1333</v>
      </c>
      <c r="AZ120" s="35">
        <v>45777</v>
      </c>
      <c r="BA120" s="35">
        <v>45777</v>
      </c>
      <c r="BB120" s="34" t="s">
        <v>123</v>
      </c>
      <c r="BC120" s="34" t="s">
        <v>123</v>
      </c>
      <c r="BD120" s="34" t="s">
        <v>123</v>
      </c>
      <c r="BE120" s="34" t="s">
        <v>139</v>
      </c>
      <c r="BF120" s="34">
        <v>262</v>
      </c>
      <c r="BG120" s="34">
        <v>0</v>
      </c>
      <c r="BH120" s="34">
        <v>6.1561049999999999E-2</v>
      </c>
      <c r="BI120" s="34" t="s">
        <v>133</v>
      </c>
      <c r="BJ120" s="34" t="s">
        <v>1336</v>
      </c>
      <c r="BK120" s="34">
        <v>2025</v>
      </c>
      <c r="BL120" s="34" t="s">
        <v>1456</v>
      </c>
      <c r="BM120" s="34"/>
      <c r="BN120" s="34">
        <v>0</v>
      </c>
      <c r="BO120" s="34" t="s">
        <v>1330</v>
      </c>
      <c r="BP120" s="34">
        <v>0.1004</v>
      </c>
      <c r="BQ120" s="34" t="s">
        <v>1326</v>
      </c>
      <c r="BR120" s="35">
        <v>45777</v>
      </c>
      <c r="BS120" s="34">
        <v>0</v>
      </c>
      <c r="BT120" s="34" t="s">
        <v>123</v>
      </c>
      <c r="BU120" s="34">
        <v>0</v>
      </c>
      <c r="BV120" s="34">
        <v>250000</v>
      </c>
      <c r="BW120" s="34">
        <v>0</v>
      </c>
      <c r="BX120" s="34">
        <v>262</v>
      </c>
      <c r="BY120" s="34">
        <v>0</v>
      </c>
      <c r="BZ120" s="34">
        <v>1</v>
      </c>
      <c r="CA120" s="34" t="s">
        <v>123</v>
      </c>
      <c r="CB120" s="34" t="s">
        <v>123</v>
      </c>
      <c r="CC120" s="34" t="s">
        <v>123</v>
      </c>
    </row>
    <row r="121" spans="1:81" x14ac:dyDescent="0.3">
      <c r="A121" s="34" t="s">
        <v>1477</v>
      </c>
      <c r="B121" s="34" t="s">
        <v>876</v>
      </c>
      <c r="C121" s="34" t="s">
        <v>1359</v>
      </c>
      <c r="D121" s="34"/>
      <c r="E121" s="35">
        <v>45393</v>
      </c>
      <c r="F121" s="35">
        <v>46517</v>
      </c>
      <c r="G121" s="34"/>
      <c r="H121" s="34" t="s">
        <v>1325</v>
      </c>
      <c r="I121" s="34">
        <v>0</v>
      </c>
      <c r="J121" s="34">
        <v>125000000</v>
      </c>
      <c r="K121" s="34" t="s">
        <v>123</v>
      </c>
      <c r="L121" s="34" t="s">
        <v>123</v>
      </c>
      <c r="M121" s="34" t="s">
        <v>123</v>
      </c>
      <c r="N121" s="34" t="s">
        <v>123</v>
      </c>
      <c r="O121" s="34">
        <v>102</v>
      </c>
      <c r="P121" s="34">
        <v>2E-3</v>
      </c>
      <c r="Q121" s="34" t="s">
        <v>123</v>
      </c>
      <c r="R121" s="34" t="s">
        <v>123</v>
      </c>
      <c r="S121" s="34" t="s">
        <v>123</v>
      </c>
      <c r="T121" s="34" t="s">
        <v>123</v>
      </c>
      <c r="U121" s="34" t="s">
        <v>123</v>
      </c>
      <c r="V121" s="34" t="s">
        <v>123</v>
      </c>
      <c r="W121" s="34" t="s">
        <v>123</v>
      </c>
      <c r="X121" s="34" t="s">
        <v>123</v>
      </c>
      <c r="Y121" s="34" t="s">
        <v>123</v>
      </c>
      <c r="Z121" s="34">
        <v>0</v>
      </c>
      <c r="AA121" s="34" t="s">
        <v>123</v>
      </c>
      <c r="AB121" s="34">
        <v>0</v>
      </c>
      <c r="AC121" s="34">
        <v>1</v>
      </c>
      <c r="AD121" s="34" t="s">
        <v>123</v>
      </c>
      <c r="AE121" s="34" t="s">
        <v>123</v>
      </c>
      <c r="AF121" s="34" t="s">
        <v>879</v>
      </c>
      <c r="AG121" s="34" t="s">
        <v>123</v>
      </c>
      <c r="AH121" s="34" t="s">
        <v>123</v>
      </c>
      <c r="AI121" s="34" t="s">
        <v>123</v>
      </c>
      <c r="AJ121" s="34" t="s">
        <v>123</v>
      </c>
      <c r="AK121" s="34" t="s">
        <v>123</v>
      </c>
      <c r="AL121" s="34" t="s">
        <v>123</v>
      </c>
      <c r="AM121" s="34" t="s">
        <v>123</v>
      </c>
      <c r="AN121" s="34" t="s">
        <v>123</v>
      </c>
      <c r="AO121" s="34" t="s">
        <v>123</v>
      </c>
      <c r="AP121" s="34">
        <v>0</v>
      </c>
      <c r="AQ121" s="34" t="s">
        <v>123</v>
      </c>
      <c r="AR121" s="34">
        <v>0.106922</v>
      </c>
      <c r="AS121" s="34"/>
      <c r="AT121" s="34" t="s">
        <v>123</v>
      </c>
      <c r="AU121" s="34">
        <v>110</v>
      </c>
      <c r="AV121" s="34" t="s">
        <v>1478</v>
      </c>
      <c r="AW121" s="34">
        <v>0</v>
      </c>
      <c r="AX121" s="34">
        <v>1450</v>
      </c>
      <c r="AY121" s="34" t="s">
        <v>1333</v>
      </c>
      <c r="AZ121" s="35">
        <v>45777</v>
      </c>
      <c r="BA121" s="35">
        <v>45777</v>
      </c>
      <c r="BB121" s="34" t="s">
        <v>123</v>
      </c>
      <c r="BC121" s="34" t="s">
        <v>123</v>
      </c>
      <c r="BD121" s="34" t="s">
        <v>123</v>
      </c>
      <c r="BE121" s="34" t="s">
        <v>139</v>
      </c>
      <c r="BF121" s="34">
        <v>203</v>
      </c>
      <c r="BG121" s="34">
        <v>0</v>
      </c>
      <c r="BH121" s="34">
        <v>7.6309879999999997E-2</v>
      </c>
      <c r="BI121" s="34" t="s">
        <v>150</v>
      </c>
      <c r="BJ121" s="34" t="s">
        <v>1336</v>
      </c>
      <c r="BK121" s="34">
        <v>2025</v>
      </c>
      <c r="BL121" s="34" t="s">
        <v>1456</v>
      </c>
      <c r="BM121" s="34"/>
      <c r="BN121" s="34">
        <v>0</v>
      </c>
      <c r="BO121" s="34" t="s">
        <v>1330</v>
      </c>
      <c r="BP121" s="34">
        <v>0.11452</v>
      </c>
      <c r="BQ121" s="34" t="s">
        <v>1326</v>
      </c>
      <c r="BR121" s="35">
        <v>45777</v>
      </c>
      <c r="BS121" s="34">
        <v>0</v>
      </c>
      <c r="BT121" s="34" t="s">
        <v>123</v>
      </c>
      <c r="BU121" s="34">
        <v>0</v>
      </c>
      <c r="BV121" s="34">
        <v>250000</v>
      </c>
      <c r="BW121" s="34">
        <v>0</v>
      </c>
      <c r="BX121" s="34">
        <v>203</v>
      </c>
      <c r="BY121" s="34">
        <v>0</v>
      </c>
      <c r="BZ121" s="34">
        <v>1</v>
      </c>
      <c r="CA121" s="34" t="s">
        <v>123</v>
      </c>
      <c r="CB121" s="34" t="s">
        <v>123</v>
      </c>
      <c r="CC121" s="34" t="s">
        <v>123</v>
      </c>
    </row>
    <row r="122" spans="1:81" x14ac:dyDescent="0.3">
      <c r="A122" s="34" t="s">
        <v>1479</v>
      </c>
      <c r="B122" s="34" t="s">
        <v>995</v>
      </c>
      <c r="C122" s="34" t="s">
        <v>1360</v>
      </c>
      <c r="D122" s="34"/>
      <c r="E122" s="35">
        <v>45701</v>
      </c>
      <c r="F122" s="35">
        <v>46804</v>
      </c>
      <c r="G122" s="34"/>
      <c r="H122" s="34" t="s">
        <v>1325</v>
      </c>
      <c r="I122" s="34">
        <v>0</v>
      </c>
      <c r="J122" s="34">
        <v>200000000</v>
      </c>
      <c r="K122" s="34" t="s">
        <v>123</v>
      </c>
      <c r="L122" s="34" t="s">
        <v>123</v>
      </c>
      <c r="M122" s="34" t="s">
        <v>123</v>
      </c>
      <c r="N122" s="34" t="s">
        <v>123</v>
      </c>
      <c r="O122" s="34">
        <v>99.85</v>
      </c>
      <c r="P122" s="34">
        <v>1.4285700000000001E-3</v>
      </c>
      <c r="Q122" s="34" t="s">
        <v>123</v>
      </c>
      <c r="R122" s="34" t="s">
        <v>123</v>
      </c>
      <c r="S122" s="34" t="s">
        <v>123</v>
      </c>
      <c r="T122" s="34" t="s">
        <v>123</v>
      </c>
      <c r="U122" s="34" t="s">
        <v>123</v>
      </c>
      <c r="V122" s="34" t="s">
        <v>123</v>
      </c>
      <c r="W122" s="34" t="s">
        <v>123</v>
      </c>
      <c r="X122" s="34" t="s">
        <v>123</v>
      </c>
      <c r="Y122" s="34" t="s">
        <v>123</v>
      </c>
      <c r="Z122" s="34">
        <v>0</v>
      </c>
      <c r="AA122" s="34" t="s">
        <v>123</v>
      </c>
      <c r="AB122" s="34">
        <v>0</v>
      </c>
      <c r="AC122" s="34">
        <v>1</v>
      </c>
      <c r="AD122" s="34" t="s">
        <v>123</v>
      </c>
      <c r="AE122" s="34" t="s">
        <v>123</v>
      </c>
      <c r="AF122" s="34" t="s">
        <v>996</v>
      </c>
      <c r="AG122" s="34" t="s">
        <v>123</v>
      </c>
      <c r="AH122" s="34" t="s">
        <v>123</v>
      </c>
      <c r="AI122" s="34" t="s">
        <v>123</v>
      </c>
      <c r="AJ122" s="34" t="s">
        <v>123</v>
      </c>
      <c r="AK122" s="34" t="s">
        <v>123</v>
      </c>
      <c r="AL122" s="34" t="s">
        <v>123</v>
      </c>
      <c r="AM122" s="34" t="s">
        <v>123</v>
      </c>
      <c r="AN122" s="34" t="s">
        <v>123</v>
      </c>
      <c r="AO122" s="34" t="s">
        <v>123</v>
      </c>
      <c r="AP122" s="34">
        <v>0</v>
      </c>
      <c r="AQ122" s="34" t="s">
        <v>123</v>
      </c>
      <c r="AR122" s="34">
        <v>0.10708301000000001</v>
      </c>
      <c r="AS122" s="34"/>
      <c r="AT122" s="34" t="s">
        <v>123</v>
      </c>
      <c r="AU122" s="34">
        <v>110</v>
      </c>
      <c r="AV122" s="34" t="s">
        <v>1480</v>
      </c>
      <c r="AW122" s="34">
        <v>0</v>
      </c>
      <c r="AX122" s="34">
        <v>1451</v>
      </c>
      <c r="AY122" s="34" t="s">
        <v>1333</v>
      </c>
      <c r="AZ122" s="35">
        <v>45784</v>
      </c>
      <c r="BA122" s="35">
        <v>45784</v>
      </c>
      <c r="BB122" s="34" t="s">
        <v>123</v>
      </c>
      <c r="BC122" s="34" t="s">
        <v>123</v>
      </c>
      <c r="BD122" s="34" t="s">
        <v>123</v>
      </c>
      <c r="BE122" s="34" t="s">
        <v>139</v>
      </c>
      <c r="BF122" s="34">
        <v>234</v>
      </c>
      <c r="BG122" s="34">
        <v>0</v>
      </c>
      <c r="BH122" s="34">
        <v>6.497E-2</v>
      </c>
      <c r="BI122" s="34" t="s">
        <v>159</v>
      </c>
      <c r="BJ122" s="34" t="s">
        <v>1336</v>
      </c>
      <c r="BK122" s="34"/>
      <c r="BL122" s="34" t="s">
        <v>1456</v>
      </c>
      <c r="BM122" s="34"/>
      <c r="BN122" s="34">
        <v>0</v>
      </c>
      <c r="BO122" s="34" t="s">
        <v>1330</v>
      </c>
      <c r="BP122" s="34">
        <v>0.1032</v>
      </c>
      <c r="BQ122" s="34" t="s">
        <v>1326</v>
      </c>
      <c r="BR122" s="35">
        <v>45784</v>
      </c>
      <c r="BS122" s="34">
        <v>0</v>
      </c>
      <c r="BT122" s="34" t="s">
        <v>123</v>
      </c>
      <c r="BU122" s="34">
        <v>0</v>
      </c>
      <c r="BV122" s="34">
        <v>250000</v>
      </c>
      <c r="BW122" s="34">
        <v>0</v>
      </c>
      <c r="BX122" s="34">
        <v>234</v>
      </c>
      <c r="BY122" s="34">
        <v>0</v>
      </c>
      <c r="BZ122" s="34">
        <v>1</v>
      </c>
      <c r="CA122" s="34" t="s">
        <v>123</v>
      </c>
      <c r="CB122" s="34" t="s">
        <v>123</v>
      </c>
      <c r="CC122" s="34" t="s">
        <v>123</v>
      </c>
    </row>
    <row r="125" spans="1:81" ht="33.6" x14ac:dyDescent="0.3">
      <c r="A125" s="36" t="s">
        <v>1664</v>
      </c>
      <c r="B125" s="37" t="s">
        <v>1665</v>
      </c>
      <c r="C125" s="34">
        <v>5109500</v>
      </c>
    </row>
    <row r="126" spans="1:81" ht="16.8" x14ac:dyDescent="0.3">
      <c r="A126" s="40"/>
      <c r="B126" s="37" t="s">
        <v>1666</v>
      </c>
      <c r="C126" s="34">
        <v>6000000</v>
      </c>
    </row>
    <row r="128" spans="1:81" ht="15" thickBot="1" x14ac:dyDescent="0.35"/>
    <row r="129" spans="1:12" ht="16.8" x14ac:dyDescent="0.3">
      <c r="A129" s="189" t="s">
        <v>1667</v>
      </c>
      <c r="B129" s="191" t="s">
        <v>1668</v>
      </c>
      <c r="C129" s="46">
        <v>0.1</v>
      </c>
      <c r="D129" s="46">
        <v>0.5</v>
      </c>
      <c r="E129" s="46">
        <v>0.8</v>
      </c>
      <c r="F129" s="46">
        <v>0.9</v>
      </c>
      <c r="G129" s="46">
        <v>0.96</v>
      </c>
      <c r="H129" s="47">
        <v>0.98</v>
      </c>
      <c r="I129" s="46">
        <v>0.99</v>
      </c>
      <c r="J129" s="48">
        <v>0.996</v>
      </c>
      <c r="K129" s="49">
        <v>0.998</v>
      </c>
      <c r="L129" s="49">
        <v>0.999</v>
      </c>
    </row>
    <row r="130" spans="1:12" ht="17.399999999999999" thickBot="1" x14ac:dyDescent="0.35">
      <c r="A130" s="190"/>
      <c r="B130" s="192"/>
      <c r="C130" s="50" t="s">
        <v>1669</v>
      </c>
      <c r="D130" s="51" t="s">
        <v>1670</v>
      </c>
      <c r="E130" s="51" t="s">
        <v>1671</v>
      </c>
      <c r="F130" s="51" t="s">
        <v>1672</v>
      </c>
      <c r="G130" s="51" t="s">
        <v>1673</v>
      </c>
      <c r="H130" s="51" t="s">
        <v>1674</v>
      </c>
      <c r="I130" s="51" t="s">
        <v>1675</v>
      </c>
      <c r="J130" s="51" t="s">
        <v>1676</v>
      </c>
      <c r="K130" s="51" t="s">
        <v>1677</v>
      </c>
      <c r="L130" s="51" t="s">
        <v>1678</v>
      </c>
    </row>
    <row r="131" spans="1:12" ht="16.8" x14ac:dyDescent="0.45">
      <c r="A131" s="52" t="s">
        <v>1679</v>
      </c>
      <c r="B131" s="53">
        <v>465212</v>
      </c>
      <c r="C131" s="53">
        <v>465212</v>
      </c>
      <c r="D131" s="53">
        <v>465212</v>
      </c>
      <c r="E131" s="53">
        <v>465212</v>
      </c>
      <c r="F131" s="53">
        <v>465212</v>
      </c>
      <c r="G131" s="53">
        <v>465212</v>
      </c>
      <c r="H131" s="53">
        <v>465212</v>
      </c>
      <c r="I131" s="53">
        <v>465212</v>
      </c>
      <c r="J131" s="53">
        <v>465212</v>
      </c>
      <c r="K131" s="54">
        <v>465212</v>
      </c>
      <c r="L131" s="54">
        <v>465212</v>
      </c>
    </row>
    <row r="132" spans="1:12" ht="16.8" x14ac:dyDescent="0.45">
      <c r="A132" s="52" t="s">
        <v>1680</v>
      </c>
      <c r="B132" s="55">
        <v>0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6">
        <v>0</v>
      </c>
      <c r="L132" s="56">
        <v>0</v>
      </c>
    </row>
    <row r="133" spans="1:12" ht="16.8" x14ac:dyDescent="0.45">
      <c r="A133" s="57" t="s">
        <v>1681</v>
      </c>
      <c r="B133" s="55">
        <v>0</v>
      </c>
      <c r="C133" s="55">
        <v>0</v>
      </c>
      <c r="D133" s="55">
        <v>0</v>
      </c>
      <c r="E133" s="55">
        <v>0</v>
      </c>
      <c r="F133" s="55">
        <v>0</v>
      </c>
      <c r="G133" s="55">
        <v>0</v>
      </c>
      <c r="H133" s="55">
        <v>0</v>
      </c>
      <c r="I133" s="55">
        <v>0</v>
      </c>
      <c r="J133" s="55">
        <v>0</v>
      </c>
      <c r="K133" s="56">
        <v>0</v>
      </c>
      <c r="L133" s="56">
        <v>0</v>
      </c>
    </row>
    <row r="134" spans="1:12" ht="16.8" x14ac:dyDescent="0.45">
      <c r="A134" s="58" t="s">
        <v>1682</v>
      </c>
      <c r="B134" s="59">
        <v>465212</v>
      </c>
      <c r="C134" s="59">
        <v>465212</v>
      </c>
      <c r="D134" s="59">
        <v>465212</v>
      </c>
      <c r="E134" s="59">
        <v>465212</v>
      </c>
      <c r="F134" s="59">
        <v>465212</v>
      </c>
      <c r="G134" s="59">
        <v>465212</v>
      </c>
      <c r="H134" s="59">
        <v>465212</v>
      </c>
      <c r="I134" s="59">
        <v>465212</v>
      </c>
      <c r="J134" s="59">
        <v>465212</v>
      </c>
      <c r="K134" s="60">
        <v>465212</v>
      </c>
      <c r="L134" s="60">
        <v>465212</v>
      </c>
    </row>
    <row r="135" spans="1:12" ht="16.8" x14ac:dyDescent="0.45">
      <c r="A135" s="52" t="s">
        <v>1683</v>
      </c>
      <c r="B135" s="61">
        <v>63531.8</v>
      </c>
      <c r="C135" s="61">
        <v>0</v>
      </c>
      <c r="D135" s="61">
        <v>0</v>
      </c>
      <c r="E135" s="61">
        <v>0</v>
      </c>
      <c r="F135" s="61">
        <v>249999.90000000005</v>
      </c>
      <c r="G135" s="61">
        <v>500000.4</v>
      </c>
      <c r="H135" s="61">
        <v>773671.66926247149</v>
      </c>
      <c r="I135" s="61">
        <v>1078852.5187763581</v>
      </c>
      <c r="J135" s="61">
        <v>1494286.8556742375</v>
      </c>
      <c r="K135" s="62">
        <v>1628898.8154140722</v>
      </c>
      <c r="L135" s="62">
        <v>1750000.895825</v>
      </c>
    </row>
    <row r="136" spans="1:12" ht="16.8" x14ac:dyDescent="0.45">
      <c r="A136" s="57" t="s">
        <v>1684</v>
      </c>
      <c r="B136" s="55">
        <v>0</v>
      </c>
      <c r="C136" s="55">
        <v>0</v>
      </c>
      <c r="D136" s="55">
        <v>0</v>
      </c>
      <c r="E136" s="55">
        <v>0</v>
      </c>
      <c r="F136" s="55">
        <v>0</v>
      </c>
      <c r="G136" s="55">
        <v>0</v>
      </c>
      <c r="H136" s="55">
        <v>0</v>
      </c>
      <c r="I136" s="55">
        <v>0</v>
      </c>
      <c r="J136" s="55">
        <v>0</v>
      </c>
      <c r="K136" s="56">
        <v>0</v>
      </c>
      <c r="L136" s="56">
        <v>0</v>
      </c>
    </row>
    <row r="137" spans="1:12" ht="16.8" x14ac:dyDescent="0.45">
      <c r="A137" s="57" t="s">
        <v>1685</v>
      </c>
      <c r="B137" s="55">
        <v>0</v>
      </c>
      <c r="C137" s="55">
        <v>0</v>
      </c>
      <c r="D137" s="55">
        <v>0</v>
      </c>
      <c r="E137" s="55">
        <v>0</v>
      </c>
      <c r="F137" s="55">
        <v>0</v>
      </c>
      <c r="G137" s="55">
        <v>0</v>
      </c>
      <c r="H137" s="55">
        <v>0</v>
      </c>
      <c r="I137" s="55">
        <v>0</v>
      </c>
      <c r="J137" s="55">
        <v>0</v>
      </c>
      <c r="K137" s="56">
        <v>0</v>
      </c>
      <c r="L137" s="56">
        <v>0</v>
      </c>
    </row>
    <row r="138" spans="1:12" ht="16.8" x14ac:dyDescent="0.45">
      <c r="A138" s="57" t="s">
        <v>1686</v>
      </c>
      <c r="B138" s="55">
        <v>0</v>
      </c>
      <c r="C138" s="55">
        <v>0</v>
      </c>
      <c r="D138" s="55">
        <v>0</v>
      </c>
      <c r="E138" s="55">
        <v>0</v>
      </c>
      <c r="F138" s="55">
        <v>0</v>
      </c>
      <c r="G138" s="55">
        <v>0</v>
      </c>
      <c r="H138" s="55">
        <v>0</v>
      </c>
      <c r="I138" s="55">
        <v>0</v>
      </c>
      <c r="J138" s="55">
        <v>0</v>
      </c>
      <c r="K138" s="56">
        <v>0</v>
      </c>
      <c r="L138" s="56">
        <v>0</v>
      </c>
    </row>
    <row r="139" spans="1:12" ht="16.8" x14ac:dyDescent="0.45">
      <c r="A139" s="58" t="s">
        <v>1687</v>
      </c>
      <c r="B139" s="59">
        <v>401680.2</v>
      </c>
      <c r="C139" s="59">
        <v>465212</v>
      </c>
      <c r="D139" s="59">
        <v>465212</v>
      </c>
      <c r="E139" s="59">
        <v>465212</v>
      </c>
      <c r="F139" s="59">
        <v>215212.09999999995</v>
      </c>
      <c r="G139" s="59">
        <v>-34788.400000000023</v>
      </c>
      <c r="H139" s="59">
        <v>-308459.66926247149</v>
      </c>
      <c r="I139" s="59">
        <v>-613640.51877635811</v>
      </c>
      <c r="J139" s="59">
        <v>-1029074.8556742375</v>
      </c>
      <c r="K139" s="60">
        <v>-1163686.8154140722</v>
      </c>
      <c r="L139" s="60">
        <v>-1284788.895825</v>
      </c>
    </row>
    <row r="140" spans="1:12" ht="16.8" x14ac:dyDescent="0.45">
      <c r="A140" s="52" t="s">
        <v>1688</v>
      </c>
      <c r="B140" s="63">
        <v>6.6946699999999998E-2</v>
      </c>
      <c r="C140" s="63">
        <v>7.7535333333333331E-2</v>
      </c>
      <c r="D140" s="63">
        <v>7.7535333333333331E-2</v>
      </c>
      <c r="E140" s="63">
        <v>7.7535333333333331E-2</v>
      </c>
      <c r="F140" s="63">
        <v>3.5868683333333325E-2</v>
      </c>
      <c r="G140" s="63">
        <v>-5.7980666666666708E-3</v>
      </c>
      <c r="H140" s="63">
        <v>-5.1409944877078582E-2</v>
      </c>
      <c r="I140" s="63">
        <v>-0.10227341979605968</v>
      </c>
      <c r="J140" s="63">
        <v>-0.17151247594570623</v>
      </c>
      <c r="K140" s="64">
        <v>-0.19394780256901203</v>
      </c>
      <c r="L140" s="64">
        <v>-0.21413148263750001</v>
      </c>
    </row>
    <row r="141" spans="1:12" ht="16.8" x14ac:dyDescent="0.45">
      <c r="A141" s="52" t="s">
        <v>1689</v>
      </c>
      <c r="B141" s="65">
        <v>34462.199999999997</v>
      </c>
      <c r="C141" s="65">
        <v>34462.199999999997</v>
      </c>
      <c r="D141" s="65">
        <v>34462.199999999997</v>
      </c>
      <c r="E141" s="65">
        <v>34462.199999999997</v>
      </c>
      <c r="F141" s="65">
        <v>34462.199999999997</v>
      </c>
      <c r="G141" s="65">
        <v>34462.199999999997</v>
      </c>
      <c r="H141" s="65">
        <v>34462.199999999997</v>
      </c>
      <c r="I141" s="65">
        <v>34462.199999999997</v>
      </c>
      <c r="J141" s="65">
        <v>34462.199999999997</v>
      </c>
      <c r="K141" s="66">
        <v>34462.199999999997</v>
      </c>
      <c r="L141" s="66">
        <v>34462.199999999997</v>
      </c>
    </row>
    <row r="142" spans="1:12" ht="17.399999999999999" thickBot="1" x14ac:dyDescent="0.5">
      <c r="A142" s="67" t="s">
        <v>1690</v>
      </c>
      <c r="B142" s="68">
        <v>22800</v>
      </c>
      <c r="C142" s="68">
        <v>22800</v>
      </c>
      <c r="D142" s="68">
        <v>22800</v>
      </c>
      <c r="E142" s="68">
        <v>22800</v>
      </c>
      <c r="F142" s="68">
        <v>22800</v>
      </c>
      <c r="G142" s="68">
        <v>22800</v>
      </c>
      <c r="H142" s="68">
        <v>22800</v>
      </c>
      <c r="I142" s="68">
        <v>22800</v>
      </c>
      <c r="J142" s="68">
        <v>22800</v>
      </c>
      <c r="K142" s="69">
        <v>22800</v>
      </c>
      <c r="L142" s="69">
        <v>22800</v>
      </c>
    </row>
    <row r="143" spans="1:12" ht="17.399999999999999" thickTop="1" x14ac:dyDescent="0.45">
      <c r="A143" s="70" t="s">
        <v>1691</v>
      </c>
      <c r="B143" s="59">
        <v>72000</v>
      </c>
      <c r="C143" s="59">
        <v>72000</v>
      </c>
      <c r="D143" s="59">
        <v>72000</v>
      </c>
      <c r="E143" s="59">
        <v>72000</v>
      </c>
      <c r="F143" s="59">
        <v>72000</v>
      </c>
      <c r="G143" s="59">
        <v>72000</v>
      </c>
      <c r="H143" s="59">
        <v>72000</v>
      </c>
      <c r="I143" s="59">
        <v>72000</v>
      </c>
      <c r="J143" s="59">
        <v>72000</v>
      </c>
      <c r="K143" s="60">
        <v>72000</v>
      </c>
      <c r="L143" s="60">
        <v>72000</v>
      </c>
    </row>
    <row r="144" spans="1:12" ht="16.8" x14ac:dyDescent="0.45">
      <c r="A144" s="57" t="s">
        <v>1604</v>
      </c>
      <c r="B144" s="55">
        <v>0</v>
      </c>
      <c r="C144" s="55">
        <v>0</v>
      </c>
      <c r="D144" s="55">
        <v>0</v>
      </c>
      <c r="E144" s="55">
        <v>0</v>
      </c>
      <c r="F144" s="55">
        <v>0</v>
      </c>
      <c r="G144" s="55">
        <v>0</v>
      </c>
      <c r="H144" s="55">
        <v>0</v>
      </c>
      <c r="I144" s="55">
        <v>0</v>
      </c>
      <c r="J144" s="55">
        <v>0</v>
      </c>
      <c r="K144" s="56">
        <v>0</v>
      </c>
      <c r="L144" s="56">
        <v>0</v>
      </c>
    </row>
    <row r="145" spans="1:12" ht="16.8" x14ac:dyDescent="0.45">
      <c r="A145" s="52" t="s">
        <v>1692</v>
      </c>
      <c r="B145" s="61">
        <v>341342.4</v>
      </c>
      <c r="C145" s="61">
        <v>404874.2</v>
      </c>
      <c r="D145" s="61">
        <v>404874.2</v>
      </c>
      <c r="E145" s="61">
        <v>404874.2</v>
      </c>
      <c r="F145" s="61">
        <v>154874.29999999993</v>
      </c>
      <c r="G145" s="61">
        <v>-95126.200000000026</v>
      </c>
      <c r="H145" s="61">
        <v>-368797.46926247148</v>
      </c>
      <c r="I145" s="61">
        <v>-673978.31877635815</v>
      </c>
      <c r="J145" s="61">
        <v>-1089412.6556742375</v>
      </c>
      <c r="K145" s="62">
        <v>-1224024.6154140723</v>
      </c>
      <c r="L145" s="62">
        <v>-1345126.6958250001</v>
      </c>
    </row>
    <row r="146" spans="1:12" ht="17.399999999999999" thickBot="1" x14ac:dyDescent="0.5">
      <c r="A146" s="71" t="s">
        <v>1693</v>
      </c>
      <c r="B146" s="72">
        <v>5.6890400000000001E-2</v>
      </c>
      <c r="C146" s="72">
        <v>6.7479033333333341E-2</v>
      </c>
      <c r="D146" s="72">
        <v>6.7479033333333341E-2</v>
      </c>
      <c r="E146" s="72">
        <v>6.7479033333333341E-2</v>
      </c>
      <c r="F146" s="72">
        <v>2.5812383333333321E-2</v>
      </c>
      <c r="G146" s="72">
        <v>-1.5854366666666671E-2</v>
      </c>
      <c r="H146" s="72">
        <v>-6.146624487707858E-2</v>
      </c>
      <c r="I146" s="72">
        <v>-0.1123297197960597</v>
      </c>
      <c r="J146" s="72">
        <v>-0.18156877594570625</v>
      </c>
      <c r="K146" s="73">
        <v>-0.20400410256901205</v>
      </c>
      <c r="L146" s="73">
        <v>-0.2241877826375</v>
      </c>
    </row>
    <row r="147" spans="1:12" ht="15" thickTop="1" x14ac:dyDescent="0.3"/>
    <row r="149" spans="1:12" ht="17.399999999999999" thickBot="1" x14ac:dyDescent="0.5">
      <c r="A149" s="74" t="s">
        <v>1694</v>
      </c>
    </row>
    <row r="150" spans="1:12" ht="15" thickBot="1" x14ac:dyDescent="0.35">
      <c r="A150" s="76" t="s">
        <v>1695</v>
      </c>
      <c r="B150" s="77" t="s">
        <v>1330</v>
      </c>
      <c r="C150" s="78" t="s">
        <v>1696</v>
      </c>
    </row>
    <row r="151" spans="1:12" x14ac:dyDescent="0.3">
      <c r="A151" s="79" t="s">
        <v>1697</v>
      </c>
      <c r="B151" s="80">
        <v>401680.2</v>
      </c>
      <c r="C151" s="81">
        <v>6.6946699999999998E-2</v>
      </c>
    </row>
    <row r="152" spans="1:12" x14ac:dyDescent="0.3">
      <c r="A152" s="82" t="s">
        <v>1698</v>
      </c>
      <c r="B152" s="83">
        <v>341342.4</v>
      </c>
      <c r="C152" s="84">
        <v>5.6890400000000001E-2</v>
      </c>
    </row>
    <row r="153" spans="1:12" x14ac:dyDescent="0.3">
      <c r="A153" s="82" t="s">
        <v>1699</v>
      </c>
      <c r="B153" s="85">
        <v>201929</v>
      </c>
      <c r="C153" s="84">
        <v>3.3654833333333335E-2</v>
      </c>
    </row>
    <row r="154" spans="1:12" x14ac:dyDescent="0.3">
      <c r="A154" s="82" t="s">
        <v>1700</v>
      </c>
      <c r="B154" s="86">
        <v>1.6904080146982357</v>
      </c>
      <c r="C154" s="87">
        <v>1.6904080146982357</v>
      </c>
    </row>
    <row r="155" spans="1:12" x14ac:dyDescent="0.3">
      <c r="A155" s="88" t="s">
        <v>1701</v>
      </c>
      <c r="B155" s="89">
        <v>0.59157315352560946</v>
      </c>
      <c r="C155" s="90"/>
    </row>
    <row r="156" spans="1:12" x14ac:dyDescent="0.3">
      <c r="A156" s="88" t="s">
        <v>1702</v>
      </c>
      <c r="B156" s="91">
        <v>404874.2</v>
      </c>
      <c r="C156" s="92">
        <v>6.7479033333333341E-2</v>
      </c>
    </row>
    <row r="157" spans="1:12" x14ac:dyDescent="0.3">
      <c r="A157" s="93" t="s">
        <v>1703</v>
      </c>
      <c r="B157" s="94">
        <v>4.6199999999999998E-2</v>
      </c>
      <c r="C157" s="95"/>
    </row>
    <row r="158" spans="1:12" x14ac:dyDescent="0.3">
      <c r="A158" s="82" t="s">
        <v>1704</v>
      </c>
      <c r="B158" s="96">
        <v>-673978.31877635815</v>
      </c>
      <c r="C158" s="97">
        <v>-0.1123297197960597</v>
      </c>
    </row>
    <row r="159" spans="1:12" x14ac:dyDescent="0.3">
      <c r="A159" s="82" t="s">
        <v>1705</v>
      </c>
      <c r="B159" s="96">
        <v>-1089412.6556742375</v>
      </c>
      <c r="C159" s="98">
        <v>-0.18156877594570625</v>
      </c>
    </row>
    <row r="160" spans="1:12" x14ac:dyDescent="0.3">
      <c r="A160" s="82" t="s">
        <v>1706</v>
      </c>
      <c r="B160" s="85">
        <v>-1013722.9108050771</v>
      </c>
      <c r="C160" s="92">
        <v>-0.16895381846751284</v>
      </c>
    </row>
    <row r="161" spans="1:9" x14ac:dyDescent="0.3">
      <c r="A161" s="82" t="s">
        <v>1707</v>
      </c>
      <c r="B161" s="99">
        <v>0.50645902173785717</v>
      </c>
      <c r="C161" s="84"/>
    </row>
    <row r="162" spans="1:9" x14ac:dyDescent="0.3">
      <c r="A162" s="82" t="s">
        <v>1708</v>
      </c>
      <c r="B162" s="85">
        <v>5000000</v>
      </c>
      <c r="C162" s="84"/>
    </row>
    <row r="163" spans="1:9" x14ac:dyDescent="0.3">
      <c r="A163" s="82" t="s">
        <v>1709</v>
      </c>
      <c r="B163" s="85">
        <v>5000000</v>
      </c>
      <c r="C163" s="84"/>
    </row>
    <row r="164" spans="1:9" x14ac:dyDescent="0.3">
      <c r="A164" s="82" t="s">
        <v>1710</v>
      </c>
      <c r="B164" s="34"/>
      <c r="C164" s="100">
        <v>0.83333333333333337</v>
      </c>
    </row>
    <row r="165" spans="1:9" ht="15" thickBot="1" x14ac:dyDescent="0.35">
      <c r="A165" s="101" t="s">
        <v>1426</v>
      </c>
      <c r="B165" s="102"/>
      <c r="C165" s="103">
        <v>9.3042399999999997E-2</v>
      </c>
    </row>
    <row r="166" spans="1:9" x14ac:dyDescent="0.3">
      <c r="A166" s="104" t="s">
        <v>1665</v>
      </c>
      <c r="B166" s="105">
        <v>5109500</v>
      </c>
      <c r="C166" s="106"/>
    </row>
    <row r="167" spans="1:9" ht="15" thickBot="1" x14ac:dyDescent="0.35">
      <c r="A167" s="107" t="s">
        <v>1666</v>
      </c>
      <c r="B167" s="108">
        <v>6000000</v>
      </c>
      <c r="C167" s="109"/>
    </row>
    <row r="169" spans="1:9" ht="15" thickBot="1" x14ac:dyDescent="0.35"/>
    <row r="170" spans="1:9" x14ac:dyDescent="0.3">
      <c r="A170" s="115" t="s">
        <v>1393</v>
      </c>
      <c r="B170" s="110" t="s">
        <v>1717</v>
      </c>
      <c r="C170" s="110" t="s">
        <v>1718</v>
      </c>
      <c r="D170" s="110" t="s">
        <v>1711</v>
      </c>
      <c r="E170" s="110" t="s">
        <v>1712</v>
      </c>
      <c r="F170" s="110" t="s">
        <v>1713</v>
      </c>
      <c r="G170" s="110" t="s">
        <v>1714</v>
      </c>
      <c r="H170" s="110" t="s">
        <v>1715</v>
      </c>
      <c r="I170" s="111" t="s">
        <v>1716</v>
      </c>
    </row>
    <row r="171" spans="1:9" x14ac:dyDescent="0.3">
      <c r="A171" s="88" t="s">
        <v>1325</v>
      </c>
      <c r="B171" s="116">
        <v>5092499.4855749998</v>
      </c>
      <c r="C171" s="117">
        <v>0.84874991426250002</v>
      </c>
      <c r="D171" s="112">
        <v>0.05</v>
      </c>
      <c r="E171" s="112" t="s">
        <v>1663</v>
      </c>
      <c r="F171" s="113">
        <v>0.99999933501811533</v>
      </c>
      <c r="G171" s="113">
        <v>0.99667276359232804</v>
      </c>
      <c r="H171" s="113">
        <v>0.99999940591230674</v>
      </c>
      <c r="I171" s="114">
        <v>465211.72362327605</v>
      </c>
    </row>
    <row r="174" spans="1:9" ht="15" thickBot="1" x14ac:dyDescent="0.35"/>
    <row r="175" spans="1:9" x14ac:dyDescent="0.3">
      <c r="A175" s="118" t="s">
        <v>1632</v>
      </c>
      <c r="B175" s="118" t="s">
        <v>1719</v>
      </c>
      <c r="C175" s="118" t="s">
        <v>1720</v>
      </c>
      <c r="D175" s="118" t="s">
        <v>1721</v>
      </c>
      <c r="E175" s="118" t="s">
        <v>1722</v>
      </c>
      <c r="F175" s="118" t="s">
        <v>1723</v>
      </c>
      <c r="G175" s="118" t="s">
        <v>1724</v>
      </c>
      <c r="H175" s="118" t="s">
        <v>1725</v>
      </c>
      <c r="I175" s="118" t="s">
        <v>1820</v>
      </c>
    </row>
    <row r="176" spans="1:9" x14ac:dyDescent="0.3">
      <c r="A176" s="119" t="s">
        <v>1633</v>
      </c>
      <c r="B176" s="120">
        <v>873454.02697277139</v>
      </c>
      <c r="C176" s="120">
        <v>1500000.9958250001</v>
      </c>
      <c r="D176" s="117">
        <v>0.14557567116212858</v>
      </c>
      <c r="E176" s="117">
        <v>0.25000016597083335</v>
      </c>
      <c r="F176" s="117">
        <v>0.35</v>
      </c>
      <c r="G176" s="117">
        <v>0.2</v>
      </c>
      <c r="H176" s="112" t="s">
        <v>1571</v>
      </c>
      <c r="I176" s="121" t="s">
        <v>1663</v>
      </c>
    </row>
    <row r="177" spans="1:9" x14ac:dyDescent="0.3">
      <c r="A177" s="119" t="s">
        <v>1635</v>
      </c>
      <c r="B177" s="120">
        <v>500000.80125000002</v>
      </c>
      <c r="C177" s="120">
        <v>1007017.9379124605</v>
      </c>
      <c r="D177" s="117">
        <v>8.3333466874999998E-2</v>
      </c>
      <c r="E177" s="117">
        <v>0.1678363229854101</v>
      </c>
      <c r="F177" s="117">
        <v>0.15</v>
      </c>
      <c r="G177" s="117">
        <v>0.2</v>
      </c>
      <c r="H177" s="112" t="s">
        <v>1571</v>
      </c>
      <c r="I177" s="121" t="s">
        <v>1571</v>
      </c>
    </row>
    <row r="178" spans="1:9" x14ac:dyDescent="0.3">
      <c r="A178" s="119" t="s">
        <v>1639</v>
      </c>
      <c r="B178" s="120">
        <v>90478.46921743064</v>
      </c>
      <c r="C178" s="120">
        <v>604641.61720596883</v>
      </c>
      <c r="D178" s="117">
        <v>1.5079744869571773E-2</v>
      </c>
      <c r="E178" s="117">
        <v>0.10077360286766147</v>
      </c>
      <c r="F178" s="117">
        <v>0.15</v>
      </c>
      <c r="G178" s="117">
        <v>0.2</v>
      </c>
      <c r="H178" s="112" t="s">
        <v>1571</v>
      </c>
      <c r="I178" s="121" t="s">
        <v>1571</v>
      </c>
    </row>
    <row r="179" spans="1:9" x14ac:dyDescent="0.3">
      <c r="A179" s="122" t="s">
        <v>1651</v>
      </c>
      <c r="B179" s="120">
        <v>12797.484205814064</v>
      </c>
      <c r="C179" s="120">
        <v>250000.5</v>
      </c>
      <c r="D179" s="117">
        <v>2.132914034302344E-3</v>
      </c>
      <c r="E179" s="117">
        <v>4.1666750000000002E-2</v>
      </c>
      <c r="F179" s="117">
        <v>0.4</v>
      </c>
      <c r="G179" s="117">
        <v>0.65</v>
      </c>
      <c r="H179" s="112" t="s">
        <v>1571</v>
      </c>
      <c r="I179" s="121" t="s">
        <v>1571</v>
      </c>
    </row>
    <row r="180" spans="1:9" x14ac:dyDescent="0.3">
      <c r="A180" s="119" t="s">
        <v>1649</v>
      </c>
      <c r="B180" s="120">
        <v>47877.335033221607</v>
      </c>
      <c r="C180" s="120">
        <v>462425.78845155856</v>
      </c>
      <c r="D180" s="117">
        <v>7.9795558388702677E-3</v>
      </c>
      <c r="E180" s="117">
        <v>7.7070964741926429E-2</v>
      </c>
      <c r="F180" s="117">
        <v>0.4</v>
      </c>
      <c r="G180" s="117">
        <v>0.65</v>
      </c>
      <c r="H180" s="112" t="s">
        <v>1571</v>
      </c>
      <c r="I180" s="121" t="s">
        <v>1571</v>
      </c>
    </row>
    <row r="181" spans="1:9" x14ac:dyDescent="0.3">
      <c r="A181" s="119" t="s">
        <v>1650</v>
      </c>
      <c r="B181" s="120">
        <v>250000</v>
      </c>
      <c r="C181" s="120">
        <v>554976.1300192232</v>
      </c>
      <c r="D181" s="117">
        <v>4.1666666666666664E-2</v>
      </c>
      <c r="E181" s="117">
        <v>9.2496021669870532E-2</v>
      </c>
      <c r="F181" s="117">
        <v>0.4</v>
      </c>
      <c r="G181" s="117">
        <v>0.65</v>
      </c>
      <c r="H181" s="112" t="s">
        <v>1571</v>
      </c>
      <c r="I181" s="121" t="s">
        <v>1571</v>
      </c>
    </row>
    <row r="182" spans="1:9" x14ac:dyDescent="0.3">
      <c r="A182" s="119" t="s">
        <v>1636</v>
      </c>
      <c r="B182" s="120">
        <v>39013.761465282805</v>
      </c>
      <c r="C182" s="120">
        <v>261564.83352664317</v>
      </c>
      <c r="D182" s="117">
        <v>6.5022935775471344E-3</v>
      </c>
      <c r="E182" s="117">
        <v>4.3594138921107195E-2</v>
      </c>
      <c r="F182" s="117">
        <v>0.15</v>
      </c>
      <c r="G182" s="117">
        <v>0.2</v>
      </c>
      <c r="H182" s="112" t="s">
        <v>1571</v>
      </c>
      <c r="I182" s="121" t="s">
        <v>1571</v>
      </c>
    </row>
    <row r="183" spans="1:9" x14ac:dyDescent="0.3">
      <c r="A183" s="119" t="s">
        <v>1640</v>
      </c>
      <c r="B183" s="120">
        <v>250000.5</v>
      </c>
      <c r="C183" s="120">
        <v>1199112.9772331303</v>
      </c>
      <c r="D183" s="117">
        <v>4.1666750000000002E-2</v>
      </c>
      <c r="E183" s="117">
        <v>0.19985216287218838</v>
      </c>
      <c r="F183" s="117">
        <v>0.15</v>
      </c>
      <c r="G183" s="117">
        <v>0.2</v>
      </c>
      <c r="H183" s="112" t="s">
        <v>1571</v>
      </c>
      <c r="I183" s="121" t="s">
        <v>1571</v>
      </c>
    </row>
    <row r="184" spans="1:9" x14ac:dyDescent="0.3">
      <c r="A184" s="119" t="s">
        <v>1653</v>
      </c>
      <c r="B184" s="120">
        <v>0</v>
      </c>
      <c r="C184" s="120">
        <v>249999.90000000005</v>
      </c>
      <c r="D184" s="117">
        <v>0</v>
      </c>
      <c r="E184" s="117">
        <v>4.1666650000000006E-2</v>
      </c>
      <c r="F184" s="117">
        <v>0.3</v>
      </c>
      <c r="G184" s="117">
        <v>0.45</v>
      </c>
      <c r="H184" s="112" t="s">
        <v>1571</v>
      </c>
      <c r="I184" s="121" t="s">
        <v>1571</v>
      </c>
    </row>
    <row r="185" spans="1:9" x14ac:dyDescent="0.3">
      <c r="A185" s="119" t="s">
        <v>1660</v>
      </c>
      <c r="B185" s="120">
        <v>0</v>
      </c>
      <c r="C185" s="120">
        <v>0</v>
      </c>
      <c r="D185" s="117">
        <v>0</v>
      </c>
      <c r="E185" s="117">
        <v>0</v>
      </c>
      <c r="F185" s="117">
        <v>0.2</v>
      </c>
      <c r="G185" s="117">
        <v>0.35</v>
      </c>
      <c r="H185" s="112" t="s">
        <v>1571</v>
      </c>
      <c r="I185" s="121" t="s">
        <v>1571</v>
      </c>
    </row>
    <row r="186" spans="1:9" x14ac:dyDescent="0.3">
      <c r="A186" s="119" t="s">
        <v>1638</v>
      </c>
      <c r="B186" s="120">
        <v>0</v>
      </c>
      <c r="C186" s="120">
        <v>0</v>
      </c>
      <c r="D186" s="117">
        <v>0</v>
      </c>
      <c r="E186" s="117">
        <v>0</v>
      </c>
      <c r="F186" s="117">
        <v>0.15</v>
      </c>
      <c r="G186" s="117">
        <v>0.2</v>
      </c>
      <c r="H186" s="112" t="s">
        <v>1571</v>
      </c>
      <c r="I186" s="121" t="s">
        <v>1571</v>
      </c>
    </row>
    <row r="187" spans="1:9" x14ac:dyDescent="0.3">
      <c r="A187" s="119" t="s">
        <v>1656</v>
      </c>
      <c r="B187" s="120">
        <v>0</v>
      </c>
      <c r="C187" s="120">
        <v>0</v>
      </c>
      <c r="D187" s="117">
        <v>0</v>
      </c>
      <c r="E187" s="117">
        <v>0</v>
      </c>
      <c r="F187" s="117">
        <v>0.3</v>
      </c>
      <c r="G187" s="117">
        <v>0.45</v>
      </c>
      <c r="H187" s="112" t="s">
        <v>1571</v>
      </c>
      <c r="I187" s="121" t="s">
        <v>1571</v>
      </c>
    </row>
    <row r="188" spans="1:9" x14ac:dyDescent="0.3">
      <c r="A188" s="119" t="s">
        <v>1641</v>
      </c>
      <c r="B188" s="120">
        <v>0</v>
      </c>
      <c r="C188" s="120">
        <v>250000.5</v>
      </c>
      <c r="D188" s="117">
        <v>0</v>
      </c>
      <c r="E188" s="117">
        <v>4.1666750000000002E-2</v>
      </c>
      <c r="F188" s="117">
        <v>0.15</v>
      </c>
      <c r="G188" s="117">
        <v>0.2</v>
      </c>
      <c r="H188" s="112" t="s">
        <v>1571</v>
      </c>
      <c r="I188" s="121" t="s">
        <v>1571</v>
      </c>
    </row>
    <row r="189" spans="1:9" x14ac:dyDescent="0.3">
      <c r="A189" s="119" t="s">
        <v>1637</v>
      </c>
      <c r="B189" s="120">
        <v>249999.6</v>
      </c>
      <c r="C189" s="120">
        <v>249999.60000000003</v>
      </c>
      <c r="D189" s="117">
        <v>4.1666599999999998E-2</v>
      </c>
      <c r="E189" s="117">
        <v>4.1666600000000005E-2</v>
      </c>
      <c r="F189" s="117">
        <v>0.15</v>
      </c>
      <c r="G189" s="117">
        <v>0.2</v>
      </c>
      <c r="H189" s="112" t="s">
        <v>1571</v>
      </c>
      <c r="I189" s="121" t="s">
        <v>1571</v>
      </c>
    </row>
    <row r="190" spans="1:9" x14ac:dyDescent="0.3">
      <c r="A190" s="119" t="s">
        <v>1659</v>
      </c>
      <c r="B190" s="120">
        <v>0</v>
      </c>
      <c r="C190" s="120">
        <v>0</v>
      </c>
      <c r="D190" s="117">
        <v>0</v>
      </c>
      <c r="E190" s="117">
        <v>0</v>
      </c>
      <c r="F190" s="117">
        <v>0.2</v>
      </c>
      <c r="G190" s="117">
        <v>0.35</v>
      </c>
      <c r="H190" s="112" t="s">
        <v>1571</v>
      </c>
      <c r="I190" s="121" t="s">
        <v>1571</v>
      </c>
    </row>
    <row r="191" spans="1:9" x14ac:dyDescent="0.3">
      <c r="A191" s="119" t="s">
        <v>1657</v>
      </c>
      <c r="B191" s="116">
        <v>0</v>
      </c>
      <c r="C191" s="116">
        <v>0</v>
      </c>
      <c r="D191" s="117">
        <v>0</v>
      </c>
      <c r="E191" s="117">
        <v>0</v>
      </c>
      <c r="F191" s="117">
        <v>0.2</v>
      </c>
      <c r="G191" s="117">
        <v>0.35</v>
      </c>
      <c r="H191" s="123" t="s">
        <v>1571</v>
      </c>
      <c r="I191" s="124" t="s">
        <v>1571</v>
      </c>
    </row>
    <row r="192" spans="1:9" x14ac:dyDescent="0.3">
      <c r="A192" s="119" t="s">
        <v>1658</v>
      </c>
      <c r="B192" s="116">
        <v>0</v>
      </c>
      <c r="C192" s="116">
        <v>0</v>
      </c>
      <c r="D192" s="117">
        <v>0</v>
      </c>
      <c r="E192" s="117">
        <v>0</v>
      </c>
      <c r="F192" s="117">
        <v>0.2</v>
      </c>
      <c r="G192" s="117">
        <v>0.35</v>
      </c>
      <c r="H192" s="112" t="s">
        <v>1571</v>
      </c>
      <c r="I192" s="124" t="s">
        <v>1571</v>
      </c>
    </row>
    <row r="193" spans="1:9" x14ac:dyDescent="0.3">
      <c r="A193" s="125" t="s">
        <v>1652</v>
      </c>
      <c r="B193" s="126">
        <v>0</v>
      </c>
      <c r="C193" s="126">
        <v>0</v>
      </c>
      <c r="D193" s="117">
        <v>0</v>
      </c>
      <c r="E193" s="117">
        <v>0</v>
      </c>
      <c r="F193" s="117">
        <v>0.4</v>
      </c>
      <c r="G193" s="117">
        <v>0.65</v>
      </c>
      <c r="H193" s="38" t="s">
        <v>1571</v>
      </c>
      <c r="I193" s="121" t="s">
        <v>1571</v>
      </c>
    </row>
    <row r="194" spans="1:9" x14ac:dyDescent="0.3">
      <c r="A194" s="125" t="s">
        <v>1654</v>
      </c>
      <c r="B194" s="116">
        <v>0</v>
      </c>
      <c r="C194" s="116">
        <v>0</v>
      </c>
      <c r="D194" s="117">
        <v>0</v>
      </c>
      <c r="E194" s="117">
        <v>0</v>
      </c>
      <c r="F194" s="117">
        <v>0.3</v>
      </c>
      <c r="G194" s="117">
        <v>0.45</v>
      </c>
      <c r="H194" s="42" t="s">
        <v>1571</v>
      </c>
      <c r="I194" s="124" t="s">
        <v>1571</v>
      </c>
    </row>
    <row r="195" spans="1:9" x14ac:dyDescent="0.3">
      <c r="A195" s="125" t="s">
        <v>1655</v>
      </c>
      <c r="B195" s="116">
        <v>62500</v>
      </c>
      <c r="C195" s="116">
        <v>250000</v>
      </c>
      <c r="D195" s="117">
        <v>1.0416666666666666E-2</v>
      </c>
      <c r="E195" s="117">
        <v>4.1666666666666664E-2</v>
      </c>
      <c r="F195" s="117">
        <v>0.3</v>
      </c>
      <c r="G195" s="117">
        <v>0.45</v>
      </c>
      <c r="H195" s="42" t="s">
        <v>1571</v>
      </c>
      <c r="I195" s="124" t="s">
        <v>1571</v>
      </c>
    </row>
    <row r="196" spans="1:9" x14ac:dyDescent="0.3">
      <c r="A196" s="125" t="s">
        <v>1647</v>
      </c>
      <c r="B196" s="116">
        <v>0</v>
      </c>
      <c r="C196" s="116">
        <v>0</v>
      </c>
      <c r="D196" s="117">
        <v>0</v>
      </c>
      <c r="E196" s="117">
        <v>0</v>
      </c>
      <c r="F196" s="117">
        <v>0.15</v>
      </c>
      <c r="G196" s="117">
        <v>0.2</v>
      </c>
      <c r="H196" s="42" t="s">
        <v>1571</v>
      </c>
      <c r="I196" s="124" t="s">
        <v>1571</v>
      </c>
    </row>
    <row r="197" spans="1:9" x14ac:dyDescent="0.3">
      <c r="A197" s="125" t="s">
        <v>1642</v>
      </c>
      <c r="B197" s="116">
        <v>0</v>
      </c>
      <c r="C197" s="116">
        <v>0</v>
      </c>
      <c r="D197" s="117">
        <v>0</v>
      </c>
      <c r="E197" s="117">
        <v>0</v>
      </c>
      <c r="F197" s="117">
        <v>0.15</v>
      </c>
      <c r="G197" s="117">
        <v>0.2</v>
      </c>
      <c r="H197" s="42" t="s">
        <v>1571</v>
      </c>
      <c r="I197" s="124" t="s">
        <v>1571</v>
      </c>
    </row>
    <row r="198" spans="1:9" ht="15" thickBot="1" x14ac:dyDescent="0.35">
      <c r="A198" s="127" t="s">
        <v>1643</v>
      </c>
      <c r="B198" s="128">
        <v>0</v>
      </c>
      <c r="C198" s="128">
        <v>0</v>
      </c>
      <c r="D198" s="129">
        <v>0</v>
      </c>
      <c r="E198" s="129">
        <v>0</v>
      </c>
      <c r="F198" s="129">
        <v>0.15</v>
      </c>
      <c r="G198" s="129">
        <v>0.2</v>
      </c>
      <c r="H198" s="130" t="s">
        <v>1571</v>
      </c>
      <c r="I198" s="131" t="s">
        <v>1571</v>
      </c>
    </row>
    <row r="201" spans="1:9" x14ac:dyDescent="0.3">
      <c r="A201" s="132" t="s">
        <v>1315</v>
      </c>
      <c r="B201" s="132" t="s">
        <v>1717</v>
      </c>
      <c r="C201" s="132" t="s">
        <v>1718</v>
      </c>
      <c r="D201" s="132" t="s">
        <v>1711</v>
      </c>
      <c r="E201" s="132" t="s">
        <v>1712</v>
      </c>
    </row>
    <row r="202" spans="1:9" x14ac:dyDescent="0.3">
      <c r="A202" s="112" t="s">
        <v>1344</v>
      </c>
      <c r="B202" s="116">
        <v>250000</v>
      </c>
      <c r="C202" s="133">
        <v>4.1666666666666664E-2</v>
      </c>
      <c r="D202" s="187">
        <v>0.3</v>
      </c>
      <c r="E202" s="112" t="s">
        <v>1571</v>
      </c>
    </row>
    <row r="203" spans="1:9" x14ac:dyDescent="0.3">
      <c r="A203" s="112" t="s">
        <v>1359</v>
      </c>
      <c r="B203" s="116">
        <v>250000</v>
      </c>
      <c r="C203" s="133">
        <v>4.1666666666666664E-2</v>
      </c>
      <c r="D203" s="187">
        <v>0.3</v>
      </c>
      <c r="E203" s="112" t="s">
        <v>1571</v>
      </c>
    </row>
    <row r="204" spans="1:9" x14ac:dyDescent="0.3">
      <c r="A204" s="112" t="s">
        <v>1342</v>
      </c>
      <c r="B204" s="116">
        <v>250000</v>
      </c>
      <c r="C204" s="133">
        <v>4.1666666666666664E-2</v>
      </c>
      <c r="D204" s="187">
        <v>0.3</v>
      </c>
      <c r="E204" s="112" t="s">
        <v>1571</v>
      </c>
    </row>
    <row r="205" spans="1:9" x14ac:dyDescent="0.3">
      <c r="A205" s="112" t="s">
        <v>1352</v>
      </c>
      <c r="B205" s="116">
        <v>250000</v>
      </c>
      <c r="C205" s="133">
        <v>4.1666666666666664E-2</v>
      </c>
      <c r="D205" s="187">
        <v>0.3</v>
      </c>
      <c r="E205" s="112" t="s">
        <v>1571</v>
      </c>
    </row>
    <row r="206" spans="1:9" x14ac:dyDescent="0.3">
      <c r="A206" s="112" t="s">
        <v>1339</v>
      </c>
      <c r="B206" s="116">
        <v>249999</v>
      </c>
      <c r="C206" s="133">
        <v>4.1666500000000002E-2</v>
      </c>
      <c r="D206" s="187">
        <v>0.3</v>
      </c>
      <c r="E206" s="112" t="s">
        <v>1571</v>
      </c>
    </row>
    <row r="207" spans="1:9" x14ac:dyDescent="0.3">
      <c r="A207" s="112" t="s">
        <v>1341</v>
      </c>
      <c r="B207" s="116">
        <v>249999</v>
      </c>
      <c r="C207" s="133">
        <v>4.1666500000000002E-2</v>
      </c>
      <c r="D207" s="187">
        <v>0.3</v>
      </c>
      <c r="E207" s="112" t="s">
        <v>1571</v>
      </c>
    </row>
    <row r="208" spans="1:9" x14ac:dyDescent="0.3">
      <c r="A208" s="112" t="s">
        <v>1358</v>
      </c>
      <c r="B208" s="116">
        <v>250000</v>
      </c>
      <c r="C208" s="133">
        <v>4.1666666666666664E-2</v>
      </c>
      <c r="D208" s="187">
        <v>0.3</v>
      </c>
      <c r="E208" s="112" t="s">
        <v>1571</v>
      </c>
    </row>
    <row r="209" spans="1:9" x14ac:dyDescent="0.3">
      <c r="A209" s="112" t="s">
        <v>1357</v>
      </c>
      <c r="B209" s="116">
        <v>250000.5</v>
      </c>
      <c r="C209" s="133">
        <v>4.1666750000000002E-2</v>
      </c>
      <c r="D209" s="187">
        <v>0.3</v>
      </c>
      <c r="E209" s="112" t="s">
        <v>1571</v>
      </c>
    </row>
    <row r="210" spans="1:9" x14ac:dyDescent="0.3">
      <c r="A210" s="112" t="s">
        <v>1354</v>
      </c>
      <c r="B210" s="116">
        <v>500000</v>
      </c>
      <c r="C210" s="133">
        <v>8.3333333333333329E-2</v>
      </c>
      <c r="D210" s="187">
        <v>0.3</v>
      </c>
      <c r="E210" s="112" t="s">
        <v>1571</v>
      </c>
    </row>
    <row r="211" spans="1:9" x14ac:dyDescent="0.3">
      <c r="A211" s="34" t="s">
        <v>1331</v>
      </c>
      <c r="B211" s="137">
        <v>249999.9</v>
      </c>
      <c r="C211" s="133">
        <v>4.166665E-2</v>
      </c>
      <c r="D211" s="187">
        <v>0.3</v>
      </c>
      <c r="E211" s="143" t="s">
        <v>1571</v>
      </c>
    </row>
    <row r="212" spans="1:9" x14ac:dyDescent="0.3">
      <c r="A212" s="34" t="s">
        <v>1337</v>
      </c>
      <c r="B212" s="137">
        <v>249999.60000000003</v>
      </c>
      <c r="C212" s="133">
        <v>4.1666600000000005E-2</v>
      </c>
      <c r="D212" s="187">
        <v>0.3</v>
      </c>
      <c r="E212" s="143" t="s">
        <v>1571</v>
      </c>
    </row>
    <row r="213" spans="1:9" x14ac:dyDescent="0.3">
      <c r="A213" s="34" t="s">
        <v>1335</v>
      </c>
      <c r="B213" s="137">
        <v>250000</v>
      </c>
      <c r="C213" s="133">
        <v>4.1666666666666664E-2</v>
      </c>
      <c r="D213" s="187">
        <v>0.3</v>
      </c>
      <c r="E213" s="143" t="s">
        <v>1571</v>
      </c>
    </row>
    <row r="214" spans="1:9" x14ac:dyDescent="0.3">
      <c r="A214" s="34" t="s">
        <v>1353</v>
      </c>
      <c r="B214" s="137">
        <v>250000.5</v>
      </c>
      <c r="C214" s="133">
        <v>4.1666750000000002E-2</v>
      </c>
      <c r="D214" s="187">
        <v>0.3</v>
      </c>
      <c r="E214" s="143" t="s">
        <v>1571</v>
      </c>
    </row>
    <row r="215" spans="1:9" x14ac:dyDescent="0.3">
      <c r="A215" s="34" t="s">
        <v>1348</v>
      </c>
      <c r="B215" s="137">
        <v>250000.5</v>
      </c>
      <c r="C215" s="133">
        <v>4.1666750000000002E-2</v>
      </c>
      <c r="D215" s="187">
        <v>0.3</v>
      </c>
      <c r="E215" s="143" t="s">
        <v>1571</v>
      </c>
    </row>
    <row r="216" spans="1:9" x14ac:dyDescent="0.3">
      <c r="A216" s="34" t="s">
        <v>1351</v>
      </c>
      <c r="B216" s="137">
        <v>250000.80000000002</v>
      </c>
      <c r="C216" s="133">
        <v>4.1666800000000004E-2</v>
      </c>
      <c r="D216" s="187">
        <v>0.3</v>
      </c>
      <c r="E216" s="143" t="s">
        <v>1571</v>
      </c>
    </row>
    <row r="217" spans="1:9" x14ac:dyDescent="0.3">
      <c r="A217" s="34" t="s">
        <v>1345</v>
      </c>
      <c r="B217" s="137">
        <v>250000</v>
      </c>
      <c r="C217" s="133">
        <v>4.1666666666666664E-2</v>
      </c>
      <c r="D217" s="187">
        <v>0.3</v>
      </c>
      <c r="E217" s="143" t="s">
        <v>1571</v>
      </c>
    </row>
    <row r="218" spans="1:9" x14ac:dyDescent="0.3">
      <c r="A218" s="34" t="s">
        <v>1343</v>
      </c>
      <c r="B218" s="137">
        <v>249999.45</v>
      </c>
      <c r="C218" s="133">
        <v>4.1666575000000004E-2</v>
      </c>
      <c r="D218" s="187">
        <v>0.3</v>
      </c>
      <c r="E218" s="143" t="s">
        <v>1571</v>
      </c>
    </row>
    <row r="219" spans="1:9" x14ac:dyDescent="0.3">
      <c r="A219" s="34" t="s">
        <v>1360</v>
      </c>
      <c r="B219" s="137">
        <v>249999.75000000003</v>
      </c>
      <c r="C219" s="133">
        <v>4.1666625000000006E-2</v>
      </c>
      <c r="D219" s="187">
        <v>0.3</v>
      </c>
      <c r="E219" s="143" t="s">
        <v>1571</v>
      </c>
    </row>
    <row r="220" spans="1:9" x14ac:dyDescent="0.3">
      <c r="A220" s="34" t="s">
        <v>1327</v>
      </c>
      <c r="B220" s="137">
        <v>250000.5</v>
      </c>
      <c r="C220" s="133">
        <v>4.1666750000000002E-2</v>
      </c>
      <c r="D220" s="187">
        <v>0.3</v>
      </c>
      <c r="E220" s="143" t="s">
        <v>1571</v>
      </c>
    </row>
    <row r="223" spans="1:9" x14ac:dyDescent="0.3">
      <c r="A223" s="134" t="s">
        <v>1432</v>
      </c>
      <c r="B223" s="135" t="s">
        <v>1727</v>
      </c>
      <c r="C223" s="136" t="s">
        <v>1728</v>
      </c>
      <c r="D223" s="136" t="s">
        <v>1729</v>
      </c>
      <c r="E223" s="136" t="s">
        <v>1730</v>
      </c>
      <c r="F223" s="136" t="s">
        <v>1731</v>
      </c>
      <c r="G223" s="136" t="s">
        <v>1732</v>
      </c>
      <c r="H223" s="136" t="s">
        <v>1733</v>
      </c>
      <c r="I223" s="136" t="s">
        <v>1734</v>
      </c>
    </row>
    <row r="224" spans="1:9" x14ac:dyDescent="0.3">
      <c r="A224" s="34">
        <v>1</v>
      </c>
      <c r="B224" s="34" t="s">
        <v>1661</v>
      </c>
      <c r="C224" s="137">
        <v>63450.124098139764</v>
      </c>
      <c r="D224" s="137">
        <v>81.633654364137328</v>
      </c>
      <c r="E224" s="137">
        <v>1078852.5187763581</v>
      </c>
      <c r="F224" s="137">
        <v>1418597.1108050765</v>
      </c>
      <c r="G224" s="137">
        <v>1418597.1108050765</v>
      </c>
      <c r="H224" s="137">
        <v>1078934.1524307223</v>
      </c>
      <c r="I224" s="137">
        <v>-602060.23360744619</v>
      </c>
    </row>
    <row r="225" spans="1:9" x14ac:dyDescent="0.3">
      <c r="A225" s="34">
        <v>2</v>
      </c>
      <c r="B225" s="34" t="s">
        <v>1633</v>
      </c>
      <c r="C225" s="137">
        <v>44078.606522987706</v>
      </c>
      <c r="D225" s="137">
        <v>19453.151229516196</v>
      </c>
      <c r="E225" s="137">
        <v>942801.85898331914</v>
      </c>
      <c r="F225" s="137">
        <v>1286566.1775316859</v>
      </c>
      <c r="G225" s="137">
        <v>1035119.4766185944</v>
      </c>
      <c r="H225" s="137">
        <v>962255.01021283539</v>
      </c>
      <c r="I225" s="137">
        <v>-485381.09138955933</v>
      </c>
    </row>
    <row r="226" spans="1:9" x14ac:dyDescent="0.3">
      <c r="A226" s="34">
        <v>3</v>
      </c>
      <c r="B226" s="34" t="s">
        <v>1635</v>
      </c>
      <c r="C226" s="137">
        <v>16407.005244580701</v>
      </c>
      <c r="D226" s="137">
        <v>47124.7525079232</v>
      </c>
      <c r="E226" s="137">
        <v>522511.06323042547</v>
      </c>
      <c r="F226" s="137">
        <v>856155.45573968429</v>
      </c>
      <c r="G226" s="137">
        <v>285538.38207748753</v>
      </c>
      <c r="H226" s="137">
        <v>569635.81573834864</v>
      </c>
      <c r="I226" s="137">
        <v>-92761.896915072575</v>
      </c>
    </row>
    <row r="227" spans="1:9" x14ac:dyDescent="0.3">
      <c r="A227" s="34">
        <v>4</v>
      </c>
      <c r="B227" s="34" t="s">
        <v>1639</v>
      </c>
      <c r="C227" s="137">
        <v>3817.9982759520285</v>
      </c>
      <c r="D227" s="137">
        <v>59713.759476551873</v>
      </c>
      <c r="E227" s="137">
        <v>90998.341564623188</v>
      </c>
      <c r="F227" s="137">
        <v>367689.04664349084</v>
      </c>
      <c r="G227" s="137">
        <v>11801.699530669186</v>
      </c>
      <c r="H227" s="137">
        <v>150712.10104117508</v>
      </c>
      <c r="I227" s="137">
        <v>326161.81778210099</v>
      </c>
    </row>
    <row r="228" spans="1:9" x14ac:dyDescent="0.3">
      <c r="A228" s="34">
        <v>5</v>
      </c>
      <c r="B228" s="34" t="s">
        <v>1651</v>
      </c>
      <c r="C228" s="137">
        <v>1879.4244694471322</v>
      </c>
      <c r="D228" s="137">
        <v>61652.333283056767</v>
      </c>
      <c r="E228" s="137">
        <v>12797.484205814064</v>
      </c>
      <c r="F228" s="137">
        <v>187454.52660086489</v>
      </c>
      <c r="G228" s="137">
        <v>5983.080604808667</v>
      </c>
      <c r="H228" s="137">
        <v>74449.817488870831</v>
      </c>
      <c r="I228" s="137">
        <v>402424.10133440525</v>
      </c>
    </row>
    <row r="229" spans="1:9" x14ac:dyDescent="0.3">
      <c r="A229" s="34">
        <v>6</v>
      </c>
      <c r="B229" s="34" t="s">
        <v>1649</v>
      </c>
      <c r="C229" s="137">
        <v>3417.1361203935517</v>
      </c>
      <c r="D229" s="137">
        <v>60114.621632110349</v>
      </c>
      <c r="E229" s="137">
        <v>47877.335033221607</v>
      </c>
      <c r="F229" s="137">
        <v>339497.51920301915</v>
      </c>
      <c r="G229" s="137">
        <v>89412.491444536194</v>
      </c>
      <c r="H229" s="137">
        <v>107991.95666533196</v>
      </c>
      <c r="I229" s="137">
        <v>368881.9621579441</v>
      </c>
    </row>
    <row r="230" spans="1:9" x14ac:dyDescent="0.3">
      <c r="A230" s="34">
        <v>7</v>
      </c>
      <c r="B230" s="34" t="s">
        <v>1650</v>
      </c>
      <c r="C230" s="137">
        <v>9708.4638103006273</v>
      </c>
      <c r="D230" s="137">
        <v>53823.293942203272</v>
      </c>
      <c r="E230" s="137">
        <v>250000</v>
      </c>
      <c r="F230" s="137">
        <v>484839.43437104562</v>
      </c>
      <c r="G230" s="137">
        <v>161352.23202091339</v>
      </c>
      <c r="H230" s="137">
        <v>303823.29394220328</v>
      </c>
      <c r="I230" s="137">
        <v>173050.62488107278</v>
      </c>
    </row>
    <row r="231" spans="1:9" x14ac:dyDescent="0.3">
      <c r="A231" s="34">
        <v>8</v>
      </c>
      <c r="B231" s="34" t="s">
        <v>1636</v>
      </c>
      <c r="C231" s="137">
        <v>2162.3370180458942</v>
      </c>
      <c r="D231" s="137">
        <v>61369.420734458006</v>
      </c>
      <c r="E231" s="137">
        <v>39013.761465282805</v>
      </c>
      <c r="F231" s="137">
        <v>211502.49689106244</v>
      </c>
      <c r="G231" s="137">
        <v>9240.3923924975152</v>
      </c>
      <c r="H231" s="137">
        <v>100383.18219974081</v>
      </c>
      <c r="I231" s="137">
        <v>376490.73662353528</v>
      </c>
    </row>
    <row r="232" spans="1:9" x14ac:dyDescent="0.3">
      <c r="A232" s="34">
        <v>9</v>
      </c>
      <c r="B232" s="34" t="s">
        <v>1640</v>
      </c>
      <c r="C232" s="137">
        <v>8478.8231042104417</v>
      </c>
      <c r="D232" s="137">
        <v>55052.934648293463</v>
      </c>
      <c r="E232" s="137">
        <v>250000.5</v>
      </c>
      <c r="F232" s="137">
        <v>738505.6042291359</v>
      </c>
      <c r="G232" s="137">
        <v>298084.40487280954</v>
      </c>
      <c r="H232" s="137">
        <v>305053.43464829348</v>
      </c>
      <c r="I232" s="137">
        <v>171820.48417498259</v>
      </c>
    </row>
    <row r="233" spans="1:9" x14ac:dyDescent="0.3">
      <c r="A233" s="34">
        <v>10</v>
      </c>
      <c r="B233" s="34" t="s">
        <v>1653</v>
      </c>
      <c r="C233" s="137">
        <v>1682.3473798496741</v>
      </c>
      <c r="D233" s="137">
        <v>61849.410372654231</v>
      </c>
      <c r="E233" s="137">
        <v>0</v>
      </c>
      <c r="F233" s="137">
        <v>168234.73798496742</v>
      </c>
      <c r="G233" s="137">
        <v>14999.987995750002</v>
      </c>
      <c r="H233" s="137">
        <v>61849.410372654231</v>
      </c>
      <c r="I233" s="137">
        <v>415024.50845062186</v>
      </c>
    </row>
    <row r="234" spans="1:9" x14ac:dyDescent="0.3">
      <c r="A234" s="34">
        <v>11</v>
      </c>
      <c r="B234" s="34" t="s">
        <v>1660</v>
      </c>
      <c r="C234" s="137">
        <v>0</v>
      </c>
      <c r="D234" s="137">
        <v>63531.757752503901</v>
      </c>
      <c r="E234" s="137">
        <v>0</v>
      </c>
      <c r="F234" s="137">
        <v>0</v>
      </c>
      <c r="G234" s="137">
        <v>0</v>
      </c>
      <c r="H234" s="137">
        <v>63531.757752503901</v>
      </c>
      <c r="I234" s="137">
        <v>413342.16107077216</v>
      </c>
    </row>
    <row r="235" spans="1:9" x14ac:dyDescent="0.3">
      <c r="A235" s="34">
        <v>12</v>
      </c>
      <c r="B235" s="34" t="s">
        <v>1638</v>
      </c>
      <c r="C235" s="137">
        <v>0</v>
      </c>
      <c r="D235" s="137">
        <v>63531.757752503901</v>
      </c>
      <c r="E235" s="137">
        <v>0</v>
      </c>
      <c r="F235" s="137">
        <v>0</v>
      </c>
      <c r="G235" s="137">
        <v>0</v>
      </c>
      <c r="H235" s="137">
        <v>63531.757752503901</v>
      </c>
      <c r="I235" s="137">
        <v>413342.16107077216</v>
      </c>
    </row>
    <row r="236" spans="1:9" x14ac:dyDescent="0.3">
      <c r="A236" s="34">
        <v>13</v>
      </c>
      <c r="B236" s="34" t="s">
        <v>1656</v>
      </c>
      <c r="C236" s="137">
        <v>0</v>
      </c>
      <c r="D236" s="137">
        <v>63531.757752503901</v>
      </c>
      <c r="E236" s="137">
        <v>0</v>
      </c>
      <c r="F236" s="137">
        <v>0</v>
      </c>
      <c r="G236" s="137">
        <v>0</v>
      </c>
      <c r="H236" s="137">
        <v>63531.757752503901</v>
      </c>
      <c r="I236" s="137">
        <v>413342.16107077216</v>
      </c>
    </row>
    <row r="237" spans="1:9" x14ac:dyDescent="0.3">
      <c r="A237" s="34">
        <v>14</v>
      </c>
      <c r="B237" s="34" t="s">
        <v>1641</v>
      </c>
      <c r="C237" s="137">
        <v>1971.5092803013679</v>
      </c>
      <c r="D237" s="137">
        <v>61560.248472202533</v>
      </c>
      <c r="E237" s="137">
        <v>0</v>
      </c>
      <c r="F237" s="137">
        <v>197150.9280301368</v>
      </c>
      <c r="G237" s="137">
        <v>5000.01</v>
      </c>
      <c r="H237" s="137">
        <v>61560.248472202533</v>
      </c>
      <c r="I237" s="137">
        <v>415313.67035107355</v>
      </c>
    </row>
    <row r="238" spans="1:9" x14ac:dyDescent="0.3">
      <c r="A238" s="34">
        <v>15</v>
      </c>
      <c r="B238" s="34" t="s">
        <v>1637</v>
      </c>
      <c r="C238" s="137">
        <v>3733.109579950129</v>
      </c>
      <c r="D238" s="137">
        <v>59798.648172553774</v>
      </c>
      <c r="E238" s="137">
        <v>249999.6</v>
      </c>
      <c r="F238" s="137">
        <v>249999.6000000003</v>
      </c>
      <c r="G238" s="137">
        <v>7499.9880000000003</v>
      </c>
      <c r="H238" s="137">
        <v>309798.24817255378</v>
      </c>
      <c r="I238" s="137">
        <v>167075.67065072228</v>
      </c>
    </row>
    <row r="239" spans="1:9" x14ac:dyDescent="0.3">
      <c r="A239" s="34">
        <v>16</v>
      </c>
      <c r="B239" s="34" t="s">
        <v>1659</v>
      </c>
      <c r="C239" s="137">
        <v>0</v>
      </c>
      <c r="D239" s="137">
        <v>63531.757752503901</v>
      </c>
      <c r="E239" s="137">
        <v>0</v>
      </c>
      <c r="F239" s="137">
        <v>0</v>
      </c>
      <c r="G239" s="137">
        <v>0</v>
      </c>
      <c r="H239" s="137">
        <v>63531.757752503901</v>
      </c>
      <c r="I239" s="137">
        <v>413342.16107077216</v>
      </c>
    </row>
    <row r="240" spans="1:9" x14ac:dyDescent="0.3">
      <c r="A240" s="34">
        <v>17</v>
      </c>
      <c r="B240" s="34" t="s">
        <v>1657</v>
      </c>
      <c r="C240" s="137">
        <v>0</v>
      </c>
      <c r="D240" s="137">
        <v>63531.757752503901</v>
      </c>
      <c r="E240" s="137">
        <v>0</v>
      </c>
      <c r="F240" s="137">
        <v>0</v>
      </c>
      <c r="G240" s="137">
        <v>0</v>
      </c>
      <c r="H240" s="137">
        <v>63531.757752503901</v>
      </c>
      <c r="I240" s="137">
        <v>413342.16107077216</v>
      </c>
    </row>
    <row r="241" spans="1:13" x14ac:dyDescent="0.3">
      <c r="A241" s="34">
        <v>18</v>
      </c>
      <c r="B241" s="34" t="s">
        <v>1658</v>
      </c>
      <c r="C241" s="137">
        <v>153.18208328999415</v>
      </c>
      <c r="D241" s="137">
        <v>63378.575669213904</v>
      </c>
      <c r="E241" s="137">
        <v>0</v>
      </c>
      <c r="F241" s="137">
        <v>15318.208328999415</v>
      </c>
      <c r="G241" s="137">
        <v>0</v>
      </c>
      <c r="H241" s="137">
        <v>63378.575669213904</v>
      </c>
      <c r="I241" s="137">
        <v>413495.34315406217</v>
      </c>
    </row>
    <row r="242" spans="1:13" x14ac:dyDescent="0.3">
      <c r="A242" s="34">
        <v>19</v>
      </c>
      <c r="B242" s="34" t="s">
        <v>1652</v>
      </c>
      <c r="C242" s="137">
        <v>0</v>
      </c>
      <c r="D242" s="137">
        <v>63531.757752503901</v>
      </c>
      <c r="E242" s="137">
        <v>0</v>
      </c>
      <c r="F242" s="137">
        <v>0</v>
      </c>
      <c r="G242" s="137">
        <v>0</v>
      </c>
      <c r="H242" s="137">
        <v>63531.757752503901</v>
      </c>
      <c r="I242" s="137">
        <v>413342.16107077216</v>
      </c>
    </row>
    <row r="243" spans="1:13" x14ac:dyDescent="0.3">
      <c r="A243" s="34">
        <v>20</v>
      </c>
      <c r="B243" s="34" t="s">
        <v>1654</v>
      </c>
      <c r="C243" s="137">
        <v>0</v>
      </c>
      <c r="D243" s="137">
        <v>63531.757752503901</v>
      </c>
      <c r="E243" s="137">
        <v>0</v>
      </c>
      <c r="F243" s="137">
        <v>0</v>
      </c>
      <c r="G243" s="137">
        <v>0</v>
      </c>
      <c r="H243" s="137">
        <v>63531.757752503901</v>
      </c>
      <c r="I243" s="137">
        <v>413342.16107077216</v>
      </c>
    </row>
    <row r="244" spans="1:13" x14ac:dyDescent="0.3">
      <c r="A244" s="34">
        <v>21</v>
      </c>
      <c r="B244" s="34" t="s">
        <v>1655</v>
      </c>
      <c r="C244" s="137">
        <v>2306.25</v>
      </c>
      <c r="D244" s="137">
        <v>61225.507752503901</v>
      </c>
      <c r="E244" s="137">
        <v>62500</v>
      </c>
      <c r="F244" s="137">
        <v>222500</v>
      </c>
      <c r="G244" s="137">
        <v>4062.5</v>
      </c>
      <c r="H244" s="137">
        <v>123725.50775250391</v>
      </c>
      <c r="I244" s="137">
        <v>353148.41107077216</v>
      </c>
    </row>
    <row r="245" spans="1:13" x14ac:dyDescent="0.3">
      <c r="A245" s="34">
        <v>22</v>
      </c>
      <c r="B245" s="34" t="s">
        <v>1647</v>
      </c>
      <c r="C245" s="137">
        <v>0</v>
      </c>
      <c r="D245" s="137">
        <v>63531.757752503901</v>
      </c>
      <c r="E245" s="137">
        <v>0</v>
      </c>
      <c r="F245" s="137">
        <v>0</v>
      </c>
      <c r="G245" s="137">
        <v>0</v>
      </c>
      <c r="H245" s="137">
        <v>63531.757752503901</v>
      </c>
      <c r="I245" s="137">
        <v>413342.16107077216</v>
      </c>
    </row>
    <row r="246" spans="1:13" x14ac:dyDescent="0.3">
      <c r="A246" s="34">
        <v>23</v>
      </c>
      <c r="B246" s="34" t="s">
        <v>1642</v>
      </c>
      <c r="C246" s="137">
        <v>309.48694576837966</v>
      </c>
      <c r="D246" s="137">
        <v>63222.27080673552</v>
      </c>
      <c r="E246" s="137">
        <v>0</v>
      </c>
      <c r="F246" s="137">
        <v>30948.694576837966</v>
      </c>
      <c r="G246" s="137">
        <v>2886.1983273305045</v>
      </c>
      <c r="H246" s="137">
        <v>63222.27080673552</v>
      </c>
      <c r="I246" s="137">
        <v>413651.64801654057</v>
      </c>
    </row>
    <row r="247" spans="1:13" x14ac:dyDescent="0.3">
      <c r="A247" s="34">
        <v>24</v>
      </c>
      <c r="B247" s="34" t="s">
        <v>1643</v>
      </c>
      <c r="C247" s="137">
        <v>648.93535340519611</v>
      </c>
      <c r="D247" s="137">
        <v>62882.822399098703</v>
      </c>
      <c r="E247" s="137">
        <v>0</v>
      </c>
      <c r="F247" s="137">
        <v>64893.535340519615</v>
      </c>
      <c r="G247" s="137">
        <v>50944.544990592694</v>
      </c>
      <c r="H247" s="137">
        <v>62882.822399098703</v>
      </c>
      <c r="I247" s="137">
        <v>413991.09642417735</v>
      </c>
    </row>
    <row r="249" spans="1:13" x14ac:dyDescent="0.3">
      <c r="A249" s="134" t="s">
        <v>3</v>
      </c>
      <c r="B249" s="141" t="s">
        <v>1736</v>
      </c>
      <c r="C249" s="141" t="s">
        <v>1737</v>
      </c>
      <c r="D249" s="141" t="s">
        <v>1738</v>
      </c>
      <c r="E249" s="141" t="s">
        <v>1739</v>
      </c>
      <c r="F249" s="141" t="s">
        <v>1740</v>
      </c>
      <c r="G249" s="141" t="s">
        <v>1741</v>
      </c>
      <c r="H249" s="141" t="s">
        <v>1742</v>
      </c>
      <c r="I249" s="141" t="s">
        <v>1743</v>
      </c>
      <c r="J249" s="141" t="s">
        <v>1744</v>
      </c>
      <c r="K249" s="141" t="s">
        <v>1745</v>
      </c>
      <c r="L249" s="141" t="s">
        <v>1746</v>
      </c>
      <c r="M249" s="142" t="s">
        <v>1747</v>
      </c>
    </row>
    <row r="250" spans="1:13" x14ac:dyDescent="0.3">
      <c r="A250" s="134" t="s">
        <v>1748</v>
      </c>
      <c r="B250" s="143">
        <v>1.5142850161147881E-2</v>
      </c>
      <c r="C250" s="143">
        <v>1.5879823932779934E-2</v>
      </c>
      <c r="D250" s="143">
        <v>1.570387734040175E-2</v>
      </c>
      <c r="E250" s="143">
        <v>2.5100274986636622E-2</v>
      </c>
      <c r="F250" s="143">
        <v>2.8948067467892292E-2</v>
      </c>
      <c r="G250" s="143">
        <v>2.3663317377042692E-2</v>
      </c>
      <c r="H250" s="143">
        <v>0.1083109626820648</v>
      </c>
      <c r="I250" s="143">
        <v>0.20761762706000056</v>
      </c>
      <c r="J250" s="143">
        <v>0.2856335796015943</v>
      </c>
      <c r="K250" s="143">
        <v>0.19196507507530317</v>
      </c>
      <c r="L250" s="143">
        <v>4.7319549302085651E-2</v>
      </c>
      <c r="M250" s="89">
        <v>3.3429404145793491E-2</v>
      </c>
    </row>
    <row r="251" spans="1:13" x14ac:dyDescent="0.3">
      <c r="A251" s="134" t="s">
        <v>373</v>
      </c>
      <c r="B251" s="143">
        <v>0</v>
      </c>
      <c r="C251" s="143">
        <v>0</v>
      </c>
      <c r="D251" s="143">
        <v>0</v>
      </c>
      <c r="E251" s="143">
        <v>0</v>
      </c>
      <c r="F251" s="143">
        <v>0</v>
      </c>
      <c r="G251" s="143">
        <v>5.4819306478374333E-3</v>
      </c>
      <c r="H251" s="143">
        <v>3.4157243342015843E-2</v>
      </c>
      <c r="I251" s="143">
        <v>0.16027457696472897</v>
      </c>
      <c r="J251" s="143">
        <v>0.43169154418002009</v>
      </c>
      <c r="K251" s="143">
        <v>0.32120038164391124</v>
      </c>
      <c r="L251" s="143">
        <v>4.7194575398971872E-2</v>
      </c>
      <c r="M251" s="89">
        <v>0</v>
      </c>
    </row>
    <row r="252" spans="1:13" x14ac:dyDescent="0.3">
      <c r="A252" s="134" t="s">
        <v>418</v>
      </c>
      <c r="B252" s="143">
        <v>9.2125361825374716E-3</v>
      </c>
      <c r="C252" s="143">
        <v>0</v>
      </c>
      <c r="D252" s="143">
        <v>1.9233949749381626E-2</v>
      </c>
      <c r="E252" s="143">
        <v>0</v>
      </c>
      <c r="F252" s="143">
        <v>0</v>
      </c>
      <c r="G252" s="143">
        <v>4.0765256499497547E-3</v>
      </c>
      <c r="H252" s="143">
        <v>0.16716078752946567</v>
      </c>
      <c r="I252" s="143">
        <v>0.22471629386534661</v>
      </c>
      <c r="J252" s="143">
        <v>0.35611373176918232</v>
      </c>
      <c r="K252" s="143">
        <v>0.16864073673426583</v>
      </c>
      <c r="L252" s="143">
        <v>1.9444030984041197E-2</v>
      </c>
      <c r="M252" s="89">
        <v>0</v>
      </c>
    </row>
    <row r="253" spans="1:13" x14ac:dyDescent="0.3">
      <c r="A253" s="134" t="s">
        <v>538</v>
      </c>
      <c r="B253" s="143">
        <v>4.8176636987198262E-2</v>
      </c>
      <c r="C253" s="143">
        <v>6.1353751309187965E-2</v>
      </c>
      <c r="D253" s="143">
        <v>4.4904507704114215E-2</v>
      </c>
      <c r="E253" s="143">
        <v>9.1901069863100232E-2</v>
      </c>
      <c r="F253" s="143">
        <v>0.13240248223293577</v>
      </c>
      <c r="G253" s="143">
        <v>4.5109511183203096E-2</v>
      </c>
      <c r="H253" s="143">
        <v>5.0862839715260733E-2</v>
      </c>
      <c r="I253" s="143">
        <v>0.11852107260909181</v>
      </c>
      <c r="J253" s="143">
        <v>0.13008821881123089</v>
      </c>
      <c r="K253" s="143">
        <v>0.10149987755724875</v>
      </c>
      <c r="L253" s="143">
        <v>6.5887900839373667E-2</v>
      </c>
      <c r="M253" s="89">
        <v>0.10929195082931117</v>
      </c>
    </row>
    <row r="254" spans="1:13" x14ac:dyDescent="0.3">
      <c r="A254" s="134" t="s">
        <v>625</v>
      </c>
      <c r="B254" s="143">
        <v>4.581253407546073E-2</v>
      </c>
      <c r="C254" s="143">
        <v>8.836598711913872E-2</v>
      </c>
      <c r="D254" s="143">
        <v>6.3362474244213512E-2</v>
      </c>
      <c r="E254" s="143">
        <v>8.641559410637624E-2</v>
      </c>
      <c r="F254" s="143">
        <v>0.11523574104142741</v>
      </c>
      <c r="G254" s="143">
        <v>5.5050758765482849E-2</v>
      </c>
      <c r="H254" s="143">
        <v>7.5561662881372033E-2</v>
      </c>
      <c r="I254" s="143">
        <v>9.2981530731386958E-2</v>
      </c>
      <c r="J254" s="143">
        <v>9.8228070762673883E-2</v>
      </c>
      <c r="K254" s="143">
        <v>9.2985816983488262E-2</v>
      </c>
      <c r="L254" s="143">
        <v>7.9982604019048262E-2</v>
      </c>
      <c r="M254" s="89">
        <v>0.10601659168163574</v>
      </c>
    </row>
    <row r="255" spans="1:13" x14ac:dyDescent="0.3">
      <c r="A255" s="134" t="s">
        <v>668</v>
      </c>
      <c r="B255" s="143">
        <v>0</v>
      </c>
      <c r="C255" s="143">
        <v>0</v>
      </c>
      <c r="D255" s="143">
        <v>0</v>
      </c>
      <c r="E255" s="143">
        <v>0</v>
      </c>
      <c r="F255" s="143">
        <v>0</v>
      </c>
      <c r="G255" s="143">
        <v>1.2844111929466615E-2</v>
      </c>
      <c r="H255" s="143">
        <v>0.14927831065365926</v>
      </c>
      <c r="I255" s="143">
        <v>0.27728413875629065</v>
      </c>
      <c r="J255" s="143">
        <v>0.32860553610692789</v>
      </c>
      <c r="K255" s="143">
        <v>0.21968485499684401</v>
      </c>
      <c r="L255" s="143">
        <v>1.2303020067228297E-2</v>
      </c>
      <c r="M255" s="89">
        <v>0</v>
      </c>
    </row>
    <row r="256" spans="1:13" x14ac:dyDescent="0.3">
      <c r="A256" s="134" t="s">
        <v>695</v>
      </c>
      <c r="B256" s="143">
        <v>0</v>
      </c>
      <c r="C256" s="143">
        <v>0</v>
      </c>
      <c r="D256" s="143">
        <v>0</v>
      </c>
      <c r="E256" s="143">
        <v>0</v>
      </c>
      <c r="F256" s="143">
        <v>0</v>
      </c>
      <c r="G256" s="143">
        <v>2.8890804664116584E-2</v>
      </c>
      <c r="H256" s="143">
        <v>0.12019187534366529</v>
      </c>
      <c r="I256" s="143">
        <v>0.32100494741491831</v>
      </c>
      <c r="J256" s="143">
        <v>0.30145733327674495</v>
      </c>
      <c r="K256" s="143">
        <v>0.20428271733016184</v>
      </c>
      <c r="L256" s="143">
        <v>2.4172593623600375E-2</v>
      </c>
      <c r="M256" s="89">
        <v>0</v>
      </c>
    </row>
    <row r="257" spans="1:13" x14ac:dyDescent="0.3">
      <c r="A257" s="134" t="s">
        <v>711</v>
      </c>
      <c r="B257" s="143">
        <v>8.1890927706282868E-2</v>
      </c>
      <c r="C257" s="143">
        <v>6.1007284919591821E-2</v>
      </c>
      <c r="D257" s="143">
        <v>3.8041983048526261E-2</v>
      </c>
      <c r="E257" s="143">
        <v>0.10144528812940336</v>
      </c>
      <c r="F257" s="143">
        <v>0.14170089737115674</v>
      </c>
      <c r="G257" s="143">
        <v>2.7135170086679074E-2</v>
      </c>
      <c r="H257" s="143">
        <v>0.13948727117792958</v>
      </c>
      <c r="I257" s="143">
        <v>7.3870339903825397E-2</v>
      </c>
      <c r="J257" s="143">
        <v>0.11412594914557878</v>
      </c>
      <c r="K257" s="143">
        <v>0.10144528812940336</v>
      </c>
      <c r="L257" s="143">
        <v>7.6083966097052522E-2</v>
      </c>
      <c r="M257" s="89">
        <v>4.3765269235124804E-2</v>
      </c>
    </row>
    <row r="258" spans="1:13" x14ac:dyDescent="0.3">
      <c r="A258" s="134" t="s">
        <v>856</v>
      </c>
      <c r="B258" s="143">
        <v>1.3216618073489799E-2</v>
      </c>
      <c r="C258" s="143">
        <v>6.6083090367449002E-3</v>
      </c>
      <c r="D258" s="143">
        <v>2.5158196307004468E-2</v>
      </c>
      <c r="E258" s="143">
        <v>4.625816325721431E-2</v>
      </c>
      <c r="F258" s="143">
        <v>3.3041545183724499E-2</v>
      </c>
      <c r="G258" s="143">
        <v>4.2062562708936588E-2</v>
      </c>
      <c r="H258" s="143">
        <v>7.6911864271459837E-2</v>
      </c>
      <c r="I258" s="143">
        <v>0.14538279880838778</v>
      </c>
      <c r="J258" s="143">
        <v>0.2621267870600123</v>
      </c>
      <c r="K258" s="143">
        <v>0.1802694864276192</v>
      </c>
      <c r="L258" s="143">
        <v>8.7004588065098365E-2</v>
      </c>
      <c r="M258" s="89">
        <v>8.1958948620730762E-2</v>
      </c>
    </row>
    <row r="259" spans="1:13" x14ac:dyDescent="0.3">
      <c r="A259" s="134" t="s">
        <v>876</v>
      </c>
      <c r="B259" s="143">
        <v>0</v>
      </c>
      <c r="C259" s="143">
        <v>0</v>
      </c>
      <c r="D259" s="143">
        <v>0</v>
      </c>
      <c r="E259" s="143">
        <v>0</v>
      </c>
      <c r="F259" s="143">
        <v>0</v>
      </c>
      <c r="G259" s="143">
        <v>7.5399747546826077E-3</v>
      </c>
      <c r="H259" s="143">
        <v>0.14547916232513303</v>
      </c>
      <c r="I259" s="143">
        <v>0.28929804942244247</v>
      </c>
      <c r="J259" s="143">
        <v>0.35737250552916699</v>
      </c>
      <c r="K259" s="143">
        <v>0.18905341650462684</v>
      </c>
      <c r="L259" s="143">
        <v>1.1256888517055159E-2</v>
      </c>
      <c r="M259" s="89">
        <v>0</v>
      </c>
    </row>
    <row r="260" spans="1:13" x14ac:dyDescent="0.3">
      <c r="A260" s="134" t="s">
        <v>895</v>
      </c>
      <c r="B260" s="143">
        <v>9.3495934959349589E-2</v>
      </c>
      <c r="C260" s="143">
        <v>5.0135501355013552E-2</v>
      </c>
      <c r="D260" s="143">
        <v>0.12330623306233063</v>
      </c>
      <c r="E260" s="143">
        <v>5.4200542005420058E-2</v>
      </c>
      <c r="F260" s="143">
        <v>7.7235772357723581E-2</v>
      </c>
      <c r="G260" s="143">
        <v>8.943089430894309E-2</v>
      </c>
      <c r="H260" s="143">
        <v>0.1043360433604336</v>
      </c>
      <c r="I260" s="143">
        <v>6.097560975609756E-2</v>
      </c>
      <c r="J260" s="143">
        <v>7.4525745257452577E-2</v>
      </c>
      <c r="K260" s="143">
        <v>7.9945799457994585E-2</v>
      </c>
      <c r="L260" s="143">
        <v>9.0785907859078585E-2</v>
      </c>
      <c r="M260" s="89">
        <v>0.1016260162601626</v>
      </c>
    </row>
    <row r="261" spans="1:13" x14ac:dyDescent="0.3">
      <c r="A261" s="134" t="s">
        <v>943</v>
      </c>
      <c r="B261" s="143">
        <v>0</v>
      </c>
      <c r="C261" s="143">
        <v>0</v>
      </c>
      <c r="D261" s="143">
        <v>0</v>
      </c>
      <c r="E261" s="143">
        <v>0</v>
      </c>
      <c r="F261" s="143">
        <v>0</v>
      </c>
      <c r="G261" s="143">
        <v>0</v>
      </c>
      <c r="H261" s="143">
        <v>0.17080885595562703</v>
      </c>
      <c r="I261" s="143">
        <v>0.24844924502636664</v>
      </c>
      <c r="J261" s="143">
        <v>0.37887984603289876</v>
      </c>
      <c r="K261" s="143">
        <v>0.18633693376977498</v>
      </c>
      <c r="L261" s="143">
        <v>1.5528077814147915E-2</v>
      </c>
      <c r="M261" s="89">
        <v>0</v>
      </c>
    </row>
    <row r="262" spans="1:13" x14ac:dyDescent="0.3">
      <c r="A262" s="134" t="s">
        <v>963</v>
      </c>
      <c r="B262" s="143">
        <v>0</v>
      </c>
      <c r="C262" s="143">
        <v>0</v>
      </c>
      <c r="D262" s="143">
        <v>0</v>
      </c>
      <c r="E262" s="143">
        <v>0</v>
      </c>
      <c r="F262" s="143">
        <v>0</v>
      </c>
      <c r="G262" s="143">
        <v>0</v>
      </c>
      <c r="H262" s="143">
        <v>0.18257463723928827</v>
      </c>
      <c r="I262" s="143">
        <v>0.44955123663210017</v>
      </c>
      <c r="J262" s="143">
        <v>0.31731221042748015</v>
      </c>
      <c r="K262" s="143">
        <v>5.0560963345151165E-2</v>
      </c>
      <c r="L262" s="143">
        <v>0</v>
      </c>
      <c r="M262" s="89">
        <v>0</v>
      </c>
    </row>
    <row r="263" spans="1:13" x14ac:dyDescent="0.3">
      <c r="A263" s="134" t="s">
        <v>995</v>
      </c>
      <c r="B263" s="143">
        <v>0</v>
      </c>
      <c r="C263" s="143">
        <v>0</v>
      </c>
      <c r="D263" s="143">
        <v>0</v>
      </c>
      <c r="E263" s="143">
        <v>0</v>
      </c>
      <c r="F263" s="143">
        <v>0</v>
      </c>
      <c r="G263" s="143">
        <v>2.3087894964963752E-2</v>
      </c>
      <c r="H263" s="143">
        <v>0.13534007691071834</v>
      </c>
      <c r="I263" s="143">
        <v>0.29828004369793348</v>
      </c>
      <c r="J263" s="143">
        <v>0.28399441133772163</v>
      </c>
      <c r="K263" s="143">
        <v>0.22732437346071119</v>
      </c>
      <c r="L263" s="143">
        <v>3.1972548342541443E-2</v>
      </c>
      <c r="M263" s="89">
        <v>0</v>
      </c>
    </row>
    <row r="264" spans="1:13" x14ac:dyDescent="0.3">
      <c r="A264" s="134" t="s">
        <v>1000</v>
      </c>
      <c r="B264" s="143">
        <v>5.1364336785009859E-2</v>
      </c>
      <c r="C264" s="143">
        <v>7.0625963079388551E-2</v>
      </c>
      <c r="D264" s="143">
        <v>3.5312981539694276E-2</v>
      </c>
      <c r="E264" s="143">
        <v>0.12841084196252464</v>
      </c>
      <c r="F264" s="143">
        <v>0.15890841692862426</v>
      </c>
      <c r="G264" s="143">
        <v>5.9390014407667648E-2</v>
      </c>
      <c r="H264" s="143">
        <v>5.1364336785009859E-2</v>
      </c>
      <c r="I264" s="143">
        <v>5.778487888313609E-2</v>
      </c>
      <c r="J264" s="143">
        <v>7.8651640702046346E-2</v>
      </c>
      <c r="K264" s="143">
        <v>5.2969472309541417E-2</v>
      </c>
      <c r="L264" s="143">
        <v>0.11556975776627218</v>
      </c>
      <c r="M264" s="89">
        <v>0.13964679063424557</v>
      </c>
    </row>
    <row r="265" spans="1:13" x14ac:dyDescent="0.3">
      <c r="A265" s="134" t="s">
        <v>1028</v>
      </c>
      <c r="B265" s="143">
        <v>4.3735347898384916E-2</v>
      </c>
      <c r="C265" s="143">
        <v>9.4374240213367072E-2</v>
      </c>
      <c r="D265" s="143">
        <v>6.1890438631671194E-2</v>
      </c>
      <c r="E265" s="143">
        <v>8.9384982769975169E-2</v>
      </c>
      <c r="F265" s="143">
        <v>0.13936094181496883</v>
      </c>
      <c r="G265" s="143">
        <v>5.5489542349181797E-2</v>
      </c>
      <c r="H265" s="143">
        <v>6.1890438631671194E-2</v>
      </c>
      <c r="I265" s="143">
        <v>7.4268526358005432E-2</v>
      </c>
      <c r="J265" s="143">
        <v>0.10530929808580221</v>
      </c>
      <c r="K265" s="143">
        <v>8.6647575183294953E-2</v>
      </c>
      <c r="L265" s="143">
        <v>6.189808734715168E-2</v>
      </c>
      <c r="M265" s="89">
        <v>0.12574883266459574</v>
      </c>
    </row>
    <row r="266" spans="1:13" x14ac:dyDescent="0.3">
      <c r="A266" s="134" t="s">
        <v>1061</v>
      </c>
      <c r="B266" s="143">
        <v>1.5830227966883187E-2</v>
      </c>
      <c r="C266" s="143">
        <v>1.0826294478235103E-2</v>
      </c>
      <c r="D266" s="143">
        <v>5.6708710995920075E-3</v>
      </c>
      <c r="E266" s="143">
        <v>2.7102224155545234E-2</v>
      </c>
      <c r="F266" s="143">
        <v>2.4754509219873645E-2</v>
      </c>
      <c r="G266" s="143">
        <v>1.6937075732515589E-2</v>
      </c>
      <c r="H266" s="143">
        <v>0.16154035304061698</v>
      </c>
      <c r="I266" s="143">
        <v>0.19111398508563196</v>
      </c>
      <c r="J266" s="143">
        <v>0.29687046097564368</v>
      </c>
      <c r="K266" s="143">
        <v>0.17433226590123929</v>
      </c>
      <c r="L266" s="143">
        <v>4.4602319850973432E-2</v>
      </c>
      <c r="M266" s="89">
        <v>3.041876042941748E-2</v>
      </c>
    </row>
    <row r="267" spans="1:13" x14ac:dyDescent="0.3">
      <c r="A267" s="134" t="s">
        <v>1061</v>
      </c>
      <c r="B267" s="143">
        <v>1.5830227966883187E-2</v>
      </c>
      <c r="C267" s="143">
        <v>1.0826294478235103E-2</v>
      </c>
      <c r="D267" s="143">
        <v>5.6708710995920075E-3</v>
      </c>
      <c r="E267" s="143">
        <v>2.7102224155545234E-2</v>
      </c>
      <c r="F267" s="143">
        <v>2.4754509219873645E-2</v>
      </c>
      <c r="G267" s="143">
        <v>1.6937075732515589E-2</v>
      </c>
      <c r="H267" s="143">
        <v>0.16154035304061701</v>
      </c>
      <c r="I267" s="143">
        <v>0.19111398508563196</v>
      </c>
      <c r="J267" s="143">
        <v>0.29687046097564374</v>
      </c>
      <c r="K267" s="143">
        <v>0.17433226590123929</v>
      </c>
      <c r="L267" s="143">
        <v>4.4602319850973432E-2</v>
      </c>
      <c r="M267" s="89">
        <v>3.041876042941748E-2</v>
      </c>
    </row>
    <row r="268" spans="1:13" x14ac:dyDescent="0.3">
      <c r="A268" s="134" t="s">
        <v>1099</v>
      </c>
      <c r="B268" s="143">
        <v>2.3308764612571156E-2</v>
      </c>
      <c r="C268" s="143">
        <v>3.6368592056342255E-2</v>
      </c>
      <c r="D268" s="143">
        <v>2.8192379532979726E-2</v>
      </c>
      <c r="E268" s="143">
        <v>9.4410771821199072E-2</v>
      </c>
      <c r="F268" s="143">
        <v>0</v>
      </c>
      <c r="G268" s="143">
        <v>2.7933836131217381E-2</v>
      </c>
      <c r="H268" s="143">
        <v>0.11624487975867323</v>
      </c>
      <c r="I268" s="143">
        <v>0.1930389353143355</v>
      </c>
      <c r="J268" s="143">
        <v>0.20301217991955003</v>
      </c>
      <c r="K268" s="143">
        <v>9.2666127552529634E-2</v>
      </c>
      <c r="L268" s="143">
        <v>7.5283015095584577E-2</v>
      </c>
      <c r="M268" s="89">
        <v>0.10954000232553994</v>
      </c>
    </row>
    <row r="269" spans="1:13" x14ac:dyDescent="0.3">
      <c r="A269" s="134" t="s">
        <v>1114</v>
      </c>
      <c r="B269" s="143">
        <v>0</v>
      </c>
      <c r="C269" s="143">
        <v>0</v>
      </c>
      <c r="D269" s="143">
        <v>3.3018529063594091E-3</v>
      </c>
      <c r="E269" s="143">
        <v>8.416856649148383E-3</v>
      </c>
      <c r="F269" s="143">
        <v>0</v>
      </c>
      <c r="G269" s="143">
        <v>2.0936960691526809E-2</v>
      </c>
      <c r="H269" s="143">
        <v>9.9258793391909586E-2</v>
      </c>
      <c r="I269" s="143">
        <v>0.31643059286727898</v>
      </c>
      <c r="J269" s="143">
        <v>0.30321525519668618</v>
      </c>
      <c r="K269" s="143">
        <v>0.18952189746469891</v>
      </c>
      <c r="L269" s="143">
        <v>4.2084283245741913E-2</v>
      </c>
      <c r="M269" s="89">
        <v>1.6833713298296762E-2</v>
      </c>
    </row>
    <row r="270" spans="1:13" x14ac:dyDescent="0.3">
      <c r="A270" s="134" t="s">
        <v>1120</v>
      </c>
      <c r="B270" s="143">
        <v>0</v>
      </c>
      <c r="C270" s="143">
        <v>0</v>
      </c>
      <c r="D270" s="143">
        <v>0</v>
      </c>
      <c r="E270" s="143">
        <v>0</v>
      </c>
      <c r="F270" s="143">
        <v>0</v>
      </c>
      <c r="G270" s="143">
        <v>1.0381811336111969E-2</v>
      </c>
      <c r="H270" s="143">
        <v>3.6057237318996876E-2</v>
      </c>
      <c r="I270" s="143">
        <v>0.1852152811032359</v>
      </c>
      <c r="J270" s="143">
        <v>0.36622742578220602</v>
      </c>
      <c r="K270" s="143">
        <v>0.3086685924390169</v>
      </c>
      <c r="L270" s="143">
        <v>7.0566935656581398E-2</v>
      </c>
      <c r="M270" s="89">
        <v>2.2883070068887245E-2</v>
      </c>
    </row>
    <row r="273" spans="1:3" x14ac:dyDescent="0.3">
      <c r="A273" s="134" t="s">
        <v>1750</v>
      </c>
      <c r="B273" s="146" t="s">
        <v>1751</v>
      </c>
      <c r="C273" s="147" t="s">
        <v>1752</v>
      </c>
    </row>
    <row r="274" spans="1:3" x14ac:dyDescent="0.3">
      <c r="A274" s="34">
        <v>1</v>
      </c>
      <c r="B274" s="116">
        <v>7044.6314240366091</v>
      </c>
      <c r="C274" s="123">
        <v>1.5142850161147881E-2</v>
      </c>
    </row>
    <row r="275" spans="1:3" x14ac:dyDescent="0.3">
      <c r="A275" s="34">
        <v>2</v>
      </c>
      <c r="B275" s="116">
        <v>7387.4802626027031</v>
      </c>
      <c r="C275" s="123">
        <v>1.5879823932779934E-2</v>
      </c>
    </row>
    <row r="276" spans="1:3" x14ac:dyDescent="0.3">
      <c r="A276" s="34">
        <v>3</v>
      </c>
      <c r="B276" s="116">
        <v>7305.6278450968066</v>
      </c>
      <c r="C276" s="123">
        <v>1.570387734040175E-2</v>
      </c>
    </row>
    <row r="277" spans="1:3" x14ac:dyDescent="0.3">
      <c r="A277" s="34">
        <v>4</v>
      </c>
      <c r="B277" s="116">
        <v>11676.942189951425</v>
      </c>
      <c r="C277" s="123">
        <v>2.5100274986636622E-2</v>
      </c>
    </row>
    <row r="278" spans="1:3" x14ac:dyDescent="0.3">
      <c r="A278" s="34">
        <v>5</v>
      </c>
      <c r="B278" s="116">
        <v>13466.980362301058</v>
      </c>
      <c r="C278" s="123">
        <v>2.8948067467892292E-2</v>
      </c>
    </row>
    <row r="279" spans="1:3" x14ac:dyDescent="0.3">
      <c r="A279" s="34">
        <v>6</v>
      </c>
      <c r="B279" s="116">
        <v>11008.452663618651</v>
      </c>
      <c r="C279" s="123">
        <v>2.3663317377042692E-2</v>
      </c>
    </row>
    <row r="280" spans="1:3" x14ac:dyDescent="0.3">
      <c r="A280" s="34">
        <v>7</v>
      </c>
      <c r="B280" s="116">
        <v>50387.5296366197</v>
      </c>
      <c r="C280" s="123">
        <v>0.1083109626820648</v>
      </c>
    </row>
    <row r="281" spans="1:3" x14ac:dyDescent="0.3">
      <c r="A281" s="34">
        <v>8</v>
      </c>
      <c r="B281" s="116">
        <v>96586.154139157385</v>
      </c>
      <c r="C281" s="123">
        <v>0.20761762706000056</v>
      </c>
    </row>
    <row r="282" spans="1:3" x14ac:dyDescent="0.3">
      <c r="A282" s="34">
        <v>9</v>
      </c>
      <c r="B282" s="116">
        <v>132880.0898911439</v>
      </c>
      <c r="C282" s="123">
        <v>0.2856335796015943</v>
      </c>
    </row>
    <row r="283" spans="1:3" x14ac:dyDescent="0.3">
      <c r="A283" s="34">
        <v>10</v>
      </c>
      <c r="B283" s="116">
        <v>89304.403451253369</v>
      </c>
      <c r="C283" s="123">
        <v>0.19196507507530317</v>
      </c>
    </row>
    <row r="284" spans="1:3" x14ac:dyDescent="0.3">
      <c r="A284" s="34">
        <v>11</v>
      </c>
      <c r="B284" s="116">
        <v>22013.609091899856</v>
      </c>
      <c r="C284" s="123">
        <v>4.7319549302085651E-2</v>
      </c>
    </row>
    <row r="285" spans="1:3" x14ac:dyDescent="0.3">
      <c r="A285" s="34">
        <v>12</v>
      </c>
      <c r="B285" s="116">
        <v>15551.75072236368</v>
      </c>
      <c r="C285" s="123">
        <v>3.3429404145793491E-2</v>
      </c>
    </row>
    <row r="289" spans="1:38" x14ac:dyDescent="0.3">
      <c r="A289" s="156" t="s">
        <v>3</v>
      </c>
      <c r="B289" s="156" t="s">
        <v>1389</v>
      </c>
      <c r="C289" s="156" t="s">
        <v>1391</v>
      </c>
      <c r="D289" s="134" t="s">
        <v>1318</v>
      </c>
      <c r="E289" s="134" t="s">
        <v>1392</v>
      </c>
      <c r="F289" s="134" t="s">
        <v>1393</v>
      </c>
      <c r="G289" s="134" t="s">
        <v>1394</v>
      </c>
      <c r="H289" s="134" t="s">
        <v>1395</v>
      </c>
      <c r="I289" s="134" t="s">
        <v>1322</v>
      </c>
      <c r="J289" s="134" t="s">
        <v>1397</v>
      </c>
      <c r="K289" s="134" t="s">
        <v>1398</v>
      </c>
      <c r="L289" s="134" t="s">
        <v>1321</v>
      </c>
      <c r="M289" s="134" t="s">
        <v>1427</v>
      </c>
      <c r="N289" s="134" t="s">
        <v>1399</v>
      </c>
      <c r="O289" s="134" t="s">
        <v>1400</v>
      </c>
      <c r="P289" s="134" t="s">
        <v>1445</v>
      </c>
      <c r="Q289" s="134" t="s">
        <v>1401</v>
      </c>
      <c r="R289" s="134" t="s">
        <v>1441</v>
      </c>
      <c r="S289" s="134" t="s">
        <v>1440</v>
      </c>
      <c r="T289" s="134" t="s">
        <v>1426</v>
      </c>
      <c r="U289" s="134" t="s">
        <v>1322</v>
      </c>
      <c r="V289" s="134" t="s">
        <v>1428</v>
      </c>
      <c r="W289" s="156" t="s">
        <v>1402</v>
      </c>
      <c r="X289" s="156" t="s">
        <v>1403</v>
      </c>
      <c r="Y289" s="156"/>
      <c r="Z289" s="156"/>
      <c r="AA289" s="156"/>
      <c r="AB289" s="156" t="s">
        <v>1407</v>
      </c>
      <c r="AC289" s="134" t="s">
        <v>1408</v>
      </c>
      <c r="AD289" s="134" t="s">
        <v>1410</v>
      </c>
      <c r="AE289" s="134" t="s">
        <v>1411</v>
      </c>
      <c r="AF289" s="134" t="s">
        <v>71</v>
      </c>
      <c r="AG289" s="134" t="s">
        <v>1419</v>
      </c>
      <c r="AH289" s="134" t="s">
        <v>1420</v>
      </c>
      <c r="AI289" s="134" t="s">
        <v>1421</v>
      </c>
      <c r="AJ289" s="134" t="s">
        <v>1422</v>
      </c>
      <c r="AK289" s="134" t="s">
        <v>1423</v>
      </c>
      <c r="AL289" s="134" t="s">
        <v>1416</v>
      </c>
    </row>
    <row r="290" spans="1:38" x14ac:dyDescent="0.3">
      <c r="A290" s="34" t="s">
        <v>1000</v>
      </c>
      <c r="B290" s="137"/>
      <c r="C290" s="152">
        <v>46332</v>
      </c>
      <c r="D290" s="153">
        <v>129</v>
      </c>
      <c r="E290" s="34"/>
      <c r="F290" s="34" t="s">
        <v>1325</v>
      </c>
      <c r="G290" s="34">
        <v>0</v>
      </c>
      <c r="H290" s="137">
        <v>150000000</v>
      </c>
      <c r="I290" s="137">
        <v>12256230</v>
      </c>
      <c r="J290" s="137">
        <v>250000.5</v>
      </c>
      <c r="K290" s="137">
        <v>250000.5</v>
      </c>
      <c r="L290" s="137">
        <v>250000</v>
      </c>
      <c r="M290" s="137"/>
      <c r="N290" s="34">
        <v>0</v>
      </c>
      <c r="O290" s="34">
        <v>102.4</v>
      </c>
      <c r="P290" s="154">
        <v>8.1708199999999995E-2</v>
      </c>
      <c r="Q290" s="155">
        <v>1.6666700000000001E-3</v>
      </c>
      <c r="R290" s="155">
        <v>4.3428769999999998E-2</v>
      </c>
      <c r="S290" s="155">
        <v>0</v>
      </c>
      <c r="T290" s="34">
        <v>6.8990380000000004E-2</v>
      </c>
      <c r="U290" s="155">
        <v>20427.090854099999</v>
      </c>
      <c r="V290" s="137">
        <v>25000.05</v>
      </c>
      <c r="W290" s="137">
        <v>256000.51200000002</v>
      </c>
      <c r="X290" s="137">
        <v>1946.8788937500001</v>
      </c>
      <c r="Y290" s="137">
        <v>20829.125148716455</v>
      </c>
      <c r="Z290" s="137">
        <v>0</v>
      </c>
      <c r="AA290" s="137">
        <v>250000.5</v>
      </c>
      <c r="AB290" s="137">
        <v>4.1666750000000002E-2</v>
      </c>
      <c r="AC290" s="155">
        <v>0</v>
      </c>
      <c r="AD290" s="34">
        <v>0</v>
      </c>
      <c r="AE290" s="34">
        <v>0</v>
      </c>
      <c r="AF290" s="34">
        <v>0</v>
      </c>
      <c r="AG290" s="34">
        <v>0</v>
      </c>
      <c r="AH290" s="34">
        <v>9.5308671589877159E-2</v>
      </c>
      <c r="AI290" s="155">
        <v>29062.558125</v>
      </c>
      <c r="AJ290" s="137">
        <v>18480.21196035</v>
      </c>
      <c r="AK290" s="137">
        <v>0.63587698924731184</v>
      </c>
      <c r="AL290" s="155" t="s">
        <v>1003</v>
      </c>
    </row>
    <row r="291" spans="1:38" x14ac:dyDescent="0.3">
      <c r="A291" s="34" t="s">
        <v>538</v>
      </c>
      <c r="B291" s="137"/>
      <c r="C291" s="152">
        <v>46484</v>
      </c>
      <c r="D291" s="153">
        <v>281</v>
      </c>
      <c r="E291" s="34"/>
      <c r="F291" s="34" t="s">
        <v>1325</v>
      </c>
      <c r="G291" s="34">
        <v>0</v>
      </c>
      <c r="H291" s="137">
        <v>250000000</v>
      </c>
      <c r="I291" s="137">
        <v>9300714</v>
      </c>
      <c r="J291" s="137">
        <v>250000</v>
      </c>
      <c r="K291" s="137">
        <v>250000</v>
      </c>
      <c r="L291" s="137">
        <v>250000</v>
      </c>
      <c r="M291" s="137"/>
      <c r="N291" s="34">
        <v>0</v>
      </c>
      <c r="O291" s="34">
        <v>103.85</v>
      </c>
      <c r="P291" s="154">
        <v>9.3007140000000002E-2</v>
      </c>
      <c r="Q291" s="155">
        <v>2.5000000000000001E-3</v>
      </c>
      <c r="R291" s="155">
        <v>5.4388600000000002E-2</v>
      </c>
      <c r="S291" s="155">
        <v>0</v>
      </c>
      <c r="T291" s="34">
        <v>7.5250440000000002E-2</v>
      </c>
      <c r="U291" s="155">
        <v>23251.785</v>
      </c>
      <c r="V291" s="137">
        <v>39570.608006814669</v>
      </c>
      <c r="W291" s="137">
        <v>259625</v>
      </c>
      <c r="X291" s="137">
        <v>1669.5596988802561</v>
      </c>
      <c r="Y291" s="137">
        <v>19286.86242884555</v>
      </c>
      <c r="Z291" s="137">
        <v>0</v>
      </c>
      <c r="AA291" s="137">
        <v>250000</v>
      </c>
      <c r="AB291" s="137">
        <v>4.1666666666666664E-2</v>
      </c>
      <c r="AC291" s="155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7.1803506650360657E-2</v>
      </c>
      <c r="AI291" s="155">
        <v>60333.483445816339</v>
      </c>
      <c r="AJ291" s="137">
        <v>21582.225301119743</v>
      </c>
      <c r="AK291" s="137">
        <v>0.35771555144005701</v>
      </c>
      <c r="AL291" s="155" t="s">
        <v>541</v>
      </c>
    </row>
    <row r="292" spans="1:38" x14ac:dyDescent="0.3">
      <c r="A292" s="34" t="s">
        <v>668</v>
      </c>
      <c r="B292" s="137"/>
      <c r="C292" s="152">
        <v>46395</v>
      </c>
      <c r="D292" s="153">
        <v>192</v>
      </c>
      <c r="E292" s="34"/>
      <c r="F292" s="34" t="s">
        <v>1325</v>
      </c>
      <c r="G292" s="34">
        <v>0</v>
      </c>
      <c r="H292" s="137">
        <v>600000000</v>
      </c>
      <c r="I292" s="137">
        <v>18120000</v>
      </c>
      <c r="J292" s="137">
        <v>250000</v>
      </c>
      <c r="K292" s="137">
        <v>250000</v>
      </c>
      <c r="L292" s="137">
        <v>250000</v>
      </c>
      <c r="M292" s="137"/>
      <c r="N292" s="34">
        <v>0</v>
      </c>
      <c r="O292" s="34">
        <v>102.85</v>
      </c>
      <c r="P292" s="154">
        <v>9.06E-2</v>
      </c>
      <c r="Q292" s="155">
        <v>1.25E-3</v>
      </c>
      <c r="R292" s="155">
        <v>5.2493049999999999E-2</v>
      </c>
      <c r="S292" s="155">
        <v>0</v>
      </c>
      <c r="T292" s="34">
        <v>7.6703099999999996E-2</v>
      </c>
      <c r="U292" s="155">
        <v>22650</v>
      </c>
      <c r="V292" s="137">
        <v>131272.2999064553</v>
      </c>
      <c r="W292" s="137">
        <v>257125</v>
      </c>
      <c r="X292" s="137">
        <v>5261.34985536769</v>
      </c>
      <c r="Y292" s="137">
        <v>34138.576508037739</v>
      </c>
      <c r="Z292" s="137">
        <v>249999.99750000006</v>
      </c>
      <c r="AA292" s="137">
        <v>249999.99750000008</v>
      </c>
      <c r="AB292" s="137">
        <v>4.1666666666666664E-2</v>
      </c>
      <c r="AC292" s="155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0.23228917683742561</v>
      </c>
      <c r="AI292" s="155">
        <v>41970.278630234068</v>
      </c>
      <c r="AJ292" s="137">
        <v>17388.650144632309</v>
      </c>
      <c r="AK292" s="137">
        <v>0.41430866584969661</v>
      </c>
      <c r="AL292" s="155" t="s">
        <v>671</v>
      </c>
    </row>
    <row r="293" spans="1:38" x14ac:dyDescent="0.3">
      <c r="A293" s="34" t="s">
        <v>876</v>
      </c>
      <c r="B293" s="137"/>
      <c r="C293" s="152">
        <v>46517</v>
      </c>
      <c r="D293" s="153">
        <v>314</v>
      </c>
      <c r="E293" s="34"/>
      <c r="F293" s="34" t="s">
        <v>1325</v>
      </c>
      <c r="G293" s="34">
        <v>0</v>
      </c>
      <c r="H293" s="137">
        <v>125000000</v>
      </c>
      <c r="I293" s="137">
        <v>14315000</v>
      </c>
      <c r="J293" s="137">
        <v>250000</v>
      </c>
      <c r="K293" s="137">
        <v>250000</v>
      </c>
      <c r="L293" s="137">
        <v>250000</v>
      </c>
      <c r="M293" s="137"/>
      <c r="N293" s="34">
        <v>0</v>
      </c>
      <c r="O293" s="34">
        <v>102</v>
      </c>
      <c r="P293" s="154">
        <v>0.11452</v>
      </c>
      <c r="Q293" s="155">
        <v>2E-3</v>
      </c>
      <c r="R293" s="155">
        <v>7.6309879999999997E-2</v>
      </c>
      <c r="S293" s="155">
        <v>0</v>
      </c>
      <c r="T293" s="34">
        <v>0.106922</v>
      </c>
      <c r="U293" s="155">
        <v>28630</v>
      </c>
      <c r="V293" s="137">
        <v>190906.54916197926</v>
      </c>
      <c r="W293" s="137">
        <v>255000</v>
      </c>
      <c r="X293" s="137">
        <v>6876.8499797346576</v>
      </c>
      <c r="Y293" s="137">
        <v>38094.656895663327</v>
      </c>
      <c r="Z293" s="137">
        <v>250000</v>
      </c>
      <c r="AA293" s="137">
        <v>250000</v>
      </c>
      <c r="AB293" s="137">
        <v>4.1666666666666664E-2</v>
      </c>
      <c r="AC293" s="155">
        <v>0</v>
      </c>
      <c r="AD293" s="34">
        <v>0</v>
      </c>
      <c r="AE293" s="34">
        <v>0</v>
      </c>
      <c r="AF293" s="34">
        <v>0</v>
      </c>
      <c r="AG293" s="34">
        <v>0</v>
      </c>
      <c r="AH293" s="34">
        <v>0.24019734473400831</v>
      </c>
      <c r="AI293" s="155">
        <v>138533.33518550993</v>
      </c>
      <c r="AJ293" s="137">
        <v>21753.150020265341</v>
      </c>
      <c r="AK293" s="137">
        <v>0.1570246611845135</v>
      </c>
      <c r="AL293" s="155" t="s">
        <v>879</v>
      </c>
    </row>
    <row r="294" spans="1:38" x14ac:dyDescent="0.3">
      <c r="A294" s="34" t="s">
        <v>943</v>
      </c>
      <c r="B294" s="137"/>
      <c r="C294" s="152">
        <v>46211</v>
      </c>
      <c r="D294" s="153">
        <v>8</v>
      </c>
      <c r="E294" s="34"/>
      <c r="F294" s="34" t="s">
        <v>1325</v>
      </c>
      <c r="G294" s="34">
        <v>0</v>
      </c>
      <c r="H294" s="137">
        <v>150000000</v>
      </c>
      <c r="I294" s="137">
        <v>11677500</v>
      </c>
      <c r="J294" s="137">
        <v>250000.5</v>
      </c>
      <c r="K294" s="137">
        <v>250000.5</v>
      </c>
      <c r="L294" s="137">
        <v>250000</v>
      </c>
      <c r="M294" s="137"/>
      <c r="N294" s="34">
        <v>0</v>
      </c>
      <c r="O294" s="34">
        <v>101.15</v>
      </c>
      <c r="P294" s="154">
        <v>7.7850000000000003E-2</v>
      </c>
      <c r="Q294" s="155">
        <v>1.6666700000000001E-3</v>
      </c>
      <c r="R294" s="155">
        <v>3.8097329999999999E-2</v>
      </c>
      <c r="S294" s="155">
        <v>0</v>
      </c>
      <c r="T294" s="34">
        <v>6.9939169999999995E-2</v>
      </c>
      <c r="U294" s="155">
        <v>19462.538925000001</v>
      </c>
      <c r="V294" s="137">
        <v>175000.35</v>
      </c>
      <c r="W294" s="137">
        <v>252875.50575000004</v>
      </c>
      <c r="X294" s="137">
        <v>1609.9947633145068</v>
      </c>
      <c r="Y294" s="137">
        <v>19799.755023787482</v>
      </c>
      <c r="Z294" s="137">
        <v>0</v>
      </c>
      <c r="AA294" s="137">
        <v>250000.5</v>
      </c>
      <c r="AB294" s="137">
        <v>4.1666750000000002E-2</v>
      </c>
      <c r="AC294" s="155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8.2722751102449324E-2</v>
      </c>
      <c r="AI294" s="155">
        <v>109649.3796652029</v>
      </c>
      <c r="AJ294" s="137">
        <v>17852.544161685495</v>
      </c>
      <c r="AK294" s="137">
        <v>0.16281482135325731</v>
      </c>
      <c r="AL294" s="155" t="s">
        <v>946</v>
      </c>
    </row>
    <row r="295" spans="1:38" x14ac:dyDescent="0.3">
      <c r="A295" s="34" t="s">
        <v>963</v>
      </c>
      <c r="B295" s="137"/>
      <c r="C295" s="152">
        <v>46395</v>
      </c>
      <c r="D295" s="153">
        <v>192</v>
      </c>
      <c r="E295" s="34"/>
      <c r="F295" s="34" t="s">
        <v>1325</v>
      </c>
      <c r="G295" s="34">
        <v>0</v>
      </c>
      <c r="H295" s="137">
        <v>400000000</v>
      </c>
      <c r="I295" s="137">
        <v>20017500</v>
      </c>
      <c r="J295" s="137">
        <v>249999.45</v>
      </c>
      <c r="K295" s="137">
        <v>249999.45</v>
      </c>
      <c r="L295" s="137">
        <v>250000</v>
      </c>
      <c r="M295" s="137"/>
      <c r="N295" s="34">
        <v>0</v>
      </c>
      <c r="O295" s="34">
        <v>102.3</v>
      </c>
      <c r="P295" s="154">
        <v>7.85E-2</v>
      </c>
      <c r="Q295" s="155">
        <v>9.8039000000000004E-4</v>
      </c>
      <c r="R295" s="155">
        <v>4.0195000000000002E-2</v>
      </c>
      <c r="S295" s="155">
        <v>0</v>
      </c>
      <c r="T295" s="34">
        <v>6.7969870000000002E-2</v>
      </c>
      <c r="U295" s="155">
        <v>19624.956825000001</v>
      </c>
      <c r="V295" s="137">
        <v>0</v>
      </c>
      <c r="W295" s="137">
        <v>255749.43734999999</v>
      </c>
      <c r="X295" s="137">
        <v>407.35961204826799</v>
      </c>
      <c r="Y295" s="137">
        <v>9001.9858960103265</v>
      </c>
      <c r="Z295" s="137">
        <v>0</v>
      </c>
      <c r="AA295" s="137">
        <v>97412.904708811286</v>
      </c>
      <c r="AB295" s="137">
        <v>4.1666575000000004E-2</v>
      </c>
      <c r="AC295" s="155">
        <v>0</v>
      </c>
      <c r="AD295" s="34">
        <v>0</v>
      </c>
      <c r="AE295" s="34">
        <v>0</v>
      </c>
      <c r="AF295" s="34">
        <v>0</v>
      </c>
      <c r="AG295" s="34">
        <v>0</v>
      </c>
      <c r="AH295" s="34">
        <v>2.0757223349879547E-2</v>
      </c>
      <c r="AI295" s="155">
        <v>0</v>
      </c>
      <c r="AJ295" s="137">
        <v>19217.597212951732</v>
      </c>
      <c r="AK295" s="137">
        <v>0</v>
      </c>
      <c r="AL295" s="155" t="s">
        <v>966</v>
      </c>
    </row>
    <row r="296" spans="1:38" x14ac:dyDescent="0.3">
      <c r="A296" s="34" t="s">
        <v>1061</v>
      </c>
      <c r="B296" s="137"/>
      <c r="C296" s="152">
        <v>46395</v>
      </c>
      <c r="D296" s="153">
        <v>192</v>
      </c>
      <c r="E296" s="34"/>
      <c r="F296" s="34" t="s">
        <v>1325</v>
      </c>
      <c r="G296" s="34">
        <v>0</v>
      </c>
      <c r="H296" s="137">
        <v>301000000</v>
      </c>
      <c r="I296" s="137">
        <v>20180000</v>
      </c>
      <c r="J296" s="137">
        <v>250000</v>
      </c>
      <c r="K296" s="137">
        <v>250000</v>
      </c>
      <c r="L296" s="137">
        <v>250000</v>
      </c>
      <c r="M296" s="137"/>
      <c r="N296" s="34">
        <v>0</v>
      </c>
      <c r="O296" s="34">
        <v>103.6</v>
      </c>
      <c r="P296" s="154">
        <v>0.1009</v>
      </c>
      <c r="Q296" s="155">
        <v>1.25E-3</v>
      </c>
      <c r="R296" s="155">
        <v>6.2344139999999999E-2</v>
      </c>
      <c r="S296" s="155">
        <v>0</v>
      </c>
      <c r="T296" s="34">
        <v>7.6477260000000005E-2</v>
      </c>
      <c r="U296" s="155">
        <v>25225.000000000004</v>
      </c>
      <c r="V296" s="137">
        <v>231719.34507808808</v>
      </c>
      <c r="W296" s="137">
        <v>259000</v>
      </c>
      <c r="X296" s="137">
        <v>3592.3576575519778</v>
      </c>
      <c r="Y296" s="137">
        <v>28646.096371683623</v>
      </c>
      <c r="Z296" s="137">
        <v>250000.00103749998</v>
      </c>
      <c r="AA296" s="137">
        <v>250000.00103749998</v>
      </c>
      <c r="AB296" s="137">
        <v>4.1666666666666664E-2</v>
      </c>
      <c r="AC296" s="155">
        <v>0</v>
      </c>
      <c r="AD296" s="34">
        <v>0</v>
      </c>
      <c r="AE296" s="34">
        <v>0</v>
      </c>
      <c r="AF296" s="34">
        <v>0</v>
      </c>
      <c r="AG296" s="34">
        <v>0</v>
      </c>
      <c r="AH296" s="34">
        <v>0.14241259296539058</v>
      </c>
      <c r="AI296" s="155">
        <v>218048.36203450948</v>
      </c>
      <c r="AJ296" s="137">
        <v>21632.642342448027</v>
      </c>
      <c r="AK296" s="137">
        <v>9.9210295095105233E-2</v>
      </c>
      <c r="AL296" s="155" t="s">
        <v>1064</v>
      </c>
    </row>
    <row r="297" spans="1:38" x14ac:dyDescent="0.3">
      <c r="A297" s="34" t="s">
        <v>1061</v>
      </c>
      <c r="B297" s="137"/>
      <c r="C297" s="152">
        <v>46395</v>
      </c>
      <c r="D297" s="153">
        <v>192</v>
      </c>
      <c r="E297" s="34"/>
      <c r="F297" s="34" t="s">
        <v>1325</v>
      </c>
      <c r="G297" s="34">
        <v>0</v>
      </c>
      <c r="H297" s="137">
        <v>301000000</v>
      </c>
      <c r="I297" s="137">
        <v>20180000</v>
      </c>
      <c r="J297" s="137">
        <v>250000</v>
      </c>
      <c r="K297" s="137">
        <v>250000</v>
      </c>
      <c r="L297" s="137">
        <v>250000</v>
      </c>
      <c r="M297" s="137"/>
      <c r="N297" s="34">
        <v>0</v>
      </c>
      <c r="O297" s="34">
        <v>103.1</v>
      </c>
      <c r="P297" s="154">
        <v>0.1009</v>
      </c>
      <c r="Q297" s="155">
        <v>1.25E-3</v>
      </c>
      <c r="R297" s="155">
        <v>6.2344139999999999E-2</v>
      </c>
      <c r="S297" s="155">
        <v>0</v>
      </c>
      <c r="T297" s="34">
        <v>8.4681469999999995E-2</v>
      </c>
      <c r="U297" s="155">
        <v>25225.000000000004</v>
      </c>
      <c r="V297" s="137">
        <v>231719.34507808808</v>
      </c>
      <c r="W297" s="137">
        <v>257750</v>
      </c>
      <c r="X297" s="137">
        <v>3592.3576575519778</v>
      </c>
      <c r="Y297" s="137">
        <v>28646.096371683623</v>
      </c>
      <c r="Z297" s="137">
        <v>250000.00103749998</v>
      </c>
      <c r="AA297" s="137">
        <v>250000.00103749998</v>
      </c>
      <c r="AB297" s="137">
        <v>4.1666666666666664E-2</v>
      </c>
      <c r="AC297" s="155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0.14241259296539058</v>
      </c>
      <c r="AI297" s="155">
        <v>218048.36203450948</v>
      </c>
      <c r="AJ297" s="137">
        <v>21632.642342448027</v>
      </c>
      <c r="AK297" s="137">
        <v>9.9210295095105233E-2</v>
      </c>
      <c r="AL297" s="155" t="s">
        <v>1064</v>
      </c>
    </row>
    <row r="298" spans="1:38" x14ac:dyDescent="0.3">
      <c r="A298" s="34" t="s">
        <v>1114</v>
      </c>
      <c r="B298" s="137"/>
      <c r="C298" s="152">
        <v>46849</v>
      </c>
      <c r="D298" s="153">
        <v>646</v>
      </c>
      <c r="E298" s="34"/>
      <c r="F298" s="34" t="s">
        <v>1325</v>
      </c>
      <c r="G298" s="34">
        <v>0</v>
      </c>
      <c r="H298" s="137">
        <v>300000000</v>
      </c>
      <c r="I298" s="137">
        <v>17920000</v>
      </c>
      <c r="J298" s="137">
        <v>250000</v>
      </c>
      <c r="K298" s="137">
        <v>250000</v>
      </c>
      <c r="L298" s="137">
        <v>250000</v>
      </c>
      <c r="M298" s="137"/>
      <c r="N298" s="34">
        <v>0</v>
      </c>
      <c r="O298" s="34">
        <v>100.65</v>
      </c>
      <c r="P298" s="154">
        <v>8.9599999999999999E-2</v>
      </c>
      <c r="Q298" s="155">
        <v>1.25E-3</v>
      </c>
      <c r="R298" s="155">
        <v>5.1341879999999999E-2</v>
      </c>
      <c r="S298" s="155">
        <v>0</v>
      </c>
      <c r="T298" s="34">
        <v>9.0424110000000002E-2</v>
      </c>
      <c r="U298" s="155">
        <v>22400</v>
      </c>
      <c r="V298" s="137">
        <v>103534.37975686407</v>
      </c>
      <c r="W298" s="137">
        <v>251625</v>
      </c>
      <c r="X298" s="137">
        <v>2970.2306110109021</v>
      </c>
      <c r="Y298" s="137">
        <v>25886.92579951205</v>
      </c>
      <c r="Z298" s="137">
        <v>212102.31331062448</v>
      </c>
      <c r="AA298" s="137">
        <v>250000.00125</v>
      </c>
      <c r="AB298" s="137">
        <v>4.1666666666666664E-2</v>
      </c>
      <c r="AC298" s="155">
        <v>0</v>
      </c>
      <c r="AD298" s="34">
        <v>0</v>
      </c>
      <c r="AE298" s="34">
        <v>0</v>
      </c>
      <c r="AF298" s="34">
        <v>0</v>
      </c>
      <c r="AG298" s="34">
        <v>0</v>
      </c>
      <c r="AH298" s="34">
        <v>0.13259958084870099</v>
      </c>
      <c r="AI298" s="155">
        <v>73396.866118346283</v>
      </c>
      <c r="AJ298" s="137">
        <v>19429.769388989098</v>
      </c>
      <c r="AK298" s="137">
        <v>0.26472205717421537</v>
      </c>
      <c r="AL298" s="155" t="s">
        <v>1117</v>
      </c>
    </row>
    <row r="299" spans="1:38" x14ac:dyDescent="0.3">
      <c r="A299" s="34" t="s">
        <v>373</v>
      </c>
      <c r="B299" s="137"/>
      <c r="C299" s="152">
        <v>46575</v>
      </c>
      <c r="D299" s="153">
        <v>372</v>
      </c>
      <c r="E299" s="34"/>
      <c r="F299" s="34" t="s">
        <v>1325</v>
      </c>
      <c r="G299" s="34">
        <v>200000000</v>
      </c>
      <c r="H299" s="137">
        <v>200000000</v>
      </c>
      <c r="I299" s="137">
        <v>20049718.5</v>
      </c>
      <c r="J299" s="137">
        <v>250000.5</v>
      </c>
      <c r="K299" s="137">
        <v>250000.5</v>
      </c>
      <c r="L299" s="137">
        <v>250000</v>
      </c>
      <c r="M299" s="137"/>
      <c r="N299" s="34">
        <v>0</v>
      </c>
      <c r="O299" s="34">
        <v>100.1</v>
      </c>
      <c r="P299" s="154">
        <v>0.13366479000000001</v>
      </c>
      <c r="Q299" s="155">
        <v>1.6666700000000001E-3</v>
      </c>
      <c r="R299" s="155">
        <v>9.4942250000000006E-2</v>
      </c>
      <c r="S299" s="155">
        <v>0</v>
      </c>
      <c r="T299" s="34">
        <v>0.13305328999999999</v>
      </c>
      <c r="U299" s="155">
        <v>33416.264332395003</v>
      </c>
      <c r="V299" s="137">
        <v>154950.11293960756</v>
      </c>
      <c r="W299" s="137">
        <v>250250.50049999997</v>
      </c>
      <c r="X299" s="137">
        <v>4186.0910556376448</v>
      </c>
      <c r="Y299" s="137">
        <v>28308.701808495505</v>
      </c>
      <c r="Z299" s="137">
        <v>209612.74096868146</v>
      </c>
      <c r="AA299" s="137">
        <v>250000.5</v>
      </c>
      <c r="AB299" s="137">
        <v>4.1666750000000002E-2</v>
      </c>
      <c r="AC299" s="155">
        <v>0</v>
      </c>
      <c r="AD299" s="34">
        <v>0</v>
      </c>
      <c r="AE299" s="34">
        <v>0</v>
      </c>
      <c r="AF299" s="34">
        <v>0</v>
      </c>
      <c r="AG299" s="34">
        <v>0</v>
      </c>
      <c r="AH299" s="34">
        <v>0.12527106602934932</v>
      </c>
      <c r="AI299" s="155">
        <v>61687.520553696129</v>
      </c>
      <c r="AJ299" s="137">
        <v>29230.173276757359</v>
      </c>
      <c r="AK299" s="137">
        <v>0.47384257001079899</v>
      </c>
      <c r="AL299" s="155" t="s">
        <v>375</v>
      </c>
    </row>
    <row r="300" spans="1:38" x14ac:dyDescent="0.3">
      <c r="A300" s="137" t="s">
        <v>895</v>
      </c>
      <c r="B300" s="137"/>
      <c r="C300" s="152">
        <v>46762</v>
      </c>
      <c r="D300" s="152">
        <v>559</v>
      </c>
      <c r="E300" s="137"/>
      <c r="F300" s="137" t="s">
        <v>1325</v>
      </c>
      <c r="G300" s="154">
        <v>0</v>
      </c>
      <c r="H300" s="137">
        <v>100000000</v>
      </c>
      <c r="I300" s="137">
        <v>7310000</v>
      </c>
      <c r="J300" s="137">
        <v>250000</v>
      </c>
      <c r="K300" s="137">
        <v>250000</v>
      </c>
      <c r="L300" s="137">
        <v>250000</v>
      </c>
      <c r="M300" s="137"/>
      <c r="N300" s="137">
        <v>0</v>
      </c>
      <c r="O300" s="137">
        <v>101.6</v>
      </c>
      <c r="P300" s="137">
        <v>7.3099999999999998E-2</v>
      </c>
      <c r="Q300" s="137">
        <v>2.5000000000000001E-3</v>
      </c>
      <c r="R300" s="180">
        <v>3.4997439999999998E-2</v>
      </c>
      <c r="S300" s="180">
        <v>0</v>
      </c>
      <c r="T300" s="137">
        <v>6.9968119999999995E-2</v>
      </c>
      <c r="U300" s="180">
        <v>18275</v>
      </c>
      <c r="V300" s="137">
        <v>0</v>
      </c>
      <c r="W300" s="137">
        <v>254000</v>
      </c>
      <c r="X300" s="137">
        <v>2306.25</v>
      </c>
      <c r="Y300" s="137">
        <v>22853.282055047777</v>
      </c>
      <c r="Z300" s="137">
        <v>62500</v>
      </c>
      <c r="AA300" s="137">
        <v>250000</v>
      </c>
      <c r="AB300" s="137">
        <v>4.1666666666666664E-2</v>
      </c>
      <c r="AC300" s="137">
        <v>0</v>
      </c>
      <c r="AD300" s="137">
        <v>0</v>
      </c>
      <c r="AE300" s="137">
        <v>0</v>
      </c>
      <c r="AF300" s="137">
        <v>0</v>
      </c>
      <c r="AG300" s="137">
        <v>0</v>
      </c>
      <c r="AH300" s="166">
        <v>0.12619699042407662</v>
      </c>
      <c r="AI300" s="155">
        <v>4062.5</v>
      </c>
      <c r="AJ300" s="137">
        <v>15968.75</v>
      </c>
      <c r="AK300" s="137">
        <v>3.9307692307692306</v>
      </c>
      <c r="AL300" s="180" t="s">
        <v>898</v>
      </c>
    </row>
    <row r="301" spans="1:38" x14ac:dyDescent="0.3">
      <c r="A301" s="137" t="s">
        <v>1120</v>
      </c>
      <c r="B301" s="137"/>
      <c r="C301" s="152">
        <v>46850</v>
      </c>
      <c r="D301" s="152">
        <v>647</v>
      </c>
      <c r="E301" s="137"/>
      <c r="F301" s="137" t="s">
        <v>1325</v>
      </c>
      <c r="G301" s="154">
        <v>5000000</v>
      </c>
      <c r="H301" s="137">
        <v>5000000</v>
      </c>
      <c r="I301" s="137">
        <v>3142943.6999999997</v>
      </c>
      <c r="J301" s="137">
        <v>249999.9</v>
      </c>
      <c r="K301" s="137">
        <v>249999.9</v>
      </c>
      <c r="L301" s="137">
        <v>250000</v>
      </c>
      <c r="M301" s="137"/>
      <c r="N301" s="137">
        <v>0</v>
      </c>
      <c r="O301" s="137">
        <v>100.2</v>
      </c>
      <c r="P301" s="137">
        <v>0.10476479</v>
      </c>
      <c r="Q301" s="137">
        <v>8.3333299999999999E-3</v>
      </c>
      <c r="R301" s="180">
        <v>6.6102750000000002E-2</v>
      </c>
      <c r="S301" s="180">
        <v>0</v>
      </c>
      <c r="T301" s="137">
        <v>0.10367698</v>
      </c>
      <c r="U301" s="180">
        <v>26191.187023521001</v>
      </c>
      <c r="V301" s="137">
        <v>199999.92</v>
      </c>
      <c r="W301" s="137">
        <v>250499.89980000001</v>
      </c>
      <c r="X301" s="137">
        <v>7224.1725552252974</v>
      </c>
      <c r="Y301" s="137">
        <v>40913.053250054196</v>
      </c>
      <c r="Z301" s="137">
        <v>249999.9</v>
      </c>
      <c r="AA301" s="137">
        <v>249999.90000000005</v>
      </c>
      <c r="AB301" s="137">
        <v>4.166665E-2</v>
      </c>
      <c r="AC301" s="137">
        <v>0</v>
      </c>
      <c r="AD301" s="137">
        <v>0</v>
      </c>
      <c r="AE301" s="137">
        <v>0</v>
      </c>
      <c r="AF301" s="137">
        <v>0</v>
      </c>
      <c r="AG301" s="137">
        <v>0</v>
      </c>
      <c r="AH301" s="166">
        <v>0.27582455689150814</v>
      </c>
      <c r="AI301" s="155">
        <v>80373.986777222919</v>
      </c>
      <c r="AJ301" s="137">
        <v>18967.014468295703</v>
      </c>
      <c r="AK301" s="137">
        <v>0.23598449235655861</v>
      </c>
      <c r="AL301" s="180" t="s">
        <v>1121</v>
      </c>
    </row>
    <row r="302" spans="1:38" x14ac:dyDescent="0.3">
      <c r="A302" s="137" t="s">
        <v>711</v>
      </c>
      <c r="B302" s="137"/>
      <c r="C302" s="152">
        <v>47212</v>
      </c>
      <c r="D302" s="152">
        <v>1009</v>
      </c>
      <c r="E302" s="137"/>
      <c r="F302" s="137" t="s">
        <v>1325</v>
      </c>
      <c r="G302" s="154">
        <v>0</v>
      </c>
      <c r="H302" s="137">
        <v>150000000</v>
      </c>
      <c r="I302" s="137">
        <v>9324720</v>
      </c>
      <c r="J302" s="137">
        <v>250000.5</v>
      </c>
      <c r="K302" s="137">
        <v>250000.5</v>
      </c>
      <c r="L302" s="137">
        <v>250000</v>
      </c>
      <c r="M302" s="137"/>
      <c r="N302" s="137">
        <v>0</v>
      </c>
      <c r="O302" s="137">
        <v>101</v>
      </c>
      <c r="P302" s="137">
        <v>6.2164799999999999E-2</v>
      </c>
      <c r="Q302" s="137">
        <v>1.6666700000000001E-3</v>
      </c>
      <c r="R302" s="180">
        <v>2.3430280000000001E-2</v>
      </c>
      <c r="S302" s="180">
        <v>0</v>
      </c>
      <c r="T302" s="137">
        <v>5.6722120000000001E-2</v>
      </c>
      <c r="U302" s="180">
        <v>15541.2310824</v>
      </c>
      <c r="V302" s="137">
        <v>0</v>
      </c>
      <c r="W302" s="137">
        <v>252500.505</v>
      </c>
      <c r="X302" s="137">
        <v>1971.5092803013679</v>
      </c>
      <c r="Y302" s="137">
        <v>22005.247728234022</v>
      </c>
      <c r="Z302" s="137">
        <v>0</v>
      </c>
      <c r="AA302" s="137">
        <v>250000.5</v>
      </c>
      <c r="AB302" s="137">
        <v>4.1666750000000002E-2</v>
      </c>
      <c r="AC302" s="137">
        <v>0</v>
      </c>
      <c r="AD302" s="137">
        <v>0</v>
      </c>
      <c r="AE302" s="137">
        <v>0</v>
      </c>
      <c r="AF302" s="137">
        <v>0</v>
      </c>
      <c r="AG302" s="137">
        <v>0</v>
      </c>
      <c r="AH302" s="166">
        <v>0.12685669943702502</v>
      </c>
      <c r="AI302" s="155">
        <v>5000.0100000000011</v>
      </c>
      <c r="AJ302" s="137">
        <v>13569.721802098631</v>
      </c>
      <c r="AK302" s="137">
        <v>2.7139389325418604</v>
      </c>
      <c r="AL302" s="180" t="s">
        <v>714</v>
      </c>
    </row>
    <row r="303" spans="1:38" x14ac:dyDescent="0.3">
      <c r="A303" s="137" t="s">
        <v>695</v>
      </c>
      <c r="B303" s="137"/>
      <c r="C303" s="152">
        <v>46545</v>
      </c>
      <c r="D303" s="152">
        <v>342</v>
      </c>
      <c r="E303" s="137"/>
      <c r="F303" s="137" t="s">
        <v>1325</v>
      </c>
      <c r="G303" s="154">
        <v>0</v>
      </c>
      <c r="H303" s="137">
        <v>300000000</v>
      </c>
      <c r="I303" s="137">
        <v>27228600</v>
      </c>
      <c r="J303" s="137">
        <v>250000.80000000002</v>
      </c>
      <c r="K303" s="137">
        <v>250000.80000000002</v>
      </c>
      <c r="L303" s="137">
        <v>250000</v>
      </c>
      <c r="M303" s="137"/>
      <c r="N303" s="137">
        <v>0</v>
      </c>
      <c r="O303" s="137">
        <v>102.6</v>
      </c>
      <c r="P303" s="137">
        <v>0.12966</v>
      </c>
      <c r="Q303" s="137">
        <v>1.1904800000000001E-3</v>
      </c>
      <c r="R303" s="180">
        <v>9.1247229999999999E-2</v>
      </c>
      <c r="S303" s="180">
        <v>0</v>
      </c>
      <c r="T303" s="137">
        <v>0.11921872999999999</v>
      </c>
      <c r="U303" s="180">
        <v>32415.103728000002</v>
      </c>
      <c r="V303" s="137">
        <v>100000.32000000001</v>
      </c>
      <c r="W303" s="137">
        <v>256500.82080000002</v>
      </c>
      <c r="X303" s="137">
        <v>4326.6511753483446</v>
      </c>
      <c r="Y303" s="137">
        <v>31900.149926613605</v>
      </c>
      <c r="Z303" s="137">
        <v>250000.80000000002</v>
      </c>
      <c r="AA303" s="137">
        <v>250000.80000000002</v>
      </c>
      <c r="AB303" s="137">
        <v>4.1666800000000004E-2</v>
      </c>
      <c r="AC303" s="137">
        <v>0</v>
      </c>
      <c r="AD303" s="137">
        <v>0</v>
      </c>
      <c r="AE303" s="137">
        <v>0</v>
      </c>
      <c r="AF303" s="137">
        <v>0</v>
      </c>
      <c r="AG303" s="137">
        <v>0</v>
      </c>
      <c r="AH303" s="166">
        <v>0.13347639457377411</v>
      </c>
      <c r="AI303" s="155">
        <v>52500.167999999983</v>
      </c>
      <c r="AJ303" s="137">
        <v>28088.452552651659</v>
      </c>
      <c r="AK303" s="137">
        <v>0.53501643180744995</v>
      </c>
      <c r="AL303" s="180" t="s">
        <v>697</v>
      </c>
    </row>
    <row r="304" spans="1:38" x14ac:dyDescent="0.3">
      <c r="A304" s="137" t="s">
        <v>418</v>
      </c>
      <c r="B304" s="137"/>
      <c r="C304" s="152">
        <v>46484</v>
      </c>
      <c r="D304" s="152">
        <v>281</v>
      </c>
      <c r="E304" s="137"/>
      <c r="F304" s="137" t="s">
        <v>1325</v>
      </c>
      <c r="G304" s="154">
        <v>0</v>
      </c>
      <c r="H304" s="137">
        <v>750000000</v>
      </c>
      <c r="I304" s="137">
        <v>9300000</v>
      </c>
      <c r="J304" s="137">
        <v>250000</v>
      </c>
      <c r="K304" s="137">
        <v>250000</v>
      </c>
      <c r="L304" s="137">
        <v>250000</v>
      </c>
      <c r="M304" s="137"/>
      <c r="N304" s="137">
        <v>0</v>
      </c>
      <c r="O304" s="137">
        <v>102.6</v>
      </c>
      <c r="P304" s="137">
        <v>9.2999999999999999E-2</v>
      </c>
      <c r="Q304" s="137">
        <v>2.5000000000000001E-3</v>
      </c>
      <c r="R304" s="180">
        <v>5.4591849999999997E-2</v>
      </c>
      <c r="S304" s="180">
        <v>0</v>
      </c>
      <c r="T304" s="137">
        <v>8.2214540000000003E-2</v>
      </c>
      <c r="U304" s="180">
        <v>23250</v>
      </c>
      <c r="V304" s="137">
        <v>174999.99562499998</v>
      </c>
      <c r="W304" s="137">
        <v>256500</v>
      </c>
      <c r="X304" s="137">
        <v>2599.5734973763851</v>
      </c>
      <c r="Y304" s="137">
        <v>24816.248146518767</v>
      </c>
      <c r="Z304" s="137">
        <v>179115.24229819802</v>
      </c>
      <c r="AA304" s="137">
        <v>249999.99375000005</v>
      </c>
      <c r="AB304" s="137">
        <v>4.1666666666666664E-2</v>
      </c>
      <c r="AC304" s="137">
        <v>0</v>
      </c>
      <c r="AD304" s="137">
        <v>0</v>
      </c>
      <c r="AE304" s="137">
        <v>0</v>
      </c>
      <c r="AF304" s="137">
        <v>0</v>
      </c>
      <c r="AG304" s="137">
        <v>0</v>
      </c>
      <c r="AH304" s="166">
        <v>0.11180961279038215</v>
      </c>
      <c r="AI304" s="155">
        <v>125874.28822397692</v>
      </c>
      <c r="AJ304" s="137">
        <v>20650.426502623613</v>
      </c>
      <c r="AK304" s="137">
        <v>0.16405595450819047</v>
      </c>
      <c r="AL304" s="180" t="s">
        <v>419</v>
      </c>
    </row>
    <row r="305" spans="1:86" x14ac:dyDescent="0.3">
      <c r="A305" s="137" t="s">
        <v>856</v>
      </c>
      <c r="B305" s="137"/>
      <c r="C305" s="152">
        <v>46119</v>
      </c>
      <c r="D305" s="152">
        <v>-84</v>
      </c>
      <c r="E305" s="137"/>
      <c r="F305" s="137" t="s">
        <v>1325</v>
      </c>
      <c r="G305" s="154">
        <v>0</v>
      </c>
      <c r="H305" s="137">
        <v>100000000</v>
      </c>
      <c r="I305" s="137">
        <v>7992000.0000000019</v>
      </c>
      <c r="J305" s="137">
        <v>249999.60000000003</v>
      </c>
      <c r="K305" s="137">
        <v>249999.60000000003</v>
      </c>
      <c r="L305" s="137">
        <v>250000</v>
      </c>
      <c r="M305" s="137"/>
      <c r="N305" s="137">
        <v>0</v>
      </c>
      <c r="O305" s="137">
        <v>101</v>
      </c>
      <c r="P305" s="137">
        <v>6.6600000000000006E-2</v>
      </c>
      <c r="Q305" s="137">
        <v>2.08333E-3</v>
      </c>
      <c r="R305" s="180">
        <v>2.8000799999999999E-2</v>
      </c>
      <c r="S305" s="180">
        <v>0</v>
      </c>
      <c r="T305" s="137">
        <v>5.962858E-2</v>
      </c>
      <c r="U305" s="180">
        <v>16649.973360000004</v>
      </c>
      <c r="V305" s="137">
        <v>0</v>
      </c>
      <c r="W305" s="137">
        <v>252499.59600000005</v>
      </c>
      <c r="X305" s="137">
        <v>3783.1094999501302</v>
      </c>
      <c r="Y305" s="137">
        <v>30259.525223829878</v>
      </c>
      <c r="Z305" s="137">
        <v>249999.6</v>
      </c>
      <c r="AA305" s="137">
        <v>249999.60000000003</v>
      </c>
      <c r="AB305" s="137">
        <v>4.1666600000000005E-2</v>
      </c>
      <c r="AC305" s="137">
        <v>0</v>
      </c>
      <c r="AD305" s="137">
        <v>0</v>
      </c>
      <c r="AE305" s="137">
        <v>0</v>
      </c>
      <c r="AF305" s="137">
        <v>0</v>
      </c>
      <c r="AG305" s="137">
        <v>0</v>
      </c>
      <c r="AH305" s="166">
        <v>0.22721414732342426</v>
      </c>
      <c r="AI305" s="155">
        <v>7499.9880000000003</v>
      </c>
      <c r="AJ305" s="137">
        <v>12866.863860049874</v>
      </c>
      <c r="AK305" s="137">
        <v>1.7155845929419986</v>
      </c>
      <c r="AL305" s="180" t="s">
        <v>858</v>
      </c>
    </row>
    <row r="306" spans="1:86" x14ac:dyDescent="0.3">
      <c r="A306" s="137" t="s">
        <v>1028</v>
      </c>
      <c r="B306" s="137"/>
      <c r="C306" s="152">
        <v>46363</v>
      </c>
      <c r="D306" s="152">
        <v>160</v>
      </c>
      <c r="E306" s="137"/>
      <c r="F306" s="137" t="s">
        <v>1325</v>
      </c>
      <c r="G306" s="154">
        <v>0</v>
      </c>
      <c r="H306" s="137">
        <v>1000000000</v>
      </c>
      <c r="I306" s="137">
        <v>27960000</v>
      </c>
      <c r="J306" s="137">
        <v>249999</v>
      </c>
      <c r="K306" s="137">
        <v>249999</v>
      </c>
      <c r="L306" s="137">
        <v>250000</v>
      </c>
      <c r="M306" s="137"/>
      <c r="N306" s="137">
        <v>0</v>
      </c>
      <c r="O306" s="137">
        <v>103.95</v>
      </c>
      <c r="P306" s="137">
        <v>9.3200000000000005E-2</v>
      </c>
      <c r="Q306" s="137">
        <v>8.3332999999999996E-4</v>
      </c>
      <c r="R306" s="180">
        <v>5.500062E-2</v>
      </c>
      <c r="S306" s="180">
        <v>0</v>
      </c>
      <c r="T306" s="137">
        <v>7.1253140000000006E-2</v>
      </c>
      <c r="U306" s="180">
        <v>23299.906800000001</v>
      </c>
      <c r="V306" s="137">
        <v>24999.899999999994</v>
      </c>
      <c r="W306" s="137">
        <v>259873.96050000002</v>
      </c>
      <c r="X306" s="137">
        <v>2019.6864694769981</v>
      </c>
      <c r="Y306" s="137">
        <v>22128.200213811611</v>
      </c>
      <c r="Z306" s="137">
        <v>0</v>
      </c>
      <c r="AA306" s="137">
        <v>249999</v>
      </c>
      <c r="AB306" s="137">
        <v>4.1666500000000002E-2</v>
      </c>
      <c r="AC306" s="137">
        <v>0</v>
      </c>
      <c r="AD306" s="137">
        <v>0</v>
      </c>
      <c r="AE306" s="137">
        <v>0</v>
      </c>
      <c r="AF306" s="137">
        <v>0</v>
      </c>
      <c r="AG306" s="137">
        <v>0</v>
      </c>
      <c r="AH306" s="166">
        <v>8.6682169453012492E-2</v>
      </c>
      <c r="AI306" s="155">
        <v>54999.78</v>
      </c>
      <c r="AJ306" s="137">
        <v>21280.220330523003</v>
      </c>
      <c r="AK306" s="137">
        <v>0.38691464457717839</v>
      </c>
      <c r="AL306" s="180" t="s">
        <v>1029</v>
      </c>
    </row>
    <row r="307" spans="1:86" x14ac:dyDescent="0.3">
      <c r="A307" s="137" t="s">
        <v>625</v>
      </c>
      <c r="B307" s="137"/>
      <c r="C307" s="152">
        <v>46820</v>
      </c>
      <c r="D307" s="152">
        <v>617</v>
      </c>
      <c r="E307" s="137"/>
      <c r="F307" s="137" t="s">
        <v>1325</v>
      </c>
      <c r="G307" s="154">
        <v>0</v>
      </c>
      <c r="H307" s="137">
        <v>300000000</v>
      </c>
      <c r="I307" s="137">
        <v>22052142</v>
      </c>
      <c r="J307" s="137">
        <v>249999</v>
      </c>
      <c r="K307" s="137">
        <v>249999</v>
      </c>
      <c r="L307" s="137">
        <v>250000</v>
      </c>
      <c r="M307" s="137"/>
      <c r="N307" s="137">
        <v>0</v>
      </c>
      <c r="O307" s="137">
        <v>100.25</v>
      </c>
      <c r="P307" s="137">
        <v>7.3507139999999999E-2</v>
      </c>
      <c r="Q307" s="137">
        <v>8.3332999999999996E-4</v>
      </c>
      <c r="R307" s="180">
        <v>3.496664E-2</v>
      </c>
      <c r="S307" s="180">
        <v>0</v>
      </c>
      <c r="T307" s="137">
        <v>7.558753E-2</v>
      </c>
      <c r="U307" s="180">
        <v>18376.711492859999</v>
      </c>
      <c r="V307" s="137">
        <v>24999.9</v>
      </c>
      <c r="W307" s="137">
        <v>250623.9975</v>
      </c>
      <c r="X307" s="137">
        <v>2315.9785326221795</v>
      </c>
      <c r="Y307" s="137">
        <v>23132.702715101099</v>
      </c>
      <c r="Z307" s="137">
        <v>101536.98720045778</v>
      </c>
      <c r="AA307" s="137">
        <v>249999</v>
      </c>
      <c r="AB307" s="137">
        <v>4.1666500000000002E-2</v>
      </c>
      <c r="AC307" s="137">
        <v>0</v>
      </c>
      <c r="AD307" s="137">
        <v>0</v>
      </c>
      <c r="AE307" s="137">
        <v>0</v>
      </c>
      <c r="AF307" s="137">
        <v>0</v>
      </c>
      <c r="AG307" s="137">
        <v>0</v>
      </c>
      <c r="AH307" s="166">
        <v>0.12602790948326195</v>
      </c>
      <c r="AI307" s="155">
        <v>66924.039019620119</v>
      </c>
      <c r="AJ307" s="137">
        <v>16060.732960237819</v>
      </c>
      <c r="AK307" s="137">
        <v>0.23998451371904339</v>
      </c>
      <c r="AL307" s="180" t="s">
        <v>626</v>
      </c>
    </row>
    <row r="308" spans="1:86" x14ac:dyDescent="0.3">
      <c r="A308" s="137" t="s">
        <v>995</v>
      </c>
      <c r="B308" s="137"/>
      <c r="C308" s="152">
        <v>46804</v>
      </c>
      <c r="D308" s="152">
        <v>601</v>
      </c>
      <c r="E308" s="137"/>
      <c r="F308" s="137" t="s">
        <v>1325</v>
      </c>
      <c r="G308" s="154">
        <v>0</v>
      </c>
      <c r="H308" s="137">
        <v>200000000</v>
      </c>
      <c r="I308" s="137">
        <v>18060000</v>
      </c>
      <c r="J308" s="137">
        <v>249999.75000000003</v>
      </c>
      <c r="K308" s="137">
        <v>249999.75000000003</v>
      </c>
      <c r="L308" s="137">
        <v>250000</v>
      </c>
      <c r="M308" s="137"/>
      <c r="N308" s="137">
        <v>0</v>
      </c>
      <c r="O308" s="137">
        <v>99.85</v>
      </c>
      <c r="P308" s="137">
        <v>0.1032</v>
      </c>
      <c r="Q308" s="137">
        <v>1.4285700000000001E-3</v>
      </c>
      <c r="R308" s="180">
        <v>6.497E-2</v>
      </c>
      <c r="S308" s="180">
        <v>0</v>
      </c>
      <c r="T308" s="137">
        <v>0.10708301000000001</v>
      </c>
      <c r="U308" s="180">
        <v>25799.974200000001</v>
      </c>
      <c r="V308" s="137">
        <v>57488.84287078277</v>
      </c>
      <c r="W308" s="137">
        <v>249624.750375</v>
      </c>
      <c r="X308" s="137">
        <v>3909.5974537345605</v>
      </c>
      <c r="Y308" s="137">
        <v>30579.134360205946</v>
      </c>
      <c r="Z308" s="137">
        <v>249999.75000000003</v>
      </c>
      <c r="AA308" s="137">
        <v>249999.75000000003</v>
      </c>
      <c r="AB308" s="137">
        <v>4.1666625000000006E-2</v>
      </c>
      <c r="AC308" s="137">
        <v>0</v>
      </c>
      <c r="AD308" s="137">
        <v>0</v>
      </c>
      <c r="AE308" s="137">
        <v>0</v>
      </c>
      <c r="AF308" s="137">
        <v>0</v>
      </c>
      <c r="AG308" s="137">
        <v>0</v>
      </c>
      <c r="AH308" s="166">
        <v>0.15153493656340788</v>
      </c>
      <c r="AI308" s="155">
        <v>45748.844287078282</v>
      </c>
      <c r="AJ308" s="137">
        <v>21890.37674626544</v>
      </c>
      <c r="AK308" s="137">
        <v>0.47849026762077912</v>
      </c>
      <c r="AL308" s="180" t="s">
        <v>996</v>
      </c>
    </row>
    <row r="309" spans="1:86" x14ac:dyDescent="0.3">
      <c r="A309" s="137" t="s">
        <v>1099</v>
      </c>
      <c r="B309" s="137"/>
      <c r="C309" s="152">
        <v>46241</v>
      </c>
      <c r="D309" s="152">
        <v>38</v>
      </c>
      <c r="E309" s="137"/>
      <c r="F309" s="137" t="s">
        <v>1325</v>
      </c>
      <c r="G309" s="154">
        <v>0</v>
      </c>
      <c r="H309" s="137">
        <v>300000000</v>
      </c>
      <c r="I309" s="137">
        <v>10040000</v>
      </c>
      <c r="J309" s="137">
        <v>250000</v>
      </c>
      <c r="K309" s="137">
        <v>250000</v>
      </c>
      <c r="L309" s="137">
        <v>250000</v>
      </c>
      <c r="M309" s="137"/>
      <c r="N309" s="137">
        <v>0</v>
      </c>
      <c r="O309" s="137">
        <v>101.95</v>
      </c>
      <c r="P309" s="137">
        <v>0.1004</v>
      </c>
      <c r="Q309" s="137">
        <v>2.5000000000000001E-3</v>
      </c>
      <c r="R309" s="180">
        <v>6.1561049999999999E-2</v>
      </c>
      <c r="S309" s="180">
        <v>0</v>
      </c>
      <c r="T309" s="137">
        <v>8.6950429999999995E-2</v>
      </c>
      <c r="U309" s="180">
        <v>25100.000000000004</v>
      </c>
      <c r="V309" s="137">
        <v>26124.122320711173</v>
      </c>
      <c r="W309" s="137">
        <v>254875</v>
      </c>
      <c r="X309" s="137">
        <v>962.19950362076725</v>
      </c>
      <c r="Y309" s="137">
        <v>13617.280628733683</v>
      </c>
      <c r="Z309" s="137">
        <v>0</v>
      </c>
      <c r="AA309" s="137">
        <v>233793.04499264315</v>
      </c>
      <c r="AB309" s="137">
        <v>4.1666666666666664E-2</v>
      </c>
      <c r="AC309" s="137">
        <v>0</v>
      </c>
      <c r="AD309" s="137">
        <v>0</v>
      </c>
      <c r="AE309" s="137">
        <v>0</v>
      </c>
      <c r="AF309" s="137">
        <v>0</v>
      </c>
      <c r="AG309" s="137">
        <v>0</v>
      </c>
      <c r="AH309" s="166">
        <v>3.8334641578516619E-2</v>
      </c>
      <c r="AI309" s="155">
        <v>24883.360704355491</v>
      </c>
      <c r="AJ309" s="137">
        <v>24137.800496379237</v>
      </c>
      <c r="AK309" s="137">
        <v>0.97003780088893887</v>
      </c>
      <c r="AL309" s="180" t="s">
        <v>1100</v>
      </c>
    </row>
    <row r="313" spans="1:86" x14ac:dyDescent="0.3">
      <c r="A313" s="134" t="s">
        <v>1753</v>
      </c>
      <c r="B313" s="134" t="s">
        <v>1585</v>
      </c>
      <c r="C313" s="134" t="s">
        <v>1315</v>
      </c>
      <c r="D313" s="134" t="s">
        <v>14</v>
      </c>
      <c r="E313" s="134" t="s">
        <v>13</v>
      </c>
      <c r="F313" s="134" t="s">
        <v>1316</v>
      </c>
      <c r="G313" s="134" t="s">
        <v>1442</v>
      </c>
      <c r="H313" s="134" t="s">
        <v>1572</v>
      </c>
      <c r="I313" s="134" t="s">
        <v>1754</v>
      </c>
      <c r="J313" s="134" t="s">
        <v>1317</v>
      </c>
      <c r="K313" s="134" t="s">
        <v>1755</v>
      </c>
      <c r="L313" s="134" t="s">
        <v>1323</v>
      </c>
      <c r="M313" s="134" t="s">
        <v>1324</v>
      </c>
      <c r="N313" s="134" t="s">
        <v>1320</v>
      </c>
      <c r="O313" s="134" t="s">
        <v>1756</v>
      </c>
      <c r="P313" s="134" t="s">
        <v>1389</v>
      </c>
      <c r="Q313" s="134" t="s">
        <v>1757</v>
      </c>
      <c r="R313" s="134" t="s">
        <v>1758</v>
      </c>
      <c r="S313" s="134" t="s">
        <v>1318</v>
      </c>
      <c r="T313" s="134" t="s">
        <v>1392</v>
      </c>
      <c r="U313" s="134" t="s">
        <v>1759</v>
      </c>
      <c r="V313" s="134" t="s">
        <v>1760</v>
      </c>
      <c r="W313" s="134" t="s">
        <v>1761</v>
      </c>
      <c r="X313" s="134" t="s">
        <v>1762</v>
      </c>
      <c r="Y313" s="156" t="s">
        <v>1763</v>
      </c>
      <c r="Z313" s="156" t="s">
        <v>1764</v>
      </c>
      <c r="AA313" s="156" t="s">
        <v>1765</v>
      </c>
      <c r="AB313" s="156" t="s">
        <v>1766</v>
      </c>
      <c r="AC313" s="134" t="s">
        <v>1767</v>
      </c>
      <c r="AD313" s="157" t="s">
        <v>1768</v>
      </c>
      <c r="AE313" s="156" t="s">
        <v>1769</v>
      </c>
      <c r="AF313" s="156" t="s">
        <v>1770</v>
      </c>
      <c r="AG313" s="156" t="s">
        <v>1321</v>
      </c>
      <c r="AH313" s="156" t="s">
        <v>1427</v>
      </c>
      <c r="AI313" s="156" t="s">
        <v>1771</v>
      </c>
      <c r="AJ313" s="158" t="s">
        <v>1772</v>
      </c>
      <c r="AK313" s="159" t="s">
        <v>1773</v>
      </c>
      <c r="AL313" s="160" t="s">
        <v>1774</v>
      </c>
      <c r="AM313" s="160" t="s">
        <v>1319</v>
      </c>
      <c r="AN313" s="156" t="s">
        <v>1573</v>
      </c>
      <c r="AO313" s="156" t="s">
        <v>1775</v>
      </c>
      <c r="AP313" s="160" t="s">
        <v>1448</v>
      </c>
      <c r="AQ313" s="134" t="s">
        <v>1576</v>
      </c>
      <c r="AR313" s="161" t="s">
        <v>1776</v>
      </c>
      <c r="AS313" s="162" t="s">
        <v>1777</v>
      </c>
      <c r="AT313" s="156" t="s">
        <v>1778</v>
      </c>
      <c r="AU313" s="156" t="s">
        <v>1426</v>
      </c>
      <c r="AV313" s="157" t="s">
        <v>1779</v>
      </c>
      <c r="AW313" s="156" t="s">
        <v>1322</v>
      </c>
      <c r="AX313" s="156" t="s">
        <v>1780</v>
      </c>
      <c r="AY313" s="156" t="s">
        <v>1781</v>
      </c>
      <c r="AZ313" s="156" t="s">
        <v>1782</v>
      </c>
      <c r="BA313" s="156" t="s">
        <v>1783</v>
      </c>
      <c r="BB313" s="163" t="s">
        <v>1784</v>
      </c>
      <c r="BC313" s="163" t="s">
        <v>1785</v>
      </c>
      <c r="BD313" s="156" t="s">
        <v>1786</v>
      </c>
      <c r="BE313" s="163" t="s">
        <v>1787</v>
      </c>
      <c r="BF313" s="163" t="s">
        <v>1788</v>
      </c>
      <c r="BG313" s="156" t="s">
        <v>1789</v>
      </c>
      <c r="BH313" s="163" t="s">
        <v>1790</v>
      </c>
      <c r="BI313" s="163" t="s">
        <v>1791</v>
      </c>
      <c r="BJ313" s="156" t="s">
        <v>1792</v>
      </c>
      <c r="BK313" s="156" t="s">
        <v>1718</v>
      </c>
      <c r="BL313" s="134" t="s">
        <v>1793</v>
      </c>
      <c r="BM313" s="134" t="s">
        <v>1712</v>
      </c>
      <c r="BN313" s="134" t="s">
        <v>1794</v>
      </c>
      <c r="BO313" s="134" t="s">
        <v>1795</v>
      </c>
      <c r="BP313" s="134" t="s">
        <v>1686</v>
      </c>
      <c r="BQ313" s="156" t="s">
        <v>1796</v>
      </c>
      <c r="BR313" s="156" t="s">
        <v>1797</v>
      </c>
      <c r="BS313" s="134" t="s">
        <v>1798</v>
      </c>
      <c r="BT313" s="134" t="s">
        <v>1799</v>
      </c>
      <c r="BU313" s="156" t="s">
        <v>1800</v>
      </c>
      <c r="BV313" s="156" t="s">
        <v>1422</v>
      </c>
      <c r="BW313" s="156" t="s">
        <v>1801</v>
      </c>
      <c r="BX313" s="142" t="s">
        <v>1802</v>
      </c>
      <c r="BY313" s="142" t="s">
        <v>1582</v>
      </c>
      <c r="BZ313" s="134" t="s">
        <v>1803</v>
      </c>
      <c r="CA313" s="134" t="s">
        <v>1804</v>
      </c>
      <c r="CB313" s="134" t="s">
        <v>1434</v>
      </c>
      <c r="CC313" s="134" t="s">
        <v>1435</v>
      </c>
      <c r="CD313" s="134" t="s">
        <v>1436</v>
      </c>
      <c r="CE313" s="134" t="s">
        <v>1437</v>
      </c>
      <c r="CF313" s="134" t="s">
        <v>1438</v>
      </c>
      <c r="CG313" s="134" t="s">
        <v>1439</v>
      </c>
      <c r="CH313" s="134" t="s">
        <v>1433</v>
      </c>
    </row>
    <row r="314" spans="1:86" x14ac:dyDescent="0.3">
      <c r="A314" s="34">
        <v>1</v>
      </c>
      <c r="B314" s="34" t="s">
        <v>373</v>
      </c>
      <c r="C314" s="34" t="s">
        <v>1348</v>
      </c>
      <c r="D314" s="34" t="s">
        <v>159</v>
      </c>
      <c r="E314" s="34" t="s">
        <v>1349</v>
      </c>
      <c r="F314" s="34"/>
      <c r="G314" s="34"/>
      <c r="H314" s="34" t="s">
        <v>1456</v>
      </c>
      <c r="I314" s="34" t="s">
        <v>375</v>
      </c>
      <c r="J314" s="34" t="s">
        <v>1806</v>
      </c>
      <c r="K314" s="34"/>
      <c r="L314" s="34">
        <v>3.0200000000000001E-2</v>
      </c>
      <c r="M314" s="34">
        <v>0</v>
      </c>
      <c r="N314" s="153">
        <v>1</v>
      </c>
      <c r="O314" s="34">
        <v>0</v>
      </c>
      <c r="P314" s="34"/>
      <c r="Q314" s="153">
        <v>45715</v>
      </c>
      <c r="R314" s="153">
        <v>46575</v>
      </c>
      <c r="S314" s="153">
        <v>372</v>
      </c>
      <c r="T314" s="34"/>
      <c r="U314" s="153" t="s">
        <v>1325</v>
      </c>
      <c r="V314" s="153" t="s">
        <v>1809</v>
      </c>
      <c r="W314" s="153">
        <v>1</v>
      </c>
      <c r="X314" s="166"/>
      <c r="Y314" s="137"/>
      <c r="Z314" s="137"/>
      <c r="AA314" s="137"/>
      <c r="AB314" s="137">
        <v>200000000</v>
      </c>
      <c r="AC314" s="137">
        <v>200000000</v>
      </c>
      <c r="AD314" s="137">
        <v>20049718.5</v>
      </c>
      <c r="AE314" s="137">
        <v>250000.5</v>
      </c>
      <c r="AF314" s="137">
        <v>250000.5</v>
      </c>
      <c r="AG314" s="137">
        <v>250000</v>
      </c>
      <c r="AH314" s="153"/>
      <c r="AI314" s="167">
        <v>0</v>
      </c>
      <c r="AJ314" s="153"/>
      <c r="AK314" s="153"/>
      <c r="AL314" s="154">
        <v>100.1</v>
      </c>
      <c r="AM314" s="154">
        <v>0.13366479000000001</v>
      </c>
      <c r="AN314" s="168" t="s">
        <v>1326</v>
      </c>
      <c r="AO314" s="168">
        <v>45758</v>
      </c>
      <c r="AP314" s="154">
        <v>0</v>
      </c>
      <c r="AQ314" s="168"/>
      <c r="AR314" s="155">
        <v>1.6666700000000001E-3</v>
      </c>
      <c r="AS314" s="152">
        <v>9.4942250000000006E-2</v>
      </c>
      <c r="AT314" s="154">
        <v>0</v>
      </c>
      <c r="AU314" s="137">
        <v>0.13305328999999999</v>
      </c>
      <c r="AV314" s="137">
        <v>0</v>
      </c>
      <c r="AW314" s="137">
        <v>33416.264332395003</v>
      </c>
      <c r="AX314" s="137">
        <v>154950.11293960756</v>
      </c>
      <c r="AY314" s="137">
        <v>250250.50049999997</v>
      </c>
      <c r="AZ314" s="137">
        <v>4186.0910556376448</v>
      </c>
      <c r="BA314" s="137">
        <v>28308.701808495505</v>
      </c>
      <c r="BB314" s="137">
        <v>0</v>
      </c>
      <c r="BC314" s="137">
        <v>0</v>
      </c>
      <c r="BD314" s="137">
        <v>0</v>
      </c>
      <c r="BE314" s="137">
        <v>0</v>
      </c>
      <c r="BF314" s="137">
        <v>83367.349968107068</v>
      </c>
      <c r="BG314" s="137">
        <v>148795.63124470395</v>
      </c>
      <c r="BH314" s="137">
        <v>209612.74096868146</v>
      </c>
      <c r="BI314" s="137">
        <v>250000.5</v>
      </c>
      <c r="BJ314" s="137">
        <v>0.9748</v>
      </c>
      <c r="BK314" s="137">
        <v>4.1666750000000002E-2</v>
      </c>
      <c r="BL314" s="113">
        <v>0</v>
      </c>
      <c r="BM314" s="113" t="s">
        <v>1663</v>
      </c>
      <c r="BN314" s="168">
        <v>0</v>
      </c>
      <c r="BO314" s="152">
        <v>0</v>
      </c>
      <c r="BP314" s="152">
        <v>0</v>
      </c>
      <c r="BQ314" s="137">
        <v>250000.5</v>
      </c>
      <c r="BR314" s="137">
        <v>0</v>
      </c>
      <c r="BS314" s="166" t="s">
        <v>1806</v>
      </c>
      <c r="BT314" s="168">
        <v>0.12527106602934932</v>
      </c>
      <c r="BU314" s="137">
        <v>61687.520553696129</v>
      </c>
      <c r="BV314" s="137">
        <v>29230.173276757359</v>
      </c>
      <c r="BW314" s="137">
        <v>0.47384257001079899</v>
      </c>
      <c r="BX314" s="89">
        <v>0.87472893397065077</v>
      </c>
      <c r="BY314" s="89">
        <v>0</v>
      </c>
      <c r="BZ314" s="153">
        <v>0</v>
      </c>
      <c r="CA314" s="153">
        <v>0</v>
      </c>
      <c r="CB314" s="153">
        <v>45758</v>
      </c>
      <c r="CC314" s="153">
        <v>45758</v>
      </c>
      <c r="CD314" s="153"/>
      <c r="CE314" s="153"/>
      <c r="CF314" s="153"/>
      <c r="CG314" s="34" t="s">
        <v>139</v>
      </c>
      <c r="CH314" s="34" t="s">
        <v>1350</v>
      </c>
    </row>
    <row r="315" spans="1:86" x14ac:dyDescent="0.3">
      <c r="A315" s="34">
        <v>2</v>
      </c>
      <c r="B315" s="34" t="s">
        <v>418</v>
      </c>
      <c r="C315" s="34" t="s">
        <v>1344</v>
      </c>
      <c r="D315" s="34" t="s">
        <v>133</v>
      </c>
      <c r="E315" s="34" t="s">
        <v>1336</v>
      </c>
      <c r="F315" s="34" t="s">
        <v>1805</v>
      </c>
      <c r="G315" s="34"/>
      <c r="H315" s="34" t="s">
        <v>1456</v>
      </c>
      <c r="I315" s="34" t="s">
        <v>419</v>
      </c>
      <c r="J315" s="34" t="s">
        <v>1806</v>
      </c>
      <c r="K315" s="34"/>
      <c r="L315" s="34">
        <v>1.24E-2</v>
      </c>
      <c r="M315" s="34">
        <v>9.1999999999999998E-3</v>
      </c>
      <c r="N315" s="153">
        <v>1</v>
      </c>
      <c r="O315" s="34">
        <v>0</v>
      </c>
      <c r="P315" s="34"/>
      <c r="Q315" s="153">
        <v>45016</v>
      </c>
      <c r="R315" s="153">
        <v>46484</v>
      </c>
      <c r="S315" s="153">
        <v>281</v>
      </c>
      <c r="T315" s="34"/>
      <c r="U315" s="153" t="s">
        <v>1325</v>
      </c>
      <c r="V315" s="153" t="s">
        <v>1807</v>
      </c>
      <c r="W315" s="153">
        <v>1</v>
      </c>
      <c r="X315" s="166"/>
      <c r="Y315" s="137"/>
      <c r="Z315" s="137"/>
      <c r="AA315" s="137"/>
      <c r="AB315" s="137">
        <v>0</v>
      </c>
      <c r="AC315" s="137">
        <v>750000000</v>
      </c>
      <c r="AD315" s="137">
        <v>9300000</v>
      </c>
      <c r="AE315" s="137">
        <v>250000</v>
      </c>
      <c r="AF315" s="137">
        <v>250000</v>
      </c>
      <c r="AG315" s="137">
        <v>250000</v>
      </c>
      <c r="AH315" s="153"/>
      <c r="AI315" s="167">
        <v>0</v>
      </c>
      <c r="AJ315" s="153"/>
      <c r="AK315" s="153"/>
      <c r="AL315" s="154">
        <v>102.6</v>
      </c>
      <c r="AM315" s="154">
        <v>9.2999999999999999E-2</v>
      </c>
      <c r="AN315" s="168" t="s">
        <v>1326</v>
      </c>
      <c r="AO315" s="168">
        <v>45756</v>
      </c>
      <c r="AP315" s="154">
        <v>0</v>
      </c>
      <c r="AQ315" s="168"/>
      <c r="AR315" s="155">
        <v>2.5000000000000001E-3</v>
      </c>
      <c r="AS315" s="152">
        <v>5.4591849999999997E-2</v>
      </c>
      <c r="AT315" s="154">
        <v>0</v>
      </c>
      <c r="AU315" s="137">
        <v>8.2214540000000003E-2</v>
      </c>
      <c r="AV315" s="137">
        <v>0</v>
      </c>
      <c r="AW315" s="137">
        <v>23250</v>
      </c>
      <c r="AX315" s="137">
        <v>174999.99562499998</v>
      </c>
      <c r="AY315" s="137">
        <v>256500</v>
      </c>
      <c r="AZ315" s="137">
        <v>2599.5734973763851</v>
      </c>
      <c r="BA315" s="137">
        <v>24816.248146518767</v>
      </c>
      <c r="BB315" s="137">
        <v>0</v>
      </c>
      <c r="BC315" s="137">
        <v>0</v>
      </c>
      <c r="BD315" s="137">
        <v>0</v>
      </c>
      <c r="BE315" s="137">
        <v>0</v>
      </c>
      <c r="BF315" s="137">
        <v>0</v>
      </c>
      <c r="BG315" s="137">
        <v>0</v>
      </c>
      <c r="BH315" s="137">
        <v>179115.24229819802</v>
      </c>
      <c r="BI315" s="137">
        <v>249999.99375000005</v>
      </c>
      <c r="BJ315" s="137">
        <v>0.98829999999999996</v>
      </c>
      <c r="BK315" s="137">
        <v>4.1666666666666664E-2</v>
      </c>
      <c r="BL315" s="113">
        <v>0</v>
      </c>
      <c r="BM315" s="113" t="s">
        <v>1663</v>
      </c>
      <c r="BN315" s="168">
        <v>0</v>
      </c>
      <c r="BO315" s="152">
        <v>0</v>
      </c>
      <c r="BP315" s="152">
        <v>0</v>
      </c>
      <c r="BQ315" s="137">
        <v>250000</v>
      </c>
      <c r="BR315" s="137">
        <v>0</v>
      </c>
      <c r="BS315" s="166" t="s">
        <v>1806</v>
      </c>
      <c r="BT315" s="168">
        <v>0.11180961279038215</v>
      </c>
      <c r="BU315" s="137">
        <v>125874.28822397692</v>
      </c>
      <c r="BV315" s="137">
        <v>20650.426502623613</v>
      </c>
      <c r="BW315" s="137">
        <v>0.16405595450819047</v>
      </c>
      <c r="BX315" s="89">
        <v>0.88819038720961774</v>
      </c>
      <c r="BY315" s="89">
        <v>0</v>
      </c>
      <c r="BZ315" s="153">
        <v>0</v>
      </c>
      <c r="CA315" s="153">
        <v>0</v>
      </c>
      <c r="CB315" s="153">
        <v>45756</v>
      </c>
      <c r="CC315" s="153">
        <v>45756</v>
      </c>
      <c r="CD315" s="153"/>
      <c r="CE315" s="153"/>
      <c r="CF315" s="153"/>
      <c r="CG315" s="34" t="s">
        <v>139</v>
      </c>
      <c r="CH315" s="34" t="s">
        <v>1333</v>
      </c>
    </row>
    <row r="316" spans="1:86" x14ac:dyDescent="0.3">
      <c r="A316" s="34">
        <v>3</v>
      </c>
      <c r="B316" s="34" t="s">
        <v>538</v>
      </c>
      <c r="C316" s="34" t="s">
        <v>1352</v>
      </c>
      <c r="D316" s="34" t="s">
        <v>150</v>
      </c>
      <c r="E316" s="34" t="s">
        <v>1336</v>
      </c>
      <c r="F316" s="34" t="s">
        <v>1805</v>
      </c>
      <c r="G316" s="34"/>
      <c r="H316" s="34" t="s">
        <v>1456</v>
      </c>
      <c r="I316" s="34" t="s">
        <v>541</v>
      </c>
      <c r="J316" s="34" t="s">
        <v>1806</v>
      </c>
      <c r="K316" s="34"/>
      <c r="L316" s="34">
        <v>8.9999999999999993E-3</v>
      </c>
      <c r="M316" s="34">
        <v>5.1000000000000004E-3</v>
      </c>
      <c r="N316" s="153">
        <v>1</v>
      </c>
      <c r="O316" s="34">
        <v>0</v>
      </c>
      <c r="P316" s="34"/>
      <c r="Q316" s="153">
        <v>45379</v>
      </c>
      <c r="R316" s="153">
        <v>46484</v>
      </c>
      <c r="S316" s="153">
        <v>281</v>
      </c>
      <c r="T316" s="34"/>
      <c r="U316" s="153" t="s">
        <v>1325</v>
      </c>
      <c r="V316" s="153" t="s">
        <v>1807</v>
      </c>
      <c r="W316" s="153">
        <v>1</v>
      </c>
      <c r="X316" s="166"/>
      <c r="Y316" s="137"/>
      <c r="Z316" s="137"/>
      <c r="AA316" s="137"/>
      <c r="AB316" s="137">
        <v>0</v>
      </c>
      <c r="AC316" s="137">
        <v>250000000</v>
      </c>
      <c r="AD316" s="137">
        <v>9300714</v>
      </c>
      <c r="AE316" s="137">
        <v>250000</v>
      </c>
      <c r="AF316" s="137">
        <v>250000</v>
      </c>
      <c r="AG316" s="137">
        <v>250000</v>
      </c>
      <c r="AH316" s="153"/>
      <c r="AI316" s="167">
        <v>0</v>
      </c>
      <c r="AJ316" s="153"/>
      <c r="AK316" s="153"/>
      <c r="AL316" s="154">
        <v>103.85</v>
      </c>
      <c r="AM316" s="154">
        <v>9.3007140000000002E-2</v>
      </c>
      <c r="AN316" s="168" t="s">
        <v>1326</v>
      </c>
      <c r="AO316" s="168">
        <v>45763</v>
      </c>
      <c r="AP316" s="154">
        <v>0</v>
      </c>
      <c r="AQ316" s="168"/>
      <c r="AR316" s="155">
        <v>2.5000000000000001E-3</v>
      </c>
      <c r="AS316" s="152">
        <v>5.4388600000000002E-2</v>
      </c>
      <c r="AT316" s="154">
        <v>0</v>
      </c>
      <c r="AU316" s="137">
        <v>7.5250440000000002E-2</v>
      </c>
      <c r="AV316" s="137">
        <v>0</v>
      </c>
      <c r="AW316" s="137">
        <v>23251.785</v>
      </c>
      <c r="AX316" s="137">
        <v>39570.608006814669</v>
      </c>
      <c r="AY316" s="137">
        <v>259625</v>
      </c>
      <c r="AZ316" s="137">
        <v>1669.5596988802561</v>
      </c>
      <c r="BA316" s="137">
        <v>19286.86242884555</v>
      </c>
      <c r="BB316" s="137">
        <v>0</v>
      </c>
      <c r="BC316" s="137">
        <v>0</v>
      </c>
      <c r="BD316" s="137">
        <v>0</v>
      </c>
      <c r="BE316" s="137">
        <v>0</v>
      </c>
      <c r="BF316" s="137">
        <v>0</v>
      </c>
      <c r="BG316" s="137">
        <v>0</v>
      </c>
      <c r="BH316" s="137">
        <v>0</v>
      </c>
      <c r="BI316" s="137">
        <v>250000</v>
      </c>
      <c r="BJ316" s="137">
        <v>0.99170000000000003</v>
      </c>
      <c r="BK316" s="137">
        <v>4.1666666666666664E-2</v>
      </c>
      <c r="BL316" s="113">
        <v>0</v>
      </c>
      <c r="BM316" s="113" t="s">
        <v>1663</v>
      </c>
      <c r="BN316" s="168">
        <v>0</v>
      </c>
      <c r="BO316" s="152">
        <v>0</v>
      </c>
      <c r="BP316" s="152">
        <v>0</v>
      </c>
      <c r="BQ316" s="137">
        <v>250000</v>
      </c>
      <c r="BR316" s="137">
        <v>0</v>
      </c>
      <c r="BS316" s="166" t="s">
        <v>1806</v>
      </c>
      <c r="BT316" s="168">
        <v>7.1803506650360657E-2</v>
      </c>
      <c r="BU316" s="137">
        <v>60333.483445816339</v>
      </c>
      <c r="BV316" s="137">
        <v>21582.225301119743</v>
      </c>
      <c r="BW316" s="137">
        <v>0.35771555144005701</v>
      </c>
      <c r="BX316" s="89">
        <v>0.92819649334963927</v>
      </c>
      <c r="BY316" s="89">
        <v>0</v>
      </c>
      <c r="BZ316" s="153">
        <v>0</v>
      </c>
      <c r="CA316" s="153">
        <v>0</v>
      </c>
      <c r="CB316" s="153">
        <v>45763</v>
      </c>
      <c r="CC316" s="153">
        <v>45763</v>
      </c>
      <c r="CD316" s="153"/>
      <c r="CE316" s="153"/>
      <c r="CF316" s="153"/>
      <c r="CG316" s="34" t="s">
        <v>139</v>
      </c>
      <c r="CH316" s="34" t="s">
        <v>1333</v>
      </c>
    </row>
    <row r="317" spans="1:86" x14ac:dyDescent="0.3">
      <c r="A317" s="34">
        <v>4</v>
      </c>
      <c r="B317" s="34" t="s">
        <v>625</v>
      </c>
      <c r="C317" s="34" t="s">
        <v>1341</v>
      </c>
      <c r="D317" s="34" t="s">
        <v>159</v>
      </c>
      <c r="E317" s="34" t="s">
        <v>1336</v>
      </c>
      <c r="F317" s="34"/>
      <c r="G317" s="34"/>
      <c r="H317" s="34" t="s">
        <v>1456</v>
      </c>
      <c r="I317" s="34" t="s">
        <v>626</v>
      </c>
      <c r="J317" s="34" t="s">
        <v>1806</v>
      </c>
      <c r="K317" s="34"/>
      <c r="L317" s="34">
        <v>1.11E-2</v>
      </c>
      <c r="M317" s="34">
        <v>0</v>
      </c>
      <c r="N317" s="153">
        <v>1</v>
      </c>
      <c r="O317" s="34">
        <v>0</v>
      </c>
      <c r="P317" s="34"/>
      <c r="Q317" s="153">
        <v>45693</v>
      </c>
      <c r="R317" s="153">
        <v>46820</v>
      </c>
      <c r="S317" s="153">
        <v>617</v>
      </c>
      <c r="T317" s="34"/>
      <c r="U317" s="153" t="s">
        <v>1325</v>
      </c>
      <c r="V317" s="153" t="s">
        <v>1807</v>
      </c>
      <c r="W317" s="153">
        <v>1</v>
      </c>
      <c r="X317" s="169"/>
      <c r="Y317" s="170"/>
      <c r="Z317" s="170"/>
      <c r="AA317" s="170"/>
      <c r="AB317" s="170">
        <v>0</v>
      </c>
      <c r="AC317" s="170">
        <v>300000000</v>
      </c>
      <c r="AD317" s="170">
        <v>22052142</v>
      </c>
      <c r="AE317" s="170">
        <v>249999</v>
      </c>
      <c r="AF317" s="170">
        <v>249999</v>
      </c>
      <c r="AG317" s="170">
        <v>250000</v>
      </c>
      <c r="AH317" s="153"/>
      <c r="AI317" s="171">
        <v>0</v>
      </c>
      <c r="AJ317" s="153"/>
      <c r="AK317" s="153"/>
      <c r="AL317" s="172">
        <v>100.25</v>
      </c>
      <c r="AM317" s="172">
        <v>7.3507139999999999E-2</v>
      </c>
      <c r="AN317" s="173" t="s">
        <v>1326</v>
      </c>
      <c r="AO317" s="173">
        <v>45755</v>
      </c>
      <c r="AP317" s="172">
        <v>0</v>
      </c>
      <c r="AQ317" s="173"/>
      <c r="AR317" s="174">
        <v>8.3332999999999996E-4</v>
      </c>
      <c r="AS317" s="175">
        <v>3.496664E-2</v>
      </c>
      <c r="AT317" s="134">
        <v>0</v>
      </c>
      <c r="AU317" s="134">
        <v>7.558753E-2</v>
      </c>
      <c r="AV317" s="170">
        <v>0</v>
      </c>
      <c r="AW317" s="170">
        <v>18376.711492859999</v>
      </c>
      <c r="AX317" s="170">
        <v>24999.9</v>
      </c>
      <c r="AY317" s="170">
        <v>250623.9975</v>
      </c>
      <c r="AZ317" s="170">
        <v>2315.9785326221795</v>
      </c>
      <c r="BA317" s="170">
        <v>23132.702715101099</v>
      </c>
      <c r="BB317" s="170">
        <v>0</v>
      </c>
      <c r="BC317" s="170">
        <v>0</v>
      </c>
      <c r="BD317" s="170">
        <v>0</v>
      </c>
      <c r="BE317" s="170">
        <v>0</v>
      </c>
      <c r="BF317" s="170">
        <v>0</v>
      </c>
      <c r="BG317" s="170">
        <v>0</v>
      </c>
      <c r="BH317" s="170">
        <v>101536.98720045778</v>
      </c>
      <c r="BI317" s="170">
        <v>249999</v>
      </c>
      <c r="BJ317" s="170">
        <v>0.98939999999999995</v>
      </c>
      <c r="BK317" s="170">
        <v>4.1666500000000002E-2</v>
      </c>
      <c r="BL317" s="176">
        <v>0</v>
      </c>
      <c r="BM317" s="176" t="s">
        <v>1663</v>
      </c>
      <c r="BN317" s="173">
        <v>0</v>
      </c>
      <c r="BO317" s="175">
        <v>0</v>
      </c>
      <c r="BP317" s="175">
        <v>0</v>
      </c>
      <c r="BQ317" s="170">
        <v>249999</v>
      </c>
      <c r="BR317" s="170">
        <v>0</v>
      </c>
      <c r="BS317" s="169" t="s">
        <v>1806</v>
      </c>
      <c r="BT317" s="173">
        <v>0.12602790948326195</v>
      </c>
      <c r="BU317" s="170">
        <v>66924.039019620119</v>
      </c>
      <c r="BV317" s="170">
        <v>16060.732960237819</v>
      </c>
      <c r="BW317" s="170">
        <v>0.23998451371904339</v>
      </c>
      <c r="BX317" s="177">
        <v>0.87397209051673808</v>
      </c>
      <c r="BY317" s="177">
        <v>0</v>
      </c>
      <c r="BZ317" s="153">
        <v>0</v>
      </c>
      <c r="CA317" s="153">
        <v>0</v>
      </c>
      <c r="CB317" s="153">
        <v>45755</v>
      </c>
      <c r="CC317" s="153">
        <v>45755</v>
      </c>
      <c r="CD317" s="153"/>
      <c r="CE317" s="153"/>
      <c r="CF317" s="153"/>
      <c r="CG317" s="34" t="s">
        <v>139</v>
      </c>
      <c r="CH317" s="34" t="s">
        <v>1333</v>
      </c>
    </row>
    <row r="318" spans="1:86" x14ac:dyDescent="0.3">
      <c r="A318" s="34">
        <v>5</v>
      </c>
      <c r="B318" s="34" t="s">
        <v>668</v>
      </c>
      <c r="C318" s="34" t="s">
        <v>1335</v>
      </c>
      <c r="D318" s="34" t="s">
        <v>133</v>
      </c>
      <c r="E318" s="34" t="s">
        <v>1336</v>
      </c>
      <c r="F318" s="34" t="s">
        <v>1805</v>
      </c>
      <c r="G318" s="34"/>
      <c r="H318" s="34" t="s">
        <v>1456</v>
      </c>
      <c r="I318" s="34" t="s">
        <v>671</v>
      </c>
      <c r="J318" s="34" t="s">
        <v>1806</v>
      </c>
      <c r="K318" s="34"/>
      <c r="L318" s="34">
        <v>2.8000000000000001E-2</v>
      </c>
      <c r="M318" s="34">
        <v>1.6E-2</v>
      </c>
      <c r="N318" s="153">
        <v>1</v>
      </c>
      <c r="O318" s="34">
        <v>0</v>
      </c>
      <c r="P318" s="34"/>
      <c r="Q318" s="153">
        <v>45252</v>
      </c>
      <c r="R318" s="153">
        <v>46395</v>
      </c>
      <c r="S318" s="153">
        <v>192</v>
      </c>
      <c r="T318" s="34"/>
      <c r="U318" s="153" t="s">
        <v>1325</v>
      </c>
      <c r="V318" s="153" t="s">
        <v>1807</v>
      </c>
      <c r="W318" s="153">
        <v>1</v>
      </c>
      <c r="X318" s="169"/>
      <c r="Y318" s="170"/>
      <c r="Z318" s="170"/>
      <c r="AA318" s="170"/>
      <c r="AB318" s="170">
        <v>0</v>
      </c>
      <c r="AC318" s="170">
        <v>600000000</v>
      </c>
      <c r="AD318" s="170">
        <v>18120000</v>
      </c>
      <c r="AE318" s="170">
        <v>250000</v>
      </c>
      <c r="AF318" s="170">
        <v>250000</v>
      </c>
      <c r="AG318" s="170">
        <v>250000</v>
      </c>
      <c r="AH318" s="153"/>
      <c r="AI318" s="171">
        <v>0</v>
      </c>
      <c r="AJ318" s="153"/>
      <c r="AK318" s="153"/>
      <c r="AL318" s="172">
        <v>102.85</v>
      </c>
      <c r="AM318" s="172">
        <v>9.06E-2</v>
      </c>
      <c r="AN318" s="173" t="s">
        <v>1326</v>
      </c>
      <c r="AO318" s="173">
        <v>45751</v>
      </c>
      <c r="AP318" s="172">
        <v>0</v>
      </c>
      <c r="AQ318" s="173"/>
      <c r="AR318" s="174">
        <v>1.25E-3</v>
      </c>
      <c r="AS318" s="175">
        <v>5.2493049999999999E-2</v>
      </c>
      <c r="AT318" s="34">
        <v>0</v>
      </c>
      <c r="AU318" s="34">
        <v>7.6703099999999996E-2</v>
      </c>
      <c r="AV318" s="170">
        <v>0</v>
      </c>
      <c r="AW318" s="170">
        <v>22650</v>
      </c>
      <c r="AX318" s="170">
        <v>131272.2999064553</v>
      </c>
      <c r="AY318" s="170">
        <v>257125</v>
      </c>
      <c r="AZ318" s="170">
        <v>5261.34985536769</v>
      </c>
      <c r="BA318" s="170">
        <v>34138.576508037739</v>
      </c>
      <c r="BB318" s="170">
        <v>0</v>
      </c>
      <c r="BC318" s="170">
        <v>0</v>
      </c>
      <c r="BD318" s="170">
        <v>0</v>
      </c>
      <c r="BE318" s="170">
        <v>0</v>
      </c>
      <c r="BF318" s="170">
        <v>135707.53001740572</v>
      </c>
      <c r="BG318" s="170">
        <v>249999.99749999997</v>
      </c>
      <c r="BH318" s="170">
        <v>249999.99750000006</v>
      </c>
      <c r="BI318" s="170">
        <v>249999.99750000008</v>
      </c>
      <c r="BJ318" s="170">
        <v>0.97360000000000002</v>
      </c>
      <c r="BK318" s="170">
        <v>4.1666666666666664E-2</v>
      </c>
      <c r="BL318" s="176">
        <v>0</v>
      </c>
      <c r="BM318" s="176" t="s">
        <v>1663</v>
      </c>
      <c r="BN318" s="173">
        <v>0</v>
      </c>
      <c r="BO318" s="175">
        <v>0</v>
      </c>
      <c r="BP318" s="175">
        <v>0</v>
      </c>
      <c r="BQ318" s="170">
        <v>250000</v>
      </c>
      <c r="BR318" s="170">
        <v>0</v>
      </c>
      <c r="BS318" s="169" t="s">
        <v>1806</v>
      </c>
      <c r="BT318" s="173">
        <v>0.23228917683742561</v>
      </c>
      <c r="BU318" s="170">
        <v>41970.278630234068</v>
      </c>
      <c r="BV318" s="170">
        <v>17388.650144632309</v>
      </c>
      <c r="BW318" s="170">
        <v>0.41430866584969661</v>
      </c>
      <c r="BX318" s="177">
        <v>0.76771082316257433</v>
      </c>
      <c r="BY318" s="177">
        <v>0</v>
      </c>
      <c r="BZ318" s="153">
        <v>0</v>
      </c>
      <c r="CA318" s="153">
        <v>0</v>
      </c>
      <c r="CB318" s="153">
        <v>45751</v>
      </c>
      <c r="CC318" s="153">
        <v>45751</v>
      </c>
      <c r="CD318" s="153"/>
      <c r="CE318" s="153"/>
      <c r="CF318" s="153"/>
      <c r="CG318" s="34" t="s">
        <v>139</v>
      </c>
      <c r="CH318" s="34" t="s">
        <v>1333</v>
      </c>
    </row>
    <row r="319" spans="1:86" x14ac:dyDescent="0.3">
      <c r="A319" s="34">
        <v>6</v>
      </c>
      <c r="B319" s="34" t="s">
        <v>695</v>
      </c>
      <c r="C319" s="34" t="s">
        <v>1351</v>
      </c>
      <c r="D319" s="34" t="s">
        <v>150</v>
      </c>
      <c r="E319" s="34" t="s">
        <v>1336</v>
      </c>
      <c r="F319" s="34" t="s">
        <v>1805</v>
      </c>
      <c r="G319" s="34"/>
      <c r="H319" s="34" t="s">
        <v>1456</v>
      </c>
      <c r="I319" s="34" t="s">
        <v>697</v>
      </c>
      <c r="J319" s="34" t="s">
        <v>1806</v>
      </c>
      <c r="K319" s="34"/>
      <c r="L319" s="34">
        <v>0.02</v>
      </c>
      <c r="M319" s="34">
        <v>0</v>
      </c>
      <c r="N319" s="153">
        <v>1</v>
      </c>
      <c r="O319" s="34">
        <v>0</v>
      </c>
      <c r="P319" s="34"/>
      <c r="Q319" s="153">
        <v>45391</v>
      </c>
      <c r="R319" s="153">
        <v>46545</v>
      </c>
      <c r="S319" s="153">
        <v>342</v>
      </c>
      <c r="T319" s="34"/>
      <c r="U319" s="153" t="s">
        <v>1325</v>
      </c>
      <c r="V319" s="153" t="s">
        <v>1809</v>
      </c>
      <c r="W319" s="153">
        <v>1</v>
      </c>
      <c r="X319" s="169"/>
      <c r="Y319" s="170"/>
      <c r="Z319" s="170"/>
      <c r="AA319" s="170"/>
      <c r="AB319" s="170">
        <v>0</v>
      </c>
      <c r="AC319" s="170">
        <v>300000000</v>
      </c>
      <c r="AD319" s="170">
        <v>27228600</v>
      </c>
      <c r="AE319" s="170">
        <v>250000.80000000002</v>
      </c>
      <c r="AF319" s="170">
        <v>250000.80000000002</v>
      </c>
      <c r="AG319" s="170">
        <v>250000</v>
      </c>
      <c r="AH319" s="153"/>
      <c r="AI319" s="171">
        <v>0</v>
      </c>
      <c r="AJ319" s="153"/>
      <c r="AK319" s="153"/>
      <c r="AL319" s="172">
        <v>102.6</v>
      </c>
      <c r="AM319" s="172">
        <v>0.12966</v>
      </c>
      <c r="AN319" s="173" t="s">
        <v>1326</v>
      </c>
      <c r="AO319" s="173">
        <v>45761</v>
      </c>
      <c r="AP319" s="172">
        <v>0</v>
      </c>
      <c r="AQ319" s="173"/>
      <c r="AR319" s="174">
        <v>1.1904800000000001E-3</v>
      </c>
      <c r="AS319" s="175">
        <v>9.1247229999999999E-2</v>
      </c>
      <c r="AT319" s="34">
        <v>0</v>
      </c>
      <c r="AU319" s="34">
        <v>0.11921872999999999</v>
      </c>
      <c r="AV319" s="170">
        <v>0</v>
      </c>
      <c r="AW319" s="170">
        <v>32415.103728000002</v>
      </c>
      <c r="AX319" s="170">
        <v>100000.32000000001</v>
      </c>
      <c r="AY319" s="170">
        <v>256500.82080000002</v>
      </c>
      <c r="AZ319" s="170">
        <v>4326.6511753483446</v>
      </c>
      <c r="BA319" s="170">
        <v>31900.149926613605</v>
      </c>
      <c r="BB319" s="170">
        <v>0</v>
      </c>
      <c r="BC319" s="170">
        <v>0</v>
      </c>
      <c r="BD319" s="170">
        <v>0</v>
      </c>
      <c r="BE319" s="170">
        <v>0</v>
      </c>
      <c r="BF319" s="170">
        <v>4762.8987747345946</v>
      </c>
      <c r="BG319" s="170">
        <v>250000.80000000002</v>
      </c>
      <c r="BH319" s="170">
        <v>250000.80000000002</v>
      </c>
      <c r="BI319" s="170">
        <v>250000.80000000002</v>
      </c>
      <c r="BJ319" s="170">
        <v>0.98089999999999999</v>
      </c>
      <c r="BK319" s="170">
        <v>4.1666800000000004E-2</v>
      </c>
      <c r="BL319" s="176">
        <v>0</v>
      </c>
      <c r="BM319" s="176" t="s">
        <v>1663</v>
      </c>
      <c r="BN319" s="173">
        <v>0</v>
      </c>
      <c r="BO319" s="175">
        <v>0</v>
      </c>
      <c r="BP319" s="175">
        <v>0</v>
      </c>
      <c r="BQ319" s="170">
        <v>250000.80000000002</v>
      </c>
      <c r="BR319" s="170">
        <v>0</v>
      </c>
      <c r="BS319" s="169" t="s">
        <v>1806</v>
      </c>
      <c r="BT319" s="173">
        <v>0.13347639457377411</v>
      </c>
      <c r="BU319" s="170">
        <v>52500.167999999983</v>
      </c>
      <c r="BV319" s="170">
        <v>28088.452552651659</v>
      </c>
      <c r="BW319" s="170">
        <v>0.53501643180744995</v>
      </c>
      <c r="BX319" s="177">
        <v>0.86652360542622597</v>
      </c>
      <c r="BY319" s="177">
        <v>0</v>
      </c>
      <c r="BZ319" s="153">
        <v>0</v>
      </c>
      <c r="CA319" s="153">
        <v>0</v>
      </c>
      <c r="CB319" s="153">
        <v>45761</v>
      </c>
      <c r="CC319" s="153">
        <v>45761</v>
      </c>
      <c r="CD319" s="153"/>
      <c r="CE319" s="153"/>
      <c r="CF319" s="153"/>
      <c r="CG319" s="34" t="s">
        <v>139</v>
      </c>
      <c r="CH319" s="34" t="s">
        <v>1333</v>
      </c>
    </row>
    <row r="320" spans="1:86" x14ac:dyDescent="0.3">
      <c r="A320" s="34">
        <v>7</v>
      </c>
      <c r="B320" s="34" t="s">
        <v>711</v>
      </c>
      <c r="C320" s="34" t="s">
        <v>1327</v>
      </c>
      <c r="D320" s="34" t="s">
        <v>150</v>
      </c>
      <c r="E320" s="34" t="s">
        <v>1328</v>
      </c>
      <c r="F320" s="34" t="s">
        <v>1805</v>
      </c>
      <c r="G320" s="34"/>
      <c r="H320" s="34" t="s">
        <v>1456</v>
      </c>
      <c r="I320" s="34" t="s">
        <v>714</v>
      </c>
      <c r="J320" s="34" t="s">
        <v>1806</v>
      </c>
      <c r="K320" s="34"/>
      <c r="L320" s="34">
        <v>8.0999999999999996E-3</v>
      </c>
      <c r="M320" s="34">
        <v>7.7000000000000002E-3</v>
      </c>
      <c r="N320" s="153">
        <v>1</v>
      </c>
      <c r="O320" s="34">
        <v>0</v>
      </c>
      <c r="P320" s="34"/>
      <c r="Q320" s="153">
        <v>45405</v>
      </c>
      <c r="R320" s="153">
        <v>47212</v>
      </c>
      <c r="S320" s="153">
        <v>1009</v>
      </c>
      <c r="T320" s="34"/>
      <c r="U320" s="153" t="s">
        <v>1325</v>
      </c>
      <c r="V320" s="153" t="s">
        <v>1807</v>
      </c>
      <c r="W320" s="153">
        <v>1</v>
      </c>
      <c r="X320" s="169"/>
      <c r="Y320" s="170"/>
      <c r="Z320" s="170"/>
      <c r="AA320" s="170"/>
      <c r="AB320" s="170">
        <v>0</v>
      </c>
      <c r="AC320" s="170">
        <v>150000000</v>
      </c>
      <c r="AD320" s="170">
        <v>9324720</v>
      </c>
      <c r="AE320" s="170">
        <v>250000.5</v>
      </c>
      <c r="AF320" s="170">
        <v>250000.5</v>
      </c>
      <c r="AG320" s="170">
        <v>250000</v>
      </c>
      <c r="AH320" s="153"/>
      <c r="AI320" s="171">
        <v>0</v>
      </c>
      <c r="AJ320" s="153"/>
      <c r="AK320" s="153"/>
      <c r="AL320" s="172">
        <v>101</v>
      </c>
      <c r="AM320" s="172">
        <v>6.2164799999999999E-2</v>
      </c>
      <c r="AN320" s="173" t="s">
        <v>1326</v>
      </c>
      <c r="AO320" s="173">
        <v>45749</v>
      </c>
      <c r="AP320" s="172">
        <v>0</v>
      </c>
      <c r="AQ320" s="173"/>
      <c r="AR320" s="174">
        <v>1.6666700000000001E-3</v>
      </c>
      <c r="AS320" s="175">
        <v>2.3430280000000001E-2</v>
      </c>
      <c r="AT320" s="34">
        <v>0</v>
      </c>
      <c r="AU320" s="34">
        <v>5.6722120000000001E-2</v>
      </c>
      <c r="AV320" s="170">
        <v>0</v>
      </c>
      <c r="AW320" s="170">
        <v>15541.2310824</v>
      </c>
      <c r="AX320" s="170">
        <v>0</v>
      </c>
      <c r="AY320" s="170">
        <v>252500.505</v>
      </c>
      <c r="AZ320" s="170">
        <v>1971.5092803013679</v>
      </c>
      <c r="BA320" s="170">
        <v>22005.247728234022</v>
      </c>
      <c r="BB320" s="170">
        <v>0</v>
      </c>
      <c r="BC320" s="170">
        <v>0</v>
      </c>
      <c r="BD320" s="170">
        <v>0</v>
      </c>
      <c r="BE320" s="170">
        <v>0</v>
      </c>
      <c r="BF320" s="170">
        <v>0</v>
      </c>
      <c r="BG320" s="170">
        <v>0</v>
      </c>
      <c r="BH320" s="170">
        <v>0</v>
      </c>
      <c r="BI320" s="170">
        <v>250000.5</v>
      </c>
      <c r="BJ320" s="170">
        <v>0.9919</v>
      </c>
      <c r="BK320" s="170">
        <v>4.1666750000000002E-2</v>
      </c>
      <c r="BL320" s="176">
        <v>0</v>
      </c>
      <c r="BM320" s="176" t="s">
        <v>1663</v>
      </c>
      <c r="BN320" s="173">
        <v>0</v>
      </c>
      <c r="BO320" s="175">
        <v>0</v>
      </c>
      <c r="BP320" s="175">
        <v>0</v>
      </c>
      <c r="BQ320" s="170">
        <v>250000.5</v>
      </c>
      <c r="BR320" s="170">
        <v>0</v>
      </c>
      <c r="BS320" s="169" t="s">
        <v>1806</v>
      </c>
      <c r="BT320" s="173">
        <v>0.12685669943702502</v>
      </c>
      <c r="BU320" s="170">
        <v>5000.0100000000011</v>
      </c>
      <c r="BV320" s="170">
        <v>13569.721802098631</v>
      </c>
      <c r="BW320" s="170">
        <v>2.7139389325418604</v>
      </c>
      <c r="BX320" s="177">
        <v>0.87314330056297496</v>
      </c>
      <c r="BY320" s="177">
        <v>0</v>
      </c>
      <c r="BZ320" s="153">
        <v>0</v>
      </c>
      <c r="CA320" s="153">
        <v>0</v>
      </c>
      <c r="CB320" s="153">
        <v>45749</v>
      </c>
      <c r="CC320" s="153">
        <v>45749</v>
      </c>
      <c r="CD320" s="153"/>
      <c r="CE320" s="153"/>
      <c r="CF320" s="153"/>
      <c r="CG320" s="34" t="s">
        <v>139</v>
      </c>
      <c r="CH320" s="34" t="s">
        <v>1329</v>
      </c>
    </row>
    <row r="321" spans="1:86" x14ac:dyDescent="0.3">
      <c r="A321" s="34">
        <v>8</v>
      </c>
      <c r="B321" s="34" t="s">
        <v>856</v>
      </c>
      <c r="C321" s="34" t="s">
        <v>1337</v>
      </c>
      <c r="D321" s="34" t="s">
        <v>167</v>
      </c>
      <c r="E321" s="34" t="s">
        <v>1338</v>
      </c>
      <c r="F321" s="34" t="s">
        <v>1805</v>
      </c>
      <c r="G321" s="34"/>
      <c r="H321" s="34" t="s">
        <v>1456</v>
      </c>
      <c r="I321" s="34" t="s">
        <v>858</v>
      </c>
      <c r="J321" s="34" t="s">
        <v>1806</v>
      </c>
      <c r="K321" s="34"/>
      <c r="L321" s="34">
        <v>1.5900000000000001E-2</v>
      </c>
      <c r="M321" s="34">
        <v>0</v>
      </c>
      <c r="N321" s="153">
        <v>1</v>
      </c>
      <c r="O321" s="34">
        <v>0</v>
      </c>
      <c r="P321" s="34"/>
      <c r="Q321" s="153">
        <v>44650</v>
      </c>
      <c r="R321" s="153">
        <v>46119</v>
      </c>
      <c r="S321" s="153">
        <v>-84</v>
      </c>
      <c r="T321" s="34"/>
      <c r="U321" s="153" t="s">
        <v>1325</v>
      </c>
      <c r="V321" s="153" t="s">
        <v>1807</v>
      </c>
      <c r="W321" s="153">
        <v>1</v>
      </c>
      <c r="X321" s="169"/>
      <c r="Y321" s="170"/>
      <c r="Z321" s="170"/>
      <c r="AA321" s="170"/>
      <c r="AB321" s="170">
        <v>0</v>
      </c>
      <c r="AC321" s="170">
        <v>100000000</v>
      </c>
      <c r="AD321" s="170">
        <v>7992000.0000000019</v>
      </c>
      <c r="AE321" s="170">
        <v>249999.60000000003</v>
      </c>
      <c r="AF321" s="170">
        <v>249999.60000000003</v>
      </c>
      <c r="AG321" s="170">
        <v>250000</v>
      </c>
      <c r="AH321" s="153"/>
      <c r="AI321" s="171">
        <v>0</v>
      </c>
      <c r="AJ321" s="153"/>
      <c r="AK321" s="153"/>
      <c r="AL321" s="172">
        <v>101</v>
      </c>
      <c r="AM321" s="172">
        <v>6.6600000000000006E-2</v>
      </c>
      <c r="AN321" s="173" t="s">
        <v>1326</v>
      </c>
      <c r="AO321" s="173">
        <v>45751</v>
      </c>
      <c r="AP321" s="172">
        <v>0</v>
      </c>
      <c r="AQ321" s="173"/>
      <c r="AR321" s="174">
        <v>2.08333E-3</v>
      </c>
      <c r="AS321" s="175">
        <v>2.8000799999999999E-2</v>
      </c>
      <c r="AT321" s="34">
        <v>0</v>
      </c>
      <c r="AU321" s="34">
        <v>5.962858E-2</v>
      </c>
      <c r="AV321" s="170">
        <v>0</v>
      </c>
      <c r="AW321" s="170">
        <v>16649.973360000004</v>
      </c>
      <c r="AX321" s="170">
        <v>0</v>
      </c>
      <c r="AY321" s="170">
        <v>252499.59600000005</v>
      </c>
      <c r="AZ321" s="170">
        <v>3783.1094999501302</v>
      </c>
      <c r="BA321" s="170">
        <v>30259.525223829878</v>
      </c>
      <c r="BB321" s="170">
        <v>0</v>
      </c>
      <c r="BC321" s="170">
        <v>0</v>
      </c>
      <c r="BD321" s="170">
        <v>0</v>
      </c>
      <c r="BE321" s="170">
        <v>0</v>
      </c>
      <c r="BF321" s="170">
        <v>0</v>
      </c>
      <c r="BG321" s="170">
        <v>249999.59999999998</v>
      </c>
      <c r="BH321" s="170">
        <v>249999.6</v>
      </c>
      <c r="BI321" s="170">
        <v>249999.60000000003</v>
      </c>
      <c r="BJ321" s="170">
        <v>0.98429999999999995</v>
      </c>
      <c r="BK321" s="170">
        <v>4.1666600000000005E-2</v>
      </c>
      <c r="BL321" s="176">
        <v>0</v>
      </c>
      <c r="BM321" s="176" t="s">
        <v>1663</v>
      </c>
      <c r="BN321" s="173">
        <v>0</v>
      </c>
      <c r="BO321" s="175">
        <v>0</v>
      </c>
      <c r="BP321" s="175">
        <v>0</v>
      </c>
      <c r="BQ321" s="170">
        <v>249999.60000000003</v>
      </c>
      <c r="BR321" s="170">
        <v>0</v>
      </c>
      <c r="BS321" s="169" t="s">
        <v>1806</v>
      </c>
      <c r="BT321" s="173">
        <v>0.22721414732342426</v>
      </c>
      <c r="BU321" s="170">
        <v>7499.9880000000003</v>
      </c>
      <c r="BV321" s="170">
        <v>12866.863860049874</v>
      </c>
      <c r="BW321" s="170">
        <v>1.7155845929419986</v>
      </c>
      <c r="BX321" s="177">
        <v>0.77278585267657574</v>
      </c>
      <c r="BY321" s="177">
        <v>0</v>
      </c>
      <c r="BZ321" s="153">
        <v>0</v>
      </c>
      <c r="CA321" s="153">
        <v>0</v>
      </c>
      <c r="CB321" s="153">
        <v>45751</v>
      </c>
      <c r="CC321" s="153">
        <v>45751</v>
      </c>
      <c r="CD321" s="153"/>
      <c r="CE321" s="153"/>
      <c r="CF321" s="153"/>
      <c r="CG321" s="34" t="s">
        <v>139</v>
      </c>
      <c r="CH321" s="34" t="s">
        <v>1333</v>
      </c>
    </row>
    <row r="322" spans="1:86" x14ac:dyDescent="0.3">
      <c r="A322" s="34">
        <v>9</v>
      </c>
      <c r="B322" s="34" t="s">
        <v>876</v>
      </c>
      <c r="C322" s="34" t="s">
        <v>1359</v>
      </c>
      <c r="D322" s="34" t="s">
        <v>150</v>
      </c>
      <c r="E322" s="34" t="s">
        <v>1336</v>
      </c>
      <c r="F322" s="34" t="s">
        <v>1805</v>
      </c>
      <c r="G322" s="34"/>
      <c r="H322" s="34" t="s">
        <v>1456</v>
      </c>
      <c r="I322" s="34" t="s">
        <v>879</v>
      </c>
      <c r="J322" s="34" t="s">
        <v>1806</v>
      </c>
      <c r="K322" s="34"/>
      <c r="L322" s="34">
        <v>3.9699999999999999E-2</v>
      </c>
      <c r="M322" s="34">
        <v>0</v>
      </c>
      <c r="N322" s="153">
        <v>1</v>
      </c>
      <c r="O322" s="34">
        <v>0</v>
      </c>
      <c r="P322" s="34"/>
      <c r="Q322" s="153">
        <v>45393</v>
      </c>
      <c r="R322" s="153">
        <v>46517</v>
      </c>
      <c r="S322" s="153">
        <v>314</v>
      </c>
      <c r="T322" s="34"/>
      <c r="U322" s="153" t="s">
        <v>1325</v>
      </c>
      <c r="V322" s="153" t="s">
        <v>1809</v>
      </c>
      <c r="W322" s="153">
        <v>1</v>
      </c>
      <c r="X322" s="169"/>
      <c r="Y322" s="170"/>
      <c r="Z322" s="170"/>
      <c r="AA322" s="170"/>
      <c r="AB322" s="170">
        <v>0</v>
      </c>
      <c r="AC322" s="170">
        <v>125000000</v>
      </c>
      <c r="AD322" s="170">
        <v>14315000</v>
      </c>
      <c r="AE322" s="170">
        <v>250000</v>
      </c>
      <c r="AF322" s="170">
        <v>250000</v>
      </c>
      <c r="AG322" s="170">
        <v>250000</v>
      </c>
      <c r="AH322" s="153"/>
      <c r="AI322" s="171">
        <v>0</v>
      </c>
      <c r="AJ322" s="153"/>
      <c r="AK322" s="153"/>
      <c r="AL322" s="172">
        <v>102</v>
      </c>
      <c r="AM322" s="172">
        <v>0.11452</v>
      </c>
      <c r="AN322" s="173" t="s">
        <v>1326</v>
      </c>
      <c r="AO322" s="173">
        <v>45777</v>
      </c>
      <c r="AP322" s="172">
        <v>0</v>
      </c>
      <c r="AQ322" s="173"/>
      <c r="AR322" s="174">
        <v>2E-3</v>
      </c>
      <c r="AS322" s="175">
        <v>7.6309879999999997E-2</v>
      </c>
      <c r="AT322" s="172">
        <v>0</v>
      </c>
      <c r="AU322" s="170">
        <v>0.106922</v>
      </c>
      <c r="AV322" s="170">
        <v>0</v>
      </c>
      <c r="AW322" s="170">
        <v>28630</v>
      </c>
      <c r="AX322" s="170">
        <v>190906.54916197926</v>
      </c>
      <c r="AY322" s="170">
        <v>255000</v>
      </c>
      <c r="AZ322" s="170">
        <v>6876.8499797346576</v>
      </c>
      <c r="BA322" s="170">
        <v>38094.656895663327</v>
      </c>
      <c r="BB322" s="170">
        <v>0</v>
      </c>
      <c r="BC322" s="170">
        <v>0</v>
      </c>
      <c r="BD322" s="170">
        <v>0</v>
      </c>
      <c r="BE322" s="170">
        <v>0</v>
      </c>
      <c r="BF322" s="170">
        <v>225035.28833753764</v>
      </c>
      <c r="BG322" s="170">
        <v>250000</v>
      </c>
      <c r="BH322" s="170">
        <v>250000</v>
      </c>
      <c r="BI322" s="170">
        <v>250000</v>
      </c>
      <c r="BJ322" s="170">
        <v>0.96430000000000005</v>
      </c>
      <c r="BK322" s="170">
        <v>4.1666666666666664E-2</v>
      </c>
      <c r="BL322" s="176">
        <v>0</v>
      </c>
      <c r="BM322" s="176" t="s">
        <v>1663</v>
      </c>
      <c r="BN322" s="173">
        <v>0</v>
      </c>
      <c r="BO322" s="175">
        <v>0</v>
      </c>
      <c r="BP322" s="175">
        <v>0</v>
      </c>
      <c r="BQ322" s="170">
        <v>250000</v>
      </c>
      <c r="BR322" s="170">
        <v>0</v>
      </c>
      <c r="BS322" s="169" t="s">
        <v>1806</v>
      </c>
      <c r="BT322" s="173">
        <v>0.24019734473400831</v>
      </c>
      <c r="BU322" s="170">
        <v>138533.33518550993</v>
      </c>
      <c r="BV322" s="170">
        <v>21753.150020265341</v>
      </c>
      <c r="BW322" s="170">
        <v>0.1570246611845135</v>
      </c>
      <c r="BX322" s="177">
        <v>0.75980265526599167</v>
      </c>
      <c r="BY322" s="177">
        <v>0</v>
      </c>
      <c r="BZ322" s="153">
        <v>0</v>
      </c>
      <c r="CA322" s="153">
        <v>0</v>
      </c>
      <c r="CB322" s="153">
        <v>45777</v>
      </c>
      <c r="CC322" s="153">
        <v>45777</v>
      </c>
      <c r="CD322" s="153"/>
      <c r="CE322" s="153"/>
      <c r="CF322" s="153"/>
      <c r="CG322" s="34" t="s">
        <v>139</v>
      </c>
      <c r="CH322" s="34" t="s">
        <v>1333</v>
      </c>
    </row>
    <row r="323" spans="1:86" x14ac:dyDescent="0.3">
      <c r="A323" s="34">
        <v>10</v>
      </c>
      <c r="B323" s="34" t="s">
        <v>895</v>
      </c>
      <c r="C323" s="34" t="s">
        <v>1345</v>
      </c>
      <c r="D323" s="34" t="s">
        <v>150</v>
      </c>
      <c r="E323" s="34" t="s">
        <v>1336</v>
      </c>
      <c r="F323" s="34"/>
      <c r="G323" s="34"/>
      <c r="H323" s="34" t="s">
        <v>1456</v>
      </c>
      <c r="I323" s="34" t="s">
        <v>898</v>
      </c>
      <c r="J323" s="34" t="s">
        <v>1806</v>
      </c>
      <c r="K323" s="34"/>
      <c r="L323" s="34">
        <v>1.1299999999999999E-2</v>
      </c>
      <c r="M323" s="34">
        <v>0</v>
      </c>
      <c r="N323" s="153">
        <v>1</v>
      </c>
      <c r="O323" s="34">
        <v>0</v>
      </c>
      <c r="P323" s="34"/>
      <c r="Q323" s="153">
        <v>45630</v>
      </c>
      <c r="R323" s="153">
        <v>46762</v>
      </c>
      <c r="S323" s="153">
        <v>559</v>
      </c>
      <c r="T323" s="34"/>
      <c r="U323" s="153" t="s">
        <v>1325</v>
      </c>
      <c r="V323" s="153" t="s">
        <v>1807</v>
      </c>
      <c r="W323" s="153">
        <v>1</v>
      </c>
      <c r="X323" s="166"/>
      <c r="Y323" s="137"/>
      <c r="Z323" s="137"/>
      <c r="AA323" s="137"/>
      <c r="AB323" s="137">
        <v>0</v>
      </c>
      <c r="AC323" s="137">
        <v>100000000</v>
      </c>
      <c r="AD323" s="137">
        <v>7310000</v>
      </c>
      <c r="AE323" s="137">
        <v>250000</v>
      </c>
      <c r="AF323" s="137">
        <v>250000</v>
      </c>
      <c r="AG323" s="137">
        <v>250000</v>
      </c>
      <c r="AH323" s="153"/>
      <c r="AI323" s="167">
        <v>0</v>
      </c>
      <c r="AJ323" s="153"/>
      <c r="AK323" s="153"/>
      <c r="AL323" s="154">
        <v>101.6</v>
      </c>
      <c r="AM323" s="154">
        <v>7.3099999999999998E-2</v>
      </c>
      <c r="AN323" s="168" t="s">
        <v>1326</v>
      </c>
      <c r="AO323" s="168">
        <v>45756</v>
      </c>
      <c r="AP323" s="154">
        <v>0</v>
      </c>
      <c r="AQ323" s="168"/>
      <c r="AR323" s="155">
        <v>2.5000000000000001E-3</v>
      </c>
      <c r="AS323" s="152">
        <v>3.4997439999999998E-2</v>
      </c>
      <c r="AT323" s="154">
        <v>0</v>
      </c>
      <c r="AU323" s="137">
        <v>6.9968119999999995E-2</v>
      </c>
      <c r="AV323" s="137">
        <v>0</v>
      </c>
      <c r="AW323" s="137">
        <v>18275</v>
      </c>
      <c r="AX323" s="137">
        <v>0</v>
      </c>
      <c r="AY323" s="137">
        <v>254000</v>
      </c>
      <c r="AZ323" s="137">
        <v>2306.25</v>
      </c>
      <c r="BA323" s="137">
        <v>22853.282055047777</v>
      </c>
      <c r="BB323" s="137">
        <v>0</v>
      </c>
      <c r="BC323" s="137">
        <v>0</v>
      </c>
      <c r="BD323" s="137">
        <v>0</v>
      </c>
      <c r="BE323" s="137">
        <v>0</v>
      </c>
      <c r="BF323" s="137">
        <v>0</v>
      </c>
      <c r="BG323" s="137">
        <v>0</v>
      </c>
      <c r="BH323" s="137">
        <v>62500</v>
      </c>
      <c r="BI323" s="137">
        <v>250000</v>
      </c>
      <c r="BJ323" s="137">
        <v>0.98870000000000002</v>
      </c>
      <c r="BK323" s="137">
        <v>4.1666666666666664E-2</v>
      </c>
      <c r="BL323" s="113">
        <v>0</v>
      </c>
      <c r="BM323" s="113" t="s">
        <v>1663</v>
      </c>
      <c r="BN323" s="168">
        <v>0</v>
      </c>
      <c r="BO323" s="152">
        <v>0</v>
      </c>
      <c r="BP323" s="152">
        <v>0</v>
      </c>
      <c r="BQ323" s="137">
        <v>250000</v>
      </c>
      <c r="BR323" s="137">
        <v>0</v>
      </c>
      <c r="BS323" s="166" t="s">
        <v>1806</v>
      </c>
      <c r="BT323" s="168">
        <v>0.12619699042407662</v>
      </c>
      <c r="BU323" s="137">
        <v>4062.5</v>
      </c>
      <c r="BV323" s="137">
        <v>15968.75</v>
      </c>
      <c r="BW323" s="137">
        <v>3.9307692307692306</v>
      </c>
      <c r="BX323" s="89">
        <v>0.87380300957592338</v>
      </c>
      <c r="BY323" s="89">
        <v>0</v>
      </c>
      <c r="BZ323" s="153">
        <v>0</v>
      </c>
      <c r="CA323" s="153">
        <v>0</v>
      </c>
      <c r="CB323" s="153">
        <v>45756</v>
      </c>
      <c r="CC323" s="153">
        <v>45756</v>
      </c>
      <c r="CD323" s="153"/>
      <c r="CE323" s="153"/>
      <c r="CF323" s="153"/>
      <c r="CG323" s="34" t="s">
        <v>1347</v>
      </c>
      <c r="CH323" s="34" t="s">
        <v>1333</v>
      </c>
    </row>
    <row r="324" spans="1:86" x14ac:dyDescent="0.3">
      <c r="A324" s="34">
        <v>11</v>
      </c>
      <c r="B324" s="34" t="s">
        <v>943</v>
      </c>
      <c r="C324" s="34" t="s">
        <v>1357</v>
      </c>
      <c r="D324" s="34" t="s">
        <v>133</v>
      </c>
      <c r="E324" s="34" t="s">
        <v>1336</v>
      </c>
      <c r="F324" s="34" t="s">
        <v>1805</v>
      </c>
      <c r="G324" s="34"/>
      <c r="H324" s="34" t="s">
        <v>1456</v>
      </c>
      <c r="I324" s="34" t="s">
        <v>946</v>
      </c>
      <c r="J324" s="34" t="s">
        <v>1806</v>
      </c>
      <c r="K324" s="34"/>
      <c r="L324" s="34">
        <v>6.7999999999999996E-3</v>
      </c>
      <c r="M324" s="34">
        <v>0</v>
      </c>
      <c r="N324" s="153">
        <v>1</v>
      </c>
      <c r="O324" s="34">
        <v>0</v>
      </c>
      <c r="P324" s="34"/>
      <c r="Q324" s="153">
        <v>45098</v>
      </c>
      <c r="R324" s="153">
        <v>46211</v>
      </c>
      <c r="S324" s="153">
        <v>8</v>
      </c>
      <c r="T324" s="34"/>
      <c r="U324" s="153" t="s">
        <v>1325</v>
      </c>
      <c r="V324" s="153" t="s">
        <v>1807</v>
      </c>
      <c r="W324" s="153">
        <v>1</v>
      </c>
      <c r="X324" s="166"/>
      <c r="Y324" s="137"/>
      <c r="Z324" s="137"/>
      <c r="AA324" s="137"/>
      <c r="AB324" s="137">
        <v>0</v>
      </c>
      <c r="AC324" s="137">
        <v>150000000</v>
      </c>
      <c r="AD324" s="137">
        <v>11677500</v>
      </c>
      <c r="AE324" s="137">
        <v>250000.5</v>
      </c>
      <c r="AF324" s="137">
        <v>250000.5</v>
      </c>
      <c r="AG324" s="137">
        <v>250000</v>
      </c>
      <c r="AH324" s="153"/>
      <c r="AI324" s="167">
        <v>0</v>
      </c>
      <c r="AJ324" s="153"/>
      <c r="AK324" s="153"/>
      <c r="AL324" s="154">
        <v>101.15</v>
      </c>
      <c r="AM324" s="154">
        <v>7.7850000000000003E-2</v>
      </c>
      <c r="AN324" s="168" t="s">
        <v>1326</v>
      </c>
      <c r="AO324" s="168">
        <v>45775</v>
      </c>
      <c r="AP324" s="154">
        <v>0</v>
      </c>
      <c r="AQ324" s="168"/>
      <c r="AR324" s="155">
        <v>1.6666700000000001E-3</v>
      </c>
      <c r="AS324" s="152">
        <v>3.8097329999999999E-2</v>
      </c>
      <c r="AT324" s="154">
        <v>0</v>
      </c>
      <c r="AU324" s="137">
        <v>6.9939169999999995E-2</v>
      </c>
      <c r="AV324" s="137">
        <v>0</v>
      </c>
      <c r="AW324" s="137">
        <v>19462.538925000001</v>
      </c>
      <c r="AX324" s="137">
        <v>175000.35</v>
      </c>
      <c r="AY324" s="137">
        <v>252875.50575000004</v>
      </c>
      <c r="AZ324" s="137">
        <v>1609.9947633145068</v>
      </c>
      <c r="BA324" s="137">
        <v>19799.755023787482</v>
      </c>
      <c r="BB324" s="137">
        <v>0</v>
      </c>
      <c r="BC324" s="137">
        <v>0</v>
      </c>
      <c r="BD324" s="137">
        <v>0</v>
      </c>
      <c r="BE324" s="137">
        <v>0</v>
      </c>
      <c r="BF324" s="137">
        <v>0</v>
      </c>
      <c r="BG324" s="137">
        <v>0</v>
      </c>
      <c r="BH324" s="137">
        <v>0</v>
      </c>
      <c r="BI324" s="137">
        <v>250000.5</v>
      </c>
      <c r="BJ324" s="137">
        <v>0.99329999999999996</v>
      </c>
      <c r="BK324" s="137">
        <v>4.1666750000000002E-2</v>
      </c>
      <c r="BL324" s="113">
        <v>0</v>
      </c>
      <c r="BM324" s="113" t="s">
        <v>1663</v>
      </c>
      <c r="BN324" s="168">
        <v>0</v>
      </c>
      <c r="BO324" s="152">
        <v>0</v>
      </c>
      <c r="BP324" s="152">
        <v>0</v>
      </c>
      <c r="BQ324" s="137">
        <v>250000.5</v>
      </c>
      <c r="BR324" s="137">
        <v>0</v>
      </c>
      <c r="BS324" s="166" t="s">
        <v>1806</v>
      </c>
      <c r="BT324" s="168">
        <v>8.2722751102449324E-2</v>
      </c>
      <c r="BU324" s="137">
        <v>109649.3796652029</v>
      </c>
      <c r="BV324" s="137">
        <v>17852.544161685495</v>
      </c>
      <c r="BW324" s="137">
        <v>0.16281482135325731</v>
      </c>
      <c r="BX324" s="89">
        <v>0.91727724889755069</v>
      </c>
      <c r="BY324" s="89">
        <v>0</v>
      </c>
      <c r="BZ324" s="153">
        <v>0</v>
      </c>
      <c r="CA324" s="153">
        <v>0</v>
      </c>
      <c r="CB324" s="153">
        <v>45775</v>
      </c>
      <c r="CC324" s="153">
        <v>45775</v>
      </c>
      <c r="CD324" s="153"/>
      <c r="CE324" s="153"/>
      <c r="CF324" s="153"/>
      <c r="CG324" s="34" t="s">
        <v>139</v>
      </c>
      <c r="CH324" s="34" t="s">
        <v>1333</v>
      </c>
    </row>
    <row r="325" spans="1:86" x14ac:dyDescent="0.3">
      <c r="A325" s="34">
        <v>12</v>
      </c>
      <c r="B325" s="34" t="s">
        <v>963</v>
      </c>
      <c r="C325" s="34" t="s">
        <v>1343</v>
      </c>
      <c r="D325" s="34" t="s">
        <v>150</v>
      </c>
      <c r="E325" s="34" t="s">
        <v>1336</v>
      </c>
      <c r="F325" s="34" t="s">
        <v>1805</v>
      </c>
      <c r="G325" s="34"/>
      <c r="H325" s="34" t="s">
        <v>1456</v>
      </c>
      <c r="I325" s="34" t="s">
        <v>966</v>
      </c>
      <c r="J325" s="34" t="s">
        <v>1806</v>
      </c>
      <c r="K325" s="34"/>
      <c r="L325" s="34">
        <v>2.5000000000000001E-3</v>
      </c>
      <c r="M325" s="34">
        <v>8.0000000000000004E-4</v>
      </c>
      <c r="N325" s="153">
        <v>1</v>
      </c>
      <c r="O325" s="34">
        <v>0</v>
      </c>
      <c r="P325" s="34"/>
      <c r="Q325" s="153">
        <v>45300</v>
      </c>
      <c r="R325" s="153">
        <v>46395</v>
      </c>
      <c r="S325" s="153">
        <v>192</v>
      </c>
      <c r="T325" s="34"/>
      <c r="U325" s="153" t="s">
        <v>1325</v>
      </c>
      <c r="V325" s="153" t="s">
        <v>1807</v>
      </c>
      <c r="W325" s="153">
        <v>1</v>
      </c>
      <c r="X325" s="166"/>
      <c r="Y325" s="137"/>
      <c r="Z325" s="137"/>
      <c r="AA325" s="137"/>
      <c r="AB325" s="137">
        <v>0</v>
      </c>
      <c r="AC325" s="137">
        <v>400000000</v>
      </c>
      <c r="AD325" s="137">
        <v>20017500</v>
      </c>
      <c r="AE325" s="137">
        <v>249999.45</v>
      </c>
      <c r="AF325" s="137">
        <v>249999.45</v>
      </c>
      <c r="AG325" s="137">
        <v>250000</v>
      </c>
      <c r="AH325" s="153"/>
      <c r="AI325" s="167">
        <v>0</v>
      </c>
      <c r="AJ325" s="153"/>
      <c r="AK325" s="153"/>
      <c r="AL325" s="154">
        <v>102.3</v>
      </c>
      <c r="AM325" s="154">
        <v>7.85E-2</v>
      </c>
      <c r="AN325" s="168" t="s">
        <v>1326</v>
      </c>
      <c r="AO325" s="168">
        <v>45756</v>
      </c>
      <c r="AP325" s="154">
        <v>0</v>
      </c>
      <c r="AQ325" s="168"/>
      <c r="AR325" s="155">
        <v>9.8039000000000004E-4</v>
      </c>
      <c r="AS325" s="152">
        <v>4.0195000000000002E-2</v>
      </c>
      <c r="AT325" s="154">
        <v>0</v>
      </c>
      <c r="AU325" s="137">
        <v>6.7969870000000002E-2</v>
      </c>
      <c r="AV325" s="137">
        <v>0</v>
      </c>
      <c r="AW325" s="137">
        <v>19624.956825000001</v>
      </c>
      <c r="AX325" s="137">
        <v>0</v>
      </c>
      <c r="AY325" s="137">
        <v>255749.43734999999</v>
      </c>
      <c r="AZ325" s="137">
        <v>407.35961204826799</v>
      </c>
      <c r="BA325" s="137">
        <v>9001.9858960103265</v>
      </c>
      <c r="BB325" s="137">
        <v>0</v>
      </c>
      <c r="BC325" s="137">
        <v>0</v>
      </c>
      <c r="BD325" s="137">
        <v>0</v>
      </c>
      <c r="BE325" s="137">
        <v>0</v>
      </c>
      <c r="BF325" s="137">
        <v>0</v>
      </c>
      <c r="BG325" s="137">
        <v>0</v>
      </c>
      <c r="BH325" s="137">
        <v>0</v>
      </c>
      <c r="BI325" s="137">
        <v>97412.904708811286</v>
      </c>
      <c r="BJ325" s="137">
        <v>0.99760000000000004</v>
      </c>
      <c r="BK325" s="137">
        <v>4.1666575000000004E-2</v>
      </c>
      <c r="BL325" s="113">
        <v>0</v>
      </c>
      <c r="BM325" s="113" t="s">
        <v>1663</v>
      </c>
      <c r="BN325" s="168">
        <v>0</v>
      </c>
      <c r="BO325" s="152">
        <v>0</v>
      </c>
      <c r="BP325" s="152">
        <v>0</v>
      </c>
      <c r="BQ325" s="137">
        <v>249999.45</v>
      </c>
      <c r="BR325" s="137">
        <v>0</v>
      </c>
      <c r="BS325" s="166" t="s">
        <v>1806</v>
      </c>
      <c r="BT325" s="168">
        <v>2.0757223349879547E-2</v>
      </c>
      <c r="BU325" s="137">
        <v>0</v>
      </c>
      <c r="BV325" s="137">
        <v>19217.597212951732</v>
      </c>
      <c r="BW325" s="137">
        <v>0</v>
      </c>
      <c r="BX325" s="89">
        <v>0.97924277665012038</v>
      </c>
      <c r="BY325" s="89">
        <v>0</v>
      </c>
      <c r="BZ325" s="153">
        <v>0</v>
      </c>
      <c r="CA325" s="153">
        <v>0</v>
      </c>
      <c r="CB325" s="153">
        <v>45756</v>
      </c>
      <c r="CC325" s="153">
        <v>45756</v>
      </c>
      <c r="CD325" s="153"/>
      <c r="CE325" s="153"/>
      <c r="CF325" s="153"/>
      <c r="CG325" s="34" t="s">
        <v>139</v>
      </c>
      <c r="CH325" s="34" t="s">
        <v>1333</v>
      </c>
    </row>
    <row r="326" spans="1:86" x14ac:dyDescent="0.3">
      <c r="A326" s="34">
        <v>13</v>
      </c>
      <c r="B326" s="34" t="s">
        <v>995</v>
      </c>
      <c r="C326" s="34" t="s">
        <v>1360</v>
      </c>
      <c r="D326" s="34" t="s">
        <v>159</v>
      </c>
      <c r="E326" s="34" t="s">
        <v>1336</v>
      </c>
      <c r="F326" s="34"/>
      <c r="G326" s="34"/>
      <c r="H326" s="34" t="s">
        <v>1456</v>
      </c>
      <c r="I326" s="34" t="s">
        <v>996</v>
      </c>
      <c r="J326" s="34" t="s">
        <v>1806</v>
      </c>
      <c r="K326" s="34"/>
      <c r="L326" s="34">
        <v>1.7000000000000001E-2</v>
      </c>
      <c r="M326" s="34">
        <v>1.44E-2</v>
      </c>
      <c r="N326" s="153">
        <v>1</v>
      </c>
      <c r="O326" s="34">
        <v>0</v>
      </c>
      <c r="P326" s="34"/>
      <c r="Q326" s="153">
        <v>45701</v>
      </c>
      <c r="R326" s="153">
        <v>46804</v>
      </c>
      <c r="S326" s="153">
        <v>601</v>
      </c>
      <c r="T326" s="34"/>
      <c r="U326" s="153" t="s">
        <v>1325</v>
      </c>
      <c r="V326" s="153" t="s">
        <v>1809</v>
      </c>
      <c r="W326" s="153">
        <v>1</v>
      </c>
      <c r="X326" s="166"/>
      <c r="Y326" s="137"/>
      <c r="Z326" s="137"/>
      <c r="AA326" s="137"/>
      <c r="AB326" s="137">
        <v>0</v>
      </c>
      <c r="AC326" s="137">
        <v>200000000</v>
      </c>
      <c r="AD326" s="137">
        <v>18060000</v>
      </c>
      <c r="AE326" s="137">
        <v>249999.75000000003</v>
      </c>
      <c r="AF326" s="137">
        <v>249999.75000000003</v>
      </c>
      <c r="AG326" s="137">
        <v>250000</v>
      </c>
      <c r="AH326" s="153"/>
      <c r="AI326" s="167">
        <v>0</v>
      </c>
      <c r="AJ326" s="153"/>
      <c r="AK326" s="153"/>
      <c r="AL326" s="154">
        <v>99.85</v>
      </c>
      <c r="AM326" s="154">
        <v>0.1032</v>
      </c>
      <c r="AN326" s="168" t="s">
        <v>1326</v>
      </c>
      <c r="AO326" s="168">
        <v>45784</v>
      </c>
      <c r="AP326" s="154">
        <v>0</v>
      </c>
      <c r="AQ326" s="168"/>
      <c r="AR326" s="155">
        <v>1.4285700000000001E-3</v>
      </c>
      <c r="AS326" s="152">
        <v>6.497E-2</v>
      </c>
      <c r="AT326" s="154">
        <v>0</v>
      </c>
      <c r="AU326" s="137">
        <v>0.10708301000000001</v>
      </c>
      <c r="AV326" s="137">
        <v>0</v>
      </c>
      <c r="AW326" s="137">
        <v>25799.974200000001</v>
      </c>
      <c r="AX326" s="137">
        <v>57488.84287078277</v>
      </c>
      <c r="AY326" s="137">
        <v>249624.750375</v>
      </c>
      <c r="AZ326" s="137">
        <v>3909.5974537345605</v>
      </c>
      <c r="BA326" s="137">
        <v>30579.134360205946</v>
      </c>
      <c r="BB326" s="137">
        <v>0</v>
      </c>
      <c r="BC326" s="137">
        <v>0</v>
      </c>
      <c r="BD326" s="137">
        <v>0</v>
      </c>
      <c r="BE326" s="137">
        <v>0</v>
      </c>
      <c r="BF326" s="137">
        <v>0</v>
      </c>
      <c r="BG326" s="137">
        <v>249999.75000000003</v>
      </c>
      <c r="BH326" s="137">
        <v>249999.75000000003</v>
      </c>
      <c r="BI326" s="137">
        <v>249999.75000000003</v>
      </c>
      <c r="BJ326" s="137">
        <v>0.98329999999999995</v>
      </c>
      <c r="BK326" s="137">
        <v>4.1666625000000006E-2</v>
      </c>
      <c r="BL326" s="113">
        <v>0</v>
      </c>
      <c r="BM326" s="113" t="s">
        <v>1663</v>
      </c>
      <c r="BN326" s="168">
        <v>0</v>
      </c>
      <c r="BO326" s="152">
        <v>0</v>
      </c>
      <c r="BP326" s="152">
        <v>0</v>
      </c>
      <c r="BQ326" s="137">
        <v>249999.75000000003</v>
      </c>
      <c r="BR326" s="137">
        <v>0</v>
      </c>
      <c r="BS326" s="166" t="s">
        <v>1806</v>
      </c>
      <c r="BT326" s="168">
        <v>0.15153493656340788</v>
      </c>
      <c r="BU326" s="137">
        <v>45748.844287078282</v>
      </c>
      <c r="BV326" s="137">
        <v>21890.37674626544</v>
      </c>
      <c r="BW326" s="137">
        <v>0.47849026762077912</v>
      </c>
      <c r="BX326" s="89">
        <v>0.84846506343659212</v>
      </c>
      <c r="BY326" s="89">
        <v>0</v>
      </c>
      <c r="BZ326" s="153">
        <v>0</v>
      </c>
      <c r="CA326" s="153">
        <v>0</v>
      </c>
      <c r="CB326" s="153">
        <v>45784</v>
      </c>
      <c r="CC326" s="153">
        <v>45784</v>
      </c>
      <c r="CD326" s="153"/>
      <c r="CE326" s="153"/>
      <c r="CF326" s="153"/>
      <c r="CG326" s="34" t="s">
        <v>139</v>
      </c>
      <c r="CH326" s="34" t="s">
        <v>1333</v>
      </c>
    </row>
    <row r="327" spans="1:86" x14ac:dyDescent="0.3">
      <c r="A327" s="34">
        <v>14</v>
      </c>
      <c r="B327" s="34" t="s">
        <v>1000</v>
      </c>
      <c r="C327" s="34" t="s">
        <v>1353</v>
      </c>
      <c r="D327" s="34" t="s">
        <v>133</v>
      </c>
      <c r="E327" s="34" t="s">
        <v>1336</v>
      </c>
      <c r="F327" s="34"/>
      <c r="G327" s="34"/>
      <c r="H327" s="34" t="s">
        <v>1456</v>
      </c>
      <c r="I327" s="34" t="s">
        <v>1003</v>
      </c>
      <c r="J327" s="34" t="s">
        <v>1806</v>
      </c>
      <c r="K327" s="34"/>
      <c r="L327" s="34">
        <v>9.7000000000000003E-3</v>
      </c>
      <c r="M327" s="34">
        <v>6.0000000000000001E-3</v>
      </c>
      <c r="N327" s="153">
        <v>1</v>
      </c>
      <c r="O327" s="34">
        <v>0</v>
      </c>
      <c r="P327" s="34"/>
      <c r="Q327" s="153">
        <v>45104</v>
      </c>
      <c r="R327" s="153">
        <v>46332</v>
      </c>
      <c r="S327" s="153">
        <v>129</v>
      </c>
      <c r="T327" s="34"/>
      <c r="U327" s="153" t="s">
        <v>1325</v>
      </c>
      <c r="V327" s="153" t="s">
        <v>1807</v>
      </c>
      <c r="W327" s="153">
        <v>1</v>
      </c>
      <c r="X327" s="166"/>
      <c r="Y327" s="137"/>
      <c r="Z327" s="137"/>
      <c r="AA327" s="137"/>
      <c r="AB327" s="137">
        <v>0</v>
      </c>
      <c r="AC327" s="137">
        <v>150000000</v>
      </c>
      <c r="AD327" s="137">
        <v>12256230</v>
      </c>
      <c r="AE327" s="137">
        <v>250000.5</v>
      </c>
      <c r="AF327" s="137">
        <v>250000.5</v>
      </c>
      <c r="AG327" s="137">
        <v>250000</v>
      </c>
      <c r="AH327" s="153"/>
      <c r="AI327" s="167">
        <v>0</v>
      </c>
      <c r="AJ327" s="153"/>
      <c r="AK327" s="153"/>
      <c r="AL327" s="154">
        <v>102.4</v>
      </c>
      <c r="AM327" s="154">
        <v>8.1708199999999995E-2</v>
      </c>
      <c r="AN327" s="168" t="s">
        <v>1326</v>
      </c>
      <c r="AO327" s="168">
        <v>45763</v>
      </c>
      <c r="AP327" s="154">
        <v>0</v>
      </c>
      <c r="AQ327" s="168"/>
      <c r="AR327" s="155">
        <v>1.6666700000000001E-3</v>
      </c>
      <c r="AS327" s="152">
        <v>4.3428769999999998E-2</v>
      </c>
      <c r="AT327" s="154">
        <v>0</v>
      </c>
      <c r="AU327" s="137">
        <v>6.8990380000000004E-2</v>
      </c>
      <c r="AV327" s="137">
        <v>0</v>
      </c>
      <c r="AW327" s="137">
        <v>20427.090854099999</v>
      </c>
      <c r="AX327" s="137">
        <v>25000.05</v>
      </c>
      <c r="AY327" s="137">
        <v>256000.51200000002</v>
      </c>
      <c r="AZ327" s="137">
        <v>1946.8788937500001</v>
      </c>
      <c r="BA327" s="137">
        <v>20829.125148716455</v>
      </c>
      <c r="BB327" s="137">
        <v>0</v>
      </c>
      <c r="BC327" s="137">
        <v>0</v>
      </c>
      <c r="BD327" s="137">
        <v>0</v>
      </c>
      <c r="BE327" s="137">
        <v>0</v>
      </c>
      <c r="BF327" s="137">
        <v>0</v>
      </c>
      <c r="BG327" s="137">
        <v>0</v>
      </c>
      <c r="BH327" s="137">
        <v>0</v>
      </c>
      <c r="BI327" s="137">
        <v>250000.5</v>
      </c>
      <c r="BJ327" s="137">
        <v>0.99029999999999996</v>
      </c>
      <c r="BK327" s="137">
        <v>4.1666750000000002E-2</v>
      </c>
      <c r="BL327" s="113">
        <v>0</v>
      </c>
      <c r="BM327" s="113" t="s">
        <v>1663</v>
      </c>
      <c r="BN327" s="168">
        <v>0</v>
      </c>
      <c r="BO327" s="152">
        <v>0</v>
      </c>
      <c r="BP327" s="152">
        <v>0</v>
      </c>
      <c r="BQ327" s="137">
        <v>250000.5</v>
      </c>
      <c r="BR327" s="137">
        <v>0</v>
      </c>
      <c r="BS327" s="166" t="s">
        <v>1806</v>
      </c>
      <c r="BT327" s="168">
        <v>9.5308671589877159E-2</v>
      </c>
      <c r="BU327" s="137">
        <v>29062.558125</v>
      </c>
      <c r="BV327" s="137">
        <v>18480.21196035</v>
      </c>
      <c r="BW327" s="137">
        <v>0.63587698924731184</v>
      </c>
      <c r="BX327" s="89">
        <v>0.9046913284101229</v>
      </c>
      <c r="BY327" s="89">
        <v>0</v>
      </c>
      <c r="BZ327" s="153">
        <v>0</v>
      </c>
      <c r="CA327" s="153">
        <v>0</v>
      </c>
      <c r="CB327" s="153">
        <v>45763</v>
      </c>
      <c r="CC327" s="153">
        <v>45763</v>
      </c>
      <c r="CD327" s="153"/>
      <c r="CE327" s="153"/>
      <c r="CF327" s="153"/>
      <c r="CG327" s="34" t="s">
        <v>1347</v>
      </c>
      <c r="CH327" s="34" t="s">
        <v>1333</v>
      </c>
    </row>
    <row r="328" spans="1:86" x14ac:dyDescent="0.3">
      <c r="A328" s="34">
        <v>15</v>
      </c>
      <c r="B328" s="34" t="s">
        <v>1028</v>
      </c>
      <c r="C328" s="34" t="s">
        <v>1339</v>
      </c>
      <c r="D328" s="34" t="s">
        <v>528</v>
      </c>
      <c r="E328" s="34" t="s">
        <v>1340</v>
      </c>
      <c r="F328" s="34" t="s">
        <v>1808</v>
      </c>
      <c r="G328" s="34"/>
      <c r="H328" s="34" t="s">
        <v>1456</v>
      </c>
      <c r="I328" s="34" t="s">
        <v>1029</v>
      </c>
      <c r="J328" s="34" t="s">
        <v>1806</v>
      </c>
      <c r="K328" s="34"/>
      <c r="L328" s="34">
        <v>8.5000000000000006E-3</v>
      </c>
      <c r="M328" s="34">
        <v>7.7000000000000002E-3</v>
      </c>
      <c r="N328" s="153">
        <v>1</v>
      </c>
      <c r="O328" s="34">
        <v>0</v>
      </c>
      <c r="P328" s="34"/>
      <c r="Q328" s="153">
        <v>45267</v>
      </c>
      <c r="R328" s="153">
        <v>46363</v>
      </c>
      <c r="S328" s="153">
        <v>160</v>
      </c>
      <c r="T328" s="34"/>
      <c r="U328" s="153" t="s">
        <v>1325</v>
      </c>
      <c r="V328" s="153" t="s">
        <v>1807</v>
      </c>
      <c r="W328" s="153">
        <v>1</v>
      </c>
      <c r="X328" s="166"/>
      <c r="Y328" s="137"/>
      <c r="Z328" s="137"/>
      <c r="AA328" s="137"/>
      <c r="AB328" s="137">
        <v>0</v>
      </c>
      <c r="AC328" s="137">
        <v>1000000000</v>
      </c>
      <c r="AD328" s="137">
        <v>27960000</v>
      </c>
      <c r="AE328" s="137">
        <v>249999</v>
      </c>
      <c r="AF328" s="137">
        <v>249999</v>
      </c>
      <c r="AG328" s="137">
        <v>250000</v>
      </c>
      <c r="AH328" s="153"/>
      <c r="AI328" s="167">
        <v>0</v>
      </c>
      <c r="AJ328" s="153"/>
      <c r="AK328" s="153"/>
      <c r="AL328" s="154">
        <v>103.95</v>
      </c>
      <c r="AM328" s="154">
        <v>9.3200000000000005E-2</v>
      </c>
      <c r="AN328" s="168" t="s">
        <v>1326</v>
      </c>
      <c r="AO328" s="168">
        <v>45751</v>
      </c>
      <c r="AP328" s="154">
        <v>0</v>
      </c>
      <c r="AQ328" s="168"/>
      <c r="AR328" s="155">
        <v>8.3332999999999996E-4</v>
      </c>
      <c r="AS328" s="152">
        <v>5.500062E-2</v>
      </c>
      <c r="AT328" s="154">
        <v>0</v>
      </c>
      <c r="AU328" s="137">
        <v>7.1253140000000006E-2</v>
      </c>
      <c r="AV328" s="137">
        <v>0</v>
      </c>
      <c r="AW328" s="137">
        <v>23299.906800000001</v>
      </c>
      <c r="AX328" s="137">
        <v>24999.899999999994</v>
      </c>
      <c r="AY328" s="137">
        <v>259873.96050000002</v>
      </c>
      <c r="AZ328" s="137">
        <v>2019.6864694769981</v>
      </c>
      <c r="BA328" s="137">
        <v>22128.200213811611</v>
      </c>
      <c r="BB328" s="137">
        <v>0</v>
      </c>
      <c r="BC328" s="137">
        <v>0</v>
      </c>
      <c r="BD328" s="137">
        <v>0</v>
      </c>
      <c r="BE328" s="137">
        <v>0</v>
      </c>
      <c r="BF328" s="137">
        <v>0</v>
      </c>
      <c r="BG328" s="137">
        <v>0</v>
      </c>
      <c r="BH328" s="137">
        <v>0</v>
      </c>
      <c r="BI328" s="137">
        <v>249999</v>
      </c>
      <c r="BJ328" s="137">
        <v>0.99150000000000005</v>
      </c>
      <c r="BK328" s="137">
        <v>4.1666500000000002E-2</v>
      </c>
      <c r="BL328" s="113">
        <v>0</v>
      </c>
      <c r="BM328" s="113" t="s">
        <v>1663</v>
      </c>
      <c r="BN328" s="168">
        <v>0</v>
      </c>
      <c r="BO328" s="152">
        <v>0</v>
      </c>
      <c r="BP328" s="152">
        <v>0</v>
      </c>
      <c r="BQ328" s="137">
        <v>249999</v>
      </c>
      <c r="BR328" s="137">
        <v>0</v>
      </c>
      <c r="BS328" s="166" t="s">
        <v>1806</v>
      </c>
      <c r="BT328" s="168">
        <v>8.6682169453012492E-2</v>
      </c>
      <c r="BU328" s="137">
        <v>54999.78</v>
      </c>
      <c r="BV328" s="137">
        <v>21280.220330523003</v>
      </c>
      <c r="BW328" s="137">
        <v>0.38691464457717839</v>
      </c>
      <c r="BX328" s="89">
        <v>0.91331783054698756</v>
      </c>
      <c r="BY328" s="89">
        <v>0</v>
      </c>
      <c r="BZ328" s="153">
        <v>0</v>
      </c>
      <c r="CA328" s="153">
        <v>0</v>
      </c>
      <c r="CB328" s="153">
        <v>45751</v>
      </c>
      <c r="CC328" s="153">
        <v>45751</v>
      </c>
      <c r="CD328" s="153"/>
      <c r="CE328" s="153"/>
      <c r="CF328" s="153"/>
      <c r="CG328" s="34" t="s">
        <v>139</v>
      </c>
      <c r="CH328" s="34" t="s">
        <v>1329</v>
      </c>
    </row>
    <row r="329" spans="1:86" x14ac:dyDescent="0.3">
      <c r="A329" s="34">
        <v>16</v>
      </c>
      <c r="B329" s="34" t="s">
        <v>1061</v>
      </c>
      <c r="C329" s="34" t="s">
        <v>1354</v>
      </c>
      <c r="D329" s="34" t="s">
        <v>133</v>
      </c>
      <c r="E329" s="34" t="s">
        <v>1336</v>
      </c>
      <c r="F329" s="34" t="s">
        <v>1805</v>
      </c>
      <c r="G329" s="34"/>
      <c r="H329" s="34" t="s">
        <v>1456</v>
      </c>
      <c r="I329" s="34" t="s">
        <v>1064</v>
      </c>
      <c r="J329" s="34" t="s">
        <v>1806</v>
      </c>
      <c r="K329" s="34"/>
      <c r="L329" s="34">
        <v>1.7600000000000001E-2</v>
      </c>
      <c r="M329" s="34">
        <v>0</v>
      </c>
      <c r="N329" s="153">
        <v>1</v>
      </c>
      <c r="O329" s="34">
        <v>0</v>
      </c>
      <c r="P329" s="34"/>
      <c r="Q329" s="153">
        <v>45287</v>
      </c>
      <c r="R329" s="153">
        <v>46395</v>
      </c>
      <c r="S329" s="153">
        <v>192</v>
      </c>
      <c r="T329" s="34"/>
      <c r="U329" s="153" t="s">
        <v>1325</v>
      </c>
      <c r="V329" s="153" t="s">
        <v>1807</v>
      </c>
      <c r="W329" s="153">
        <v>1</v>
      </c>
      <c r="X329" s="166"/>
      <c r="Y329" s="137"/>
      <c r="Z329" s="137"/>
      <c r="AA329" s="137"/>
      <c r="AB329" s="137">
        <v>0</v>
      </c>
      <c r="AC329" s="137">
        <v>301000000</v>
      </c>
      <c r="AD329" s="137">
        <v>20180000</v>
      </c>
      <c r="AE329" s="137">
        <v>250000</v>
      </c>
      <c r="AF329" s="137">
        <v>250000</v>
      </c>
      <c r="AG329" s="137">
        <v>250000</v>
      </c>
      <c r="AH329" s="153"/>
      <c r="AI329" s="167">
        <v>0</v>
      </c>
      <c r="AJ329" s="153"/>
      <c r="AK329" s="153"/>
      <c r="AL329" s="154">
        <v>103.1</v>
      </c>
      <c r="AM329" s="154">
        <v>0.1009</v>
      </c>
      <c r="AN329" s="168" t="s">
        <v>1326</v>
      </c>
      <c r="AO329" s="168">
        <v>45770</v>
      </c>
      <c r="AP329" s="154">
        <v>0</v>
      </c>
      <c r="AQ329" s="168"/>
      <c r="AR329" s="155">
        <v>1.25E-3</v>
      </c>
      <c r="AS329" s="152">
        <v>6.2344139999999999E-2</v>
      </c>
      <c r="AT329" s="154">
        <v>0</v>
      </c>
      <c r="AU329" s="137">
        <v>8.4681469999999995E-2</v>
      </c>
      <c r="AV329" s="137">
        <v>0</v>
      </c>
      <c r="AW329" s="137">
        <v>25225.000000000004</v>
      </c>
      <c r="AX329" s="137">
        <v>231719.34507808808</v>
      </c>
      <c r="AY329" s="137">
        <v>257750</v>
      </c>
      <c r="AZ329" s="137">
        <v>3592.3576575519778</v>
      </c>
      <c r="BA329" s="137">
        <v>28646.096371683623</v>
      </c>
      <c r="BB329" s="137">
        <v>0</v>
      </c>
      <c r="BC329" s="137">
        <v>0</v>
      </c>
      <c r="BD329" s="137">
        <v>0</v>
      </c>
      <c r="BE329" s="137">
        <v>0</v>
      </c>
      <c r="BF329" s="137">
        <v>0</v>
      </c>
      <c r="BG329" s="137">
        <v>175034.94974073794</v>
      </c>
      <c r="BH329" s="137">
        <v>250000.00103749998</v>
      </c>
      <c r="BI329" s="137">
        <v>250000.00103749998</v>
      </c>
      <c r="BJ329" s="137">
        <v>0.9829</v>
      </c>
      <c r="BK329" s="137">
        <v>4.1666666666666664E-2</v>
      </c>
      <c r="BL329" s="113">
        <v>0</v>
      </c>
      <c r="BM329" s="113" t="s">
        <v>1663</v>
      </c>
      <c r="BN329" s="168">
        <v>0</v>
      </c>
      <c r="BO329" s="152">
        <v>0</v>
      </c>
      <c r="BP329" s="152">
        <v>0</v>
      </c>
      <c r="BQ329" s="137">
        <v>250000</v>
      </c>
      <c r="BR329" s="137">
        <v>0</v>
      </c>
      <c r="BS329" s="166" t="s">
        <v>1806</v>
      </c>
      <c r="BT329" s="168">
        <v>0.14241259296539058</v>
      </c>
      <c r="BU329" s="137">
        <v>218048.36203450948</v>
      </c>
      <c r="BV329" s="137">
        <v>21632.642342448027</v>
      </c>
      <c r="BW329" s="137">
        <v>9.9210295095105233E-2</v>
      </c>
      <c r="BX329" s="89">
        <v>0.85758740703460945</v>
      </c>
      <c r="BY329" s="89">
        <v>0</v>
      </c>
      <c r="BZ329" s="153">
        <v>0</v>
      </c>
      <c r="CA329" s="153">
        <v>0</v>
      </c>
      <c r="CB329" s="153">
        <v>45770</v>
      </c>
      <c r="CC329" s="153">
        <v>45770</v>
      </c>
      <c r="CD329" s="153"/>
      <c r="CE329" s="153"/>
      <c r="CF329" s="153"/>
      <c r="CG329" s="34" t="s">
        <v>139</v>
      </c>
      <c r="CH329" s="34" t="s">
        <v>1333</v>
      </c>
    </row>
    <row r="330" spans="1:86" x14ac:dyDescent="0.3">
      <c r="A330" s="34">
        <v>17</v>
      </c>
      <c r="B330" s="34" t="s">
        <v>1061</v>
      </c>
      <c r="C330" s="34" t="s">
        <v>1354</v>
      </c>
      <c r="D330" s="34" t="s">
        <v>133</v>
      </c>
      <c r="E330" s="34" t="s">
        <v>1336</v>
      </c>
      <c r="F330" s="34" t="s">
        <v>1805</v>
      </c>
      <c r="G330" s="34"/>
      <c r="H330" s="34" t="s">
        <v>1456</v>
      </c>
      <c r="I330" s="34" t="s">
        <v>1064</v>
      </c>
      <c r="J330" s="34" t="s">
        <v>1806</v>
      </c>
      <c r="K330" s="34"/>
      <c r="L330" s="34">
        <v>1.7600000000000001E-2</v>
      </c>
      <c r="M330" s="34">
        <v>0</v>
      </c>
      <c r="N330" s="153">
        <v>1</v>
      </c>
      <c r="O330" s="34">
        <v>0</v>
      </c>
      <c r="P330" s="34"/>
      <c r="Q330" s="153">
        <v>45287</v>
      </c>
      <c r="R330" s="153">
        <v>46395</v>
      </c>
      <c r="S330" s="153">
        <v>192</v>
      </c>
      <c r="T330" s="34"/>
      <c r="U330" s="153" t="s">
        <v>1325</v>
      </c>
      <c r="V330" s="153" t="s">
        <v>1807</v>
      </c>
      <c r="W330" s="153">
        <v>1</v>
      </c>
      <c r="X330" s="166"/>
      <c r="Y330" s="137"/>
      <c r="Z330" s="137"/>
      <c r="AA330" s="137"/>
      <c r="AB330" s="137">
        <v>0</v>
      </c>
      <c r="AC330" s="137">
        <v>301000000</v>
      </c>
      <c r="AD330" s="137">
        <v>20180000</v>
      </c>
      <c r="AE330" s="137">
        <v>250000</v>
      </c>
      <c r="AF330" s="137">
        <v>250000</v>
      </c>
      <c r="AG330" s="137">
        <v>250000</v>
      </c>
      <c r="AH330" s="153"/>
      <c r="AI330" s="167">
        <v>0</v>
      </c>
      <c r="AJ330" s="153"/>
      <c r="AK330" s="153"/>
      <c r="AL330" s="154">
        <v>103.6</v>
      </c>
      <c r="AM330" s="154">
        <v>0.1009</v>
      </c>
      <c r="AN330" s="168" t="s">
        <v>1326</v>
      </c>
      <c r="AO330" s="168">
        <v>45889</v>
      </c>
      <c r="AP330" s="154">
        <v>0</v>
      </c>
      <c r="AQ330" s="168"/>
      <c r="AR330" s="155">
        <v>1.25E-3</v>
      </c>
      <c r="AS330" s="152">
        <v>6.2344139999999999E-2</v>
      </c>
      <c r="AT330" s="154">
        <v>0</v>
      </c>
      <c r="AU330" s="137">
        <v>7.6477260000000005E-2</v>
      </c>
      <c r="AV330" s="137">
        <v>0</v>
      </c>
      <c r="AW330" s="137">
        <v>25225.000000000004</v>
      </c>
      <c r="AX330" s="137">
        <v>231719.34507808808</v>
      </c>
      <c r="AY330" s="137">
        <v>259000</v>
      </c>
      <c r="AZ330" s="137">
        <v>3592.3576575519778</v>
      </c>
      <c r="BA330" s="137">
        <v>28646.096371683623</v>
      </c>
      <c r="BB330" s="137">
        <v>0</v>
      </c>
      <c r="BC330" s="137">
        <v>0</v>
      </c>
      <c r="BD330" s="137">
        <v>0</v>
      </c>
      <c r="BE330" s="137">
        <v>0</v>
      </c>
      <c r="BF330" s="137">
        <v>0</v>
      </c>
      <c r="BG330" s="137">
        <v>175034.94974073794</v>
      </c>
      <c r="BH330" s="137">
        <v>250000.00103749998</v>
      </c>
      <c r="BI330" s="137">
        <v>250000.00103749998</v>
      </c>
      <c r="BJ330" s="137">
        <v>0.9829</v>
      </c>
      <c r="BK330" s="137">
        <v>4.1666666666666664E-2</v>
      </c>
      <c r="BL330" s="113">
        <v>0</v>
      </c>
      <c r="BM330" s="113" t="s">
        <v>1663</v>
      </c>
      <c r="BN330" s="168">
        <v>0</v>
      </c>
      <c r="BO330" s="152">
        <v>0</v>
      </c>
      <c r="BP330" s="152">
        <v>0</v>
      </c>
      <c r="BQ330" s="137">
        <v>250000</v>
      </c>
      <c r="BR330" s="137">
        <v>0</v>
      </c>
      <c r="BS330" s="166" t="s">
        <v>1806</v>
      </c>
      <c r="BT330" s="168">
        <v>0.14241259296539058</v>
      </c>
      <c r="BU330" s="137">
        <v>218048.36203450948</v>
      </c>
      <c r="BV330" s="137">
        <v>21632.642342448027</v>
      </c>
      <c r="BW330" s="137">
        <v>9.9210295095105233E-2</v>
      </c>
      <c r="BX330" s="89">
        <v>0.85758740703460945</v>
      </c>
      <c r="BY330" s="89">
        <v>0</v>
      </c>
      <c r="BZ330" s="153">
        <v>0</v>
      </c>
      <c r="CA330" s="153">
        <v>0</v>
      </c>
      <c r="CB330" s="153">
        <v>45889</v>
      </c>
      <c r="CC330" s="153">
        <v>45889</v>
      </c>
      <c r="CD330" s="153"/>
      <c r="CE330" s="153"/>
      <c r="CF330" s="153"/>
      <c r="CG330" s="34" t="s">
        <v>139</v>
      </c>
      <c r="CH330" s="34" t="s">
        <v>1333</v>
      </c>
    </row>
    <row r="331" spans="1:86" x14ac:dyDescent="0.3">
      <c r="A331" s="34">
        <v>18</v>
      </c>
      <c r="B331" s="34" t="s">
        <v>1099</v>
      </c>
      <c r="C331" s="34" t="s">
        <v>1358</v>
      </c>
      <c r="D331" s="34" t="s">
        <v>133</v>
      </c>
      <c r="E331" s="34" t="s">
        <v>1336</v>
      </c>
      <c r="F331" s="34" t="s">
        <v>1805</v>
      </c>
      <c r="G331" s="34"/>
      <c r="H331" s="34" t="s">
        <v>1456</v>
      </c>
      <c r="I331" s="34" t="s">
        <v>1100</v>
      </c>
      <c r="J331" s="34" t="s">
        <v>1806</v>
      </c>
      <c r="K331" s="34"/>
      <c r="L331" s="34">
        <v>7.0000000000000001E-3</v>
      </c>
      <c r="M331" s="34">
        <v>0</v>
      </c>
      <c r="N331" s="153">
        <v>1</v>
      </c>
      <c r="O331" s="34">
        <v>0</v>
      </c>
      <c r="P331" s="34"/>
      <c r="Q331" s="153">
        <v>45126</v>
      </c>
      <c r="R331" s="153">
        <v>46241</v>
      </c>
      <c r="S331" s="153">
        <v>38</v>
      </c>
      <c r="T331" s="34"/>
      <c r="U331" s="153" t="s">
        <v>1325</v>
      </c>
      <c r="V331" s="153" t="s">
        <v>1807</v>
      </c>
      <c r="W331" s="153">
        <v>1</v>
      </c>
      <c r="X331" s="166"/>
      <c r="Y331" s="137"/>
      <c r="Z331" s="137"/>
      <c r="AA331" s="137"/>
      <c r="AB331" s="137">
        <v>0</v>
      </c>
      <c r="AC331" s="137">
        <v>300000000</v>
      </c>
      <c r="AD331" s="137">
        <v>10040000</v>
      </c>
      <c r="AE331" s="137">
        <v>250000</v>
      </c>
      <c r="AF331" s="137">
        <v>250000</v>
      </c>
      <c r="AG331" s="137">
        <v>250000</v>
      </c>
      <c r="AH331" s="153"/>
      <c r="AI331" s="167">
        <v>0</v>
      </c>
      <c r="AJ331" s="153"/>
      <c r="AK331" s="153"/>
      <c r="AL331" s="154">
        <v>101.95</v>
      </c>
      <c r="AM331" s="154">
        <v>0.1004</v>
      </c>
      <c r="AN331" s="168" t="s">
        <v>1326</v>
      </c>
      <c r="AO331" s="168">
        <v>45777</v>
      </c>
      <c r="AP331" s="154">
        <v>0</v>
      </c>
      <c r="AQ331" s="168"/>
      <c r="AR331" s="155">
        <v>2.5000000000000001E-3</v>
      </c>
      <c r="AS331" s="152">
        <v>6.1561049999999999E-2</v>
      </c>
      <c r="AT331" s="154">
        <v>0</v>
      </c>
      <c r="AU331" s="137">
        <v>8.6950429999999995E-2</v>
      </c>
      <c r="AV331" s="137">
        <v>0</v>
      </c>
      <c r="AW331" s="137">
        <v>25100.000000000004</v>
      </c>
      <c r="AX331" s="137">
        <v>26124.122320711173</v>
      </c>
      <c r="AY331" s="137">
        <v>254875</v>
      </c>
      <c r="AZ331" s="137">
        <v>962.19950362076725</v>
      </c>
      <c r="BA331" s="137">
        <v>13617.280628733683</v>
      </c>
      <c r="BB331" s="137">
        <v>0</v>
      </c>
      <c r="BC331" s="137">
        <v>0</v>
      </c>
      <c r="BD331" s="137">
        <v>0</v>
      </c>
      <c r="BE331" s="137">
        <v>0</v>
      </c>
      <c r="BF331" s="137">
        <v>0</v>
      </c>
      <c r="BG331" s="137">
        <v>0</v>
      </c>
      <c r="BH331" s="137">
        <v>0</v>
      </c>
      <c r="BI331" s="137">
        <v>233793.04499264315</v>
      </c>
      <c r="BJ331" s="137">
        <v>0.99380000000000002</v>
      </c>
      <c r="BK331" s="137">
        <v>4.1666666666666664E-2</v>
      </c>
      <c r="BL331" s="113">
        <v>0</v>
      </c>
      <c r="BM331" s="113" t="s">
        <v>1663</v>
      </c>
      <c r="BN331" s="168">
        <v>0</v>
      </c>
      <c r="BO331" s="152">
        <v>0</v>
      </c>
      <c r="BP331" s="152">
        <v>0</v>
      </c>
      <c r="BQ331" s="137">
        <v>250000</v>
      </c>
      <c r="BR331" s="137">
        <v>0</v>
      </c>
      <c r="BS331" s="166" t="s">
        <v>1806</v>
      </c>
      <c r="BT331" s="168">
        <v>3.8334641578516619E-2</v>
      </c>
      <c r="BU331" s="137">
        <v>24883.360704355491</v>
      </c>
      <c r="BV331" s="137">
        <v>24137.800496379237</v>
      </c>
      <c r="BW331" s="137">
        <v>0.97003780088893887</v>
      </c>
      <c r="BX331" s="89">
        <v>0.96166535842148337</v>
      </c>
      <c r="BY331" s="89">
        <v>0</v>
      </c>
      <c r="BZ331" s="153">
        <v>0</v>
      </c>
      <c r="CA331" s="153">
        <v>0</v>
      </c>
      <c r="CB331" s="153">
        <v>45777</v>
      </c>
      <c r="CC331" s="153">
        <v>45777</v>
      </c>
      <c r="CD331" s="153"/>
      <c r="CE331" s="153"/>
      <c r="CF331" s="153"/>
      <c r="CG331" s="34" t="s">
        <v>139</v>
      </c>
      <c r="CH331" s="34" t="s">
        <v>1333</v>
      </c>
    </row>
    <row r="332" spans="1:86" x14ac:dyDescent="0.3">
      <c r="A332" s="34">
        <v>19</v>
      </c>
      <c r="B332" s="34" t="s">
        <v>1114</v>
      </c>
      <c r="C332" s="34" t="s">
        <v>1342</v>
      </c>
      <c r="D332" s="34" t="s">
        <v>150</v>
      </c>
      <c r="E332" s="34" t="s">
        <v>1336</v>
      </c>
      <c r="F332" s="34" t="s">
        <v>1805</v>
      </c>
      <c r="G332" s="34"/>
      <c r="H332" s="34" t="s">
        <v>1456</v>
      </c>
      <c r="I332" s="34" t="s">
        <v>1117</v>
      </c>
      <c r="J332" s="34" t="s">
        <v>1806</v>
      </c>
      <c r="K332" s="34"/>
      <c r="L332" s="34">
        <v>1.4999999999999999E-2</v>
      </c>
      <c r="M332" s="34">
        <v>9.1999999999999998E-3</v>
      </c>
      <c r="N332" s="153">
        <v>1</v>
      </c>
      <c r="O332" s="34">
        <v>0</v>
      </c>
      <c r="P332" s="34"/>
      <c r="Q332" s="153">
        <v>45649</v>
      </c>
      <c r="R332" s="153">
        <v>46849</v>
      </c>
      <c r="S332" s="153">
        <v>646</v>
      </c>
      <c r="T332" s="34"/>
      <c r="U332" s="153" t="s">
        <v>1325</v>
      </c>
      <c r="V332" s="153" t="s">
        <v>1807</v>
      </c>
      <c r="W332" s="153">
        <v>1</v>
      </c>
      <c r="X332" s="166"/>
      <c r="Y332" s="137"/>
      <c r="Z332" s="137"/>
      <c r="AA332" s="137"/>
      <c r="AB332" s="137">
        <v>0</v>
      </c>
      <c r="AC332" s="137">
        <v>300000000</v>
      </c>
      <c r="AD332" s="137">
        <v>17920000</v>
      </c>
      <c r="AE332" s="137">
        <v>250000</v>
      </c>
      <c r="AF332" s="137">
        <v>250000</v>
      </c>
      <c r="AG332" s="137">
        <v>250000</v>
      </c>
      <c r="AH332" s="153"/>
      <c r="AI332" s="167">
        <v>0</v>
      </c>
      <c r="AJ332" s="153"/>
      <c r="AK332" s="153"/>
      <c r="AL332" s="154">
        <v>100.65</v>
      </c>
      <c r="AM332" s="154">
        <v>8.9599999999999999E-2</v>
      </c>
      <c r="AN332" s="168" t="s">
        <v>1326</v>
      </c>
      <c r="AO332" s="168">
        <v>45755</v>
      </c>
      <c r="AP332" s="154">
        <v>0</v>
      </c>
      <c r="AQ332" s="168"/>
      <c r="AR332" s="155">
        <v>1.25E-3</v>
      </c>
      <c r="AS332" s="152">
        <v>5.1341879999999999E-2</v>
      </c>
      <c r="AT332" s="154">
        <v>0</v>
      </c>
      <c r="AU332" s="137">
        <v>9.0424110000000002E-2</v>
      </c>
      <c r="AV332" s="137">
        <v>0</v>
      </c>
      <c r="AW332" s="137">
        <v>22400</v>
      </c>
      <c r="AX332" s="137">
        <v>103534.37975686407</v>
      </c>
      <c r="AY332" s="137">
        <v>251625</v>
      </c>
      <c r="AZ332" s="137">
        <v>2970.2306110109021</v>
      </c>
      <c r="BA332" s="137">
        <v>25886.92579951205</v>
      </c>
      <c r="BB332" s="137">
        <v>0</v>
      </c>
      <c r="BC332" s="137">
        <v>0</v>
      </c>
      <c r="BD332" s="137">
        <v>0</v>
      </c>
      <c r="BE332" s="137">
        <v>0</v>
      </c>
      <c r="BF332" s="137">
        <v>0</v>
      </c>
      <c r="BG332" s="137">
        <v>75931.153607653789</v>
      </c>
      <c r="BH332" s="137">
        <v>212102.31331062448</v>
      </c>
      <c r="BI332" s="137">
        <v>250000.00125</v>
      </c>
      <c r="BJ332" s="137">
        <v>0.98550000000000004</v>
      </c>
      <c r="BK332" s="137">
        <v>4.1666666666666664E-2</v>
      </c>
      <c r="BL332" s="113">
        <v>0</v>
      </c>
      <c r="BM332" s="113" t="s">
        <v>1663</v>
      </c>
      <c r="BN332" s="168">
        <v>0</v>
      </c>
      <c r="BO332" s="152">
        <v>0</v>
      </c>
      <c r="BP332" s="152">
        <v>0</v>
      </c>
      <c r="BQ332" s="137">
        <v>250000</v>
      </c>
      <c r="BR332" s="137">
        <v>0</v>
      </c>
      <c r="BS332" s="166" t="s">
        <v>1806</v>
      </c>
      <c r="BT332" s="168">
        <v>0.13259958084870099</v>
      </c>
      <c r="BU332" s="137">
        <v>73396.866118346283</v>
      </c>
      <c r="BV332" s="137">
        <v>19429.769388989098</v>
      </c>
      <c r="BW332" s="137">
        <v>0.26472205717421537</v>
      </c>
      <c r="BX332" s="89">
        <v>0.86740041915129906</v>
      </c>
      <c r="BY332" s="89">
        <v>0</v>
      </c>
      <c r="BZ332" s="153">
        <v>0</v>
      </c>
      <c r="CA332" s="153">
        <v>0</v>
      </c>
      <c r="CB332" s="153">
        <v>45755</v>
      </c>
      <c r="CC332" s="153">
        <v>45755</v>
      </c>
      <c r="CD332" s="153"/>
      <c r="CE332" s="153"/>
      <c r="CF332" s="153"/>
      <c r="CG332" s="34" t="s">
        <v>139</v>
      </c>
      <c r="CH332" s="34" t="s">
        <v>1333</v>
      </c>
    </row>
    <row r="333" spans="1:86" x14ac:dyDescent="0.3">
      <c r="A333" s="34">
        <v>20</v>
      </c>
      <c r="B333" s="34" t="s">
        <v>1120</v>
      </c>
      <c r="C333" s="34" t="s">
        <v>1331</v>
      </c>
      <c r="D333" s="34" t="s">
        <v>159</v>
      </c>
      <c r="E333" s="34" t="s">
        <v>1332</v>
      </c>
      <c r="F333" s="34" t="s">
        <v>1805</v>
      </c>
      <c r="G333" s="34"/>
      <c r="H333" s="34" t="s">
        <v>1456</v>
      </c>
      <c r="I333" s="34" t="s">
        <v>1121</v>
      </c>
      <c r="J333" s="34" t="s">
        <v>1806</v>
      </c>
      <c r="K333" s="34"/>
      <c r="L333" s="34">
        <v>3.3399999999999999E-2</v>
      </c>
      <c r="M333" s="34">
        <v>3.1300000000000001E-2</v>
      </c>
      <c r="N333" s="153">
        <v>1</v>
      </c>
      <c r="O333" s="34">
        <v>0</v>
      </c>
      <c r="P333" s="34"/>
      <c r="Q333" s="153">
        <v>45686</v>
      </c>
      <c r="R333" s="153">
        <v>46850</v>
      </c>
      <c r="S333" s="153">
        <v>647</v>
      </c>
      <c r="T333" s="34"/>
      <c r="U333" s="153" t="s">
        <v>1325</v>
      </c>
      <c r="V333" s="153" t="s">
        <v>1809</v>
      </c>
      <c r="W333" s="153">
        <v>1</v>
      </c>
      <c r="X333" s="166"/>
      <c r="Y333" s="137"/>
      <c r="Z333" s="137"/>
      <c r="AA333" s="137"/>
      <c r="AB333" s="137">
        <v>5000000</v>
      </c>
      <c r="AC333" s="137">
        <v>5000000</v>
      </c>
      <c r="AD333" s="137">
        <v>3142943.6999999997</v>
      </c>
      <c r="AE333" s="137">
        <v>249999.9</v>
      </c>
      <c r="AF333" s="137">
        <v>249999.9</v>
      </c>
      <c r="AG333" s="137">
        <v>250000</v>
      </c>
      <c r="AH333" s="153"/>
      <c r="AI333" s="167">
        <v>0</v>
      </c>
      <c r="AJ333" s="153"/>
      <c r="AK333" s="153"/>
      <c r="AL333" s="154">
        <v>100.2</v>
      </c>
      <c r="AM333" s="154">
        <v>0.10476479</v>
      </c>
      <c r="AN333" s="168" t="s">
        <v>1326</v>
      </c>
      <c r="AO333" s="168">
        <v>45751</v>
      </c>
      <c r="AP333" s="154">
        <v>0</v>
      </c>
      <c r="AQ333" s="168"/>
      <c r="AR333" s="155">
        <v>8.3333299999999999E-3</v>
      </c>
      <c r="AS333" s="152">
        <v>6.6102750000000002E-2</v>
      </c>
      <c r="AT333" s="154">
        <v>0</v>
      </c>
      <c r="AU333" s="137">
        <v>0.10367698</v>
      </c>
      <c r="AV333" s="137">
        <v>0</v>
      </c>
      <c r="AW333" s="137">
        <v>26191.187023521001</v>
      </c>
      <c r="AX333" s="137">
        <v>199999.92</v>
      </c>
      <c r="AY333" s="137">
        <v>250499.89980000001</v>
      </c>
      <c r="AZ333" s="137">
        <v>7224.1725552252974</v>
      </c>
      <c r="BA333" s="137">
        <v>40913.053250054196</v>
      </c>
      <c r="BB333" s="137">
        <v>0</v>
      </c>
      <c r="BC333" s="137">
        <v>0</v>
      </c>
      <c r="BD333" s="137">
        <v>0</v>
      </c>
      <c r="BE333" s="137">
        <v>0</v>
      </c>
      <c r="BF333" s="137">
        <v>249999.89999999994</v>
      </c>
      <c r="BG333" s="137">
        <v>249999.9</v>
      </c>
      <c r="BH333" s="137">
        <v>249999.9</v>
      </c>
      <c r="BI333" s="137">
        <v>249999.90000000005</v>
      </c>
      <c r="BJ333" s="137">
        <v>0.96840000000000004</v>
      </c>
      <c r="BK333" s="137">
        <v>4.166665E-2</v>
      </c>
      <c r="BL333" s="113">
        <v>0</v>
      </c>
      <c r="BM333" s="113" t="s">
        <v>1663</v>
      </c>
      <c r="BN333" s="168">
        <v>0</v>
      </c>
      <c r="BO333" s="152">
        <v>0</v>
      </c>
      <c r="BP333" s="152">
        <v>0</v>
      </c>
      <c r="BQ333" s="137">
        <v>249999.9</v>
      </c>
      <c r="BR333" s="137">
        <v>0</v>
      </c>
      <c r="BS333" s="166" t="s">
        <v>1806</v>
      </c>
      <c r="BT333" s="168">
        <v>0.27582455689150814</v>
      </c>
      <c r="BU333" s="137">
        <v>80373.986777222919</v>
      </c>
      <c r="BV333" s="137">
        <v>18967.014468295703</v>
      </c>
      <c r="BW333" s="137">
        <v>0.23598449235655861</v>
      </c>
      <c r="BX333" s="89">
        <v>0.72417544310849191</v>
      </c>
      <c r="BY333" s="89">
        <v>0</v>
      </c>
      <c r="BZ333" s="153">
        <v>0</v>
      </c>
      <c r="CA333" s="153">
        <v>0</v>
      </c>
      <c r="CB333" s="153">
        <v>45751</v>
      </c>
      <c r="CC333" s="153">
        <v>45751</v>
      </c>
      <c r="CD333" s="153"/>
      <c r="CE333" s="153"/>
      <c r="CF333" s="153"/>
      <c r="CG333" s="34" t="s">
        <v>1334</v>
      </c>
      <c r="CH333" s="34" t="s">
        <v>1333</v>
      </c>
    </row>
  </sheetData>
  <sortState xmlns:xlrd2="http://schemas.microsoft.com/office/spreadsheetml/2017/richdata2" ref="A103:CC122">
    <sortCondition ref="A103:A122"/>
  </sortState>
  <mergeCells count="2">
    <mergeCell ref="A129:A130"/>
    <mergeCell ref="B129:B1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AB6E-73E0-4D2A-9B5B-A417ABB68F72}">
  <sheetPr codeName="Sheet9"/>
  <dimension ref="A1:CH331"/>
  <sheetViews>
    <sheetView topLeftCell="D1" workbookViewId="0">
      <selection activeCell="S1" sqref="S1"/>
    </sheetView>
  </sheetViews>
  <sheetFormatPr defaultRowHeight="14.4" x14ac:dyDescent="0.3"/>
  <cols>
    <col min="1" max="1" width="16.5546875" customWidth="1"/>
    <col min="2" max="2" width="25.33203125" customWidth="1"/>
    <col min="3" max="3" width="12.77734375" customWidth="1"/>
    <col min="4" max="4" width="30.6640625" customWidth="1"/>
    <col min="5" max="12" width="12.77734375" customWidth="1"/>
  </cols>
  <sheetData>
    <row r="1" spans="1:19" x14ac:dyDescent="0.3">
      <c r="A1" s="34" t="s">
        <v>1432</v>
      </c>
      <c r="B1" s="34" t="s">
        <v>1584</v>
      </c>
      <c r="C1" s="34" t="s">
        <v>1585</v>
      </c>
      <c r="D1" s="34" t="s">
        <v>1586</v>
      </c>
      <c r="E1" s="34" t="s">
        <v>1408</v>
      </c>
      <c r="F1" s="34" t="s">
        <v>1409</v>
      </c>
      <c r="G1" s="34" t="s">
        <v>1444</v>
      </c>
      <c r="H1" s="34" t="s">
        <v>1587</v>
      </c>
      <c r="I1" s="34" t="s">
        <v>1588</v>
      </c>
      <c r="J1" s="34" t="s">
        <v>1589</v>
      </c>
      <c r="K1" s="34" t="s">
        <v>1590</v>
      </c>
      <c r="L1" s="34" t="s">
        <v>76</v>
      </c>
      <c r="M1" s="34" t="s">
        <v>1591</v>
      </c>
      <c r="N1" s="34" t="s">
        <v>1592</v>
      </c>
      <c r="O1" s="34" t="s">
        <v>1593</v>
      </c>
      <c r="P1" s="34" t="s">
        <v>1594</v>
      </c>
      <c r="Q1" s="34" t="s">
        <v>1595</v>
      </c>
      <c r="R1" s="34" t="s">
        <v>1596</v>
      </c>
      <c r="S1" s="34" t="s">
        <v>1429</v>
      </c>
    </row>
    <row r="2" spans="1:19" x14ac:dyDescent="0.3">
      <c r="A2" s="34">
        <v>111</v>
      </c>
      <c r="B2" s="34">
        <v>1</v>
      </c>
      <c r="C2" s="34" t="s">
        <v>1821</v>
      </c>
      <c r="D2" s="34">
        <v>6000000</v>
      </c>
      <c r="E2" s="34" t="s">
        <v>123</v>
      </c>
      <c r="F2" s="34" t="s">
        <v>123</v>
      </c>
      <c r="G2" s="34" t="s">
        <v>1330</v>
      </c>
      <c r="H2" s="34" t="s">
        <v>123</v>
      </c>
      <c r="I2" s="34" t="s">
        <v>123</v>
      </c>
      <c r="J2" s="35">
        <v>46203</v>
      </c>
      <c r="K2" s="34" t="s">
        <v>1822</v>
      </c>
      <c r="L2" s="35">
        <v>46203.697584918984</v>
      </c>
      <c r="M2" s="34">
        <v>1</v>
      </c>
      <c r="N2" s="34">
        <v>0</v>
      </c>
      <c r="O2" s="34" t="s">
        <v>1599</v>
      </c>
      <c r="P2" s="34" t="s">
        <v>1600</v>
      </c>
      <c r="Q2" s="34">
        <v>5109504</v>
      </c>
      <c r="R2" s="34" t="s">
        <v>123</v>
      </c>
      <c r="S2" s="34">
        <v>111</v>
      </c>
    </row>
    <row r="5" spans="1:19" x14ac:dyDescent="0.3">
      <c r="A5" s="34" t="s">
        <v>1601</v>
      </c>
      <c r="B5" s="34" t="s">
        <v>1602</v>
      </c>
      <c r="C5" s="34" t="s">
        <v>1603</v>
      </c>
      <c r="D5" s="34" t="s">
        <v>1604</v>
      </c>
      <c r="E5" s="34" t="s">
        <v>1605</v>
      </c>
      <c r="F5" s="34" t="s">
        <v>63</v>
      </c>
      <c r="G5" s="34" t="s">
        <v>71</v>
      </c>
      <c r="H5" s="34" t="s">
        <v>1606</v>
      </c>
      <c r="I5" s="34" t="s">
        <v>67</v>
      </c>
      <c r="J5" s="34" t="s">
        <v>1607</v>
      </c>
      <c r="K5" s="34" t="s">
        <v>1608</v>
      </c>
      <c r="L5" s="34" t="s">
        <v>1429</v>
      </c>
      <c r="M5" s="34" t="s">
        <v>1609</v>
      </c>
      <c r="N5" s="34" t="s">
        <v>1610</v>
      </c>
      <c r="O5" s="34" t="s">
        <v>1611</v>
      </c>
      <c r="P5" s="34" t="s">
        <v>1612</v>
      </c>
    </row>
    <row r="6" spans="1:19" x14ac:dyDescent="0.3">
      <c r="A6" s="34">
        <v>94</v>
      </c>
      <c r="B6" s="34">
        <v>1</v>
      </c>
      <c r="C6" s="34">
        <v>1.2E-2</v>
      </c>
      <c r="D6" s="34">
        <v>0</v>
      </c>
      <c r="E6" s="34" t="s">
        <v>1613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3.8E-3</v>
      </c>
      <c r="L6" s="34">
        <v>111</v>
      </c>
      <c r="M6" s="34">
        <v>3.8699999999999998E-2</v>
      </c>
      <c r="N6" s="34">
        <v>0</v>
      </c>
      <c r="O6" s="34">
        <v>0</v>
      </c>
      <c r="P6" s="34">
        <v>0</v>
      </c>
    </row>
    <row r="8" spans="1:19" x14ac:dyDescent="0.3">
      <c r="A8" s="34" t="s">
        <v>1432</v>
      </c>
      <c r="B8" s="34" t="s">
        <v>1584</v>
      </c>
      <c r="C8" s="34" t="s">
        <v>1614</v>
      </c>
      <c r="D8" s="34" t="s">
        <v>1615</v>
      </c>
      <c r="E8" s="34" t="s">
        <v>1616</v>
      </c>
      <c r="F8" s="34" t="s">
        <v>1617</v>
      </c>
      <c r="G8" s="34" t="s">
        <v>1618</v>
      </c>
      <c r="H8" s="34" t="s">
        <v>1619</v>
      </c>
      <c r="I8" s="34" t="s">
        <v>1429</v>
      </c>
    </row>
    <row r="9" spans="1:19" x14ac:dyDescent="0.3">
      <c r="A9" s="34">
        <v>6014</v>
      </c>
      <c r="B9" s="34">
        <v>1</v>
      </c>
      <c r="C9" s="34" t="s">
        <v>1620</v>
      </c>
      <c r="D9" s="34" t="s">
        <v>1621</v>
      </c>
      <c r="E9" s="34">
        <v>0</v>
      </c>
      <c r="F9" s="34">
        <v>0.15</v>
      </c>
      <c r="G9" s="34"/>
      <c r="H9" s="34">
        <v>0</v>
      </c>
      <c r="I9" s="34">
        <v>111</v>
      </c>
    </row>
    <row r="10" spans="1:19" x14ac:dyDescent="0.3">
      <c r="A10" s="34">
        <v>6015</v>
      </c>
      <c r="B10" s="34">
        <v>1</v>
      </c>
      <c r="C10" s="34" t="s">
        <v>1620</v>
      </c>
      <c r="D10" s="34" t="s">
        <v>1622</v>
      </c>
      <c r="E10" s="34">
        <v>0</v>
      </c>
      <c r="F10" s="34">
        <v>0.3</v>
      </c>
      <c r="G10" s="34"/>
      <c r="H10" s="34">
        <v>0</v>
      </c>
      <c r="I10" s="34">
        <v>111</v>
      </c>
    </row>
    <row r="11" spans="1:19" x14ac:dyDescent="0.3">
      <c r="A11" s="34">
        <v>6016</v>
      </c>
      <c r="B11" s="34">
        <v>1</v>
      </c>
      <c r="C11" s="34" t="s">
        <v>1315</v>
      </c>
      <c r="D11" s="34" t="s">
        <v>1344</v>
      </c>
      <c r="E11" s="34">
        <v>0</v>
      </c>
      <c r="F11" s="34">
        <v>0.3</v>
      </c>
      <c r="G11" s="34"/>
      <c r="H11" s="34">
        <v>0</v>
      </c>
      <c r="I11" s="34">
        <v>111</v>
      </c>
    </row>
    <row r="12" spans="1:19" x14ac:dyDescent="0.3">
      <c r="A12" s="34">
        <v>6017</v>
      </c>
      <c r="B12" s="34">
        <v>1</v>
      </c>
      <c r="C12" s="34" t="s">
        <v>1315</v>
      </c>
      <c r="D12" s="34" t="s">
        <v>1342</v>
      </c>
      <c r="E12" s="34">
        <v>0</v>
      </c>
      <c r="F12" s="34">
        <v>0.3</v>
      </c>
      <c r="G12" s="34"/>
      <c r="H12" s="34">
        <v>0</v>
      </c>
      <c r="I12" s="34">
        <v>111</v>
      </c>
    </row>
    <row r="13" spans="1:19" x14ac:dyDescent="0.3">
      <c r="A13" s="34">
        <v>6018</v>
      </c>
      <c r="B13" s="34">
        <v>1</v>
      </c>
      <c r="C13" s="34" t="s">
        <v>1315</v>
      </c>
      <c r="D13" s="34" t="s">
        <v>1339</v>
      </c>
      <c r="E13" s="34">
        <v>0</v>
      </c>
      <c r="F13" s="34">
        <v>0.3</v>
      </c>
      <c r="G13" s="34"/>
      <c r="H13" s="34">
        <v>0</v>
      </c>
      <c r="I13" s="34">
        <v>111</v>
      </c>
    </row>
    <row r="14" spans="1:19" x14ac:dyDescent="0.3">
      <c r="A14" s="34">
        <v>6019</v>
      </c>
      <c r="B14" s="34">
        <v>1</v>
      </c>
      <c r="C14" s="34" t="s">
        <v>1315</v>
      </c>
      <c r="D14" s="34" t="s">
        <v>1341</v>
      </c>
      <c r="E14" s="34">
        <v>0</v>
      </c>
      <c r="F14" s="34">
        <v>0.3</v>
      </c>
      <c r="G14" s="34"/>
      <c r="H14" s="34">
        <v>0</v>
      </c>
      <c r="I14" s="34">
        <v>111</v>
      </c>
    </row>
    <row r="15" spans="1:19" x14ac:dyDescent="0.3">
      <c r="A15" s="34">
        <v>6020</v>
      </c>
      <c r="B15" s="34">
        <v>1</v>
      </c>
      <c r="C15" s="34" t="s">
        <v>1315</v>
      </c>
      <c r="D15" s="34" t="s">
        <v>1331</v>
      </c>
      <c r="E15" s="34">
        <v>0</v>
      </c>
      <c r="F15" s="34">
        <v>0.3</v>
      </c>
      <c r="G15" s="34"/>
      <c r="H15" s="34">
        <v>0</v>
      </c>
      <c r="I15" s="34">
        <v>111</v>
      </c>
    </row>
    <row r="16" spans="1:19" x14ac:dyDescent="0.3">
      <c r="A16" s="34">
        <v>6021</v>
      </c>
      <c r="B16" s="34">
        <v>1</v>
      </c>
      <c r="C16" s="34" t="s">
        <v>1315</v>
      </c>
      <c r="D16" s="34" t="s">
        <v>1337</v>
      </c>
      <c r="E16" s="34">
        <v>0</v>
      </c>
      <c r="F16" s="34">
        <v>0.3</v>
      </c>
      <c r="G16" s="34"/>
      <c r="H16" s="34">
        <v>0</v>
      </c>
      <c r="I16" s="34">
        <v>111</v>
      </c>
    </row>
    <row r="17" spans="1:9" x14ac:dyDescent="0.3">
      <c r="A17" s="34">
        <v>6022</v>
      </c>
      <c r="B17" s="34">
        <v>1</v>
      </c>
      <c r="C17" s="34" t="s">
        <v>1315</v>
      </c>
      <c r="D17" s="34" t="s">
        <v>1335</v>
      </c>
      <c r="E17" s="34">
        <v>0</v>
      </c>
      <c r="F17" s="34">
        <v>0.3</v>
      </c>
      <c r="G17" s="34"/>
      <c r="H17" s="34">
        <v>0</v>
      </c>
      <c r="I17" s="34">
        <v>111</v>
      </c>
    </row>
    <row r="18" spans="1:9" x14ac:dyDescent="0.3">
      <c r="A18" s="34">
        <v>6023</v>
      </c>
      <c r="B18" s="34">
        <v>1</v>
      </c>
      <c r="C18" s="34" t="s">
        <v>1315</v>
      </c>
      <c r="D18" s="34" t="s">
        <v>1345</v>
      </c>
      <c r="E18" s="34">
        <v>0</v>
      </c>
      <c r="F18" s="34">
        <v>0.3</v>
      </c>
      <c r="G18" s="34"/>
      <c r="H18" s="34">
        <v>0</v>
      </c>
      <c r="I18" s="34">
        <v>111</v>
      </c>
    </row>
    <row r="19" spans="1:9" x14ac:dyDescent="0.3">
      <c r="A19" s="34">
        <v>6024</v>
      </c>
      <c r="B19" s="34">
        <v>1</v>
      </c>
      <c r="C19" s="34" t="s">
        <v>1315</v>
      </c>
      <c r="D19" s="34" t="s">
        <v>1343</v>
      </c>
      <c r="E19" s="34">
        <v>0</v>
      </c>
      <c r="F19" s="34">
        <v>0.3</v>
      </c>
      <c r="G19" s="34"/>
      <c r="H19" s="34">
        <v>0</v>
      </c>
      <c r="I19" s="34">
        <v>111</v>
      </c>
    </row>
    <row r="20" spans="1:9" x14ac:dyDescent="0.3">
      <c r="A20" s="34">
        <v>6025</v>
      </c>
      <c r="B20" s="34">
        <v>1</v>
      </c>
      <c r="C20" s="34" t="s">
        <v>1315</v>
      </c>
      <c r="D20" s="34" t="s">
        <v>1327</v>
      </c>
      <c r="E20" s="34">
        <v>0</v>
      </c>
      <c r="F20" s="34">
        <v>0.3</v>
      </c>
      <c r="G20" s="34"/>
      <c r="H20" s="34">
        <v>0</v>
      </c>
      <c r="I20" s="34">
        <v>111</v>
      </c>
    </row>
    <row r="21" spans="1:9" x14ac:dyDescent="0.3">
      <c r="A21" s="34">
        <v>6026</v>
      </c>
      <c r="B21" s="34">
        <v>1</v>
      </c>
      <c r="C21" s="34" t="s">
        <v>1315</v>
      </c>
      <c r="D21" s="34" t="s">
        <v>1348</v>
      </c>
      <c r="E21" s="34">
        <v>0</v>
      </c>
      <c r="F21" s="34">
        <v>0.3</v>
      </c>
      <c r="G21" s="34"/>
      <c r="H21" s="34">
        <v>0</v>
      </c>
      <c r="I21" s="34">
        <v>111</v>
      </c>
    </row>
    <row r="22" spans="1:9" x14ac:dyDescent="0.3">
      <c r="A22" s="34">
        <v>6027</v>
      </c>
      <c r="B22" s="34">
        <v>1</v>
      </c>
      <c r="C22" s="34" t="s">
        <v>1315</v>
      </c>
      <c r="D22" s="34" t="s">
        <v>1351</v>
      </c>
      <c r="E22" s="34">
        <v>0</v>
      </c>
      <c r="F22" s="34">
        <v>0.3</v>
      </c>
      <c r="G22" s="34"/>
      <c r="H22" s="34">
        <v>0</v>
      </c>
      <c r="I22" s="34">
        <v>111</v>
      </c>
    </row>
    <row r="23" spans="1:9" x14ac:dyDescent="0.3">
      <c r="A23" s="34">
        <v>6028</v>
      </c>
      <c r="B23" s="34">
        <v>1</v>
      </c>
      <c r="C23" s="34" t="s">
        <v>1315</v>
      </c>
      <c r="D23" s="34" t="s">
        <v>1352</v>
      </c>
      <c r="E23" s="34">
        <v>0</v>
      </c>
      <c r="F23" s="34">
        <v>0.3</v>
      </c>
      <c r="G23" s="34"/>
      <c r="H23" s="34">
        <v>0</v>
      </c>
      <c r="I23" s="34">
        <v>111</v>
      </c>
    </row>
    <row r="24" spans="1:9" x14ac:dyDescent="0.3">
      <c r="A24" s="34">
        <v>6029</v>
      </c>
      <c r="B24" s="34">
        <v>1</v>
      </c>
      <c r="C24" s="34" t="s">
        <v>1315</v>
      </c>
      <c r="D24" s="34" t="s">
        <v>1353</v>
      </c>
      <c r="E24" s="34">
        <v>0</v>
      </c>
      <c r="F24" s="34">
        <v>0.3</v>
      </c>
      <c r="G24" s="34"/>
      <c r="H24" s="34">
        <v>0</v>
      </c>
      <c r="I24" s="34">
        <v>111</v>
      </c>
    </row>
    <row r="25" spans="1:9" x14ac:dyDescent="0.3">
      <c r="A25" s="34">
        <v>6030</v>
      </c>
      <c r="B25" s="34">
        <v>1</v>
      </c>
      <c r="C25" s="34" t="s">
        <v>1315</v>
      </c>
      <c r="D25" s="34" t="s">
        <v>1354</v>
      </c>
      <c r="E25" s="34">
        <v>0</v>
      </c>
      <c r="F25" s="34">
        <v>0.3</v>
      </c>
      <c r="G25" s="34"/>
      <c r="H25" s="34">
        <v>0</v>
      </c>
      <c r="I25" s="34">
        <v>111</v>
      </c>
    </row>
    <row r="26" spans="1:9" x14ac:dyDescent="0.3">
      <c r="A26" s="34">
        <v>6031</v>
      </c>
      <c r="B26" s="34">
        <v>1</v>
      </c>
      <c r="C26" s="34" t="s">
        <v>1315</v>
      </c>
      <c r="D26" s="34" t="s">
        <v>1357</v>
      </c>
      <c r="E26" s="34">
        <v>0</v>
      </c>
      <c r="F26" s="34">
        <v>0.3</v>
      </c>
      <c r="G26" s="34"/>
      <c r="H26" s="34">
        <v>0</v>
      </c>
      <c r="I26" s="34">
        <v>111</v>
      </c>
    </row>
    <row r="27" spans="1:9" x14ac:dyDescent="0.3">
      <c r="A27" s="34">
        <v>6032</v>
      </c>
      <c r="B27" s="34">
        <v>1</v>
      </c>
      <c r="C27" s="34" t="s">
        <v>1315</v>
      </c>
      <c r="D27" s="34" t="s">
        <v>1358</v>
      </c>
      <c r="E27" s="34">
        <v>0</v>
      </c>
      <c r="F27" s="34">
        <v>0.3</v>
      </c>
      <c r="G27" s="34"/>
      <c r="H27" s="34">
        <v>0</v>
      </c>
      <c r="I27" s="34">
        <v>111</v>
      </c>
    </row>
    <row r="28" spans="1:9" x14ac:dyDescent="0.3">
      <c r="A28" s="34">
        <v>6033</v>
      </c>
      <c r="B28" s="34">
        <v>1</v>
      </c>
      <c r="C28" s="34" t="s">
        <v>1315</v>
      </c>
      <c r="D28" s="34" t="s">
        <v>1359</v>
      </c>
      <c r="E28" s="34">
        <v>0</v>
      </c>
      <c r="F28" s="34">
        <v>0.3</v>
      </c>
      <c r="G28" s="34"/>
      <c r="H28" s="34">
        <v>0</v>
      </c>
      <c r="I28" s="34">
        <v>111</v>
      </c>
    </row>
    <row r="29" spans="1:9" x14ac:dyDescent="0.3">
      <c r="A29" s="34">
        <v>6034</v>
      </c>
      <c r="B29" s="34">
        <v>1</v>
      </c>
      <c r="C29" s="34" t="s">
        <v>1315</v>
      </c>
      <c r="D29" s="34" t="s">
        <v>1360</v>
      </c>
      <c r="E29" s="34">
        <v>0</v>
      </c>
      <c r="F29" s="34">
        <v>0.3</v>
      </c>
      <c r="G29" s="34"/>
      <c r="H29" s="34">
        <v>0</v>
      </c>
      <c r="I29" s="34">
        <v>111</v>
      </c>
    </row>
    <row r="30" spans="1:9" x14ac:dyDescent="0.3">
      <c r="A30" s="34">
        <v>6035</v>
      </c>
      <c r="B30" s="34">
        <v>1</v>
      </c>
      <c r="C30" s="34" t="s">
        <v>1630</v>
      </c>
      <c r="D30" s="34" t="s">
        <v>130</v>
      </c>
      <c r="E30" s="34">
        <v>0</v>
      </c>
      <c r="F30" s="34">
        <v>0.05</v>
      </c>
      <c r="G30" s="34"/>
      <c r="H30" s="34">
        <v>0</v>
      </c>
      <c r="I30" s="34">
        <v>111</v>
      </c>
    </row>
    <row r="31" spans="1:9" x14ac:dyDescent="0.3">
      <c r="A31" s="34">
        <v>6036</v>
      </c>
      <c r="B31" s="34">
        <v>1</v>
      </c>
      <c r="C31" s="34" t="s">
        <v>1630</v>
      </c>
      <c r="D31" s="34" t="s">
        <v>1624</v>
      </c>
      <c r="E31" s="34">
        <v>0</v>
      </c>
      <c r="F31" s="34">
        <v>2.5000000000000001E-2</v>
      </c>
      <c r="G31" s="34"/>
      <c r="H31" s="34">
        <v>0</v>
      </c>
      <c r="I31" s="34">
        <v>111</v>
      </c>
    </row>
    <row r="32" spans="1:9" x14ac:dyDescent="0.3">
      <c r="A32" s="34">
        <v>6037</v>
      </c>
      <c r="B32" s="34">
        <v>1</v>
      </c>
      <c r="C32" s="34" t="s">
        <v>1630</v>
      </c>
      <c r="D32" s="34" t="s">
        <v>1625</v>
      </c>
      <c r="E32" s="34">
        <v>0</v>
      </c>
      <c r="F32" s="34">
        <v>0.4</v>
      </c>
      <c r="G32" s="34"/>
      <c r="H32" s="34">
        <v>0</v>
      </c>
      <c r="I32" s="34">
        <v>111</v>
      </c>
    </row>
    <row r="33" spans="1:9" x14ac:dyDescent="0.3">
      <c r="A33" s="34">
        <v>6038</v>
      </c>
      <c r="B33" s="34">
        <v>1</v>
      </c>
      <c r="C33" s="34" t="s">
        <v>1630</v>
      </c>
      <c r="D33" s="34" t="s">
        <v>1627</v>
      </c>
      <c r="E33" s="34">
        <v>0</v>
      </c>
      <c r="F33" s="34">
        <v>0.4</v>
      </c>
      <c r="G33" s="34"/>
      <c r="H33" s="34">
        <v>0</v>
      </c>
      <c r="I33" s="34">
        <v>111</v>
      </c>
    </row>
    <row r="34" spans="1:9" x14ac:dyDescent="0.3">
      <c r="A34" s="34">
        <v>6039</v>
      </c>
      <c r="B34" s="34">
        <v>1</v>
      </c>
      <c r="C34" s="34" t="s">
        <v>1630</v>
      </c>
      <c r="D34" s="34" t="s">
        <v>1626</v>
      </c>
      <c r="E34" s="34">
        <v>0</v>
      </c>
      <c r="F34" s="34">
        <v>0.05</v>
      </c>
      <c r="G34" s="34"/>
      <c r="H34" s="34">
        <v>0</v>
      </c>
      <c r="I34" s="34">
        <v>111</v>
      </c>
    </row>
    <row r="35" spans="1:9" x14ac:dyDescent="0.3">
      <c r="A35" s="34">
        <v>6040</v>
      </c>
      <c r="B35" s="34">
        <v>1</v>
      </c>
      <c r="C35" s="34" t="s">
        <v>1630</v>
      </c>
      <c r="D35" s="34" t="s">
        <v>1629</v>
      </c>
      <c r="E35" s="34">
        <v>0</v>
      </c>
      <c r="F35" s="34">
        <v>0.1</v>
      </c>
      <c r="G35" s="34"/>
      <c r="H35" s="34">
        <v>0</v>
      </c>
      <c r="I35" s="34">
        <v>111</v>
      </c>
    </row>
    <row r="36" spans="1:9" x14ac:dyDescent="0.3">
      <c r="A36" s="34">
        <v>6041</v>
      </c>
      <c r="B36" s="34">
        <v>1</v>
      </c>
      <c r="C36" s="34" t="s">
        <v>1630</v>
      </c>
      <c r="D36" s="34" t="s">
        <v>1623</v>
      </c>
      <c r="E36" s="34">
        <v>0</v>
      </c>
      <c r="F36" s="34">
        <v>0.1</v>
      </c>
      <c r="G36" s="34"/>
      <c r="H36" s="34">
        <v>0</v>
      </c>
      <c r="I36" s="34">
        <v>111</v>
      </c>
    </row>
    <row r="37" spans="1:9" x14ac:dyDescent="0.3">
      <c r="A37" s="34">
        <v>6042</v>
      </c>
      <c r="B37" s="34">
        <v>1</v>
      </c>
      <c r="C37" s="34" t="s">
        <v>1630</v>
      </c>
      <c r="D37" s="34" t="s">
        <v>1631</v>
      </c>
      <c r="E37" s="34">
        <v>0</v>
      </c>
      <c r="F37" s="34">
        <v>0</v>
      </c>
      <c r="G37" s="34"/>
      <c r="H37" s="34">
        <v>0</v>
      </c>
      <c r="I37" s="34">
        <v>111</v>
      </c>
    </row>
    <row r="38" spans="1:9" x14ac:dyDescent="0.3">
      <c r="A38" s="34">
        <v>6043</v>
      </c>
      <c r="B38" s="34">
        <v>1</v>
      </c>
      <c r="C38" s="34" t="s">
        <v>1632</v>
      </c>
      <c r="D38" s="34" t="s">
        <v>1633</v>
      </c>
      <c r="E38" s="34">
        <v>0</v>
      </c>
      <c r="F38" s="34">
        <v>0.35</v>
      </c>
      <c r="G38" s="34" t="s">
        <v>1634</v>
      </c>
      <c r="H38" s="34">
        <v>100</v>
      </c>
      <c r="I38" s="34">
        <v>111</v>
      </c>
    </row>
    <row r="39" spans="1:9" x14ac:dyDescent="0.3">
      <c r="A39" s="34">
        <v>6044</v>
      </c>
      <c r="B39" s="34">
        <v>1</v>
      </c>
      <c r="C39" s="34" t="s">
        <v>1632</v>
      </c>
      <c r="D39" s="34" t="s">
        <v>1635</v>
      </c>
      <c r="E39" s="34">
        <v>0</v>
      </c>
      <c r="F39" s="34">
        <v>0.15</v>
      </c>
      <c r="G39" s="34" t="s">
        <v>1634</v>
      </c>
      <c r="H39" s="34">
        <v>100</v>
      </c>
      <c r="I39" s="34">
        <v>111</v>
      </c>
    </row>
    <row r="40" spans="1:9" x14ac:dyDescent="0.3">
      <c r="A40" s="34">
        <v>6045</v>
      </c>
      <c r="B40" s="34">
        <v>1</v>
      </c>
      <c r="C40" s="34" t="s">
        <v>1632</v>
      </c>
      <c r="D40" s="34" t="s">
        <v>1636</v>
      </c>
      <c r="E40" s="34">
        <v>0</v>
      </c>
      <c r="F40" s="34">
        <v>0.15</v>
      </c>
      <c r="G40" s="34" t="s">
        <v>1634</v>
      </c>
      <c r="H40" s="34">
        <v>100</v>
      </c>
      <c r="I40" s="34">
        <v>111</v>
      </c>
    </row>
    <row r="41" spans="1:9" x14ac:dyDescent="0.3">
      <c r="A41" s="34">
        <v>6046</v>
      </c>
      <c r="B41" s="34">
        <v>1</v>
      </c>
      <c r="C41" s="34" t="s">
        <v>1632</v>
      </c>
      <c r="D41" s="34" t="s">
        <v>1637</v>
      </c>
      <c r="E41" s="34">
        <v>0</v>
      </c>
      <c r="F41" s="34">
        <v>0.15</v>
      </c>
      <c r="G41" s="34" t="s">
        <v>1634</v>
      </c>
      <c r="H41" s="34">
        <v>100</v>
      </c>
      <c r="I41" s="34">
        <v>111</v>
      </c>
    </row>
    <row r="42" spans="1:9" x14ac:dyDescent="0.3">
      <c r="A42" s="34">
        <v>6047</v>
      </c>
      <c r="B42" s="34">
        <v>1</v>
      </c>
      <c r="C42" s="34" t="s">
        <v>1632</v>
      </c>
      <c r="D42" s="34" t="s">
        <v>1638</v>
      </c>
      <c r="E42" s="34">
        <v>0</v>
      </c>
      <c r="F42" s="34">
        <v>0.15</v>
      </c>
      <c r="G42" s="34" t="s">
        <v>1634</v>
      </c>
      <c r="H42" s="34">
        <v>100</v>
      </c>
      <c r="I42" s="34">
        <v>111</v>
      </c>
    </row>
    <row r="43" spans="1:9" x14ac:dyDescent="0.3">
      <c r="A43" s="34">
        <v>6048</v>
      </c>
      <c r="B43" s="34">
        <v>1</v>
      </c>
      <c r="C43" s="34" t="s">
        <v>1632</v>
      </c>
      <c r="D43" s="34" t="s">
        <v>1639</v>
      </c>
      <c r="E43" s="34">
        <v>0</v>
      </c>
      <c r="F43" s="34">
        <v>0.15</v>
      </c>
      <c r="G43" s="34" t="s">
        <v>1634</v>
      </c>
      <c r="H43" s="34">
        <v>100</v>
      </c>
      <c r="I43" s="34">
        <v>111</v>
      </c>
    </row>
    <row r="44" spans="1:9" x14ac:dyDescent="0.3">
      <c r="A44" s="34">
        <v>6049</v>
      </c>
      <c r="B44" s="34">
        <v>1</v>
      </c>
      <c r="C44" s="34" t="s">
        <v>1632</v>
      </c>
      <c r="D44" s="34" t="s">
        <v>1640</v>
      </c>
      <c r="E44" s="34">
        <v>0</v>
      </c>
      <c r="F44" s="34">
        <v>0.15</v>
      </c>
      <c r="G44" s="34" t="s">
        <v>1634</v>
      </c>
      <c r="H44" s="34">
        <v>100</v>
      </c>
      <c r="I44" s="34">
        <v>111</v>
      </c>
    </row>
    <row r="45" spans="1:9" x14ac:dyDescent="0.3">
      <c r="A45" s="34">
        <v>6050</v>
      </c>
      <c r="B45" s="34">
        <v>1</v>
      </c>
      <c r="C45" s="34" t="s">
        <v>1632</v>
      </c>
      <c r="D45" s="34" t="s">
        <v>1641</v>
      </c>
      <c r="E45" s="34">
        <v>0</v>
      </c>
      <c r="F45" s="34">
        <v>0.15</v>
      </c>
      <c r="G45" s="34" t="s">
        <v>1634</v>
      </c>
      <c r="H45" s="34">
        <v>100</v>
      </c>
      <c r="I45" s="34">
        <v>111</v>
      </c>
    </row>
    <row r="46" spans="1:9" x14ac:dyDescent="0.3">
      <c r="A46" s="34">
        <v>6051</v>
      </c>
      <c r="B46" s="34">
        <v>1</v>
      </c>
      <c r="C46" s="34" t="s">
        <v>1632</v>
      </c>
      <c r="D46" s="34" t="s">
        <v>1642</v>
      </c>
      <c r="E46" s="34">
        <v>0</v>
      </c>
      <c r="F46" s="34">
        <v>0.15</v>
      </c>
      <c r="G46" s="34" t="s">
        <v>1634</v>
      </c>
      <c r="H46" s="34">
        <v>100</v>
      </c>
      <c r="I46" s="34">
        <v>111</v>
      </c>
    </row>
    <row r="47" spans="1:9" x14ac:dyDescent="0.3">
      <c r="A47" s="34">
        <v>6052</v>
      </c>
      <c r="B47" s="34">
        <v>1</v>
      </c>
      <c r="C47" s="34" t="s">
        <v>1632</v>
      </c>
      <c r="D47" s="34" t="s">
        <v>1643</v>
      </c>
      <c r="E47" s="34">
        <v>0</v>
      </c>
      <c r="F47" s="34">
        <v>0.15</v>
      </c>
      <c r="G47" s="34" t="s">
        <v>1634</v>
      </c>
      <c r="H47" s="34">
        <v>100</v>
      </c>
      <c r="I47" s="34">
        <v>111</v>
      </c>
    </row>
    <row r="48" spans="1:9" x14ac:dyDescent="0.3">
      <c r="A48" s="34">
        <v>6053</v>
      </c>
      <c r="B48" s="34">
        <v>1</v>
      </c>
      <c r="C48" s="34" t="s">
        <v>1632</v>
      </c>
      <c r="D48" s="34" t="s">
        <v>1644</v>
      </c>
      <c r="E48" s="34">
        <v>0</v>
      </c>
      <c r="F48" s="34">
        <v>0.15</v>
      </c>
      <c r="G48" s="34" t="s">
        <v>1634</v>
      </c>
      <c r="H48" s="34">
        <v>100</v>
      </c>
      <c r="I48" s="34">
        <v>111</v>
      </c>
    </row>
    <row r="49" spans="1:9" x14ac:dyDescent="0.3">
      <c r="A49" s="34">
        <v>6054</v>
      </c>
      <c r="B49" s="34">
        <v>1</v>
      </c>
      <c r="C49" s="34" t="s">
        <v>1632</v>
      </c>
      <c r="D49" s="34" t="s">
        <v>1645</v>
      </c>
      <c r="E49" s="34">
        <v>0</v>
      </c>
      <c r="F49" s="34">
        <v>0.15</v>
      </c>
      <c r="G49" s="34" t="s">
        <v>1634</v>
      </c>
      <c r="H49" s="34">
        <v>100</v>
      </c>
      <c r="I49" s="34">
        <v>111</v>
      </c>
    </row>
    <row r="50" spans="1:9" x14ac:dyDescent="0.3">
      <c r="A50" s="34">
        <v>6055</v>
      </c>
      <c r="B50" s="34">
        <v>1</v>
      </c>
      <c r="C50" s="34" t="s">
        <v>1632</v>
      </c>
      <c r="D50" s="34" t="s">
        <v>1646</v>
      </c>
      <c r="E50" s="34">
        <v>0</v>
      </c>
      <c r="F50" s="34">
        <v>0.15</v>
      </c>
      <c r="G50" s="34" t="s">
        <v>1634</v>
      </c>
      <c r="H50" s="34">
        <v>100</v>
      </c>
      <c r="I50" s="34">
        <v>111</v>
      </c>
    </row>
    <row r="51" spans="1:9" x14ac:dyDescent="0.3">
      <c r="A51" s="34">
        <v>6056</v>
      </c>
      <c r="B51" s="34">
        <v>1</v>
      </c>
      <c r="C51" s="34" t="s">
        <v>1632</v>
      </c>
      <c r="D51" s="34" t="s">
        <v>1647</v>
      </c>
      <c r="E51" s="34">
        <v>0</v>
      </c>
      <c r="F51" s="34">
        <v>0.15</v>
      </c>
      <c r="G51" s="34" t="s">
        <v>1634</v>
      </c>
      <c r="H51" s="34">
        <v>100</v>
      </c>
      <c r="I51" s="34">
        <v>111</v>
      </c>
    </row>
    <row r="52" spans="1:9" x14ac:dyDescent="0.3">
      <c r="A52" s="34">
        <v>6057</v>
      </c>
      <c r="B52" s="34">
        <v>1</v>
      </c>
      <c r="C52" s="34" t="s">
        <v>1632</v>
      </c>
      <c r="D52" s="34" t="s">
        <v>1633</v>
      </c>
      <c r="E52" s="34">
        <v>0</v>
      </c>
      <c r="F52" s="34">
        <v>0.2</v>
      </c>
      <c r="G52" s="34" t="s">
        <v>1648</v>
      </c>
      <c r="H52" s="34">
        <v>500</v>
      </c>
      <c r="I52" s="34">
        <v>111</v>
      </c>
    </row>
    <row r="53" spans="1:9" x14ac:dyDescent="0.3">
      <c r="A53" s="34">
        <v>6058</v>
      </c>
      <c r="B53" s="34">
        <v>1</v>
      </c>
      <c r="C53" s="34" t="s">
        <v>1632</v>
      </c>
      <c r="D53" s="34" t="s">
        <v>1635</v>
      </c>
      <c r="E53" s="34">
        <v>0</v>
      </c>
      <c r="F53" s="34">
        <v>0.2</v>
      </c>
      <c r="G53" s="34" t="s">
        <v>1648</v>
      </c>
      <c r="H53" s="34">
        <v>500</v>
      </c>
      <c r="I53" s="34">
        <v>111</v>
      </c>
    </row>
    <row r="54" spans="1:9" x14ac:dyDescent="0.3">
      <c r="A54" s="34">
        <v>6059</v>
      </c>
      <c r="B54" s="34">
        <v>1</v>
      </c>
      <c r="C54" s="34" t="s">
        <v>1632</v>
      </c>
      <c r="D54" s="34" t="s">
        <v>1636</v>
      </c>
      <c r="E54" s="34">
        <v>0</v>
      </c>
      <c r="F54" s="34">
        <v>0.2</v>
      </c>
      <c r="G54" s="34" t="s">
        <v>1648</v>
      </c>
      <c r="H54" s="34">
        <v>500</v>
      </c>
      <c r="I54" s="34">
        <v>111</v>
      </c>
    </row>
    <row r="55" spans="1:9" x14ac:dyDescent="0.3">
      <c r="A55" s="34">
        <v>6060</v>
      </c>
      <c r="B55" s="34">
        <v>1</v>
      </c>
      <c r="C55" s="34" t="s">
        <v>1632</v>
      </c>
      <c r="D55" s="34" t="s">
        <v>1637</v>
      </c>
      <c r="E55" s="34">
        <v>0</v>
      </c>
      <c r="F55" s="34">
        <v>0.2</v>
      </c>
      <c r="G55" s="34" t="s">
        <v>1648</v>
      </c>
      <c r="H55" s="34">
        <v>500</v>
      </c>
      <c r="I55" s="34">
        <v>111</v>
      </c>
    </row>
    <row r="56" spans="1:9" x14ac:dyDescent="0.3">
      <c r="A56" s="34">
        <v>6061</v>
      </c>
      <c r="B56" s="34">
        <v>1</v>
      </c>
      <c r="C56" s="34" t="s">
        <v>1632</v>
      </c>
      <c r="D56" s="34" t="s">
        <v>1638</v>
      </c>
      <c r="E56" s="34">
        <v>0</v>
      </c>
      <c r="F56" s="34">
        <v>0.2</v>
      </c>
      <c r="G56" s="34" t="s">
        <v>1648</v>
      </c>
      <c r="H56" s="34">
        <v>500</v>
      </c>
      <c r="I56" s="34">
        <v>111</v>
      </c>
    </row>
    <row r="57" spans="1:9" x14ac:dyDescent="0.3">
      <c r="A57" s="34">
        <v>6062</v>
      </c>
      <c r="B57" s="34">
        <v>1</v>
      </c>
      <c r="C57" s="34" t="s">
        <v>1632</v>
      </c>
      <c r="D57" s="34" t="s">
        <v>1639</v>
      </c>
      <c r="E57" s="34">
        <v>0</v>
      </c>
      <c r="F57" s="34">
        <v>0.2</v>
      </c>
      <c r="G57" s="34" t="s">
        <v>1648</v>
      </c>
      <c r="H57" s="34">
        <v>500</v>
      </c>
      <c r="I57" s="34">
        <v>111</v>
      </c>
    </row>
    <row r="58" spans="1:9" x14ac:dyDescent="0.3">
      <c r="A58" s="34">
        <v>6063</v>
      </c>
      <c r="B58" s="34">
        <v>1</v>
      </c>
      <c r="C58" s="34" t="s">
        <v>1632</v>
      </c>
      <c r="D58" s="34" t="s">
        <v>1640</v>
      </c>
      <c r="E58" s="34">
        <v>0</v>
      </c>
      <c r="F58" s="34">
        <v>0.2</v>
      </c>
      <c r="G58" s="34" t="s">
        <v>1648</v>
      </c>
      <c r="H58" s="34">
        <v>500</v>
      </c>
      <c r="I58" s="34">
        <v>111</v>
      </c>
    </row>
    <row r="59" spans="1:9" x14ac:dyDescent="0.3">
      <c r="A59" s="34">
        <v>6064</v>
      </c>
      <c r="B59" s="34">
        <v>1</v>
      </c>
      <c r="C59" s="34" t="s">
        <v>1632</v>
      </c>
      <c r="D59" s="34" t="s">
        <v>1641</v>
      </c>
      <c r="E59" s="34">
        <v>0</v>
      </c>
      <c r="F59" s="34">
        <v>0.2</v>
      </c>
      <c r="G59" s="34" t="s">
        <v>1648</v>
      </c>
      <c r="H59" s="34">
        <v>500</v>
      </c>
      <c r="I59" s="34">
        <v>111</v>
      </c>
    </row>
    <row r="60" spans="1:9" x14ac:dyDescent="0.3">
      <c r="A60" s="34">
        <v>6065</v>
      </c>
      <c r="B60" s="34">
        <v>1</v>
      </c>
      <c r="C60" s="34" t="s">
        <v>1632</v>
      </c>
      <c r="D60" s="34" t="s">
        <v>1642</v>
      </c>
      <c r="E60" s="34">
        <v>0</v>
      </c>
      <c r="F60" s="34">
        <v>0.2</v>
      </c>
      <c r="G60" s="34" t="s">
        <v>1648</v>
      </c>
      <c r="H60" s="34">
        <v>500</v>
      </c>
      <c r="I60" s="34">
        <v>111</v>
      </c>
    </row>
    <row r="61" spans="1:9" x14ac:dyDescent="0.3">
      <c r="A61" s="34">
        <v>6066</v>
      </c>
      <c r="B61" s="34">
        <v>1</v>
      </c>
      <c r="C61" s="34" t="s">
        <v>1632</v>
      </c>
      <c r="D61" s="34" t="s">
        <v>1643</v>
      </c>
      <c r="E61" s="34">
        <v>0</v>
      </c>
      <c r="F61" s="34">
        <v>0.2</v>
      </c>
      <c r="G61" s="34" t="s">
        <v>1648</v>
      </c>
      <c r="H61" s="34">
        <v>500</v>
      </c>
      <c r="I61" s="34">
        <v>111</v>
      </c>
    </row>
    <row r="62" spans="1:9" x14ac:dyDescent="0.3">
      <c r="A62" s="34">
        <v>6067</v>
      </c>
      <c r="B62" s="34">
        <v>1</v>
      </c>
      <c r="C62" s="34" t="s">
        <v>1632</v>
      </c>
      <c r="D62" s="34" t="s">
        <v>1644</v>
      </c>
      <c r="E62" s="34">
        <v>0</v>
      </c>
      <c r="F62" s="34">
        <v>0.2</v>
      </c>
      <c r="G62" s="34" t="s">
        <v>1648</v>
      </c>
      <c r="H62" s="34">
        <v>500</v>
      </c>
      <c r="I62" s="34">
        <v>111</v>
      </c>
    </row>
    <row r="63" spans="1:9" x14ac:dyDescent="0.3">
      <c r="A63" s="34">
        <v>6068</v>
      </c>
      <c r="B63" s="34">
        <v>1</v>
      </c>
      <c r="C63" s="34" t="s">
        <v>1632</v>
      </c>
      <c r="D63" s="34" t="s">
        <v>1645</v>
      </c>
      <c r="E63" s="34">
        <v>0</v>
      </c>
      <c r="F63" s="34">
        <v>0.2</v>
      </c>
      <c r="G63" s="34" t="s">
        <v>1648</v>
      </c>
      <c r="H63" s="34">
        <v>500</v>
      </c>
      <c r="I63" s="34">
        <v>111</v>
      </c>
    </row>
    <row r="64" spans="1:9" x14ac:dyDescent="0.3">
      <c r="A64" s="34">
        <v>6069</v>
      </c>
      <c r="B64" s="34">
        <v>1</v>
      </c>
      <c r="C64" s="34" t="s">
        <v>1632</v>
      </c>
      <c r="D64" s="34" t="s">
        <v>1646</v>
      </c>
      <c r="E64" s="34">
        <v>0</v>
      </c>
      <c r="F64" s="34">
        <v>0.2</v>
      </c>
      <c r="G64" s="34" t="s">
        <v>1648</v>
      </c>
      <c r="H64" s="34">
        <v>500</v>
      </c>
      <c r="I64" s="34">
        <v>111</v>
      </c>
    </row>
    <row r="65" spans="1:9" x14ac:dyDescent="0.3">
      <c r="A65" s="34">
        <v>6070</v>
      </c>
      <c r="B65" s="34">
        <v>1</v>
      </c>
      <c r="C65" s="34" t="s">
        <v>1632</v>
      </c>
      <c r="D65" s="34" t="s">
        <v>1647</v>
      </c>
      <c r="E65" s="34">
        <v>0</v>
      </c>
      <c r="F65" s="34">
        <v>0.2</v>
      </c>
      <c r="G65" s="34" t="s">
        <v>1648</v>
      </c>
      <c r="H65" s="34">
        <v>500</v>
      </c>
      <c r="I65" s="34">
        <v>111</v>
      </c>
    </row>
    <row r="66" spans="1:9" x14ac:dyDescent="0.3">
      <c r="A66" s="34">
        <v>6071</v>
      </c>
      <c r="B66" s="34">
        <v>1</v>
      </c>
      <c r="C66" s="34" t="s">
        <v>1632</v>
      </c>
      <c r="D66" s="34" t="s">
        <v>1649</v>
      </c>
      <c r="E66" s="34">
        <v>0</v>
      </c>
      <c r="F66" s="34">
        <v>0.4</v>
      </c>
      <c r="G66" s="34" t="s">
        <v>1634</v>
      </c>
      <c r="H66" s="34">
        <v>100</v>
      </c>
      <c r="I66" s="34">
        <v>111</v>
      </c>
    </row>
    <row r="67" spans="1:9" x14ac:dyDescent="0.3">
      <c r="A67" s="34">
        <v>6072</v>
      </c>
      <c r="B67" s="34">
        <v>1</v>
      </c>
      <c r="C67" s="34" t="s">
        <v>1632</v>
      </c>
      <c r="D67" s="34" t="s">
        <v>1649</v>
      </c>
      <c r="E67" s="34">
        <v>0</v>
      </c>
      <c r="F67" s="34">
        <v>0.65</v>
      </c>
      <c r="G67" s="34" t="s">
        <v>1648</v>
      </c>
      <c r="H67" s="34">
        <v>500</v>
      </c>
      <c r="I67" s="34">
        <v>111</v>
      </c>
    </row>
    <row r="68" spans="1:9" x14ac:dyDescent="0.3">
      <c r="A68" s="34">
        <v>6073</v>
      </c>
      <c r="B68" s="34">
        <v>1</v>
      </c>
      <c r="C68" s="34" t="s">
        <v>1632</v>
      </c>
      <c r="D68" s="34" t="s">
        <v>1650</v>
      </c>
      <c r="E68" s="34">
        <v>0</v>
      </c>
      <c r="F68" s="34">
        <v>0.65</v>
      </c>
      <c r="G68" s="34" t="s">
        <v>1648</v>
      </c>
      <c r="H68" s="34">
        <v>500</v>
      </c>
      <c r="I68" s="34">
        <v>111</v>
      </c>
    </row>
    <row r="69" spans="1:9" x14ac:dyDescent="0.3">
      <c r="A69" s="34">
        <v>6074</v>
      </c>
      <c r="B69" s="34">
        <v>1</v>
      </c>
      <c r="C69" s="34" t="s">
        <v>1632</v>
      </c>
      <c r="D69" s="34" t="s">
        <v>1650</v>
      </c>
      <c r="E69" s="34">
        <v>0</v>
      </c>
      <c r="F69" s="34">
        <v>0.4</v>
      </c>
      <c r="G69" s="34" t="s">
        <v>1634</v>
      </c>
      <c r="H69" s="34">
        <v>100</v>
      </c>
      <c r="I69" s="34">
        <v>111</v>
      </c>
    </row>
    <row r="70" spans="1:9" x14ac:dyDescent="0.3">
      <c r="A70" s="34">
        <v>6075</v>
      </c>
      <c r="B70" s="34">
        <v>1</v>
      </c>
      <c r="C70" s="34" t="s">
        <v>1632</v>
      </c>
      <c r="D70" s="34" t="s">
        <v>1651</v>
      </c>
      <c r="E70" s="34">
        <v>0</v>
      </c>
      <c r="F70" s="34">
        <v>0.4</v>
      </c>
      <c r="G70" s="34" t="s">
        <v>1634</v>
      </c>
      <c r="H70" s="34">
        <v>100</v>
      </c>
      <c r="I70" s="34">
        <v>111</v>
      </c>
    </row>
    <row r="71" spans="1:9" x14ac:dyDescent="0.3">
      <c r="A71" s="34">
        <v>6076</v>
      </c>
      <c r="B71" s="34">
        <v>1</v>
      </c>
      <c r="C71" s="34" t="s">
        <v>1632</v>
      </c>
      <c r="D71" s="34" t="s">
        <v>1651</v>
      </c>
      <c r="E71" s="34">
        <v>0</v>
      </c>
      <c r="F71" s="34">
        <v>0.65</v>
      </c>
      <c r="G71" s="34" t="s">
        <v>1648</v>
      </c>
      <c r="H71" s="34">
        <v>500</v>
      </c>
      <c r="I71" s="34">
        <v>111</v>
      </c>
    </row>
    <row r="72" spans="1:9" x14ac:dyDescent="0.3">
      <c r="A72" s="34">
        <v>6077</v>
      </c>
      <c r="B72" s="34">
        <v>1</v>
      </c>
      <c r="C72" s="34" t="s">
        <v>1632</v>
      </c>
      <c r="D72" s="34" t="s">
        <v>1652</v>
      </c>
      <c r="E72" s="34">
        <v>0</v>
      </c>
      <c r="F72" s="34">
        <v>0.65</v>
      </c>
      <c r="G72" s="34" t="s">
        <v>1648</v>
      </c>
      <c r="H72" s="34">
        <v>500</v>
      </c>
      <c r="I72" s="34">
        <v>111</v>
      </c>
    </row>
    <row r="73" spans="1:9" x14ac:dyDescent="0.3">
      <c r="A73" s="34">
        <v>6078</v>
      </c>
      <c r="B73" s="34">
        <v>1</v>
      </c>
      <c r="C73" s="34" t="s">
        <v>1632</v>
      </c>
      <c r="D73" s="34" t="s">
        <v>1652</v>
      </c>
      <c r="E73" s="34">
        <v>0</v>
      </c>
      <c r="F73" s="34">
        <v>0.4</v>
      </c>
      <c r="G73" s="34" t="s">
        <v>1634</v>
      </c>
      <c r="H73" s="34">
        <v>100</v>
      </c>
      <c r="I73" s="34">
        <v>111</v>
      </c>
    </row>
    <row r="74" spans="1:9" x14ac:dyDescent="0.3">
      <c r="A74" s="34">
        <v>6079</v>
      </c>
      <c r="B74" s="34">
        <v>1</v>
      </c>
      <c r="C74" s="34" t="s">
        <v>1632</v>
      </c>
      <c r="D74" s="34" t="s">
        <v>1653</v>
      </c>
      <c r="E74" s="34">
        <v>0</v>
      </c>
      <c r="F74" s="34">
        <v>0.3</v>
      </c>
      <c r="G74" s="34" t="s">
        <v>1634</v>
      </c>
      <c r="H74" s="34">
        <v>100</v>
      </c>
      <c r="I74" s="34">
        <v>111</v>
      </c>
    </row>
    <row r="75" spans="1:9" x14ac:dyDescent="0.3">
      <c r="A75" s="34">
        <v>6080</v>
      </c>
      <c r="B75" s="34">
        <v>1</v>
      </c>
      <c r="C75" s="34" t="s">
        <v>1632</v>
      </c>
      <c r="D75" s="34" t="s">
        <v>1653</v>
      </c>
      <c r="E75" s="34">
        <v>0</v>
      </c>
      <c r="F75" s="34">
        <v>0.45</v>
      </c>
      <c r="G75" s="34" t="s">
        <v>1648</v>
      </c>
      <c r="H75" s="34">
        <v>500</v>
      </c>
      <c r="I75" s="34">
        <v>111</v>
      </c>
    </row>
    <row r="76" spans="1:9" x14ac:dyDescent="0.3">
      <c r="A76" s="34">
        <v>6081</v>
      </c>
      <c r="B76" s="34">
        <v>1</v>
      </c>
      <c r="C76" s="34" t="s">
        <v>1632</v>
      </c>
      <c r="D76" s="34" t="s">
        <v>1654</v>
      </c>
      <c r="E76" s="34">
        <v>0</v>
      </c>
      <c r="F76" s="34">
        <v>0.45</v>
      </c>
      <c r="G76" s="34" t="s">
        <v>1648</v>
      </c>
      <c r="H76" s="34">
        <v>500</v>
      </c>
      <c r="I76" s="34">
        <v>111</v>
      </c>
    </row>
    <row r="77" spans="1:9" x14ac:dyDescent="0.3">
      <c r="A77" s="34">
        <v>6082</v>
      </c>
      <c r="B77" s="34">
        <v>1</v>
      </c>
      <c r="C77" s="34" t="s">
        <v>1632</v>
      </c>
      <c r="D77" s="34" t="s">
        <v>1654</v>
      </c>
      <c r="E77" s="34">
        <v>0</v>
      </c>
      <c r="F77" s="34">
        <v>0.3</v>
      </c>
      <c r="G77" s="34" t="s">
        <v>1634</v>
      </c>
      <c r="H77" s="34">
        <v>100</v>
      </c>
      <c r="I77" s="34">
        <v>111</v>
      </c>
    </row>
    <row r="78" spans="1:9" x14ac:dyDescent="0.3">
      <c r="A78" s="34">
        <v>6083</v>
      </c>
      <c r="B78" s="34">
        <v>1</v>
      </c>
      <c r="C78" s="34" t="s">
        <v>1632</v>
      </c>
      <c r="D78" s="34" t="s">
        <v>1655</v>
      </c>
      <c r="E78" s="34">
        <v>0</v>
      </c>
      <c r="F78" s="34">
        <v>0.3</v>
      </c>
      <c r="G78" s="34" t="s">
        <v>1634</v>
      </c>
      <c r="H78" s="34">
        <v>100</v>
      </c>
      <c r="I78" s="34">
        <v>111</v>
      </c>
    </row>
    <row r="79" spans="1:9" x14ac:dyDescent="0.3">
      <c r="A79" s="34">
        <v>6084</v>
      </c>
      <c r="B79" s="34">
        <v>1</v>
      </c>
      <c r="C79" s="34" t="s">
        <v>1632</v>
      </c>
      <c r="D79" s="34" t="s">
        <v>1655</v>
      </c>
      <c r="E79" s="34">
        <v>0</v>
      </c>
      <c r="F79" s="34">
        <v>0.45</v>
      </c>
      <c r="G79" s="34" t="s">
        <v>1648</v>
      </c>
      <c r="H79" s="34">
        <v>500</v>
      </c>
      <c r="I79" s="34">
        <v>111</v>
      </c>
    </row>
    <row r="80" spans="1:9" x14ac:dyDescent="0.3">
      <c r="A80" s="34">
        <v>6085</v>
      </c>
      <c r="B80" s="34">
        <v>1</v>
      </c>
      <c r="C80" s="34" t="s">
        <v>1632</v>
      </c>
      <c r="D80" s="34" t="s">
        <v>1656</v>
      </c>
      <c r="E80" s="34">
        <v>0</v>
      </c>
      <c r="F80" s="34">
        <v>0.3</v>
      </c>
      <c r="G80" s="34" t="s">
        <v>1634</v>
      </c>
      <c r="H80" s="34">
        <v>100</v>
      </c>
      <c r="I80" s="34">
        <v>111</v>
      </c>
    </row>
    <row r="81" spans="1:9" x14ac:dyDescent="0.3">
      <c r="A81" s="34">
        <v>6086</v>
      </c>
      <c r="B81" s="34">
        <v>1</v>
      </c>
      <c r="C81" s="34" t="s">
        <v>1632</v>
      </c>
      <c r="D81" s="34" t="s">
        <v>1657</v>
      </c>
      <c r="E81" s="34">
        <v>0</v>
      </c>
      <c r="F81" s="34">
        <v>0.2</v>
      </c>
      <c r="G81" s="34" t="s">
        <v>1634</v>
      </c>
      <c r="H81" s="34">
        <v>100</v>
      </c>
      <c r="I81" s="34">
        <v>111</v>
      </c>
    </row>
    <row r="82" spans="1:9" x14ac:dyDescent="0.3">
      <c r="A82" s="34">
        <v>6087</v>
      </c>
      <c r="B82" s="34">
        <v>1</v>
      </c>
      <c r="C82" s="34" t="s">
        <v>1632</v>
      </c>
      <c r="D82" s="34" t="s">
        <v>1658</v>
      </c>
      <c r="E82" s="34">
        <v>0</v>
      </c>
      <c r="F82" s="34">
        <v>0.2</v>
      </c>
      <c r="G82" s="34" t="s">
        <v>1634</v>
      </c>
      <c r="H82" s="34">
        <v>100</v>
      </c>
      <c r="I82" s="34">
        <v>111</v>
      </c>
    </row>
    <row r="83" spans="1:9" x14ac:dyDescent="0.3">
      <c r="A83" s="34">
        <v>6088</v>
      </c>
      <c r="B83" s="34">
        <v>1</v>
      </c>
      <c r="C83" s="34" t="s">
        <v>1632</v>
      </c>
      <c r="D83" s="34" t="s">
        <v>1659</v>
      </c>
      <c r="E83" s="34">
        <v>0</v>
      </c>
      <c r="F83" s="34">
        <v>0.2</v>
      </c>
      <c r="G83" s="34" t="s">
        <v>1634</v>
      </c>
      <c r="H83" s="34">
        <v>100</v>
      </c>
      <c r="I83" s="34">
        <v>111</v>
      </c>
    </row>
    <row r="84" spans="1:9" x14ac:dyDescent="0.3">
      <c r="A84" s="34">
        <v>6089</v>
      </c>
      <c r="B84" s="34">
        <v>1</v>
      </c>
      <c r="C84" s="34" t="s">
        <v>1632</v>
      </c>
      <c r="D84" s="34" t="s">
        <v>1660</v>
      </c>
      <c r="E84" s="34">
        <v>0</v>
      </c>
      <c r="F84" s="34">
        <v>0.2</v>
      </c>
      <c r="G84" s="34" t="s">
        <v>1634</v>
      </c>
      <c r="H84" s="34">
        <v>100</v>
      </c>
      <c r="I84" s="34">
        <v>111</v>
      </c>
    </row>
    <row r="85" spans="1:9" x14ac:dyDescent="0.3">
      <c r="A85" s="34">
        <v>6090</v>
      </c>
      <c r="B85" s="34">
        <v>1</v>
      </c>
      <c r="C85" s="34" t="s">
        <v>1632</v>
      </c>
      <c r="D85" s="34" t="s">
        <v>1656</v>
      </c>
      <c r="E85" s="34">
        <v>0</v>
      </c>
      <c r="F85" s="34">
        <v>0.45</v>
      </c>
      <c r="G85" s="34" t="s">
        <v>1648</v>
      </c>
      <c r="H85" s="34">
        <v>500</v>
      </c>
      <c r="I85" s="34">
        <v>111</v>
      </c>
    </row>
    <row r="86" spans="1:9" x14ac:dyDescent="0.3">
      <c r="A86" s="34">
        <v>6091</v>
      </c>
      <c r="B86" s="34">
        <v>1</v>
      </c>
      <c r="C86" s="34" t="s">
        <v>1632</v>
      </c>
      <c r="D86" s="34" t="s">
        <v>1657</v>
      </c>
      <c r="E86" s="34">
        <v>0</v>
      </c>
      <c r="F86" s="34">
        <v>0.35</v>
      </c>
      <c r="G86" s="34" t="s">
        <v>1648</v>
      </c>
      <c r="H86" s="34">
        <v>500</v>
      </c>
      <c r="I86" s="34">
        <v>111</v>
      </c>
    </row>
    <row r="87" spans="1:9" x14ac:dyDescent="0.3">
      <c r="A87" s="34">
        <v>6092</v>
      </c>
      <c r="B87" s="34">
        <v>1</v>
      </c>
      <c r="C87" s="34" t="s">
        <v>1632</v>
      </c>
      <c r="D87" s="34" t="s">
        <v>1658</v>
      </c>
      <c r="E87" s="34">
        <v>0</v>
      </c>
      <c r="F87" s="34">
        <v>0.35</v>
      </c>
      <c r="G87" s="34" t="s">
        <v>1648</v>
      </c>
      <c r="H87" s="34">
        <v>500</v>
      </c>
      <c r="I87" s="34">
        <v>111</v>
      </c>
    </row>
    <row r="88" spans="1:9" x14ac:dyDescent="0.3">
      <c r="A88" s="34">
        <v>6093</v>
      </c>
      <c r="B88" s="34">
        <v>1</v>
      </c>
      <c r="C88" s="34" t="s">
        <v>1632</v>
      </c>
      <c r="D88" s="34" t="s">
        <v>1659</v>
      </c>
      <c r="E88" s="34">
        <v>0</v>
      </c>
      <c r="F88" s="34">
        <v>0.35</v>
      </c>
      <c r="G88" s="34" t="s">
        <v>1648</v>
      </c>
      <c r="H88" s="34">
        <v>500</v>
      </c>
      <c r="I88" s="34">
        <v>111</v>
      </c>
    </row>
    <row r="89" spans="1:9" x14ac:dyDescent="0.3">
      <c r="A89" s="34">
        <v>6094</v>
      </c>
      <c r="B89" s="34">
        <v>1</v>
      </c>
      <c r="C89" s="34" t="s">
        <v>1632</v>
      </c>
      <c r="D89" s="34" t="s">
        <v>1660</v>
      </c>
      <c r="E89" s="34">
        <v>0</v>
      </c>
      <c r="F89" s="34">
        <v>0.35</v>
      </c>
      <c r="G89" s="34" t="s">
        <v>1648</v>
      </c>
      <c r="H89" s="34">
        <v>500</v>
      </c>
      <c r="I89" s="34">
        <v>111</v>
      </c>
    </row>
    <row r="90" spans="1:9" x14ac:dyDescent="0.3">
      <c r="A90" s="34">
        <v>6095</v>
      </c>
      <c r="B90" s="34">
        <v>1</v>
      </c>
      <c r="C90" s="34" t="s">
        <v>1632</v>
      </c>
      <c r="D90" s="34" t="s">
        <v>1661</v>
      </c>
      <c r="E90" s="34">
        <v>0</v>
      </c>
      <c r="F90" s="34">
        <v>0.45</v>
      </c>
      <c r="G90" s="34" t="s">
        <v>1634</v>
      </c>
      <c r="H90" s="34">
        <v>100</v>
      </c>
      <c r="I90" s="34">
        <v>111</v>
      </c>
    </row>
    <row r="91" spans="1:9" x14ac:dyDescent="0.3">
      <c r="A91" s="34">
        <v>6096</v>
      </c>
      <c r="B91" s="34">
        <v>1</v>
      </c>
      <c r="C91" s="34" t="s">
        <v>1632</v>
      </c>
      <c r="D91" s="34" t="s">
        <v>1661</v>
      </c>
      <c r="E91" s="34">
        <v>0</v>
      </c>
      <c r="F91" s="34">
        <v>0.45</v>
      </c>
      <c r="G91" s="34" t="s">
        <v>1648</v>
      </c>
      <c r="H91" s="34">
        <v>500</v>
      </c>
      <c r="I91" s="34">
        <v>111</v>
      </c>
    </row>
    <row r="92" spans="1:9" x14ac:dyDescent="0.3">
      <c r="A92" s="34">
        <v>6097</v>
      </c>
      <c r="B92" s="34">
        <v>1</v>
      </c>
      <c r="C92" s="34" t="s">
        <v>1662</v>
      </c>
      <c r="D92" s="34" t="s">
        <v>130</v>
      </c>
      <c r="E92" s="34">
        <v>0</v>
      </c>
      <c r="F92" s="34">
        <v>0.5</v>
      </c>
      <c r="G92" s="34"/>
      <c r="H92" s="34">
        <v>0</v>
      </c>
      <c r="I92" s="34">
        <v>111</v>
      </c>
    </row>
    <row r="93" spans="1:9" x14ac:dyDescent="0.3">
      <c r="A93" s="34">
        <v>6098</v>
      </c>
      <c r="B93" s="34">
        <v>1</v>
      </c>
      <c r="C93" s="34" t="s">
        <v>1662</v>
      </c>
      <c r="D93" s="34" t="s">
        <v>1624</v>
      </c>
      <c r="E93" s="34">
        <v>0</v>
      </c>
      <c r="F93" s="34">
        <v>0.3</v>
      </c>
      <c r="G93" s="34"/>
      <c r="H93" s="34">
        <v>0</v>
      </c>
      <c r="I93" s="34">
        <v>111</v>
      </c>
    </row>
    <row r="94" spans="1:9" x14ac:dyDescent="0.3">
      <c r="A94" s="34">
        <v>6099</v>
      </c>
      <c r="B94" s="34">
        <v>1</v>
      </c>
      <c r="C94" s="34" t="s">
        <v>1662</v>
      </c>
      <c r="D94" s="34" t="s">
        <v>1625</v>
      </c>
      <c r="E94" s="34">
        <v>0</v>
      </c>
      <c r="F94" s="34">
        <v>0.7</v>
      </c>
      <c r="G94" s="34"/>
      <c r="H94" s="34">
        <v>0</v>
      </c>
      <c r="I94" s="34">
        <v>111</v>
      </c>
    </row>
    <row r="95" spans="1:9" x14ac:dyDescent="0.3">
      <c r="A95" s="34">
        <v>6100</v>
      </c>
      <c r="B95" s="34">
        <v>1</v>
      </c>
      <c r="C95" s="34" t="s">
        <v>1662</v>
      </c>
      <c r="D95" s="34" t="s">
        <v>1627</v>
      </c>
      <c r="E95" s="34">
        <v>0</v>
      </c>
      <c r="F95" s="34">
        <v>0.7</v>
      </c>
      <c r="G95" s="34"/>
      <c r="H95" s="34">
        <v>0</v>
      </c>
      <c r="I95" s="34">
        <v>111</v>
      </c>
    </row>
    <row r="96" spans="1:9" x14ac:dyDescent="0.3">
      <c r="A96" s="34">
        <v>6101</v>
      </c>
      <c r="B96" s="34">
        <v>1</v>
      </c>
      <c r="C96" s="34" t="s">
        <v>1662</v>
      </c>
      <c r="D96" s="34" t="s">
        <v>1626</v>
      </c>
      <c r="E96" s="34">
        <v>0</v>
      </c>
      <c r="F96" s="34">
        <v>0.3</v>
      </c>
      <c r="G96" s="34"/>
      <c r="H96" s="34">
        <v>0</v>
      </c>
      <c r="I96" s="34">
        <v>111</v>
      </c>
    </row>
    <row r="97" spans="1:81" x14ac:dyDescent="0.3">
      <c r="A97" s="34">
        <v>6102</v>
      </c>
      <c r="B97" s="34">
        <v>1</v>
      </c>
      <c r="C97" s="34" t="s">
        <v>1662</v>
      </c>
      <c r="D97" s="34" t="s">
        <v>1629</v>
      </c>
      <c r="E97" s="34">
        <v>0</v>
      </c>
      <c r="F97" s="34">
        <v>0.75</v>
      </c>
      <c r="G97" s="34"/>
      <c r="H97" s="34">
        <v>0</v>
      </c>
      <c r="I97" s="34">
        <v>111</v>
      </c>
    </row>
    <row r="98" spans="1:81" x14ac:dyDescent="0.3">
      <c r="A98" s="34">
        <v>6103</v>
      </c>
      <c r="B98" s="34">
        <v>1</v>
      </c>
      <c r="C98" s="34" t="s">
        <v>1662</v>
      </c>
      <c r="D98" s="34" t="s">
        <v>1623</v>
      </c>
      <c r="E98" s="34">
        <v>0</v>
      </c>
      <c r="F98" s="34">
        <v>0.15</v>
      </c>
      <c r="G98" s="34"/>
      <c r="H98" s="34">
        <v>0</v>
      </c>
      <c r="I98" s="34">
        <v>111</v>
      </c>
    </row>
    <row r="101" spans="1:81" x14ac:dyDescent="0.3">
      <c r="A101" s="34" t="s">
        <v>2</v>
      </c>
      <c r="B101" s="34" t="s">
        <v>3</v>
      </c>
      <c r="C101" s="34" t="s">
        <v>1315</v>
      </c>
      <c r="D101" s="34" t="s">
        <v>1389</v>
      </c>
      <c r="E101" s="34" t="s">
        <v>1390</v>
      </c>
      <c r="F101" s="34" t="s">
        <v>1391</v>
      </c>
      <c r="G101" s="34" t="s">
        <v>1392</v>
      </c>
      <c r="H101" s="34" t="s">
        <v>1393</v>
      </c>
      <c r="I101" s="34" t="s">
        <v>1394</v>
      </c>
      <c r="J101" s="34" t="s">
        <v>1395</v>
      </c>
      <c r="K101" s="34" t="s">
        <v>1396</v>
      </c>
      <c r="L101" s="34" t="s">
        <v>1397</v>
      </c>
      <c r="M101" s="34" t="s">
        <v>1398</v>
      </c>
      <c r="N101" s="34" t="s">
        <v>1399</v>
      </c>
      <c r="O101" s="34" t="s">
        <v>1400</v>
      </c>
      <c r="P101" s="34" t="s">
        <v>1401</v>
      </c>
      <c r="Q101" s="34" t="s">
        <v>1322</v>
      </c>
      <c r="R101" s="34" t="s">
        <v>1402</v>
      </c>
      <c r="S101" s="34" t="s">
        <v>1403</v>
      </c>
      <c r="T101" s="34" t="s">
        <v>1404</v>
      </c>
      <c r="U101" s="34" t="s">
        <v>1405</v>
      </c>
      <c r="V101" s="34" t="s">
        <v>1406</v>
      </c>
      <c r="W101" s="34" t="s">
        <v>1407</v>
      </c>
      <c r="X101" s="34" t="s">
        <v>1408</v>
      </c>
      <c r="Y101" s="34" t="s">
        <v>1409</v>
      </c>
      <c r="Z101" s="34" t="s">
        <v>1410</v>
      </c>
      <c r="AA101" s="34" t="s">
        <v>1411</v>
      </c>
      <c r="AB101" s="34" t="s">
        <v>1412</v>
      </c>
      <c r="AC101" s="34" t="s">
        <v>1413</v>
      </c>
      <c r="AD101" s="34" t="s">
        <v>1414</v>
      </c>
      <c r="AE101" s="34" t="s">
        <v>1415</v>
      </c>
      <c r="AF101" s="34" t="s">
        <v>1416</v>
      </c>
      <c r="AG101" s="34" t="s">
        <v>1417</v>
      </c>
      <c r="AH101" s="34" t="s">
        <v>1418</v>
      </c>
      <c r="AI101" s="34" t="s">
        <v>71</v>
      </c>
      <c r="AJ101" s="34" t="s">
        <v>1419</v>
      </c>
      <c r="AK101" s="34" t="s">
        <v>1420</v>
      </c>
      <c r="AL101" s="34" t="s">
        <v>1421</v>
      </c>
      <c r="AM101" s="34" t="s">
        <v>1422</v>
      </c>
      <c r="AN101" s="34" t="s">
        <v>1423</v>
      </c>
      <c r="AO101" s="34" t="s">
        <v>1424</v>
      </c>
      <c r="AP101" s="34" t="s">
        <v>1425</v>
      </c>
      <c r="AQ101" s="34" t="s">
        <v>1318</v>
      </c>
      <c r="AR101" s="34" t="s">
        <v>1426</v>
      </c>
      <c r="AS101" s="34" t="s">
        <v>1427</v>
      </c>
      <c r="AT101" s="34" t="s">
        <v>1428</v>
      </c>
      <c r="AU101" s="34" t="s">
        <v>1429</v>
      </c>
      <c r="AV101" s="34" t="s">
        <v>1430</v>
      </c>
      <c r="AW101" s="34" t="s">
        <v>1431</v>
      </c>
      <c r="AX101" s="34" t="s">
        <v>1432</v>
      </c>
      <c r="AY101" s="34" t="s">
        <v>1433</v>
      </c>
      <c r="AZ101" s="34" t="s">
        <v>1434</v>
      </c>
      <c r="BA101" s="34" t="s">
        <v>1435</v>
      </c>
      <c r="BB101" s="34" t="s">
        <v>1436</v>
      </c>
      <c r="BC101" s="34" t="s">
        <v>1437</v>
      </c>
      <c r="BD101" s="34" t="s">
        <v>1438</v>
      </c>
      <c r="BE101" s="34" t="s">
        <v>1439</v>
      </c>
      <c r="BF101" s="34" t="s">
        <v>0</v>
      </c>
      <c r="BG101" s="34" t="s">
        <v>1440</v>
      </c>
      <c r="BH101" s="34" t="s">
        <v>1441</v>
      </c>
      <c r="BI101" s="34" t="s">
        <v>14</v>
      </c>
      <c r="BJ101" s="34" t="s">
        <v>13</v>
      </c>
      <c r="BK101" s="34" t="s">
        <v>1316</v>
      </c>
      <c r="BL101" s="34" t="s">
        <v>35</v>
      </c>
      <c r="BM101" s="34" t="s">
        <v>1442</v>
      </c>
      <c r="BN101" s="34" t="s">
        <v>1443</v>
      </c>
      <c r="BO101" s="34" t="s">
        <v>1444</v>
      </c>
      <c r="BP101" s="34" t="s">
        <v>1445</v>
      </c>
      <c r="BQ101" s="34" t="s">
        <v>1446</v>
      </c>
      <c r="BR101" s="34" t="s">
        <v>1447</v>
      </c>
      <c r="BS101" s="34" t="s">
        <v>1448</v>
      </c>
      <c r="BT101" s="34" t="s">
        <v>1449</v>
      </c>
      <c r="BU101" s="34" t="s">
        <v>1450</v>
      </c>
      <c r="BV101" s="34" t="s">
        <v>1321</v>
      </c>
      <c r="BW101" s="34" t="s">
        <v>1451</v>
      </c>
      <c r="BX101" s="34" t="s">
        <v>1452</v>
      </c>
      <c r="BY101" s="34" t="s">
        <v>1317</v>
      </c>
      <c r="BZ101" s="34" t="s">
        <v>1320</v>
      </c>
      <c r="CA101" s="34" t="s">
        <v>1453</v>
      </c>
      <c r="CB101" s="34" t="s">
        <v>1323</v>
      </c>
      <c r="CC101" s="34" t="s">
        <v>1324</v>
      </c>
    </row>
    <row r="102" spans="1:81" x14ac:dyDescent="0.3">
      <c r="A102" s="34" t="s">
        <v>1563</v>
      </c>
      <c r="B102" s="34" t="s">
        <v>711</v>
      </c>
      <c r="C102" s="34" t="s">
        <v>1327</v>
      </c>
      <c r="D102" s="34"/>
      <c r="E102" s="35">
        <v>45405</v>
      </c>
      <c r="F102" s="35">
        <v>47212</v>
      </c>
      <c r="G102" s="34"/>
      <c r="H102" s="34" t="s">
        <v>1325</v>
      </c>
      <c r="I102" s="34">
        <v>0</v>
      </c>
      <c r="J102" s="34">
        <v>150000000</v>
      </c>
      <c r="K102" s="34" t="s">
        <v>123</v>
      </c>
      <c r="L102" s="34" t="s">
        <v>123</v>
      </c>
      <c r="M102" s="34" t="s">
        <v>123</v>
      </c>
      <c r="N102" s="34" t="s">
        <v>123</v>
      </c>
      <c r="O102" s="34">
        <v>101</v>
      </c>
      <c r="P102" s="34">
        <v>1.6666700000000001E-3</v>
      </c>
      <c r="Q102" s="34" t="s">
        <v>123</v>
      </c>
      <c r="R102" s="34" t="s">
        <v>123</v>
      </c>
      <c r="S102" s="34" t="s">
        <v>123</v>
      </c>
      <c r="T102" s="34" t="s">
        <v>123</v>
      </c>
      <c r="U102" s="34" t="s">
        <v>123</v>
      </c>
      <c r="V102" s="34" t="s">
        <v>123</v>
      </c>
      <c r="W102" s="34" t="s">
        <v>123</v>
      </c>
      <c r="X102" s="34" t="s">
        <v>123</v>
      </c>
      <c r="Y102" s="34" t="s">
        <v>123</v>
      </c>
      <c r="Z102" s="34">
        <v>0</v>
      </c>
      <c r="AA102" s="34" t="s">
        <v>123</v>
      </c>
      <c r="AB102" s="34">
        <v>0</v>
      </c>
      <c r="AC102" s="34">
        <v>1</v>
      </c>
      <c r="AD102" s="34" t="s">
        <v>123</v>
      </c>
      <c r="AE102" s="34" t="s">
        <v>123</v>
      </c>
      <c r="AF102" s="34" t="s">
        <v>714</v>
      </c>
      <c r="AG102" s="34" t="s">
        <v>123</v>
      </c>
      <c r="AH102" s="34" t="s">
        <v>123</v>
      </c>
      <c r="AI102" s="34" t="s">
        <v>123</v>
      </c>
      <c r="AJ102" s="34" t="s">
        <v>123</v>
      </c>
      <c r="AK102" s="34" t="s">
        <v>123</v>
      </c>
      <c r="AL102" s="34" t="s">
        <v>123</v>
      </c>
      <c r="AM102" s="34" t="s">
        <v>123</v>
      </c>
      <c r="AN102" s="34" t="s">
        <v>123</v>
      </c>
      <c r="AO102" s="34" t="s">
        <v>123</v>
      </c>
      <c r="AP102" s="34">
        <v>0</v>
      </c>
      <c r="AQ102" s="34" t="s">
        <v>123</v>
      </c>
      <c r="AR102" s="34">
        <v>5.6722120000000001E-2</v>
      </c>
      <c r="AS102" s="34"/>
      <c r="AT102" s="34" t="s">
        <v>123</v>
      </c>
      <c r="AU102" s="34">
        <v>111</v>
      </c>
      <c r="AV102" s="34" t="s">
        <v>1564</v>
      </c>
      <c r="AW102" s="34">
        <v>0</v>
      </c>
      <c r="AX102" s="34">
        <v>1452</v>
      </c>
      <c r="AY102" s="34" t="s">
        <v>1329</v>
      </c>
      <c r="AZ102" s="35">
        <v>45749</v>
      </c>
      <c r="BA102" s="35">
        <v>45749</v>
      </c>
      <c r="BB102" s="34" t="s">
        <v>123</v>
      </c>
      <c r="BC102" s="34" t="s">
        <v>123</v>
      </c>
      <c r="BD102" s="34" t="s">
        <v>123</v>
      </c>
      <c r="BE102" s="34" t="s">
        <v>139</v>
      </c>
      <c r="BF102" s="34">
        <v>151</v>
      </c>
      <c r="BG102" s="34">
        <v>0</v>
      </c>
      <c r="BH102" s="34">
        <v>2.3430280000000001E-2</v>
      </c>
      <c r="BI102" s="34" t="s">
        <v>150</v>
      </c>
      <c r="BJ102" s="34" t="s">
        <v>1328</v>
      </c>
      <c r="BK102" s="34">
        <v>2025</v>
      </c>
      <c r="BL102" s="34" t="s">
        <v>1456</v>
      </c>
      <c r="BM102" s="34"/>
      <c r="BN102" s="34">
        <v>0</v>
      </c>
      <c r="BO102" s="34" t="s">
        <v>1330</v>
      </c>
      <c r="BP102" s="34">
        <v>6.2164799999999999E-2</v>
      </c>
      <c r="BQ102" s="34" t="s">
        <v>1326</v>
      </c>
      <c r="BR102" s="35">
        <v>45749</v>
      </c>
      <c r="BS102" s="34">
        <v>0</v>
      </c>
      <c r="BT102" s="34" t="s">
        <v>123</v>
      </c>
      <c r="BU102" s="34">
        <v>0</v>
      </c>
      <c r="BV102" s="34">
        <v>250000</v>
      </c>
      <c r="BW102" s="34">
        <v>0</v>
      </c>
      <c r="BX102" s="34">
        <v>151</v>
      </c>
      <c r="BY102" s="34">
        <v>0</v>
      </c>
      <c r="BZ102" s="34">
        <v>1</v>
      </c>
      <c r="CA102" s="34" t="s">
        <v>123</v>
      </c>
      <c r="CB102" s="34" t="s">
        <v>123</v>
      </c>
      <c r="CC102" s="34" t="s">
        <v>123</v>
      </c>
    </row>
    <row r="103" spans="1:81" x14ac:dyDescent="0.3">
      <c r="A103" s="34" t="s">
        <v>1565</v>
      </c>
      <c r="B103" s="34" t="s">
        <v>1120</v>
      </c>
      <c r="C103" s="34" t="s">
        <v>1331</v>
      </c>
      <c r="D103" s="34"/>
      <c r="E103" s="35">
        <v>45686</v>
      </c>
      <c r="F103" s="35">
        <v>46850</v>
      </c>
      <c r="G103" s="34"/>
      <c r="H103" s="34" t="s">
        <v>1325</v>
      </c>
      <c r="I103" s="34">
        <v>5000000</v>
      </c>
      <c r="J103" s="34">
        <v>5000000</v>
      </c>
      <c r="K103" s="34" t="s">
        <v>123</v>
      </c>
      <c r="L103" s="34" t="s">
        <v>123</v>
      </c>
      <c r="M103" s="34" t="s">
        <v>123</v>
      </c>
      <c r="N103" s="34" t="s">
        <v>123</v>
      </c>
      <c r="O103" s="34">
        <v>100.2</v>
      </c>
      <c r="P103" s="34">
        <v>8.3333299999999999E-3</v>
      </c>
      <c r="Q103" s="34" t="s">
        <v>123</v>
      </c>
      <c r="R103" s="34" t="s">
        <v>123</v>
      </c>
      <c r="S103" s="34" t="s">
        <v>123</v>
      </c>
      <c r="T103" s="34" t="s">
        <v>123</v>
      </c>
      <c r="U103" s="34" t="s">
        <v>123</v>
      </c>
      <c r="V103" s="34" t="s">
        <v>123</v>
      </c>
      <c r="W103" s="34" t="s">
        <v>123</v>
      </c>
      <c r="X103" s="34" t="s">
        <v>123</v>
      </c>
      <c r="Y103" s="34" t="s">
        <v>123</v>
      </c>
      <c r="Z103" s="34">
        <v>0</v>
      </c>
      <c r="AA103" s="34" t="s">
        <v>123</v>
      </c>
      <c r="AB103" s="34">
        <v>0</v>
      </c>
      <c r="AC103" s="34">
        <v>1</v>
      </c>
      <c r="AD103" s="34" t="s">
        <v>123</v>
      </c>
      <c r="AE103" s="34" t="s">
        <v>123</v>
      </c>
      <c r="AF103" s="34" t="s">
        <v>1121</v>
      </c>
      <c r="AG103" s="34" t="s">
        <v>123</v>
      </c>
      <c r="AH103" s="34" t="s">
        <v>123</v>
      </c>
      <c r="AI103" s="34" t="s">
        <v>123</v>
      </c>
      <c r="AJ103" s="34" t="s">
        <v>123</v>
      </c>
      <c r="AK103" s="34" t="s">
        <v>123</v>
      </c>
      <c r="AL103" s="34" t="s">
        <v>123</v>
      </c>
      <c r="AM103" s="34" t="s">
        <v>123</v>
      </c>
      <c r="AN103" s="34" t="s">
        <v>123</v>
      </c>
      <c r="AO103" s="34" t="s">
        <v>123</v>
      </c>
      <c r="AP103" s="34">
        <v>0</v>
      </c>
      <c r="AQ103" s="34" t="s">
        <v>123</v>
      </c>
      <c r="AR103" s="34">
        <v>0.10367698</v>
      </c>
      <c r="AS103" s="34"/>
      <c r="AT103" s="34" t="s">
        <v>123</v>
      </c>
      <c r="AU103" s="34">
        <v>111</v>
      </c>
      <c r="AV103" s="34" t="s">
        <v>1566</v>
      </c>
      <c r="AW103" s="34">
        <v>0</v>
      </c>
      <c r="AX103" s="34">
        <v>1453</v>
      </c>
      <c r="AY103" s="34" t="s">
        <v>1333</v>
      </c>
      <c r="AZ103" s="35">
        <v>45751</v>
      </c>
      <c r="BA103" s="35">
        <v>45751</v>
      </c>
      <c r="BB103" s="34" t="s">
        <v>123</v>
      </c>
      <c r="BC103" s="34" t="s">
        <v>123</v>
      </c>
      <c r="BD103" s="34" t="s">
        <v>123</v>
      </c>
      <c r="BE103" s="34" t="s">
        <v>1334</v>
      </c>
      <c r="BF103" s="34">
        <v>268</v>
      </c>
      <c r="BG103" s="34">
        <v>0</v>
      </c>
      <c r="BH103" s="34">
        <v>6.6102750000000002E-2</v>
      </c>
      <c r="BI103" s="34" t="s">
        <v>159</v>
      </c>
      <c r="BJ103" s="34" t="s">
        <v>1332</v>
      </c>
      <c r="BK103" s="34">
        <v>2025</v>
      </c>
      <c r="BL103" s="34" t="s">
        <v>1456</v>
      </c>
      <c r="BM103" s="34"/>
      <c r="BN103" s="34">
        <v>0</v>
      </c>
      <c r="BO103" s="34" t="s">
        <v>1330</v>
      </c>
      <c r="BP103" s="34">
        <v>0.10476479</v>
      </c>
      <c r="BQ103" s="34" t="s">
        <v>1326</v>
      </c>
      <c r="BR103" s="35">
        <v>45751</v>
      </c>
      <c r="BS103" s="34">
        <v>0</v>
      </c>
      <c r="BT103" s="34" t="s">
        <v>123</v>
      </c>
      <c r="BU103" s="34">
        <v>0</v>
      </c>
      <c r="BV103" s="34">
        <v>250000</v>
      </c>
      <c r="BW103" s="34">
        <v>0</v>
      </c>
      <c r="BX103" s="34">
        <v>268</v>
      </c>
      <c r="BY103" s="34">
        <v>0</v>
      </c>
      <c r="BZ103" s="34">
        <v>1</v>
      </c>
      <c r="CA103" s="34" t="s">
        <v>123</v>
      </c>
      <c r="CB103" s="34" t="s">
        <v>123</v>
      </c>
      <c r="CC103" s="34" t="s">
        <v>123</v>
      </c>
    </row>
    <row r="104" spans="1:81" x14ac:dyDescent="0.3">
      <c r="A104" s="34" t="s">
        <v>1567</v>
      </c>
      <c r="B104" s="34" t="s">
        <v>668</v>
      </c>
      <c r="C104" s="34" t="s">
        <v>1335</v>
      </c>
      <c r="D104" s="34"/>
      <c r="E104" s="35">
        <v>45252</v>
      </c>
      <c r="F104" s="35">
        <v>46395</v>
      </c>
      <c r="G104" s="34"/>
      <c r="H104" s="34" t="s">
        <v>1325</v>
      </c>
      <c r="I104" s="34">
        <v>0</v>
      </c>
      <c r="J104" s="34">
        <v>600000000</v>
      </c>
      <c r="K104" s="34" t="s">
        <v>123</v>
      </c>
      <c r="L104" s="34" t="s">
        <v>123</v>
      </c>
      <c r="M104" s="34" t="s">
        <v>123</v>
      </c>
      <c r="N104" s="34" t="s">
        <v>123</v>
      </c>
      <c r="O104" s="34">
        <v>102.85</v>
      </c>
      <c r="P104" s="34">
        <v>1.25E-3</v>
      </c>
      <c r="Q104" s="34" t="s">
        <v>123</v>
      </c>
      <c r="R104" s="34" t="s">
        <v>123</v>
      </c>
      <c r="S104" s="34" t="s">
        <v>123</v>
      </c>
      <c r="T104" s="34" t="s">
        <v>123</v>
      </c>
      <c r="U104" s="34" t="s">
        <v>123</v>
      </c>
      <c r="V104" s="34" t="s">
        <v>123</v>
      </c>
      <c r="W104" s="34" t="s">
        <v>123</v>
      </c>
      <c r="X104" s="34" t="s">
        <v>123</v>
      </c>
      <c r="Y104" s="34" t="s">
        <v>123</v>
      </c>
      <c r="Z104" s="34">
        <v>0</v>
      </c>
      <c r="AA104" s="34" t="s">
        <v>123</v>
      </c>
      <c r="AB104" s="34">
        <v>0</v>
      </c>
      <c r="AC104" s="34">
        <v>1</v>
      </c>
      <c r="AD104" s="34" t="s">
        <v>123</v>
      </c>
      <c r="AE104" s="34" t="s">
        <v>123</v>
      </c>
      <c r="AF104" s="34" t="s">
        <v>671</v>
      </c>
      <c r="AG104" s="34" t="s">
        <v>123</v>
      </c>
      <c r="AH104" s="34" t="s">
        <v>123</v>
      </c>
      <c r="AI104" s="34" t="s">
        <v>123</v>
      </c>
      <c r="AJ104" s="34" t="s">
        <v>123</v>
      </c>
      <c r="AK104" s="34" t="s">
        <v>123</v>
      </c>
      <c r="AL104" s="34" t="s">
        <v>123</v>
      </c>
      <c r="AM104" s="34" t="s">
        <v>123</v>
      </c>
      <c r="AN104" s="34" t="s">
        <v>123</v>
      </c>
      <c r="AO104" s="34" t="s">
        <v>123</v>
      </c>
      <c r="AP104" s="34">
        <v>0</v>
      </c>
      <c r="AQ104" s="34" t="s">
        <v>123</v>
      </c>
      <c r="AR104" s="34">
        <v>7.6703099999999996E-2</v>
      </c>
      <c r="AS104" s="34"/>
      <c r="AT104" s="34" t="s">
        <v>123</v>
      </c>
      <c r="AU104" s="34">
        <v>111</v>
      </c>
      <c r="AV104" s="34" t="s">
        <v>1568</v>
      </c>
      <c r="AW104" s="34">
        <v>0</v>
      </c>
      <c r="AX104" s="34">
        <v>1454</v>
      </c>
      <c r="AY104" s="34" t="s">
        <v>1333</v>
      </c>
      <c r="AZ104" s="35">
        <v>45751</v>
      </c>
      <c r="BA104" s="35">
        <v>45751</v>
      </c>
      <c r="BB104" s="34" t="s">
        <v>123</v>
      </c>
      <c r="BC104" s="34" t="s">
        <v>123</v>
      </c>
      <c r="BD104" s="34" t="s">
        <v>123</v>
      </c>
      <c r="BE104" s="34" t="s">
        <v>139</v>
      </c>
      <c r="BF104" s="34">
        <v>138</v>
      </c>
      <c r="BG104" s="34">
        <v>0</v>
      </c>
      <c r="BH104" s="34">
        <v>5.2493049999999999E-2</v>
      </c>
      <c r="BI104" s="34" t="s">
        <v>133</v>
      </c>
      <c r="BJ104" s="34" t="s">
        <v>1336</v>
      </c>
      <c r="BK104" s="34">
        <v>2025</v>
      </c>
      <c r="BL104" s="34" t="s">
        <v>1456</v>
      </c>
      <c r="BM104" s="34"/>
      <c r="BN104" s="34">
        <v>0</v>
      </c>
      <c r="BO104" s="34" t="s">
        <v>1330</v>
      </c>
      <c r="BP104" s="34">
        <v>9.06E-2</v>
      </c>
      <c r="BQ104" s="34" t="s">
        <v>1326</v>
      </c>
      <c r="BR104" s="35">
        <v>45751</v>
      </c>
      <c r="BS104" s="34">
        <v>0</v>
      </c>
      <c r="BT104" s="34" t="s">
        <v>123</v>
      </c>
      <c r="BU104" s="34">
        <v>0</v>
      </c>
      <c r="BV104" s="34">
        <v>250000</v>
      </c>
      <c r="BW104" s="34">
        <v>0</v>
      </c>
      <c r="BX104" s="34">
        <v>138</v>
      </c>
      <c r="BY104" s="34">
        <v>0</v>
      </c>
      <c r="BZ104" s="34">
        <v>1</v>
      </c>
      <c r="CA104" s="34" t="s">
        <v>123</v>
      </c>
      <c r="CB104" s="34" t="s">
        <v>123</v>
      </c>
      <c r="CC104" s="34" t="s">
        <v>123</v>
      </c>
    </row>
    <row r="105" spans="1:81" x14ac:dyDescent="0.3">
      <c r="A105" s="34" t="s">
        <v>1569</v>
      </c>
      <c r="B105" s="34" t="s">
        <v>856</v>
      </c>
      <c r="C105" s="34" t="s">
        <v>1337</v>
      </c>
      <c r="D105" s="34"/>
      <c r="E105" s="35">
        <v>44650</v>
      </c>
      <c r="F105" s="35">
        <v>46119</v>
      </c>
      <c r="G105" s="34"/>
      <c r="H105" s="34" t="s">
        <v>1325</v>
      </c>
      <c r="I105" s="34">
        <v>0</v>
      </c>
      <c r="J105" s="34">
        <v>100000000</v>
      </c>
      <c r="K105" s="34" t="s">
        <v>123</v>
      </c>
      <c r="L105" s="34" t="s">
        <v>123</v>
      </c>
      <c r="M105" s="34" t="s">
        <v>123</v>
      </c>
      <c r="N105" s="34" t="s">
        <v>123</v>
      </c>
      <c r="O105" s="34">
        <v>101</v>
      </c>
      <c r="P105" s="34">
        <v>2.08333E-3</v>
      </c>
      <c r="Q105" s="34" t="s">
        <v>123</v>
      </c>
      <c r="R105" s="34" t="s">
        <v>123</v>
      </c>
      <c r="S105" s="34" t="s">
        <v>123</v>
      </c>
      <c r="T105" s="34" t="s">
        <v>123</v>
      </c>
      <c r="U105" s="34" t="s">
        <v>123</v>
      </c>
      <c r="V105" s="34" t="s">
        <v>123</v>
      </c>
      <c r="W105" s="34" t="s">
        <v>123</v>
      </c>
      <c r="X105" s="34" t="s">
        <v>123</v>
      </c>
      <c r="Y105" s="34" t="s">
        <v>123</v>
      </c>
      <c r="Z105" s="34">
        <v>0</v>
      </c>
      <c r="AA105" s="34" t="s">
        <v>123</v>
      </c>
      <c r="AB105" s="34">
        <v>0</v>
      </c>
      <c r="AC105" s="34">
        <v>1</v>
      </c>
      <c r="AD105" s="34" t="s">
        <v>123</v>
      </c>
      <c r="AE105" s="34" t="s">
        <v>123</v>
      </c>
      <c r="AF105" s="34" t="s">
        <v>858</v>
      </c>
      <c r="AG105" s="34" t="s">
        <v>123</v>
      </c>
      <c r="AH105" s="34" t="s">
        <v>123</v>
      </c>
      <c r="AI105" s="34" t="s">
        <v>123</v>
      </c>
      <c r="AJ105" s="34" t="s">
        <v>123</v>
      </c>
      <c r="AK105" s="34" t="s">
        <v>123</v>
      </c>
      <c r="AL105" s="34" t="s">
        <v>123</v>
      </c>
      <c r="AM105" s="34" t="s">
        <v>123</v>
      </c>
      <c r="AN105" s="34" t="s">
        <v>123</v>
      </c>
      <c r="AO105" s="34" t="s">
        <v>123</v>
      </c>
      <c r="AP105" s="34">
        <v>0</v>
      </c>
      <c r="AQ105" s="34" t="s">
        <v>123</v>
      </c>
      <c r="AR105" s="34">
        <v>5.962858E-2</v>
      </c>
      <c r="AS105" s="34"/>
      <c r="AT105" s="34" t="s">
        <v>123</v>
      </c>
      <c r="AU105" s="34">
        <v>111</v>
      </c>
      <c r="AV105" s="34" t="s">
        <v>1570</v>
      </c>
      <c r="AW105" s="34">
        <v>0</v>
      </c>
      <c r="AX105" s="34">
        <v>1455</v>
      </c>
      <c r="AY105" s="34" t="s">
        <v>1333</v>
      </c>
      <c r="AZ105" s="35">
        <v>45751</v>
      </c>
      <c r="BA105" s="35">
        <v>45751</v>
      </c>
      <c r="BB105" s="34" t="s">
        <v>123</v>
      </c>
      <c r="BC105" s="34" t="s">
        <v>123</v>
      </c>
      <c r="BD105" s="34" t="s">
        <v>123</v>
      </c>
      <c r="BE105" s="34" t="s">
        <v>139</v>
      </c>
      <c r="BF105" s="34">
        <v>196</v>
      </c>
      <c r="BG105" s="34">
        <v>0</v>
      </c>
      <c r="BH105" s="34">
        <v>2.8000799999999999E-2</v>
      </c>
      <c r="BI105" s="34" t="s">
        <v>167</v>
      </c>
      <c r="BJ105" s="34" t="s">
        <v>1338</v>
      </c>
      <c r="BK105" s="34">
        <v>2025</v>
      </c>
      <c r="BL105" s="34" t="s">
        <v>1456</v>
      </c>
      <c r="BM105" s="34"/>
      <c r="BN105" s="34">
        <v>0</v>
      </c>
      <c r="BO105" s="34" t="s">
        <v>1330</v>
      </c>
      <c r="BP105" s="34">
        <v>6.6600000000000006E-2</v>
      </c>
      <c r="BQ105" s="34" t="s">
        <v>1326</v>
      </c>
      <c r="BR105" s="35">
        <v>45751</v>
      </c>
      <c r="BS105" s="34">
        <v>0</v>
      </c>
      <c r="BT105" s="34" t="s">
        <v>123</v>
      </c>
      <c r="BU105" s="34">
        <v>0</v>
      </c>
      <c r="BV105" s="34">
        <v>250000</v>
      </c>
      <c r="BW105" s="34">
        <v>0</v>
      </c>
      <c r="BX105" s="34">
        <v>196</v>
      </c>
      <c r="BY105" s="34">
        <v>0</v>
      </c>
      <c r="BZ105" s="34">
        <v>1</v>
      </c>
      <c r="CA105" s="34" t="s">
        <v>123</v>
      </c>
      <c r="CB105" s="34" t="s">
        <v>123</v>
      </c>
      <c r="CC105" s="34" t="s">
        <v>123</v>
      </c>
    </row>
    <row r="106" spans="1:81" x14ac:dyDescent="0.3">
      <c r="A106" s="34" t="s">
        <v>1454</v>
      </c>
      <c r="B106" s="34" t="s">
        <v>1028</v>
      </c>
      <c r="C106" s="34" t="s">
        <v>1339</v>
      </c>
      <c r="D106" s="34"/>
      <c r="E106" s="35">
        <v>45267</v>
      </c>
      <c r="F106" s="35">
        <v>46363</v>
      </c>
      <c r="G106" s="34"/>
      <c r="H106" s="34" t="s">
        <v>1325</v>
      </c>
      <c r="I106" s="34">
        <v>0</v>
      </c>
      <c r="J106" s="34">
        <v>1000000000</v>
      </c>
      <c r="K106" s="34" t="s">
        <v>123</v>
      </c>
      <c r="L106" s="34" t="s">
        <v>123</v>
      </c>
      <c r="M106" s="34" t="s">
        <v>123</v>
      </c>
      <c r="N106" s="34" t="s">
        <v>123</v>
      </c>
      <c r="O106" s="34">
        <v>103.95</v>
      </c>
      <c r="P106" s="34">
        <v>8.3332999999999996E-4</v>
      </c>
      <c r="Q106" s="34" t="s">
        <v>123</v>
      </c>
      <c r="R106" s="34" t="s">
        <v>123</v>
      </c>
      <c r="S106" s="34" t="s">
        <v>123</v>
      </c>
      <c r="T106" s="34" t="s">
        <v>123</v>
      </c>
      <c r="U106" s="34" t="s">
        <v>123</v>
      </c>
      <c r="V106" s="34" t="s">
        <v>123</v>
      </c>
      <c r="W106" s="34" t="s">
        <v>123</v>
      </c>
      <c r="X106" s="34" t="s">
        <v>123</v>
      </c>
      <c r="Y106" s="34" t="s">
        <v>123</v>
      </c>
      <c r="Z106" s="34">
        <v>0</v>
      </c>
      <c r="AA106" s="34" t="s">
        <v>123</v>
      </c>
      <c r="AB106" s="34">
        <v>0</v>
      </c>
      <c r="AC106" s="34">
        <v>1</v>
      </c>
      <c r="AD106" s="34" t="s">
        <v>123</v>
      </c>
      <c r="AE106" s="34" t="s">
        <v>123</v>
      </c>
      <c r="AF106" s="34" t="s">
        <v>1029</v>
      </c>
      <c r="AG106" s="34" t="s">
        <v>123</v>
      </c>
      <c r="AH106" s="34" t="s">
        <v>123</v>
      </c>
      <c r="AI106" s="34" t="s">
        <v>123</v>
      </c>
      <c r="AJ106" s="34" t="s">
        <v>123</v>
      </c>
      <c r="AK106" s="34" t="s">
        <v>123</v>
      </c>
      <c r="AL106" s="34" t="s">
        <v>123</v>
      </c>
      <c r="AM106" s="34" t="s">
        <v>123</v>
      </c>
      <c r="AN106" s="34" t="s">
        <v>123</v>
      </c>
      <c r="AO106" s="34" t="s">
        <v>123</v>
      </c>
      <c r="AP106" s="34">
        <v>0</v>
      </c>
      <c r="AQ106" s="34" t="s">
        <v>123</v>
      </c>
      <c r="AR106" s="34">
        <v>7.1253140000000006E-2</v>
      </c>
      <c r="AS106" s="34"/>
      <c r="AT106" s="34" t="s">
        <v>123</v>
      </c>
      <c r="AU106" s="34">
        <v>111</v>
      </c>
      <c r="AV106" s="34" t="s">
        <v>1455</v>
      </c>
      <c r="AW106" s="34">
        <v>0</v>
      </c>
      <c r="AX106" s="34">
        <v>1456</v>
      </c>
      <c r="AY106" s="34" t="s">
        <v>1329</v>
      </c>
      <c r="AZ106" s="35">
        <v>45751</v>
      </c>
      <c r="BA106" s="35">
        <v>45751</v>
      </c>
      <c r="BB106" s="34" t="s">
        <v>123</v>
      </c>
      <c r="BC106" s="34" t="s">
        <v>123</v>
      </c>
      <c r="BD106" s="34" t="s">
        <v>123</v>
      </c>
      <c r="BE106" s="34" t="s">
        <v>139</v>
      </c>
      <c r="BF106" s="34">
        <v>243</v>
      </c>
      <c r="BG106" s="34">
        <v>0</v>
      </c>
      <c r="BH106" s="34">
        <v>5.500062E-2</v>
      </c>
      <c r="BI106" s="34" t="s">
        <v>528</v>
      </c>
      <c r="BJ106" s="34" t="s">
        <v>1340</v>
      </c>
      <c r="BK106" s="34">
        <v>2024</v>
      </c>
      <c r="BL106" s="34" t="s">
        <v>1456</v>
      </c>
      <c r="BM106" s="34"/>
      <c r="BN106" s="34">
        <v>0</v>
      </c>
      <c r="BO106" s="34" t="s">
        <v>1330</v>
      </c>
      <c r="BP106" s="34">
        <v>9.3200000000000005E-2</v>
      </c>
      <c r="BQ106" s="34" t="s">
        <v>1326</v>
      </c>
      <c r="BR106" s="35">
        <v>45751</v>
      </c>
      <c r="BS106" s="34">
        <v>0</v>
      </c>
      <c r="BT106" s="34" t="s">
        <v>123</v>
      </c>
      <c r="BU106" s="34">
        <v>0</v>
      </c>
      <c r="BV106" s="34">
        <v>250000</v>
      </c>
      <c r="BW106" s="34">
        <v>0</v>
      </c>
      <c r="BX106" s="34">
        <v>243</v>
      </c>
      <c r="BY106" s="34">
        <v>0</v>
      </c>
      <c r="BZ106" s="34">
        <v>1</v>
      </c>
      <c r="CA106" s="34" t="s">
        <v>123</v>
      </c>
      <c r="CB106" s="34" t="s">
        <v>123</v>
      </c>
      <c r="CC106" s="34" t="s">
        <v>123</v>
      </c>
    </row>
    <row r="107" spans="1:81" x14ac:dyDescent="0.3">
      <c r="A107" s="34" t="s">
        <v>1457</v>
      </c>
      <c r="B107" s="34" t="s">
        <v>625</v>
      </c>
      <c r="C107" s="34" t="s">
        <v>1341</v>
      </c>
      <c r="D107" s="34"/>
      <c r="E107" s="35">
        <v>45693</v>
      </c>
      <c r="F107" s="35">
        <v>46820</v>
      </c>
      <c r="G107" s="34"/>
      <c r="H107" s="34" t="s">
        <v>1325</v>
      </c>
      <c r="I107" s="34">
        <v>0</v>
      </c>
      <c r="J107" s="34">
        <v>300000000</v>
      </c>
      <c r="K107" s="34" t="s">
        <v>123</v>
      </c>
      <c r="L107" s="34" t="s">
        <v>123</v>
      </c>
      <c r="M107" s="34" t="s">
        <v>123</v>
      </c>
      <c r="N107" s="34" t="s">
        <v>123</v>
      </c>
      <c r="O107" s="34">
        <v>100.25</v>
      </c>
      <c r="P107" s="34">
        <v>8.3332999999999996E-4</v>
      </c>
      <c r="Q107" s="34" t="s">
        <v>123</v>
      </c>
      <c r="R107" s="34" t="s">
        <v>123</v>
      </c>
      <c r="S107" s="34" t="s">
        <v>123</v>
      </c>
      <c r="T107" s="34" t="s">
        <v>123</v>
      </c>
      <c r="U107" s="34" t="s">
        <v>123</v>
      </c>
      <c r="V107" s="34" t="s">
        <v>123</v>
      </c>
      <c r="W107" s="34" t="s">
        <v>123</v>
      </c>
      <c r="X107" s="34" t="s">
        <v>123</v>
      </c>
      <c r="Y107" s="34" t="s">
        <v>123</v>
      </c>
      <c r="Z107" s="34">
        <v>0</v>
      </c>
      <c r="AA107" s="34" t="s">
        <v>123</v>
      </c>
      <c r="AB107" s="34">
        <v>0</v>
      </c>
      <c r="AC107" s="34">
        <v>1</v>
      </c>
      <c r="AD107" s="34" t="s">
        <v>123</v>
      </c>
      <c r="AE107" s="34" t="s">
        <v>123</v>
      </c>
      <c r="AF107" s="34" t="s">
        <v>626</v>
      </c>
      <c r="AG107" s="34" t="s">
        <v>123</v>
      </c>
      <c r="AH107" s="34" t="s">
        <v>123</v>
      </c>
      <c r="AI107" s="34" t="s">
        <v>123</v>
      </c>
      <c r="AJ107" s="34" t="s">
        <v>123</v>
      </c>
      <c r="AK107" s="34" t="s">
        <v>123</v>
      </c>
      <c r="AL107" s="34" t="s">
        <v>123</v>
      </c>
      <c r="AM107" s="34" t="s">
        <v>123</v>
      </c>
      <c r="AN107" s="34" t="s">
        <v>123</v>
      </c>
      <c r="AO107" s="34" t="s">
        <v>123</v>
      </c>
      <c r="AP107" s="34">
        <v>0</v>
      </c>
      <c r="AQ107" s="34" t="s">
        <v>123</v>
      </c>
      <c r="AR107" s="34">
        <v>7.558753E-2</v>
      </c>
      <c r="AS107" s="34"/>
      <c r="AT107" s="34" t="s">
        <v>123</v>
      </c>
      <c r="AU107" s="34">
        <v>111</v>
      </c>
      <c r="AV107" s="34" t="s">
        <v>1458</v>
      </c>
      <c r="AW107" s="34">
        <v>0</v>
      </c>
      <c r="AX107" s="34">
        <v>1457</v>
      </c>
      <c r="AY107" s="34" t="s">
        <v>1333</v>
      </c>
      <c r="AZ107" s="35">
        <v>45755</v>
      </c>
      <c r="BA107" s="35">
        <v>45755</v>
      </c>
      <c r="BB107" s="34" t="s">
        <v>123</v>
      </c>
      <c r="BC107" s="34" t="s">
        <v>123</v>
      </c>
      <c r="BD107" s="34" t="s">
        <v>123</v>
      </c>
      <c r="BE107" s="34" t="s">
        <v>139</v>
      </c>
      <c r="BF107" s="34">
        <v>127</v>
      </c>
      <c r="BG107" s="34">
        <v>0</v>
      </c>
      <c r="BH107" s="34">
        <v>3.496664E-2</v>
      </c>
      <c r="BI107" s="34" t="s">
        <v>159</v>
      </c>
      <c r="BJ107" s="34" t="s">
        <v>1336</v>
      </c>
      <c r="BK107" s="34"/>
      <c r="BL107" s="34" t="s">
        <v>1456</v>
      </c>
      <c r="BM107" s="34"/>
      <c r="BN107" s="34">
        <v>0</v>
      </c>
      <c r="BO107" s="34" t="s">
        <v>1330</v>
      </c>
      <c r="BP107" s="34">
        <v>7.3507139999999999E-2</v>
      </c>
      <c r="BQ107" s="34" t="s">
        <v>1326</v>
      </c>
      <c r="BR107" s="35">
        <v>45755</v>
      </c>
      <c r="BS107" s="34">
        <v>0</v>
      </c>
      <c r="BT107" s="34" t="s">
        <v>123</v>
      </c>
      <c r="BU107" s="34">
        <v>0</v>
      </c>
      <c r="BV107" s="34">
        <v>250000</v>
      </c>
      <c r="BW107" s="34">
        <v>0</v>
      </c>
      <c r="BX107" s="34">
        <v>127</v>
      </c>
      <c r="BY107" s="34">
        <v>0</v>
      </c>
      <c r="BZ107" s="34">
        <v>1</v>
      </c>
      <c r="CA107" s="34" t="s">
        <v>123</v>
      </c>
      <c r="CB107" s="34" t="s">
        <v>123</v>
      </c>
      <c r="CC107" s="34" t="s">
        <v>123</v>
      </c>
    </row>
    <row r="108" spans="1:81" x14ac:dyDescent="0.3">
      <c r="A108" s="34" t="s">
        <v>1549</v>
      </c>
      <c r="B108" s="34" t="s">
        <v>1114</v>
      </c>
      <c r="C108" s="34" t="s">
        <v>1342</v>
      </c>
      <c r="D108" s="34"/>
      <c r="E108" s="35">
        <v>45649</v>
      </c>
      <c r="F108" s="35">
        <v>46849</v>
      </c>
      <c r="G108" s="34"/>
      <c r="H108" s="34" t="s">
        <v>1325</v>
      </c>
      <c r="I108" s="34">
        <v>0</v>
      </c>
      <c r="J108" s="34">
        <v>300000000</v>
      </c>
      <c r="K108" s="34" t="s">
        <v>123</v>
      </c>
      <c r="L108" s="34" t="s">
        <v>123</v>
      </c>
      <c r="M108" s="34" t="s">
        <v>123</v>
      </c>
      <c r="N108" s="34" t="s">
        <v>123</v>
      </c>
      <c r="O108" s="34">
        <v>100.65</v>
      </c>
      <c r="P108" s="34">
        <v>1.25E-3</v>
      </c>
      <c r="Q108" s="34" t="s">
        <v>123</v>
      </c>
      <c r="R108" s="34" t="s">
        <v>123</v>
      </c>
      <c r="S108" s="34" t="s">
        <v>123</v>
      </c>
      <c r="T108" s="34" t="s">
        <v>123</v>
      </c>
      <c r="U108" s="34" t="s">
        <v>123</v>
      </c>
      <c r="V108" s="34" t="s">
        <v>123</v>
      </c>
      <c r="W108" s="34" t="s">
        <v>123</v>
      </c>
      <c r="X108" s="34" t="s">
        <v>123</v>
      </c>
      <c r="Y108" s="34" t="s">
        <v>123</v>
      </c>
      <c r="Z108" s="34">
        <v>0</v>
      </c>
      <c r="AA108" s="34" t="s">
        <v>123</v>
      </c>
      <c r="AB108" s="34">
        <v>0</v>
      </c>
      <c r="AC108" s="34">
        <v>1</v>
      </c>
      <c r="AD108" s="34" t="s">
        <v>123</v>
      </c>
      <c r="AE108" s="34" t="s">
        <v>123</v>
      </c>
      <c r="AF108" s="34" t="s">
        <v>1117</v>
      </c>
      <c r="AG108" s="34" t="s">
        <v>123</v>
      </c>
      <c r="AH108" s="34" t="s">
        <v>123</v>
      </c>
      <c r="AI108" s="34" t="s">
        <v>123</v>
      </c>
      <c r="AJ108" s="34" t="s">
        <v>123</v>
      </c>
      <c r="AK108" s="34" t="s">
        <v>123</v>
      </c>
      <c r="AL108" s="34" t="s">
        <v>123</v>
      </c>
      <c r="AM108" s="34" t="s">
        <v>123</v>
      </c>
      <c r="AN108" s="34" t="s">
        <v>123</v>
      </c>
      <c r="AO108" s="34" t="s">
        <v>123</v>
      </c>
      <c r="AP108" s="34">
        <v>0</v>
      </c>
      <c r="AQ108" s="34" t="s">
        <v>123</v>
      </c>
      <c r="AR108" s="34">
        <v>9.0424110000000002E-2</v>
      </c>
      <c r="AS108" s="34"/>
      <c r="AT108" s="34" t="s">
        <v>123</v>
      </c>
      <c r="AU108" s="34">
        <v>111</v>
      </c>
      <c r="AV108" s="34" t="s">
        <v>1550</v>
      </c>
      <c r="AW108" s="34">
        <v>0</v>
      </c>
      <c r="AX108" s="34">
        <v>1458</v>
      </c>
      <c r="AY108" s="34" t="s">
        <v>1333</v>
      </c>
      <c r="AZ108" s="35">
        <v>45755</v>
      </c>
      <c r="BA108" s="35">
        <v>45755</v>
      </c>
      <c r="BB108" s="34" t="s">
        <v>123</v>
      </c>
      <c r="BC108" s="34" t="s">
        <v>123</v>
      </c>
      <c r="BD108" s="34" t="s">
        <v>123</v>
      </c>
      <c r="BE108" s="34" t="s">
        <v>139</v>
      </c>
      <c r="BF108" s="34">
        <v>266</v>
      </c>
      <c r="BG108" s="34">
        <v>0</v>
      </c>
      <c r="BH108" s="34">
        <v>5.1341879999999999E-2</v>
      </c>
      <c r="BI108" s="34" t="s">
        <v>150</v>
      </c>
      <c r="BJ108" s="34" t="s">
        <v>1336</v>
      </c>
      <c r="BK108" s="34">
        <v>2025</v>
      </c>
      <c r="BL108" s="34" t="s">
        <v>1456</v>
      </c>
      <c r="BM108" s="34"/>
      <c r="BN108" s="34">
        <v>0</v>
      </c>
      <c r="BO108" s="34" t="s">
        <v>1330</v>
      </c>
      <c r="BP108" s="34">
        <v>8.9599999999999999E-2</v>
      </c>
      <c r="BQ108" s="34" t="s">
        <v>1326</v>
      </c>
      <c r="BR108" s="35">
        <v>45755</v>
      </c>
      <c r="BS108" s="34">
        <v>0</v>
      </c>
      <c r="BT108" s="34" t="s">
        <v>123</v>
      </c>
      <c r="BU108" s="34">
        <v>0</v>
      </c>
      <c r="BV108" s="34">
        <v>250000</v>
      </c>
      <c r="BW108" s="34">
        <v>0</v>
      </c>
      <c r="BX108" s="34">
        <v>266</v>
      </c>
      <c r="BY108" s="34">
        <v>0</v>
      </c>
      <c r="BZ108" s="34">
        <v>1</v>
      </c>
      <c r="CA108" s="34" t="s">
        <v>123</v>
      </c>
      <c r="CB108" s="34" t="s">
        <v>123</v>
      </c>
      <c r="CC108" s="34" t="s">
        <v>123</v>
      </c>
    </row>
    <row r="109" spans="1:81" x14ac:dyDescent="0.3">
      <c r="A109" s="34" t="s">
        <v>1551</v>
      </c>
      <c r="B109" s="34" t="s">
        <v>963</v>
      </c>
      <c r="C109" s="34" t="s">
        <v>1343</v>
      </c>
      <c r="D109" s="34"/>
      <c r="E109" s="35">
        <v>45300</v>
      </c>
      <c r="F109" s="35">
        <v>46395</v>
      </c>
      <c r="G109" s="34"/>
      <c r="H109" s="34" t="s">
        <v>1325</v>
      </c>
      <c r="I109" s="34">
        <v>0</v>
      </c>
      <c r="J109" s="34">
        <v>400000000</v>
      </c>
      <c r="K109" s="34" t="s">
        <v>123</v>
      </c>
      <c r="L109" s="34" t="s">
        <v>123</v>
      </c>
      <c r="M109" s="34" t="s">
        <v>123</v>
      </c>
      <c r="N109" s="34" t="s">
        <v>123</v>
      </c>
      <c r="O109" s="34">
        <v>102.3</v>
      </c>
      <c r="P109" s="34">
        <v>9.8039000000000004E-4</v>
      </c>
      <c r="Q109" s="34" t="s">
        <v>123</v>
      </c>
      <c r="R109" s="34" t="s">
        <v>123</v>
      </c>
      <c r="S109" s="34" t="s">
        <v>123</v>
      </c>
      <c r="T109" s="34" t="s">
        <v>123</v>
      </c>
      <c r="U109" s="34" t="s">
        <v>123</v>
      </c>
      <c r="V109" s="34" t="s">
        <v>123</v>
      </c>
      <c r="W109" s="34" t="s">
        <v>123</v>
      </c>
      <c r="X109" s="34" t="s">
        <v>123</v>
      </c>
      <c r="Y109" s="34" t="s">
        <v>123</v>
      </c>
      <c r="Z109" s="34">
        <v>0</v>
      </c>
      <c r="AA109" s="34" t="s">
        <v>123</v>
      </c>
      <c r="AB109" s="34">
        <v>0</v>
      </c>
      <c r="AC109" s="34">
        <v>1</v>
      </c>
      <c r="AD109" s="34" t="s">
        <v>123</v>
      </c>
      <c r="AE109" s="34" t="s">
        <v>123</v>
      </c>
      <c r="AF109" s="34" t="s">
        <v>966</v>
      </c>
      <c r="AG109" s="34" t="s">
        <v>123</v>
      </c>
      <c r="AH109" s="34" t="s">
        <v>123</v>
      </c>
      <c r="AI109" s="34" t="s">
        <v>123</v>
      </c>
      <c r="AJ109" s="34" t="s">
        <v>123</v>
      </c>
      <c r="AK109" s="34" t="s">
        <v>123</v>
      </c>
      <c r="AL109" s="34" t="s">
        <v>123</v>
      </c>
      <c r="AM109" s="34" t="s">
        <v>123</v>
      </c>
      <c r="AN109" s="34" t="s">
        <v>123</v>
      </c>
      <c r="AO109" s="34" t="s">
        <v>123</v>
      </c>
      <c r="AP109" s="34">
        <v>0</v>
      </c>
      <c r="AQ109" s="34" t="s">
        <v>123</v>
      </c>
      <c r="AR109" s="34">
        <v>6.7969870000000002E-2</v>
      </c>
      <c r="AS109" s="34"/>
      <c r="AT109" s="34" t="s">
        <v>123</v>
      </c>
      <c r="AU109" s="34">
        <v>111</v>
      </c>
      <c r="AV109" s="34" t="s">
        <v>1552</v>
      </c>
      <c r="AW109" s="34">
        <v>0</v>
      </c>
      <c r="AX109" s="34">
        <v>1459</v>
      </c>
      <c r="AY109" s="34" t="s">
        <v>1333</v>
      </c>
      <c r="AZ109" s="35">
        <v>45756</v>
      </c>
      <c r="BA109" s="35">
        <v>45756</v>
      </c>
      <c r="BB109" s="34" t="s">
        <v>123</v>
      </c>
      <c r="BC109" s="34" t="s">
        <v>123</v>
      </c>
      <c r="BD109" s="34" t="s">
        <v>123</v>
      </c>
      <c r="BE109" s="34" t="s">
        <v>139</v>
      </c>
      <c r="BF109" s="34">
        <v>226</v>
      </c>
      <c r="BG109" s="34">
        <v>0</v>
      </c>
      <c r="BH109" s="34">
        <v>4.0195000000000002E-2</v>
      </c>
      <c r="BI109" s="34" t="s">
        <v>150</v>
      </c>
      <c r="BJ109" s="34" t="s">
        <v>1336</v>
      </c>
      <c r="BK109" s="34">
        <v>2025</v>
      </c>
      <c r="BL109" s="34" t="s">
        <v>1456</v>
      </c>
      <c r="BM109" s="34"/>
      <c r="BN109" s="34">
        <v>0</v>
      </c>
      <c r="BO109" s="34" t="s">
        <v>1330</v>
      </c>
      <c r="BP109" s="34">
        <v>7.85E-2</v>
      </c>
      <c r="BQ109" s="34" t="s">
        <v>1326</v>
      </c>
      <c r="BR109" s="35">
        <v>45756</v>
      </c>
      <c r="BS109" s="34">
        <v>0</v>
      </c>
      <c r="BT109" s="34" t="s">
        <v>123</v>
      </c>
      <c r="BU109" s="34">
        <v>0</v>
      </c>
      <c r="BV109" s="34">
        <v>250000</v>
      </c>
      <c r="BW109" s="34">
        <v>0</v>
      </c>
      <c r="BX109" s="34">
        <v>226</v>
      </c>
      <c r="BY109" s="34">
        <v>0</v>
      </c>
      <c r="BZ109" s="34">
        <v>1</v>
      </c>
      <c r="CA109" s="34" t="s">
        <v>123</v>
      </c>
      <c r="CB109" s="34" t="s">
        <v>123</v>
      </c>
      <c r="CC109" s="34" t="s">
        <v>123</v>
      </c>
    </row>
    <row r="110" spans="1:81" x14ac:dyDescent="0.3">
      <c r="A110" s="34" t="s">
        <v>1459</v>
      </c>
      <c r="B110" s="34" t="s">
        <v>418</v>
      </c>
      <c r="C110" s="34" t="s">
        <v>1344</v>
      </c>
      <c r="D110" s="34"/>
      <c r="E110" s="35">
        <v>45016</v>
      </c>
      <c r="F110" s="35">
        <v>46484</v>
      </c>
      <c r="G110" s="34"/>
      <c r="H110" s="34" t="s">
        <v>1325</v>
      </c>
      <c r="I110" s="34">
        <v>0</v>
      </c>
      <c r="J110" s="34">
        <v>750000000</v>
      </c>
      <c r="K110" s="34" t="s">
        <v>123</v>
      </c>
      <c r="L110" s="34" t="s">
        <v>123</v>
      </c>
      <c r="M110" s="34" t="s">
        <v>123</v>
      </c>
      <c r="N110" s="34" t="s">
        <v>123</v>
      </c>
      <c r="O110" s="34">
        <v>102.6</v>
      </c>
      <c r="P110" s="34">
        <v>2.5000000000000001E-3</v>
      </c>
      <c r="Q110" s="34" t="s">
        <v>123</v>
      </c>
      <c r="R110" s="34" t="s">
        <v>123</v>
      </c>
      <c r="S110" s="34" t="s">
        <v>123</v>
      </c>
      <c r="T110" s="34" t="s">
        <v>123</v>
      </c>
      <c r="U110" s="34" t="s">
        <v>123</v>
      </c>
      <c r="V110" s="34" t="s">
        <v>123</v>
      </c>
      <c r="W110" s="34" t="s">
        <v>123</v>
      </c>
      <c r="X110" s="34" t="s">
        <v>123</v>
      </c>
      <c r="Y110" s="34" t="s">
        <v>123</v>
      </c>
      <c r="Z110" s="34">
        <v>0</v>
      </c>
      <c r="AA110" s="34" t="s">
        <v>123</v>
      </c>
      <c r="AB110" s="34">
        <v>0</v>
      </c>
      <c r="AC110" s="34">
        <v>1</v>
      </c>
      <c r="AD110" s="34" t="s">
        <v>123</v>
      </c>
      <c r="AE110" s="34" t="s">
        <v>123</v>
      </c>
      <c r="AF110" s="34" t="s">
        <v>419</v>
      </c>
      <c r="AG110" s="34" t="s">
        <v>123</v>
      </c>
      <c r="AH110" s="34" t="s">
        <v>123</v>
      </c>
      <c r="AI110" s="34" t="s">
        <v>123</v>
      </c>
      <c r="AJ110" s="34" t="s">
        <v>123</v>
      </c>
      <c r="AK110" s="34" t="s">
        <v>123</v>
      </c>
      <c r="AL110" s="34" t="s">
        <v>123</v>
      </c>
      <c r="AM110" s="34" t="s">
        <v>123</v>
      </c>
      <c r="AN110" s="34" t="s">
        <v>123</v>
      </c>
      <c r="AO110" s="34" t="s">
        <v>123</v>
      </c>
      <c r="AP110" s="34">
        <v>0</v>
      </c>
      <c r="AQ110" s="34" t="s">
        <v>123</v>
      </c>
      <c r="AR110" s="34">
        <v>8.2214540000000003E-2</v>
      </c>
      <c r="AS110" s="34"/>
      <c r="AT110" s="34" t="s">
        <v>123</v>
      </c>
      <c r="AU110" s="34">
        <v>111</v>
      </c>
      <c r="AV110" s="34" t="s">
        <v>1460</v>
      </c>
      <c r="AW110" s="34">
        <v>0</v>
      </c>
      <c r="AX110" s="34">
        <v>1460</v>
      </c>
      <c r="AY110" s="34" t="s">
        <v>1333</v>
      </c>
      <c r="AZ110" s="35">
        <v>45756</v>
      </c>
      <c r="BA110" s="35">
        <v>45756</v>
      </c>
      <c r="BB110" s="34" t="s">
        <v>123</v>
      </c>
      <c r="BC110" s="34" t="s">
        <v>123</v>
      </c>
      <c r="BD110" s="34" t="s">
        <v>123</v>
      </c>
      <c r="BE110" s="34" t="s">
        <v>139</v>
      </c>
      <c r="BF110" s="34">
        <v>65</v>
      </c>
      <c r="BG110" s="34">
        <v>0</v>
      </c>
      <c r="BH110" s="34">
        <v>5.4591849999999997E-2</v>
      </c>
      <c r="BI110" s="34" t="s">
        <v>133</v>
      </c>
      <c r="BJ110" s="34" t="s">
        <v>1336</v>
      </c>
      <c r="BK110" s="34">
        <v>2025</v>
      </c>
      <c r="BL110" s="34" t="s">
        <v>1456</v>
      </c>
      <c r="BM110" s="34"/>
      <c r="BN110" s="34">
        <v>0</v>
      </c>
      <c r="BO110" s="34" t="s">
        <v>1330</v>
      </c>
      <c r="BP110" s="34">
        <v>9.2999999999999999E-2</v>
      </c>
      <c r="BQ110" s="34" t="s">
        <v>1326</v>
      </c>
      <c r="BR110" s="35">
        <v>45756</v>
      </c>
      <c r="BS110" s="34">
        <v>0</v>
      </c>
      <c r="BT110" s="34" t="s">
        <v>123</v>
      </c>
      <c r="BU110" s="34">
        <v>0</v>
      </c>
      <c r="BV110" s="34">
        <v>250000</v>
      </c>
      <c r="BW110" s="34">
        <v>0</v>
      </c>
      <c r="BX110" s="34">
        <v>65</v>
      </c>
      <c r="BY110" s="34">
        <v>0</v>
      </c>
      <c r="BZ110" s="34">
        <v>1</v>
      </c>
      <c r="CA110" s="34" t="s">
        <v>123</v>
      </c>
      <c r="CB110" s="34" t="s">
        <v>123</v>
      </c>
      <c r="CC110" s="34" t="s">
        <v>123</v>
      </c>
    </row>
    <row r="111" spans="1:81" x14ac:dyDescent="0.3">
      <c r="A111" s="34" t="s">
        <v>1461</v>
      </c>
      <c r="B111" s="34" t="s">
        <v>895</v>
      </c>
      <c r="C111" s="34" t="s">
        <v>1345</v>
      </c>
      <c r="D111" s="34"/>
      <c r="E111" s="35">
        <v>45630</v>
      </c>
      <c r="F111" s="35">
        <v>46762</v>
      </c>
      <c r="G111" s="34"/>
      <c r="H111" s="34" t="s">
        <v>1325</v>
      </c>
      <c r="I111" s="34">
        <v>0</v>
      </c>
      <c r="J111" s="34">
        <v>100000000</v>
      </c>
      <c r="K111" s="34" t="s">
        <v>123</v>
      </c>
      <c r="L111" s="34" t="s">
        <v>123</v>
      </c>
      <c r="M111" s="34" t="s">
        <v>123</v>
      </c>
      <c r="N111" s="34" t="s">
        <v>123</v>
      </c>
      <c r="O111" s="34">
        <v>101.6</v>
      </c>
      <c r="P111" s="34">
        <v>2.5000000000000001E-3</v>
      </c>
      <c r="Q111" s="34" t="s">
        <v>123</v>
      </c>
      <c r="R111" s="34" t="s">
        <v>123</v>
      </c>
      <c r="S111" s="34" t="s">
        <v>123</v>
      </c>
      <c r="T111" s="34" t="s">
        <v>123</v>
      </c>
      <c r="U111" s="34" t="s">
        <v>123</v>
      </c>
      <c r="V111" s="34" t="s">
        <v>123</v>
      </c>
      <c r="W111" s="34" t="s">
        <v>123</v>
      </c>
      <c r="X111" s="34" t="s">
        <v>123</v>
      </c>
      <c r="Y111" s="34" t="s">
        <v>123</v>
      </c>
      <c r="Z111" s="34">
        <v>0</v>
      </c>
      <c r="AA111" s="34" t="s">
        <v>123</v>
      </c>
      <c r="AB111" s="34">
        <v>0</v>
      </c>
      <c r="AC111" s="34">
        <v>1</v>
      </c>
      <c r="AD111" s="34" t="s">
        <v>123</v>
      </c>
      <c r="AE111" s="34" t="s">
        <v>123</v>
      </c>
      <c r="AF111" s="34" t="s">
        <v>898</v>
      </c>
      <c r="AG111" s="34" t="s">
        <v>123</v>
      </c>
      <c r="AH111" s="34" t="s">
        <v>123</v>
      </c>
      <c r="AI111" s="34" t="s">
        <v>123</v>
      </c>
      <c r="AJ111" s="34" t="s">
        <v>123</v>
      </c>
      <c r="AK111" s="34" t="s">
        <v>123</v>
      </c>
      <c r="AL111" s="34" t="s">
        <v>123</v>
      </c>
      <c r="AM111" s="34" t="s">
        <v>123</v>
      </c>
      <c r="AN111" s="34" t="s">
        <v>123</v>
      </c>
      <c r="AO111" s="34" t="s">
        <v>123</v>
      </c>
      <c r="AP111" s="34">
        <v>0</v>
      </c>
      <c r="AQ111" s="34" t="s">
        <v>123</v>
      </c>
      <c r="AR111" s="34">
        <v>6.9968119999999995E-2</v>
      </c>
      <c r="AS111" s="34"/>
      <c r="AT111" s="34" t="s">
        <v>123</v>
      </c>
      <c r="AU111" s="34">
        <v>111</v>
      </c>
      <c r="AV111" s="34" t="s">
        <v>1462</v>
      </c>
      <c r="AW111" s="34">
        <v>0</v>
      </c>
      <c r="AX111" s="34">
        <v>1461</v>
      </c>
      <c r="AY111" s="34" t="s">
        <v>1333</v>
      </c>
      <c r="AZ111" s="35">
        <v>45756</v>
      </c>
      <c r="BA111" s="35">
        <v>45756</v>
      </c>
      <c r="BB111" s="34" t="s">
        <v>123</v>
      </c>
      <c r="BC111" s="34" t="s">
        <v>123</v>
      </c>
      <c r="BD111" s="34" t="s">
        <v>123</v>
      </c>
      <c r="BE111" s="34" t="s">
        <v>1347</v>
      </c>
      <c r="BF111" s="34">
        <v>208</v>
      </c>
      <c r="BG111" s="34">
        <v>0</v>
      </c>
      <c r="BH111" s="34">
        <v>3.4997439999999998E-2</v>
      </c>
      <c r="BI111" s="34" t="s">
        <v>150</v>
      </c>
      <c r="BJ111" s="34" t="s">
        <v>1336</v>
      </c>
      <c r="BK111" s="34"/>
      <c r="BL111" s="34" t="s">
        <v>1456</v>
      </c>
      <c r="BM111" s="34"/>
      <c r="BN111" s="34">
        <v>0</v>
      </c>
      <c r="BO111" s="34" t="s">
        <v>1330</v>
      </c>
      <c r="BP111" s="34">
        <v>7.3099999999999998E-2</v>
      </c>
      <c r="BQ111" s="34" t="s">
        <v>1326</v>
      </c>
      <c r="BR111" s="35">
        <v>45756</v>
      </c>
      <c r="BS111" s="34">
        <v>0</v>
      </c>
      <c r="BT111" s="34" t="s">
        <v>123</v>
      </c>
      <c r="BU111" s="34">
        <v>0</v>
      </c>
      <c r="BV111" s="34">
        <v>250000</v>
      </c>
      <c r="BW111" s="34">
        <v>0</v>
      </c>
      <c r="BX111" s="34">
        <v>208</v>
      </c>
      <c r="BY111" s="34">
        <v>0</v>
      </c>
      <c r="BZ111" s="34">
        <v>1</v>
      </c>
      <c r="CA111" s="34" t="s">
        <v>123</v>
      </c>
      <c r="CB111" s="34" t="s">
        <v>123</v>
      </c>
      <c r="CC111" s="34" t="s">
        <v>123</v>
      </c>
    </row>
    <row r="112" spans="1:81" x14ac:dyDescent="0.3">
      <c r="A112" s="34" t="s">
        <v>1463</v>
      </c>
      <c r="B112" s="34" t="s">
        <v>373</v>
      </c>
      <c r="C112" s="34" t="s">
        <v>1348</v>
      </c>
      <c r="D112" s="34"/>
      <c r="E112" s="35">
        <v>45715</v>
      </c>
      <c r="F112" s="35">
        <v>46575</v>
      </c>
      <c r="G112" s="34"/>
      <c r="H112" s="34" t="s">
        <v>1325</v>
      </c>
      <c r="I112" s="34">
        <v>200000000</v>
      </c>
      <c r="J112" s="34">
        <v>200000000</v>
      </c>
      <c r="K112" s="34" t="s">
        <v>123</v>
      </c>
      <c r="L112" s="34" t="s">
        <v>123</v>
      </c>
      <c r="M112" s="34" t="s">
        <v>123</v>
      </c>
      <c r="N112" s="34" t="s">
        <v>123</v>
      </c>
      <c r="O112" s="34">
        <v>100.1</v>
      </c>
      <c r="P112" s="34">
        <v>1.6666700000000001E-3</v>
      </c>
      <c r="Q112" s="34" t="s">
        <v>123</v>
      </c>
      <c r="R112" s="34" t="s">
        <v>123</v>
      </c>
      <c r="S112" s="34" t="s">
        <v>123</v>
      </c>
      <c r="T112" s="34" t="s">
        <v>123</v>
      </c>
      <c r="U112" s="34" t="s">
        <v>123</v>
      </c>
      <c r="V112" s="34" t="s">
        <v>123</v>
      </c>
      <c r="W112" s="34" t="s">
        <v>123</v>
      </c>
      <c r="X112" s="34" t="s">
        <v>123</v>
      </c>
      <c r="Y112" s="34" t="s">
        <v>123</v>
      </c>
      <c r="Z112" s="34">
        <v>0</v>
      </c>
      <c r="AA112" s="34" t="s">
        <v>123</v>
      </c>
      <c r="AB112" s="34">
        <v>0</v>
      </c>
      <c r="AC112" s="34">
        <v>1</v>
      </c>
      <c r="AD112" s="34" t="s">
        <v>123</v>
      </c>
      <c r="AE112" s="34" t="s">
        <v>123</v>
      </c>
      <c r="AF112" s="34" t="s">
        <v>375</v>
      </c>
      <c r="AG112" s="34" t="s">
        <v>123</v>
      </c>
      <c r="AH112" s="34" t="s">
        <v>123</v>
      </c>
      <c r="AI112" s="34" t="s">
        <v>123</v>
      </c>
      <c r="AJ112" s="34" t="s">
        <v>123</v>
      </c>
      <c r="AK112" s="34" t="s">
        <v>123</v>
      </c>
      <c r="AL112" s="34" t="s">
        <v>123</v>
      </c>
      <c r="AM112" s="34" t="s">
        <v>123</v>
      </c>
      <c r="AN112" s="34" t="s">
        <v>123</v>
      </c>
      <c r="AO112" s="34" t="s">
        <v>123</v>
      </c>
      <c r="AP112" s="34">
        <v>0</v>
      </c>
      <c r="AQ112" s="34" t="s">
        <v>123</v>
      </c>
      <c r="AR112" s="34">
        <v>0.13305328999999999</v>
      </c>
      <c r="AS112" s="34"/>
      <c r="AT112" s="34" t="s">
        <v>123</v>
      </c>
      <c r="AU112" s="34">
        <v>111</v>
      </c>
      <c r="AV112" s="34" t="s">
        <v>1464</v>
      </c>
      <c r="AW112" s="34">
        <v>0</v>
      </c>
      <c r="AX112" s="34">
        <v>1462</v>
      </c>
      <c r="AY112" s="34" t="s">
        <v>1350</v>
      </c>
      <c r="AZ112" s="35">
        <v>45758</v>
      </c>
      <c r="BA112" s="35">
        <v>45758</v>
      </c>
      <c r="BB112" s="34" t="s">
        <v>123</v>
      </c>
      <c r="BC112" s="34" t="s">
        <v>123</v>
      </c>
      <c r="BD112" s="34" t="s">
        <v>123</v>
      </c>
      <c r="BE112" s="34" t="s">
        <v>139</v>
      </c>
      <c r="BF112" s="34">
        <v>58</v>
      </c>
      <c r="BG112" s="34">
        <v>0</v>
      </c>
      <c r="BH112" s="34">
        <v>9.4942250000000006E-2</v>
      </c>
      <c r="BI112" s="34" t="s">
        <v>159</v>
      </c>
      <c r="BJ112" s="34" t="s">
        <v>1349</v>
      </c>
      <c r="BK112" s="34"/>
      <c r="BL112" s="34" t="s">
        <v>1456</v>
      </c>
      <c r="BM112" s="34"/>
      <c r="BN112" s="34">
        <v>0</v>
      </c>
      <c r="BO112" s="34" t="s">
        <v>1330</v>
      </c>
      <c r="BP112" s="34">
        <v>0.13366479000000001</v>
      </c>
      <c r="BQ112" s="34" t="s">
        <v>1326</v>
      </c>
      <c r="BR112" s="35">
        <v>45758</v>
      </c>
      <c r="BS112" s="34">
        <v>0</v>
      </c>
      <c r="BT112" s="34" t="s">
        <v>123</v>
      </c>
      <c r="BU112" s="34">
        <v>0</v>
      </c>
      <c r="BV112" s="34">
        <v>250000</v>
      </c>
      <c r="BW112" s="34">
        <v>0</v>
      </c>
      <c r="BX112" s="34">
        <v>58</v>
      </c>
      <c r="BY112" s="34">
        <v>0</v>
      </c>
      <c r="BZ112" s="34">
        <v>1</v>
      </c>
      <c r="CA112" s="34" t="s">
        <v>123</v>
      </c>
      <c r="CB112" s="34" t="s">
        <v>123</v>
      </c>
      <c r="CC112" s="34" t="s">
        <v>123</v>
      </c>
    </row>
    <row r="113" spans="1:81" x14ac:dyDescent="0.3">
      <c r="A113" s="34" t="s">
        <v>1553</v>
      </c>
      <c r="B113" s="34" t="s">
        <v>695</v>
      </c>
      <c r="C113" s="34" t="s">
        <v>1351</v>
      </c>
      <c r="D113" s="34"/>
      <c r="E113" s="35">
        <v>45391</v>
      </c>
      <c r="F113" s="35">
        <v>46545</v>
      </c>
      <c r="G113" s="34"/>
      <c r="H113" s="34" t="s">
        <v>1325</v>
      </c>
      <c r="I113" s="34">
        <v>0</v>
      </c>
      <c r="J113" s="34">
        <v>300000000</v>
      </c>
      <c r="K113" s="34" t="s">
        <v>123</v>
      </c>
      <c r="L113" s="34" t="s">
        <v>123</v>
      </c>
      <c r="M113" s="34" t="s">
        <v>123</v>
      </c>
      <c r="N113" s="34" t="s">
        <v>123</v>
      </c>
      <c r="O113" s="34">
        <v>102.6</v>
      </c>
      <c r="P113" s="34">
        <v>1.1904800000000001E-3</v>
      </c>
      <c r="Q113" s="34" t="s">
        <v>123</v>
      </c>
      <c r="R113" s="34" t="s">
        <v>123</v>
      </c>
      <c r="S113" s="34" t="s">
        <v>123</v>
      </c>
      <c r="T113" s="34" t="s">
        <v>123</v>
      </c>
      <c r="U113" s="34" t="s">
        <v>123</v>
      </c>
      <c r="V113" s="34" t="s">
        <v>123</v>
      </c>
      <c r="W113" s="34" t="s">
        <v>123</v>
      </c>
      <c r="X113" s="34" t="s">
        <v>123</v>
      </c>
      <c r="Y113" s="34" t="s">
        <v>123</v>
      </c>
      <c r="Z113" s="34">
        <v>0</v>
      </c>
      <c r="AA113" s="34" t="s">
        <v>123</v>
      </c>
      <c r="AB113" s="34">
        <v>0</v>
      </c>
      <c r="AC113" s="34">
        <v>1</v>
      </c>
      <c r="AD113" s="34" t="s">
        <v>123</v>
      </c>
      <c r="AE113" s="34" t="s">
        <v>123</v>
      </c>
      <c r="AF113" s="34" t="s">
        <v>697</v>
      </c>
      <c r="AG113" s="34" t="s">
        <v>123</v>
      </c>
      <c r="AH113" s="34" t="s">
        <v>123</v>
      </c>
      <c r="AI113" s="34" t="s">
        <v>123</v>
      </c>
      <c r="AJ113" s="34" t="s">
        <v>123</v>
      </c>
      <c r="AK113" s="34" t="s">
        <v>123</v>
      </c>
      <c r="AL113" s="34" t="s">
        <v>123</v>
      </c>
      <c r="AM113" s="34" t="s">
        <v>123</v>
      </c>
      <c r="AN113" s="34" t="s">
        <v>123</v>
      </c>
      <c r="AO113" s="34" t="s">
        <v>123</v>
      </c>
      <c r="AP113" s="34">
        <v>0</v>
      </c>
      <c r="AQ113" s="34" t="s">
        <v>123</v>
      </c>
      <c r="AR113" s="34">
        <v>0.11921872999999999</v>
      </c>
      <c r="AS113" s="34"/>
      <c r="AT113" s="34" t="s">
        <v>123</v>
      </c>
      <c r="AU113" s="34">
        <v>111</v>
      </c>
      <c r="AV113" s="34" t="s">
        <v>1554</v>
      </c>
      <c r="AW113" s="34">
        <v>0</v>
      </c>
      <c r="AX113" s="34">
        <v>1463</v>
      </c>
      <c r="AY113" s="34" t="s">
        <v>1333</v>
      </c>
      <c r="AZ113" s="35">
        <v>45761</v>
      </c>
      <c r="BA113" s="35">
        <v>45761</v>
      </c>
      <c r="BB113" s="34" t="s">
        <v>123</v>
      </c>
      <c r="BC113" s="34" t="s">
        <v>123</v>
      </c>
      <c r="BD113" s="34" t="s">
        <v>123</v>
      </c>
      <c r="BE113" s="34" t="s">
        <v>139</v>
      </c>
      <c r="BF113" s="34">
        <v>146</v>
      </c>
      <c r="BG113" s="34">
        <v>0</v>
      </c>
      <c r="BH113" s="34">
        <v>9.1247229999999999E-2</v>
      </c>
      <c r="BI113" s="34" t="s">
        <v>150</v>
      </c>
      <c r="BJ113" s="34" t="s">
        <v>1336</v>
      </c>
      <c r="BK113" s="34">
        <v>2025</v>
      </c>
      <c r="BL113" s="34" t="s">
        <v>1456</v>
      </c>
      <c r="BM113" s="34"/>
      <c r="BN113" s="34">
        <v>0</v>
      </c>
      <c r="BO113" s="34" t="s">
        <v>1330</v>
      </c>
      <c r="BP113" s="34">
        <v>0.12966</v>
      </c>
      <c r="BQ113" s="34" t="s">
        <v>1326</v>
      </c>
      <c r="BR113" s="35">
        <v>45761</v>
      </c>
      <c r="BS113" s="34">
        <v>0</v>
      </c>
      <c r="BT113" s="34" t="s">
        <v>123</v>
      </c>
      <c r="BU113" s="34">
        <v>0</v>
      </c>
      <c r="BV113" s="34">
        <v>250000</v>
      </c>
      <c r="BW113" s="34">
        <v>0</v>
      </c>
      <c r="BX113" s="34">
        <v>146</v>
      </c>
      <c r="BY113" s="34">
        <v>0</v>
      </c>
      <c r="BZ113" s="34">
        <v>1</v>
      </c>
      <c r="CA113" s="34" t="s">
        <v>123</v>
      </c>
      <c r="CB113" s="34" t="s">
        <v>123</v>
      </c>
      <c r="CC113" s="34" t="s">
        <v>123</v>
      </c>
    </row>
    <row r="114" spans="1:81" x14ac:dyDescent="0.3">
      <c r="A114" s="34" t="s">
        <v>1465</v>
      </c>
      <c r="B114" s="34" t="s">
        <v>538</v>
      </c>
      <c r="C114" s="34" t="s">
        <v>1352</v>
      </c>
      <c r="D114" s="34"/>
      <c r="E114" s="35">
        <v>45379</v>
      </c>
      <c r="F114" s="35">
        <v>46484</v>
      </c>
      <c r="G114" s="34"/>
      <c r="H114" s="34" t="s">
        <v>1325</v>
      </c>
      <c r="I114" s="34">
        <v>0</v>
      </c>
      <c r="J114" s="34">
        <v>250000000</v>
      </c>
      <c r="K114" s="34" t="s">
        <v>123</v>
      </c>
      <c r="L114" s="34" t="s">
        <v>123</v>
      </c>
      <c r="M114" s="34" t="s">
        <v>123</v>
      </c>
      <c r="N114" s="34" t="s">
        <v>123</v>
      </c>
      <c r="O114" s="34">
        <v>103.85</v>
      </c>
      <c r="P114" s="34">
        <v>2.5000000000000001E-3</v>
      </c>
      <c r="Q114" s="34" t="s">
        <v>123</v>
      </c>
      <c r="R114" s="34" t="s">
        <v>123</v>
      </c>
      <c r="S114" s="34" t="s">
        <v>123</v>
      </c>
      <c r="T114" s="34" t="s">
        <v>123</v>
      </c>
      <c r="U114" s="34" t="s">
        <v>123</v>
      </c>
      <c r="V114" s="34" t="s">
        <v>123</v>
      </c>
      <c r="W114" s="34" t="s">
        <v>123</v>
      </c>
      <c r="X114" s="34" t="s">
        <v>123</v>
      </c>
      <c r="Y114" s="34" t="s">
        <v>123</v>
      </c>
      <c r="Z114" s="34">
        <v>0</v>
      </c>
      <c r="AA114" s="34" t="s">
        <v>123</v>
      </c>
      <c r="AB114" s="34">
        <v>0</v>
      </c>
      <c r="AC114" s="34">
        <v>1</v>
      </c>
      <c r="AD114" s="34" t="s">
        <v>123</v>
      </c>
      <c r="AE114" s="34" t="s">
        <v>123</v>
      </c>
      <c r="AF114" s="34" t="s">
        <v>541</v>
      </c>
      <c r="AG114" s="34" t="s">
        <v>123</v>
      </c>
      <c r="AH114" s="34" t="s">
        <v>123</v>
      </c>
      <c r="AI114" s="34" t="s">
        <v>123</v>
      </c>
      <c r="AJ114" s="34" t="s">
        <v>123</v>
      </c>
      <c r="AK114" s="34" t="s">
        <v>123</v>
      </c>
      <c r="AL114" s="34" t="s">
        <v>123</v>
      </c>
      <c r="AM114" s="34" t="s">
        <v>123</v>
      </c>
      <c r="AN114" s="34" t="s">
        <v>123</v>
      </c>
      <c r="AO114" s="34" t="s">
        <v>123</v>
      </c>
      <c r="AP114" s="34">
        <v>0</v>
      </c>
      <c r="AQ114" s="34" t="s">
        <v>123</v>
      </c>
      <c r="AR114" s="34">
        <v>7.5250440000000002E-2</v>
      </c>
      <c r="AS114" s="34"/>
      <c r="AT114" s="34" t="s">
        <v>123</v>
      </c>
      <c r="AU114" s="34">
        <v>111</v>
      </c>
      <c r="AV114" s="34" t="s">
        <v>1466</v>
      </c>
      <c r="AW114" s="34">
        <v>0</v>
      </c>
      <c r="AX114" s="34">
        <v>1464</v>
      </c>
      <c r="AY114" s="34" t="s">
        <v>1333</v>
      </c>
      <c r="AZ114" s="35">
        <v>45763</v>
      </c>
      <c r="BA114" s="35">
        <v>45763</v>
      </c>
      <c r="BB114" s="34" t="s">
        <v>123</v>
      </c>
      <c r="BC114" s="34" t="s">
        <v>123</v>
      </c>
      <c r="BD114" s="34" t="s">
        <v>123</v>
      </c>
      <c r="BE114" s="34" t="s">
        <v>139</v>
      </c>
      <c r="BF114" s="34">
        <v>104</v>
      </c>
      <c r="BG114" s="34">
        <v>0</v>
      </c>
      <c r="BH114" s="34">
        <v>5.4388600000000002E-2</v>
      </c>
      <c r="BI114" s="34" t="s">
        <v>150</v>
      </c>
      <c r="BJ114" s="34" t="s">
        <v>1336</v>
      </c>
      <c r="BK114" s="34">
        <v>2025</v>
      </c>
      <c r="BL114" s="34" t="s">
        <v>1456</v>
      </c>
      <c r="BM114" s="34"/>
      <c r="BN114" s="34">
        <v>0</v>
      </c>
      <c r="BO114" s="34" t="s">
        <v>1330</v>
      </c>
      <c r="BP114" s="34">
        <v>9.3007140000000002E-2</v>
      </c>
      <c r="BQ114" s="34" t="s">
        <v>1326</v>
      </c>
      <c r="BR114" s="35">
        <v>45763</v>
      </c>
      <c r="BS114" s="34">
        <v>0</v>
      </c>
      <c r="BT114" s="34" t="s">
        <v>123</v>
      </c>
      <c r="BU114" s="34">
        <v>0</v>
      </c>
      <c r="BV114" s="34">
        <v>250000</v>
      </c>
      <c r="BW114" s="34">
        <v>0</v>
      </c>
      <c r="BX114" s="34">
        <v>104</v>
      </c>
      <c r="BY114" s="34">
        <v>0</v>
      </c>
      <c r="BZ114" s="34">
        <v>1</v>
      </c>
      <c r="CA114" s="34" t="s">
        <v>123</v>
      </c>
      <c r="CB114" s="34" t="s">
        <v>123</v>
      </c>
      <c r="CC114" s="34" t="s">
        <v>123</v>
      </c>
    </row>
    <row r="115" spans="1:81" x14ac:dyDescent="0.3">
      <c r="A115" s="34" t="s">
        <v>1467</v>
      </c>
      <c r="B115" s="34" t="s">
        <v>1000</v>
      </c>
      <c r="C115" s="34" t="s">
        <v>1353</v>
      </c>
      <c r="D115" s="34"/>
      <c r="E115" s="35">
        <v>45104</v>
      </c>
      <c r="F115" s="35">
        <v>46332</v>
      </c>
      <c r="G115" s="34"/>
      <c r="H115" s="34" t="s">
        <v>1325</v>
      </c>
      <c r="I115" s="34">
        <v>0</v>
      </c>
      <c r="J115" s="34">
        <v>150000000</v>
      </c>
      <c r="K115" s="34" t="s">
        <v>123</v>
      </c>
      <c r="L115" s="34" t="s">
        <v>123</v>
      </c>
      <c r="M115" s="34" t="s">
        <v>123</v>
      </c>
      <c r="N115" s="34" t="s">
        <v>123</v>
      </c>
      <c r="O115" s="34">
        <v>102.4</v>
      </c>
      <c r="P115" s="34">
        <v>1.6666700000000001E-3</v>
      </c>
      <c r="Q115" s="34" t="s">
        <v>123</v>
      </c>
      <c r="R115" s="34" t="s">
        <v>123</v>
      </c>
      <c r="S115" s="34" t="s">
        <v>123</v>
      </c>
      <c r="T115" s="34" t="s">
        <v>123</v>
      </c>
      <c r="U115" s="34" t="s">
        <v>123</v>
      </c>
      <c r="V115" s="34" t="s">
        <v>123</v>
      </c>
      <c r="W115" s="34" t="s">
        <v>123</v>
      </c>
      <c r="X115" s="34" t="s">
        <v>123</v>
      </c>
      <c r="Y115" s="34" t="s">
        <v>123</v>
      </c>
      <c r="Z115" s="34">
        <v>0</v>
      </c>
      <c r="AA115" s="34" t="s">
        <v>123</v>
      </c>
      <c r="AB115" s="34">
        <v>0</v>
      </c>
      <c r="AC115" s="34">
        <v>1</v>
      </c>
      <c r="AD115" s="34" t="s">
        <v>123</v>
      </c>
      <c r="AE115" s="34" t="s">
        <v>123</v>
      </c>
      <c r="AF115" s="34" t="s">
        <v>1003</v>
      </c>
      <c r="AG115" s="34" t="s">
        <v>123</v>
      </c>
      <c r="AH115" s="34" t="s">
        <v>123</v>
      </c>
      <c r="AI115" s="34" t="s">
        <v>123</v>
      </c>
      <c r="AJ115" s="34" t="s">
        <v>123</v>
      </c>
      <c r="AK115" s="34" t="s">
        <v>123</v>
      </c>
      <c r="AL115" s="34" t="s">
        <v>123</v>
      </c>
      <c r="AM115" s="34" t="s">
        <v>123</v>
      </c>
      <c r="AN115" s="34" t="s">
        <v>123</v>
      </c>
      <c r="AO115" s="34" t="s">
        <v>123</v>
      </c>
      <c r="AP115" s="34">
        <v>0</v>
      </c>
      <c r="AQ115" s="34" t="s">
        <v>123</v>
      </c>
      <c r="AR115" s="34">
        <v>6.8990380000000004E-2</v>
      </c>
      <c r="AS115" s="34"/>
      <c r="AT115" s="34" t="s">
        <v>123</v>
      </c>
      <c r="AU115" s="34">
        <v>111</v>
      </c>
      <c r="AV115" s="34" t="s">
        <v>1468</v>
      </c>
      <c r="AW115" s="34">
        <v>0</v>
      </c>
      <c r="AX115" s="34">
        <v>1465</v>
      </c>
      <c r="AY115" s="34" t="s">
        <v>1333</v>
      </c>
      <c r="AZ115" s="35">
        <v>45763</v>
      </c>
      <c r="BA115" s="35">
        <v>45763</v>
      </c>
      <c r="BB115" s="34" t="s">
        <v>123</v>
      </c>
      <c r="BC115" s="34" t="s">
        <v>123</v>
      </c>
      <c r="BD115" s="34" t="s">
        <v>123</v>
      </c>
      <c r="BE115" s="34" t="s">
        <v>1347</v>
      </c>
      <c r="BF115" s="34">
        <v>236</v>
      </c>
      <c r="BG115" s="34">
        <v>0</v>
      </c>
      <c r="BH115" s="34">
        <v>4.3428769999999998E-2</v>
      </c>
      <c r="BI115" s="34" t="s">
        <v>133</v>
      </c>
      <c r="BJ115" s="34" t="s">
        <v>1336</v>
      </c>
      <c r="BK115" s="34"/>
      <c r="BL115" s="34" t="s">
        <v>1456</v>
      </c>
      <c r="BM115" s="34"/>
      <c r="BN115" s="34">
        <v>0</v>
      </c>
      <c r="BO115" s="34" t="s">
        <v>1330</v>
      </c>
      <c r="BP115" s="34">
        <v>8.1708199999999995E-2</v>
      </c>
      <c r="BQ115" s="34" t="s">
        <v>1326</v>
      </c>
      <c r="BR115" s="35">
        <v>45763</v>
      </c>
      <c r="BS115" s="34">
        <v>0</v>
      </c>
      <c r="BT115" s="34" t="s">
        <v>123</v>
      </c>
      <c r="BU115" s="34">
        <v>0</v>
      </c>
      <c r="BV115" s="34">
        <v>250000</v>
      </c>
      <c r="BW115" s="34">
        <v>0</v>
      </c>
      <c r="BX115" s="34">
        <v>236</v>
      </c>
      <c r="BY115" s="34">
        <v>0</v>
      </c>
      <c r="BZ115" s="34">
        <v>1</v>
      </c>
      <c r="CA115" s="34" t="s">
        <v>123</v>
      </c>
      <c r="CB115" s="34" t="s">
        <v>123</v>
      </c>
      <c r="CC115" s="34" t="s">
        <v>123</v>
      </c>
    </row>
    <row r="116" spans="1:81" x14ac:dyDescent="0.3">
      <c r="A116" s="34" t="s">
        <v>1469</v>
      </c>
      <c r="B116" s="34" t="s">
        <v>1061</v>
      </c>
      <c r="C116" s="34" t="s">
        <v>1354</v>
      </c>
      <c r="D116" s="34"/>
      <c r="E116" s="35">
        <v>45287</v>
      </c>
      <c r="F116" s="35">
        <v>46395</v>
      </c>
      <c r="G116" s="34"/>
      <c r="H116" s="34" t="s">
        <v>1325</v>
      </c>
      <c r="I116" s="34">
        <v>0</v>
      </c>
      <c r="J116" s="34">
        <v>301000000</v>
      </c>
      <c r="K116" s="34" t="s">
        <v>123</v>
      </c>
      <c r="L116" s="34" t="s">
        <v>123</v>
      </c>
      <c r="M116" s="34" t="s">
        <v>123</v>
      </c>
      <c r="N116" s="34" t="s">
        <v>123</v>
      </c>
      <c r="O116" s="34">
        <v>103.1</v>
      </c>
      <c r="P116" s="34">
        <v>1.25E-3</v>
      </c>
      <c r="Q116" s="34" t="s">
        <v>123</v>
      </c>
      <c r="R116" s="34" t="s">
        <v>123</v>
      </c>
      <c r="S116" s="34" t="s">
        <v>123</v>
      </c>
      <c r="T116" s="34" t="s">
        <v>123</v>
      </c>
      <c r="U116" s="34" t="s">
        <v>123</v>
      </c>
      <c r="V116" s="34" t="s">
        <v>123</v>
      </c>
      <c r="W116" s="34" t="s">
        <v>123</v>
      </c>
      <c r="X116" s="34" t="s">
        <v>123</v>
      </c>
      <c r="Y116" s="34" t="s">
        <v>123</v>
      </c>
      <c r="Z116" s="34">
        <v>0</v>
      </c>
      <c r="AA116" s="34" t="s">
        <v>123</v>
      </c>
      <c r="AB116" s="34">
        <v>0</v>
      </c>
      <c r="AC116" s="34">
        <v>1</v>
      </c>
      <c r="AD116" s="34" t="s">
        <v>123</v>
      </c>
      <c r="AE116" s="34" t="s">
        <v>123</v>
      </c>
      <c r="AF116" s="34" t="s">
        <v>1064</v>
      </c>
      <c r="AG116" s="34" t="s">
        <v>123</v>
      </c>
      <c r="AH116" s="34" t="s">
        <v>123</v>
      </c>
      <c r="AI116" s="34" t="s">
        <v>123</v>
      </c>
      <c r="AJ116" s="34" t="s">
        <v>123</v>
      </c>
      <c r="AK116" s="34" t="s">
        <v>123</v>
      </c>
      <c r="AL116" s="34" t="s">
        <v>123</v>
      </c>
      <c r="AM116" s="34" t="s">
        <v>123</v>
      </c>
      <c r="AN116" s="34" t="s">
        <v>123</v>
      </c>
      <c r="AO116" s="34" t="s">
        <v>123</v>
      </c>
      <c r="AP116" s="34">
        <v>0</v>
      </c>
      <c r="AQ116" s="34" t="s">
        <v>123</v>
      </c>
      <c r="AR116" s="34">
        <v>8.4681469999999995E-2</v>
      </c>
      <c r="AS116" s="34"/>
      <c r="AT116" s="34" t="s">
        <v>123</v>
      </c>
      <c r="AU116" s="34">
        <v>111</v>
      </c>
      <c r="AV116" s="34" t="s">
        <v>1470</v>
      </c>
      <c r="AW116" s="34">
        <v>0</v>
      </c>
      <c r="AX116" s="34">
        <v>1466</v>
      </c>
      <c r="AY116" s="34" t="s">
        <v>1333</v>
      </c>
      <c r="AZ116" s="35">
        <v>45770</v>
      </c>
      <c r="BA116" s="35">
        <v>45770</v>
      </c>
      <c r="BB116" s="34" t="s">
        <v>123</v>
      </c>
      <c r="BC116" s="34" t="s">
        <v>123</v>
      </c>
      <c r="BD116" s="34" t="s">
        <v>123</v>
      </c>
      <c r="BE116" s="34" t="s">
        <v>139</v>
      </c>
      <c r="BF116" s="34">
        <v>254</v>
      </c>
      <c r="BG116" s="34">
        <v>0</v>
      </c>
      <c r="BH116" s="34">
        <v>6.2344139999999999E-2</v>
      </c>
      <c r="BI116" s="34" t="s">
        <v>133</v>
      </c>
      <c r="BJ116" s="34" t="s">
        <v>1336</v>
      </c>
      <c r="BK116" s="34">
        <v>2025</v>
      </c>
      <c r="BL116" s="34" t="s">
        <v>1456</v>
      </c>
      <c r="BM116" s="34"/>
      <c r="BN116" s="34">
        <v>0</v>
      </c>
      <c r="BO116" s="34" t="s">
        <v>1330</v>
      </c>
      <c r="BP116" s="34">
        <v>0.1009</v>
      </c>
      <c r="BQ116" s="34" t="s">
        <v>1326</v>
      </c>
      <c r="BR116" s="35">
        <v>45770</v>
      </c>
      <c r="BS116" s="34">
        <v>0</v>
      </c>
      <c r="BT116" s="34" t="s">
        <v>123</v>
      </c>
      <c r="BU116" s="34">
        <v>0</v>
      </c>
      <c r="BV116" s="34">
        <v>250000</v>
      </c>
      <c r="BW116" s="34">
        <v>0</v>
      </c>
      <c r="BX116" s="34">
        <v>254</v>
      </c>
      <c r="BY116" s="34">
        <v>0</v>
      </c>
      <c r="BZ116" s="34">
        <v>1</v>
      </c>
      <c r="CA116" s="34" t="s">
        <v>123</v>
      </c>
      <c r="CB116" s="34" t="s">
        <v>123</v>
      </c>
      <c r="CC116" s="34" t="s">
        <v>123</v>
      </c>
    </row>
    <row r="117" spans="1:81" x14ac:dyDescent="0.3">
      <c r="A117" s="34" t="s">
        <v>1471</v>
      </c>
      <c r="B117" s="34" t="s">
        <v>1061</v>
      </c>
      <c r="C117" s="34" t="s">
        <v>1354</v>
      </c>
      <c r="D117" s="34"/>
      <c r="E117" s="35">
        <v>45287</v>
      </c>
      <c r="F117" s="35">
        <v>46395</v>
      </c>
      <c r="G117" s="34"/>
      <c r="H117" s="34" t="s">
        <v>1325</v>
      </c>
      <c r="I117" s="34">
        <v>0</v>
      </c>
      <c r="J117" s="34">
        <v>301000000</v>
      </c>
      <c r="K117" s="34" t="s">
        <v>123</v>
      </c>
      <c r="L117" s="34" t="s">
        <v>123</v>
      </c>
      <c r="M117" s="34" t="s">
        <v>123</v>
      </c>
      <c r="N117" s="34" t="s">
        <v>123</v>
      </c>
      <c r="O117" s="34">
        <v>103.6</v>
      </c>
      <c r="P117" s="34">
        <v>1.25E-3</v>
      </c>
      <c r="Q117" s="34" t="s">
        <v>123</v>
      </c>
      <c r="R117" s="34" t="s">
        <v>123</v>
      </c>
      <c r="S117" s="34" t="s">
        <v>123</v>
      </c>
      <c r="T117" s="34" t="s">
        <v>123</v>
      </c>
      <c r="U117" s="34" t="s">
        <v>123</v>
      </c>
      <c r="V117" s="34" t="s">
        <v>123</v>
      </c>
      <c r="W117" s="34" t="s">
        <v>123</v>
      </c>
      <c r="X117" s="34" t="s">
        <v>123</v>
      </c>
      <c r="Y117" s="34" t="s">
        <v>123</v>
      </c>
      <c r="Z117" s="34">
        <v>0</v>
      </c>
      <c r="AA117" s="34" t="s">
        <v>123</v>
      </c>
      <c r="AB117" s="34">
        <v>0</v>
      </c>
      <c r="AC117" s="34">
        <v>1</v>
      </c>
      <c r="AD117" s="34" t="s">
        <v>123</v>
      </c>
      <c r="AE117" s="34" t="s">
        <v>123</v>
      </c>
      <c r="AF117" s="34" t="s">
        <v>1064</v>
      </c>
      <c r="AG117" s="34" t="s">
        <v>123</v>
      </c>
      <c r="AH117" s="34" t="s">
        <v>123</v>
      </c>
      <c r="AI117" s="34" t="s">
        <v>123</v>
      </c>
      <c r="AJ117" s="34" t="s">
        <v>123</v>
      </c>
      <c r="AK117" s="34" t="s">
        <v>123</v>
      </c>
      <c r="AL117" s="34" t="s">
        <v>123</v>
      </c>
      <c r="AM117" s="34" t="s">
        <v>123</v>
      </c>
      <c r="AN117" s="34" t="s">
        <v>123</v>
      </c>
      <c r="AO117" s="34" t="s">
        <v>123</v>
      </c>
      <c r="AP117" s="34">
        <v>0</v>
      </c>
      <c r="AQ117" s="34" t="s">
        <v>123</v>
      </c>
      <c r="AR117" s="34">
        <v>7.6477260000000005E-2</v>
      </c>
      <c r="AS117" s="34"/>
      <c r="AT117" s="34" t="s">
        <v>123</v>
      </c>
      <c r="AU117" s="34">
        <v>111</v>
      </c>
      <c r="AV117" s="34" t="s">
        <v>1472</v>
      </c>
      <c r="AW117" s="34">
        <v>0</v>
      </c>
      <c r="AX117" s="34">
        <v>1467</v>
      </c>
      <c r="AY117" s="34" t="s">
        <v>1333</v>
      </c>
      <c r="AZ117" s="35">
        <v>45889</v>
      </c>
      <c r="BA117" s="35">
        <v>45889</v>
      </c>
      <c r="BB117" s="34" t="s">
        <v>123</v>
      </c>
      <c r="BC117" s="34" t="s">
        <v>123</v>
      </c>
      <c r="BD117" s="34" t="s">
        <v>123</v>
      </c>
      <c r="BE117" s="34" t="s">
        <v>139</v>
      </c>
      <c r="BF117" s="34">
        <v>254</v>
      </c>
      <c r="BG117" s="34">
        <v>0</v>
      </c>
      <c r="BH117" s="34">
        <v>6.2344139999999999E-2</v>
      </c>
      <c r="BI117" s="34" t="s">
        <v>133</v>
      </c>
      <c r="BJ117" s="34" t="s">
        <v>1336</v>
      </c>
      <c r="BK117" s="34">
        <v>2025</v>
      </c>
      <c r="BL117" s="34" t="s">
        <v>1456</v>
      </c>
      <c r="BM117" s="34"/>
      <c r="BN117" s="34">
        <v>0</v>
      </c>
      <c r="BO117" s="34" t="s">
        <v>1330</v>
      </c>
      <c r="BP117" s="34">
        <v>0.1009</v>
      </c>
      <c r="BQ117" s="34" t="s">
        <v>1326</v>
      </c>
      <c r="BR117" s="35">
        <v>45889</v>
      </c>
      <c r="BS117" s="34">
        <v>0</v>
      </c>
      <c r="BT117" s="34" t="s">
        <v>123</v>
      </c>
      <c r="BU117" s="34">
        <v>0</v>
      </c>
      <c r="BV117" s="34">
        <v>250000</v>
      </c>
      <c r="BW117" s="34">
        <v>0</v>
      </c>
      <c r="BX117" s="34">
        <v>254</v>
      </c>
      <c r="BY117" s="34">
        <v>0</v>
      </c>
      <c r="BZ117" s="34">
        <v>1</v>
      </c>
      <c r="CA117" s="34" t="s">
        <v>123</v>
      </c>
      <c r="CB117" s="34" t="s">
        <v>123</v>
      </c>
      <c r="CC117" s="34" t="s">
        <v>123</v>
      </c>
    </row>
    <row r="118" spans="1:81" x14ac:dyDescent="0.3">
      <c r="A118" s="34" t="s">
        <v>1473</v>
      </c>
      <c r="B118" s="34" t="s">
        <v>943</v>
      </c>
      <c r="C118" s="34" t="s">
        <v>1357</v>
      </c>
      <c r="D118" s="34"/>
      <c r="E118" s="35">
        <v>45098</v>
      </c>
      <c r="F118" s="35">
        <v>46211</v>
      </c>
      <c r="G118" s="34"/>
      <c r="H118" s="34" t="s">
        <v>1325</v>
      </c>
      <c r="I118" s="34">
        <v>0</v>
      </c>
      <c r="J118" s="34">
        <v>150000000</v>
      </c>
      <c r="K118" s="34" t="s">
        <v>123</v>
      </c>
      <c r="L118" s="34" t="s">
        <v>123</v>
      </c>
      <c r="M118" s="34" t="s">
        <v>123</v>
      </c>
      <c r="N118" s="34" t="s">
        <v>123</v>
      </c>
      <c r="O118" s="34">
        <v>101.15</v>
      </c>
      <c r="P118" s="34">
        <v>1.6666700000000001E-3</v>
      </c>
      <c r="Q118" s="34" t="s">
        <v>123</v>
      </c>
      <c r="R118" s="34" t="s">
        <v>123</v>
      </c>
      <c r="S118" s="34" t="s">
        <v>123</v>
      </c>
      <c r="T118" s="34" t="s">
        <v>123</v>
      </c>
      <c r="U118" s="34" t="s">
        <v>123</v>
      </c>
      <c r="V118" s="34" t="s">
        <v>123</v>
      </c>
      <c r="W118" s="34" t="s">
        <v>123</v>
      </c>
      <c r="X118" s="34" t="s">
        <v>123</v>
      </c>
      <c r="Y118" s="34" t="s">
        <v>123</v>
      </c>
      <c r="Z118" s="34">
        <v>0</v>
      </c>
      <c r="AA118" s="34" t="s">
        <v>123</v>
      </c>
      <c r="AB118" s="34">
        <v>0</v>
      </c>
      <c r="AC118" s="34">
        <v>1</v>
      </c>
      <c r="AD118" s="34" t="s">
        <v>123</v>
      </c>
      <c r="AE118" s="34" t="s">
        <v>123</v>
      </c>
      <c r="AF118" s="34" t="s">
        <v>946</v>
      </c>
      <c r="AG118" s="34" t="s">
        <v>123</v>
      </c>
      <c r="AH118" s="34" t="s">
        <v>123</v>
      </c>
      <c r="AI118" s="34" t="s">
        <v>123</v>
      </c>
      <c r="AJ118" s="34" t="s">
        <v>123</v>
      </c>
      <c r="AK118" s="34" t="s">
        <v>123</v>
      </c>
      <c r="AL118" s="34" t="s">
        <v>123</v>
      </c>
      <c r="AM118" s="34" t="s">
        <v>123</v>
      </c>
      <c r="AN118" s="34" t="s">
        <v>123</v>
      </c>
      <c r="AO118" s="34" t="s">
        <v>123</v>
      </c>
      <c r="AP118" s="34">
        <v>0</v>
      </c>
      <c r="AQ118" s="34" t="s">
        <v>123</v>
      </c>
      <c r="AR118" s="34">
        <v>6.9939169999999995E-2</v>
      </c>
      <c r="AS118" s="34"/>
      <c r="AT118" s="34" t="s">
        <v>123</v>
      </c>
      <c r="AU118" s="34">
        <v>111</v>
      </c>
      <c r="AV118" s="34" t="s">
        <v>1474</v>
      </c>
      <c r="AW118" s="34">
        <v>0</v>
      </c>
      <c r="AX118" s="34">
        <v>1468</v>
      </c>
      <c r="AY118" s="34" t="s">
        <v>1333</v>
      </c>
      <c r="AZ118" s="35">
        <v>45775</v>
      </c>
      <c r="BA118" s="35">
        <v>45775</v>
      </c>
      <c r="BB118" s="34" t="s">
        <v>123</v>
      </c>
      <c r="BC118" s="34" t="s">
        <v>123</v>
      </c>
      <c r="BD118" s="34" t="s">
        <v>123</v>
      </c>
      <c r="BE118" s="34" t="s">
        <v>139</v>
      </c>
      <c r="BF118" s="34">
        <v>218</v>
      </c>
      <c r="BG118" s="34">
        <v>0</v>
      </c>
      <c r="BH118" s="34">
        <v>3.8097329999999999E-2</v>
      </c>
      <c r="BI118" s="34" t="s">
        <v>133</v>
      </c>
      <c r="BJ118" s="34" t="s">
        <v>1336</v>
      </c>
      <c r="BK118" s="34">
        <v>2025</v>
      </c>
      <c r="BL118" s="34" t="s">
        <v>1456</v>
      </c>
      <c r="BM118" s="34"/>
      <c r="BN118" s="34">
        <v>0</v>
      </c>
      <c r="BO118" s="34" t="s">
        <v>1330</v>
      </c>
      <c r="BP118" s="34">
        <v>7.7850000000000003E-2</v>
      </c>
      <c r="BQ118" s="34" t="s">
        <v>1326</v>
      </c>
      <c r="BR118" s="35">
        <v>45775</v>
      </c>
      <c r="BS118" s="34">
        <v>0</v>
      </c>
      <c r="BT118" s="34" t="s">
        <v>123</v>
      </c>
      <c r="BU118" s="34">
        <v>0</v>
      </c>
      <c r="BV118" s="34">
        <v>250000</v>
      </c>
      <c r="BW118" s="34">
        <v>0</v>
      </c>
      <c r="BX118" s="34">
        <v>218</v>
      </c>
      <c r="BY118" s="34">
        <v>0</v>
      </c>
      <c r="BZ118" s="34">
        <v>1</v>
      </c>
      <c r="CA118" s="34" t="s">
        <v>123</v>
      </c>
      <c r="CB118" s="34" t="s">
        <v>123</v>
      </c>
      <c r="CC118" s="34" t="s">
        <v>123</v>
      </c>
    </row>
    <row r="119" spans="1:81" x14ac:dyDescent="0.3">
      <c r="A119" s="34" t="s">
        <v>1475</v>
      </c>
      <c r="B119" s="34" t="s">
        <v>1099</v>
      </c>
      <c r="C119" s="34" t="s">
        <v>1358</v>
      </c>
      <c r="D119" s="34"/>
      <c r="E119" s="35">
        <v>45126</v>
      </c>
      <c r="F119" s="35">
        <v>46241</v>
      </c>
      <c r="G119" s="34"/>
      <c r="H119" s="34" t="s">
        <v>1325</v>
      </c>
      <c r="I119" s="34">
        <v>0</v>
      </c>
      <c r="J119" s="34">
        <v>300000000</v>
      </c>
      <c r="K119" s="34" t="s">
        <v>123</v>
      </c>
      <c r="L119" s="34" t="s">
        <v>123</v>
      </c>
      <c r="M119" s="34" t="s">
        <v>123</v>
      </c>
      <c r="N119" s="34" t="s">
        <v>123</v>
      </c>
      <c r="O119" s="34">
        <v>101.95</v>
      </c>
      <c r="P119" s="34">
        <v>2.5000000000000001E-3</v>
      </c>
      <c r="Q119" s="34" t="s">
        <v>123</v>
      </c>
      <c r="R119" s="34" t="s">
        <v>123</v>
      </c>
      <c r="S119" s="34" t="s">
        <v>123</v>
      </c>
      <c r="T119" s="34" t="s">
        <v>123</v>
      </c>
      <c r="U119" s="34" t="s">
        <v>123</v>
      </c>
      <c r="V119" s="34" t="s">
        <v>123</v>
      </c>
      <c r="W119" s="34" t="s">
        <v>123</v>
      </c>
      <c r="X119" s="34" t="s">
        <v>123</v>
      </c>
      <c r="Y119" s="34" t="s">
        <v>123</v>
      </c>
      <c r="Z119" s="34">
        <v>0</v>
      </c>
      <c r="AA119" s="34" t="s">
        <v>123</v>
      </c>
      <c r="AB119" s="34">
        <v>0</v>
      </c>
      <c r="AC119" s="34">
        <v>1</v>
      </c>
      <c r="AD119" s="34" t="s">
        <v>123</v>
      </c>
      <c r="AE119" s="34" t="s">
        <v>123</v>
      </c>
      <c r="AF119" s="34" t="s">
        <v>1100</v>
      </c>
      <c r="AG119" s="34" t="s">
        <v>123</v>
      </c>
      <c r="AH119" s="34" t="s">
        <v>123</v>
      </c>
      <c r="AI119" s="34" t="s">
        <v>123</v>
      </c>
      <c r="AJ119" s="34" t="s">
        <v>123</v>
      </c>
      <c r="AK119" s="34" t="s">
        <v>123</v>
      </c>
      <c r="AL119" s="34" t="s">
        <v>123</v>
      </c>
      <c r="AM119" s="34" t="s">
        <v>123</v>
      </c>
      <c r="AN119" s="34" t="s">
        <v>123</v>
      </c>
      <c r="AO119" s="34" t="s">
        <v>123</v>
      </c>
      <c r="AP119" s="34">
        <v>0</v>
      </c>
      <c r="AQ119" s="34" t="s">
        <v>123</v>
      </c>
      <c r="AR119" s="34">
        <v>8.6950429999999995E-2</v>
      </c>
      <c r="AS119" s="34"/>
      <c r="AT119" s="34" t="s">
        <v>123</v>
      </c>
      <c r="AU119" s="34">
        <v>111</v>
      </c>
      <c r="AV119" s="34" t="s">
        <v>1476</v>
      </c>
      <c r="AW119" s="34">
        <v>0</v>
      </c>
      <c r="AX119" s="34">
        <v>1469</v>
      </c>
      <c r="AY119" s="34" t="s">
        <v>1333</v>
      </c>
      <c r="AZ119" s="35">
        <v>45777</v>
      </c>
      <c r="BA119" s="35">
        <v>45777</v>
      </c>
      <c r="BB119" s="34" t="s">
        <v>123</v>
      </c>
      <c r="BC119" s="34" t="s">
        <v>123</v>
      </c>
      <c r="BD119" s="34" t="s">
        <v>123</v>
      </c>
      <c r="BE119" s="34" t="s">
        <v>139</v>
      </c>
      <c r="BF119" s="34">
        <v>262</v>
      </c>
      <c r="BG119" s="34">
        <v>0</v>
      </c>
      <c r="BH119" s="34">
        <v>6.1561049999999999E-2</v>
      </c>
      <c r="BI119" s="34" t="s">
        <v>133</v>
      </c>
      <c r="BJ119" s="34" t="s">
        <v>1336</v>
      </c>
      <c r="BK119" s="34">
        <v>2025</v>
      </c>
      <c r="BL119" s="34" t="s">
        <v>1456</v>
      </c>
      <c r="BM119" s="34"/>
      <c r="BN119" s="34">
        <v>0</v>
      </c>
      <c r="BO119" s="34" t="s">
        <v>1330</v>
      </c>
      <c r="BP119" s="34">
        <v>0.1004</v>
      </c>
      <c r="BQ119" s="34" t="s">
        <v>1326</v>
      </c>
      <c r="BR119" s="35">
        <v>45777</v>
      </c>
      <c r="BS119" s="34">
        <v>0</v>
      </c>
      <c r="BT119" s="34" t="s">
        <v>123</v>
      </c>
      <c r="BU119" s="34">
        <v>0</v>
      </c>
      <c r="BV119" s="34">
        <v>250000</v>
      </c>
      <c r="BW119" s="34">
        <v>0</v>
      </c>
      <c r="BX119" s="34">
        <v>262</v>
      </c>
      <c r="BY119" s="34">
        <v>0</v>
      </c>
      <c r="BZ119" s="34">
        <v>1</v>
      </c>
      <c r="CA119" s="34" t="s">
        <v>123</v>
      </c>
      <c r="CB119" s="34" t="s">
        <v>123</v>
      </c>
      <c r="CC119" s="34" t="s">
        <v>123</v>
      </c>
    </row>
    <row r="120" spans="1:81" x14ac:dyDescent="0.3">
      <c r="A120" s="34" t="s">
        <v>1477</v>
      </c>
      <c r="B120" s="34" t="s">
        <v>876</v>
      </c>
      <c r="C120" s="34" t="s">
        <v>1359</v>
      </c>
      <c r="D120" s="34"/>
      <c r="E120" s="35">
        <v>45393</v>
      </c>
      <c r="F120" s="35">
        <v>46517</v>
      </c>
      <c r="G120" s="34"/>
      <c r="H120" s="34" t="s">
        <v>1325</v>
      </c>
      <c r="I120" s="34">
        <v>0</v>
      </c>
      <c r="J120" s="34">
        <v>125000000</v>
      </c>
      <c r="K120" s="34" t="s">
        <v>123</v>
      </c>
      <c r="L120" s="34" t="s">
        <v>123</v>
      </c>
      <c r="M120" s="34" t="s">
        <v>123</v>
      </c>
      <c r="N120" s="34" t="s">
        <v>123</v>
      </c>
      <c r="O120" s="34">
        <v>102</v>
      </c>
      <c r="P120" s="34">
        <v>2E-3</v>
      </c>
      <c r="Q120" s="34" t="s">
        <v>123</v>
      </c>
      <c r="R120" s="34" t="s">
        <v>123</v>
      </c>
      <c r="S120" s="34" t="s">
        <v>123</v>
      </c>
      <c r="T120" s="34" t="s">
        <v>123</v>
      </c>
      <c r="U120" s="34" t="s">
        <v>123</v>
      </c>
      <c r="V120" s="34" t="s">
        <v>123</v>
      </c>
      <c r="W120" s="34" t="s">
        <v>123</v>
      </c>
      <c r="X120" s="34" t="s">
        <v>123</v>
      </c>
      <c r="Y120" s="34" t="s">
        <v>123</v>
      </c>
      <c r="Z120" s="34">
        <v>0</v>
      </c>
      <c r="AA120" s="34" t="s">
        <v>123</v>
      </c>
      <c r="AB120" s="34">
        <v>0</v>
      </c>
      <c r="AC120" s="34">
        <v>1</v>
      </c>
      <c r="AD120" s="34" t="s">
        <v>123</v>
      </c>
      <c r="AE120" s="34" t="s">
        <v>123</v>
      </c>
      <c r="AF120" s="34" t="s">
        <v>879</v>
      </c>
      <c r="AG120" s="34" t="s">
        <v>123</v>
      </c>
      <c r="AH120" s="34" t="s">
        <v>123</v>
      </c>
      <c r="AI120" s="34" t="s">
        <v>123</v>
      </c>
      <c r="AJ120" s="34" t="s">
        <v>123</v>
      </c>
      <c r="AK120" s="34" t="s">
        <v>123</v>
      </c>
      <c r="AL120" s="34" t="s">
        <v>123</v>
      </c>
      <c r="AM120" s="34" t="s">
        <v>123</v>
      </c>
      <c r="AN120" s="34" t="s">
        <v>123</v>
      </c>
      <c r="AO120" s="34" t="s">
        <v>123</v>
      </c>
      <c r="AP120" s="34">
        <v>0</v>
      </c>
      <c r="AQ120" s="34" t="s">
        <v>123</v>
      </c>
      <c r="AR120" s="34">
        <v>0.106922</v>
      </c>
      <c r="AS120" s="34"/>
      <c r="AT120" s="34" t="s">
        <v>123</v>
      </c>
      <c r="AU120" s="34">
        <v>111</v>
      </c>
      <c r="AV120" s="34" t="s">
        <v>1478</v>
      </c>
      <c r="AW120" s="34">
        <v>0</v>
      </c>
      <c r="AX120" s="34">
        <v>1470</v>
      </c>
      <c r="AY120" s="34" t="s">
        <v>1333</v>
      </c>
      <c r="AZ120" s="35">
        <v>45777</v>
      </c>
      <c r="BA120" s="35">
        <v>45777</v>
      </c>
      <c r="BB120" s="34" t="s">
        <v>123</v>
      </c>
      <c r="BC120" s="34" t="s">
        <v>123</v>
      </c>
      <c r="BD120" s="34" t="s">
        <v>123</v>
      </c>
      <c r="BE120" s="34" t="s">
        <v>139</v>
      </c>
      <c r="BF120" s="34">
        <v>203</v>
      </c>
      <c r="BG120" s="34">
        <v>0</v>
      </c>
      <c r="BH120" s="34">
        <v>7.6309879999999997E-2</v>
      </c>
      <c r="BI120" s="34" t="s">
        <v>150</v>
      </c>
      <c r="BJ120" s="34" t="s">
        <v>1336</v>
      </c>
      <c r="BK120" s="34">
        <v>2025</v>
      </c>
      <c r="BL120" s="34" t="s">
        <v>1456</v>
      </c>
      <c r="BM120" s="34"/>
      <c r="BN120" s="34">
        <v>0</v>
      </c>
      <c r="BO120" s="34" t="s">
        <v>1330</v>
      </c>
      <c r="BP120" s="34">
        <v>0.11452</v>
      </c>
      <c r="BQ120" s="34" t="s">
        <v>1326</v>
      </c>
      <c r="BR120" s="35">
        <v>45777</v>
      </c>
      <c r="BS120" s="34">
        <v>0</v>
      </c>
      <c r="BT120" s="34" t="s">
        <v>123</v>
      </c>
      <c r="BU120" s="34">
        <v>0</v>
      </c>
      <c r="BV120" s="34">
        <v>250000</v>
      </c>
      <c r="BW120" s="34">
        <v>0</v>
      </c>
      <c r="BX120" s="34">
        <v>203</v>
      </c>
      <c r="BY120" s="34">
        <v>0</v>
      </c>
      <c r="BZ120" s="34">
        <v>1</v>
      </c>
      <c r="CA120" s="34" t="s">
        <v>123</v>
      </c>
      <c r="CB120" s="34" t="s">
        <v>123</v>
      </c>
      <c r="CC120" s="34" t="s">
        <v>123</v>
      </c>
    </row>
    <row r="121" spans="1:81" x14ac:dyDescent="0.3">
      <c r="A121" s="34" t="s">
        <v>1479</v>
      </c>
      <c r="B121" s="34" t="s">
        <v>995</v>
      </c>
      <c r="C121" s="34" t="s">
        <v>1360</v>
      </c>
      <c r="D121" s="34"/>
      <c r="E121" s="35">
        <v>45701</v>
      </c>
      <c r="F121" s="35">
        <v>46804</v>
      </c>
      <c r="G121" s="34"/>
      <c r="H121" s="34" t="s">
        <v>1325</v>
      </c>
      <c r="I121" s="34">
        <v>0</v>
      </c>
      <c r="J121" s="34">
        <v>200000000</v>
      </c>
      <c r="K121" s="34" t="s">
        <v>123</v>
      </c>
      <c r="L121" s="34" t="s">
        <v>123</v>
      </c>
      <c r="M121" s="34" t="s">
        <v>123</v>
      </c>
      <c r="N121" s="34" t="s">
        <v>123</v>
      </c>
      <c r="O121" s="34">
        <v>99.85</v>
      </c>
      <c r="P121" s="34">
        <v>1.4285700000000001E-3</v>
      </c>
      <c r="Q121" s="34" t="s">
        <v>123</v>
      </c>
      <c r="R121" s="34" t="s">
        <v>123</v>
      </c>
      <c r="S121" s="34" t="s">
        <v>123</v>
      </c>
      <c r="T121" s="34" t="s">
        <v>123</v>
      </c>
      <c r="U121" s="34" t="s">
        <v>123</v>
      </c>
      <c r="V121" s="34" t="s">
        <v>123</v>
      </c>
      <c r="W121" s="34" t="s">
        <v>123</v>
      </c>
      <c r="X121" s="34" t="s">
        <v>123</v>
      </c>
      <c r="Y121" s="34" t="s">
        <v>123</v>
      </c>
      <c r="Z121" s="34">
        <v>0</v>
      </c>
      <c r="AA121" s="34" t="s">
        <v>123</v>
      </c>
      <c r="AB121" s="34">
        <v>0</v>
      </c>
      <c r="AC121" s="34">
        <v>1</v>
      </c>
      <c r="AD121" s="34" t="s">
        <v>123</v>
      </c>
      <c r="AE121" s="34" t="s">
        <v>123</v>
      </c>
      <c r="AF121" s="34" t="s">
        <v>996</v>
      </c>
      <c r="AG121" s="34" t="s">
        <v>123</v>
      </c>
      <c r="AH121" s="34" t="s">
        <v>123</v>
      </c>
      <c r="AI121" s="34" t="s">
        <v>123</v>
      </c>
      <c r="AJ121" s="34" t="s">
        <v>123</v>
      </c>
      <c r="AK121" s="34" t="s">
        <v>123</v>
      </c>
      <c r="AL121" s="34" t="s">
        <v>123</v>
      </c>
      <c r="AM121" s="34" t="s">
        <v>123</v>
      </c>
      <c r="AN121" s="34" t="s">
        <v>123</v>
      </c>
      <c r="AO121" s="34" t="s">
        <v>123</v>
      </c>
      <c r="AP121" s="34">
        <v>0</v>
      </c>
      <c r="AQ121" s="34" t="s">
        <v>123</v>
      </c>
      <c r="AR121" s="34">
        <v>0.10708301000000001</v>
      </c>
      <c r="AS121" s="34"/>
      <c r="AT121" s="34" t="s">
        <v>123</v>
      </c>
      <c r="AU121" s="34">
        <v>111</v>
      </c>
      <c r="AV121" s="34" t="s">
        <v>1480</v>
      </c>
      <c r="AW121" s="34">
        <v>0</v>
      </c>
      <c r="AX121" s="34">
        <v>1471</v>
      </c>
      <c r="AY121" s="34" t="s">
        <v>1333</v>
      </c>
      <c r="AZ121" s="35">
        <v>45784</v>
      </c>
      <c r="BA121" s="35">
        <v>45784</v>
      </c>
      <c r="BB121" s="34" t="s">
        <v>123</v>
      </c>
      <c r="BC121" s="34" t="s">
        <v>123</v>
      </c>
      <c r="BD121" s="34" t="s">
        <v>123</v>
      </c>
      <c r="BE121" s="34" t="s">
        <v>139</v>
      </c>
      <c r="BF121" s="34">
        <v>234</v>
      </c>
      <c r="BG121" s="34">
        <v>0</v>
      </c>
      <c r="BH121" s="34">
        <v>6.497E-2</v>
      </c>
      <c r="BI121" s="34" t="s">
        <v>159</v>
      </c>
      <c r="BJ121" s="34" t="s">
        <v>1336</v>
      </c>
      <c r="BK121" s="34"/>
      <c r="BL121" s="34" t="s">
        <v>1456</v>
      </c>
      <c r="BM121" s="34"/>
      <c r="BN121" s="34">
        <v>0</v>
      </c>
      <c r="BO121" s="34" t="s">
        <v>1330</v>
      </c>
      <c r="BP121" s="34">
        <v>0.1032</v>
      </c>
      <c r="BQ121" s="34" t="s">
        <v>1326</v>
      </c>
      <c r="BR121" s="35">
        <v>45784</v>
      </c>
      <c r="BS121" s="34">
        <v>0</v>
      </c>
      <c r="BT121" s="34" t="s">
        <v>123</v>
      </c>
      <c r="BU121" s="34">
        <v>0</v>
      </c>
      <c r="BV121" s="34">
        <v>250000</v>
      </c>
      <c r="BW121" s="34">
        <v>0</v>
      </c>
      <c r="BX121" s="34">
        <v>234</v>
      </c>
      <c r="BY121" s="34">
        <v>0</v>
      </c>
      <c r="BZ121" s="34">
        <v>1</v>
      </c>
      <c r="CA121" s="34" t="s">
        <v>123</v>
      </c>
      <c r="CB121" s="34" t="s">
        <v>123</v>
      </c>
      <c r="CC121" s="34" t="s">
        <v>123</v>
      </c>
    </row>
    <row r="122" spans="1:81" x14ac:dyDescent="0.3">
      <c r="A122" s="34" t="s">
        <v>1481</v>
      </c>
      <c r="B122" s="34" t="s">
        <v>995</v>
      </c>
      <c r="C122" s="34" t="s">
        <v>1360</v>
      </c>
      <c r="D122" s="34"/>
      <c r="E122" s="35">
        <v>45701</v>
      </c>
      <c r="F122" s="35">
        <v>46804</v>
      </c>
      <c r="G122" s="34"/>
      <c r="H122" s="34" t="s">
        <v>1325</v>
      </c>
      <c r="I122" s="34">
        <v>0</v>
      </c>
      <c r="J122" s="34">
        <v>200000000</v>
      </c>
      <c r="K122" s="34" t="s">
        <v>123</v>
      </c>
      <c r="L122" s="34" t="s">
        <v>123</v>
      </c>
      <c r="M122" s="34" t="s">
        <v>123</v>
      </c>
      <c r="N122" s="34" t="s">
        <v>123</v>
      </c>
      <c r="O122" s="34">
        <v>98.5</v>
      </c>
      <c r="P122" s="34">
        <v>1.4285700000000001E-3</v>
      </c>
      <c r="Q122" s="34" t="s">
        <v>123</v>
      </c>
      <c r="R122" s="34" t="s">
        <v>123</v>
      </c>
      <c r="S122" s="34" t="s">
        <v>123</v>
      </c>
      <c r="T122" s="34" t="s">
        <v>123</v>
      </c>
      <c r="U122" s="34" t="s">
        <v>123</v>
      </c>
      <c r="V122" s="34" t="s">
        <v>123</v>
      </c>
      <c r="W122" s="34" t="s">
        <v>123</v>
      </c>
      <c r="X122" s="34" t="s">
        <v>123</v>
      </c>
      <c r="Y122" s="34" t="s">
        <v>123</v>
      </c>
      <c r="Z122" s="34">
        <v>0</v>
      </c>
      <c r="AA122" s="34" t="s">
        <v>123</v>
      </c>
      <c r="AB122" s="34">
        <v>0</v>
      </c>
      <c r="AC122" s="34">
        <v>1</v>
      </c>
      <c r="AD122" s="34" t="s">
        <v>123</v>
      </c>
      <c r="AE122" s="34" t="s">
        <v>123</v>
      </c>
      <c r="AF122" s="34" t="s">
        <v>996</v>
      </c>
      <c r="AG122" s="34" t="s">
        <v>123</v>
      </c>
      <c r="AH122" s="34" t="s">
        <v>123</v>
      </c>
      <c r="AI122" s="34" t="s">
        <v>123</v>
      </c>
      <c r="AJ122" s="34" t="s">
        <v>123</v>
      </c>
      <c r="AK122" s="34" t="s">
        <v>123</v>
      </c>
      <c r="AL122" s="34" t="s">
        <v>123</v>
      </c>
      <c r="AM122" s="34" t="s">
        <v>123</v>
      </c>
      <c r="AN122" s="34" t="s">
        <v>123</v>
      </c>
      <c r="AO122" s="34" t="s">
        <v>123</v>
      </c>
      <c r="AP122" s="34">
        <v>0</v>
      </c>
      <c r="AQ122" s="34" t="s">
        <v>123</v>
      </c>
      <c r="AR122" s="34">
        <v>0.10708301000000001</v>
      </c>
      <c r="AS122" s="34"/>
      <c r="AT122" s="34" t="s">
        <v>123</v>
      </c>
      <c r="AU122" s="34">
        <v>111</v>
      </c>
      <c r="AV122" s="34" t="s">
        <v>1482</v>
      </c>
      <c r="AW122" s="34">
        <v>0</v>
      </c>
      <c r="AX122" s="34">
        <v>1472</v>
      </c>
      <c r="AY122" s="34" t="s">
        <v>1333</v>
      </c>
      <c r="AZ122" s="35">
        <v>45815</v>
      </c>
      <c r="BA122" s="35">
        <v>45815</v>
      </c>
      <c r="BB122" s="34" t="s">
        <v>123</v>
      </c>
      <c r="BC122" s="34" t="s">
        <v>123</v>
      </c>
      <c r="BD122" s="34" t="s">
        <v>123</v>
      </c>
      <c r="BE122" s="34" t="s">
        <v>139</v>
      </c>
      <c r="BF122" s="34">
        <v>234</v>
      </c>
      <c r="BG122" s="34">
        <v>0</v>
      </c>
      <c r="BH122" s="34">
        <v>6.497E-2</v>
      </c>
      <c r="BI122" s="34" t="s">
        <v>159</v>
      </c>
      <c r="BJ122" s="34" t="s">
        <v>1336</v>
      </c>
      <c r="BK122" s="34"/>
      <c r="BL122" s="34" t="s">
        <v>1456</v>
      </c>
      <c r="BM122" s="34"/>
      <c r="BN122" s="34">
        <v>0</v>
      </c>
      <c r="BO122" s="34" t="s">
        <v>1330</v>
      </c>
      <c r="BP122" s="34">
        <v>0.1032</v>
      </c>
      <c r="BQ122" s="34" t="s">
        <v>1326</v>
      </c>
      <c r="BR122" s="35">
        <v>45815</v>
      </c>
      <c r="BS122" s="34">
        <v>0</v>
      </c>
      <c r="BT122" s="34" t="s">
        <v>123</v>
      </c>
      <c r="BU122" s="34">
        <v>0</v>
      </c>
      <c r="BV122" s="34">
        <v>500000</v>
      </c>
      <c r="BW122" s="34">
        <v>0</v>
      </c>
      <c r="BX122" s="34">
        <v>234</v>
      </c>
      <c r="BY122" s="34">
        <v>0</v>
      </c>
      <c r="BZ122" s="34">
        <v>1</v>
      </c>
      <c r="CA122" s="34" t="s">
        <v>123</v>
      </c>
      <c r="CB122" s="34" t="s">
        <v>123</v>
      </c>
      <c r="CC122" s="34" t="s">
        <v>123</v>
      </c>
    </row>
    <row r="125" spans="1:81" ht="16.8" x14ac:dyDescent="0.3">
      <c r="A125" s="36" t="s">
        <v>1664</v>
      </c>
      <c r="B125" s="37" t="s">
        <v>1665</v>
      </c>
      <c r="C125" s="38">
        <v>5109500</v>
      </c>
    </row>
    <row r="126" spans="1:81" ht="16.8" x14ac:dyDescent="0.3">
      <c r="A126" s="40"/>
      <c r="B126" s="41" t="s">
        <v>1666</v>
      </c>
      <c r="C126" s="42">
        <v>6000000</v>
      </c>
    </row>
    <row r="127" spans="1:81" ht="15" thickBot="1" x14ac:dyDescent="0.35"/>
    <row r="128" spans="1:81" ht="16.8" x14ac:dyDescent="0.3">
      <c r="A128" s="189" t="s">
        <v>1667</v>
      </c>
      <c r="B128" s="191" t="s">
        <v>1668</v>
      </c>
      <c r="C128" s="46">
        <v>0.1</v>
      </c>
      <c r="D128" s="46">
        <v>0.5</v>
      </c>
      <c r="E128" s="46">
        <v>0.8</v>
      </c>
      <c r="F128" s="46">
        <v>0.9</v>
      </c>
      <c r="G128" s="46">
        <v>0.96</v>
      </c>
      <c r="H128" s="47">
        <v>0.98</v>
      </c>
      <c r="I128" s="46">
        <v>0.99</v>
      </c>
      <c r="J128" s="48">
        <v>0.996</v>
      </c>
      <c r="K128" s="49">
        <v>0.998</v>
      </c>
      <c r="L128" s="49">
        <v>0.999</v>
      </c>
    </row>
    <row r="129" spans="1:12" ht="17.399999999999999" thickBot="1" x14ac:dyDescent="0.35">
      <c r="A129" s="190"/>
      <c r="B129" s="192"/>
      <c r="C129" s="50" t="s">
        <v>1669</v>
      </c>
      <c r="D129" s="51" t="s">
        <v>1670</v>
      </c>
      <c r="E129" s="51" t="s">
        <v>1671</v>
      </c>
      <c r="F129" s="51" t="s">
        <v>1672</v>
      </c>
      <c r="G129" s="51" t="s">
        <v>1673</v>
      </c>
      <c r="H129" s="51" t="s">
        <v>1674</v>
      </c>
      <c r="I129" s="51" t="s">
        <v>1675</v>
      </c>
      <c r="J129" s="51" t="s">
        <v>1676</v>
      </c>
      <c r="K129" s="51" t="s">
        <v>1677</v>
      </c>
      <c r="L129" s="51" t="s">
        <v>1678</v>
      </c>
    </row>
    <row r="130" spans="1:12" ht="16.8" x14ac:dyDescent="0.45">
      <c r="A130" s="52" t="s">
        <v>1679</v>
      </c>
      <c r="B130" s="53">
        <v>491012</v>
      </c>
      <c r="C130" s="53">
        <v>491012</v>
      </c>
      <c r="D130" s="53">
        <v>491012</v>
      </c>
      <c r="E130" s="53">
        <v>491012</v>
      </c>
      <c r="F130" s="53">
        <v>491012</v>
      </c>
      <c r="G130" s="53">
        <v>491012</v>
      </c>
      <c r="H130" s="53">
        <v>491012</v>
      </c>
      <c r="I130" s="53">
        <v>491012</v>
      </c>
      <c r="J130" s="53">
        <v>491012</v>
      </c>
      <c r="K130" s="54">
        <v>491012</v>
      </c>
      <c r="L130" s="54">
        <v>491012</v>
      </c>
    </row>
    <row r="131" spans="1:12" ht="16.8" x14ac:dyDescent="0.45">
      <c r="A131" s="52" t="s">
        <v>1680</v>
      </c>
      <c r="B131" s="55">
        <v>0</v>
      </c>
      <c r="C131" s="55">
        <v>0</v>
      </c>
      <c r="D131" s="55">
        <v>0</v>
      </c>
      <c r="E131" s="55">
        <v>0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6">
        <v>0</v>
      </c>
      <c r="L131" s="56">
        <v>0</v>
      </c>
    </row>
    <row r="132" spans="1:12" ht="16.8" x14ac:dyDescent="0.45">
      <c r="A132" s="57" t="s">
        <v>1681</v>
      </c>
      <c r="B132" s="55">
        <v>0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6">
        <v>0</v>
      </c>
      <c r="L132" s="56">
        <v>0</v>
      </c>
    </row>
    <row r="133" spans="1:12" ht="16.8" x14ac:dyDescent="0.45">
      <c r="A133" s="58" t="s">
        <v>1682</v>
      </c>
      <c r="B133" s="59">
        <v>491012</v>
      </c>
      <c r="C133" s="59">
        <v>491012</v>
      </c>
      <c r="D133" s="59">
        <v>491012</v>
      </c>
      <c r="E133" s="59">
        <v>491012</v>
      </c>
      <c r="F133" s="59">
        <v>491012</v>
      </c>
      <c r="G133" s="59">
        <v>491012</v>
      </c>
      <c r="H133" s="59">
        <v>491012</v>
      </c>
      <c r="I133" s="59">
        <v>491012</v>
      </c>
      <c r="J133" s="59">
        <v>491012</v>
      </c>
      <c r="K133" s="60">
        <v>491012</v>
      </c>
      <c r="L133" s="60">
        <v>491012</v>
      </c>
    </row>
    <row r="134" spans="1:12" ht="16.8" x14ac:dyDescent="0.45">
      <c r="A134" s="52" t="s">
        <v>1683</v>
      </c>
      <c r="B134" s="61">
        <v>67441.399999999994</v>
      </c>
      <c r="C134" s="61">
        <v>0</v>
      </c>
      <c r="D134" s="61">
        <v>0</v>
      </c>
      <c r="E134" s="61">
        <v>0</v>
      </c>
      <c r="F134" s="61">
        <v>249999.90000000005</v>
      </c>
      <c r="G134" s="61">
        <v>500000.80125000014</v>
      </c>
      <c r="H134" s="61">
        <v>906248.3125</v>
      </c>
      <c r="I134" s="61">
        <v>1220313.8424537547</v>
      </c>
      <c r="J134" s="61">
        <v>1500000.4970749998</v>
      </c>
      <c r="K134" s="62">
        <v>1703023.999582612</v>
      </c>
      <c r="L134" s="62">
        <v>1757808.1873380018</v>
      </c>
    </row>
    <row r="135" spans="1:12" ht="16.8" x14ac:dyDescent="0.45">
      <c r="A135" s="57" t="s">
        <v>1684</v>
      </c>
      <c r="B135" s="55">
        <v>0</v>
      </c>
      <c r="C135" s="55">
        <v>0</v>
      </c>
      <c r="D135" s="55">
        <v>0</v>
      </c>
      <c r="E135" s="55">
        <v>0</v>
      </c>
      <c r="F135" s="55">
        <v>0</v>
      </c>
      <c r="G135" s="55">
        <v>0</v>
      </c>
      <c r="H135" s="55">
        <v>0</v>
      </c>
      <c r="I135" s="55">
        <v>0</v>
      </c>
      <c r="J135" s="55">
        <v>0</v>
      </c>
      <c r="K135" s="56">
        <v>0</v>
      </c>
      <c r="L135" s="56">
        <v>0</v>
      </c>
    </row>
    <row r="136" spans="1:12" ht="16.8" x14ac:dyDescent="0.45">
      <c r="A136" s="57" t="s">
        <v>1685</v>
      </c>
      <c r="B136" s="55">
        <v>0</v>
      </c>
      <c r="C136" s="55">
        <v>0</v>
      </c>
      <c r="D136" s="55">
        <v>0</v>
      </c>
      <c r="E136" s="55">
        <v>0</v>
      </c>
      <c r="F136" s="55">
        <v>0</v>
      </c>
      <c r="G136" s="55">
        <v>0</v>
      </c>
      <c r="H136" s="55">
        <v>0</v>
      </c>
      <c r="I136" s="55">
        <v>0</v>
      </c>
      <c r="J136" s="55">
        <v>0</v>
      </c>
      <c r="K136" s="56">
        <v>0</v>
      </c>
      <c r="L136" s="56">
        <v>0</v>
      </c>
    </row>
    <row r="137" spans="1:12" ht="16.8" x14ac:dyDescent="0.45">
      <c r="A137" s="57" t="s">
        <v>1686</v>
      </c>
      <c r="B137" s="55">
        <v>0</v>
      </c>
      <c r="C137" s="55">
        <v>0</v>
      </c>
      <c r="D137" s="55">
        <v>0</v>
      </c>
      <c r="E137" s="55">
        <v>0</v>
      </c>
      <c r="F137" s="55">
        <v>0</v>
      </c>
      <c r="G137" s="55">
        <v>0</v>
      </c>
      <c r="H137" s="55">
        <v>0</v>
      </c>
      <c r="I137" s="55">
        <v>0</v>
      </c>
      <c r="J137" s="55">
        <v>0</v>
      </c>
      <c r="K137" s="56">
        <v>0</v>
      </c>
      <c r="L137" s="56">
        <v>0</v>
      </c>
    </row>
    <row r="138" spans="1:12" ht="16.8" x14ac:dyDescent="0.45">
      <c r="A138" s="58" t="s">
        <v>1687</v>
      </c>
      <c r="B138" s="59">
        <v>423570.6</v>
      </c>
      <c r="C138" s="59">
        <v>491012</v>
      </c>
      <c r="D138" s="59">
        <v>491012</v>
      </c>
      <c r="E138" s="59">
        <v>491012</v>
      </c>
      <c r="F138" s="59">
        <v>241012.09999999995</v>
      </c>
      <c r="G138" s="59">
        <v>-8988.801250000135</v>
      </c>
      <c r="H138" s="59">
        <v>-415236.3125</v>
      </c>
      <c r="I138" s="59">
        <v>-729301.84245375474</v>
      </c>
      <c r="J138" s="59">
        <v>-1008988.4970749998</v>
      </c>
      <c r="K138" s="60">
        <v>-1212011.999582612</v>
      </c>
      <c r="L138" s="60">
        <v>-1266796.1873380018</v>
      </c>
    </row>
    <row r="139" spans="1:12" ht="16.8" x14ac:dyDescent="0.45">
      <c r="A139" s="52" t="s">
        <v>1688</v>
      </c>
      <c r="B139" s="63">
        <v>7.0595099999999994E-2</v>
      </c>
      <c r="C139" s="63">
        <v>8.1835333333333329E-2</v>
      </c>
      <c r="D139" s="63">
        <v>8.1835333333333329E-2</v>
      </c>
      <c r="E139" s="63">
        <v>8.1835333333333329E-2</v>
      </c>
      <c r="F139" s="63">
        <v>4.0168683333333323E-2</v>
      </c>
      <c r="G139" s="63">
        <v>-1.4981335416666892E-3</v>
      </c>
      <c r="H139" s="63">
        <v>-6.920605208333333E-2</v>
      </c>
      <c r="I139" s="63">
        <v>-0.12155030707562579</v>
      </c>
      <c r="J139" s="63">
        <v>-0.16816474951249996</v>
      </c>
      <c r="K139" s="64">
        <v>-0.20200199993043533</v>
      </c>
      <c r="L139" s="64">
        <v>-0.21113269788966696</v>
      </c>
    </row>
    <row r="140" spans="1:12" ht="16.8" x14ac:dyDescent="0.45">
      <c r="A140" s="52" t="s">
        <v>1689</v>
      </c>
      <c r="B140" s="65">
        <v>34462.199999999997</v>
      </c>
      <c r="C140" s="65">
        <v>34462.199999999997</v>
      </c>
      <c r="D140" s="65">
        <v>34462.199999999997</v>
      </c>
      <c r="E140" s="65">
        <v>34462.199999999997</v>
      </c>
      <c r="F140" s="65">
        <v>34462.199999999997</v>
      </c>
      <c r="G140" s="65">
        <v>34462.199999999997</v>
      </c>
      <c r="H140" s="65">
        <v>34462.199999999997</v>
      </c>
      <c r="I140" s="65">
        <v>34462.199999999997</v>
      </c>
      <c r="J140" s="65">
        <v>34462.199999999997</v>
      </c>
      <c r="K140" s="66">
        <v>34462.199999999997</v>
      </c>
      <c r="L140" s="66">
        <v>34462.199999999997</v>
      </c>
    </row>
    <row r="141" spans="1:12" ht="17.399999999999999" thickBot="1" x14ac:dyDescent="0.5">
      <c r="A141" s="67" t="s">
        <v>1690</v>
      </c>
      <c r="B141" s="68">
        <v>22800</v>
      </c>
      <c r="C141" s="68">
        <v>22800</v>
      </c>
      <c r="D141" s="68">
        <v>22800</v>
      </c>
      <c r="E141" s="68">
        <v>22800</v>
      </c>
      <c r="F141" s="68">
        <v>22800</v>
      </c>
      <c r="G141" s="68">
        <v>22800</v>
      </c>
      <c r="H141" s="68">
        <v>22800</v>
      </c>
      <c r="I141" s="68">
        <v>22800</v>
      </c>
      <c r="J141" s="68">
        <v>22800</v>
      </c>
      <c r="K141" s="69">
        <v>22800</v>
      </c>
      <c r="L141" s="69">
        <v>22800</v>
      </c>
    </row>
    <row r="142" spans="1:12" ht="17.399999999999999" thickTop="1" x14ac:dyDescent="0.45">
      <c r="A142" s="70" t="s">
        <v>1691</v>
      </c>
      <c r="B142" s="59">
        <v>72000</v>
      </c>
      <c r="C142" s="59">
        <v>72000</v>
      </c>
      <c r="D142" s="59">
        <v>72000</v>
      </c>
      <c r="E142" s="59">
        <v>72000</v>
      </c>
      <c r="F142" s="59">
        <v>72000</v>
      </c>
      <c r="G142" s="59">
        <v>72000</v>
      </c>
      <c r="H142" s="59">
        <v>72000</v>
      </c>
      <c r="I142" s="59">
        <v>72000</v>
      </c>
      <c r="J142" s="59">
        <v>72000</v>
      </c>
      <c r="K142" s="60">
        <v>72000</v>
      </c>
      <c r="L142" s="60">
        <v>72000</v>
      </c>
    </row>
    <row r="143" spans="1:12" ht="16.8" x14ac:dyDescent="0.45">
      <c r="A143" s="57" t="s">
        <v>1604</v>
      </c>
      <c r="B143" s="55">
        <v>0</v>
      </c>
      <c r="C143" s="55">
        <v>0</v>
      </c>
      <c r="D143" s="55">
        <v>0</v>
      </c>
      <c r="E143" s="55">
        <v>0</v>
      </c>
      <c r="F143" s="55">
        <v>0</v>
      </c>
      <c r="G143" s="55">
        <v>0</v>
      </c>
      <c r="H143" s="55">
        <v>0</v>
      </c>
      <c r="I143" s="55">
        <v>0</v>
      </c>
      <c r="J143" s="55">
        <v>0</v>
      </c>
      <c r="K143" s="56">
        <v>0</v>
      </c>
      <c r="L143" s="56">
        <v>0</v>
      </c>
    </row>
    <row r="144" spans="1:12" ht="16.8" x14ac:dyDescent="0.45">
      <c r="A144" s="52" t="s">
        <v>1692</v>
      </c>
      <c r="B144" s="61">
        <v>363232.8</v>
      </c>
      <c r="C144" s="61">
        <v>430674.19999999995</v>
      </c>
      <c r="D144" s="61">
        <v>430674.19999999995</v>
      </c>
      <c r="E144" s="61">
        <v>430674.19999999995</v>
      </c>
      <c r="F144" s="61">
        <v>180674.29999999993</v>
      </c>
      <c r="G144" s="61">
        <v>-69326.601250000138</v>
      </c>
      <c r="H144" s="61">
        <v>-475574.11249999999</v>
      </c>
      <c r="I144" s="61">
        <v>-789639.64245375479</v>
      </c>
      <c r="J144" s="61">
        <v>-1069326.2970749999</v>
      </c>
      <c r="K144" s="62">
        <v>-1272349.799582612</v>
      </c>
      <c r="L144" s="62">
        <v>-1327133.9873380018</v>
      </c>
    </row>
    <row r="145" spans="1:12" ht="17.399999999999999" thickBot="1" x14ac:dyDescent="0.5">
      <c r="A145" s="71" t="s">
        <v>1693</v>
      </c>
      <c r="B145" s="72">
        <v>6.0538799999999997E-2</v>
      </c>
      <c r="C145" s="72">
        <v>7.1779033333333325E-2</v>
      </c>
      <c r="D145" s="72">
        <v>7.1779033333333325E-2</v>
      </c>
      <c r="E145" s="72">
        <v>7.1779033333333325E-2</v>
      </c>
      <c r="F145" s="72">
        <v>3.0112383333333322E-2</v>
      </c>
      <c r="G145" s="72">
        <v>-1.155443354166669E-2</v>
      </c>
      <c r="H145" s="72">
        <v>-7.9262352083333334E-2</v>
      </c>
      <c r="I145" s="72">
        <v>-0.1316066070756258</v>
      </c>
      <c r="J145" s="72">
        <v>-0.17822104951249998</v>
      </c>
      <c r="K145" s="73">
        <v>-0.21205829993043535</v>
      </c>
      <c r="L145" s="73">
        <v>-0.22118899788966698</v>
      </c>
    </row>
    <row r="146" spans="1:12" ht="15" thickTop="1" x14ac:dyDescent="0.3"/>
    <row r="148" spans="1:12" ht="15" thickBot="1" x14ac:dyDescent="0.35"/>
    <row r="149" spans="1:12" ht="15" thickBot="1" x14ac:dyDescent="0.35">
      <c r="A149" s="76" t="s">
        <v>1695</v>
      </c>
      <c r="B149" s="77" t="s">
        <v>1330</v>
      </c>
      <c r="C149" s="78" t="s">
        <v>1696</v>
      </c>
    </row>
    <row r="150" spans="1:12" x14ac:dyDescent="0.3">
      <c r="A150" s="79" t="s">
        <v>1697</v>
      </c>
      <c r="B150" s="80">
        <v>423570.6</v>
      </c>
      <c r="C150" s="81">
        <v>7.0595099999999994E-2</v>
      </c>
    </row>
    <row r="151" spans="1:12" x14ac:dyDescent="0.3">
      <c r="A151" s="82" t="s">
        <v>1698</v>
      </c>
      <c r="B151" s="83">
        <v>363232.8</v>
      </c>
      <c r="C151" s="84">
        <v>6.0538799999999997E-2</v>
      </c>
    </row>
    <row r="152" spans="1:12" x14ac:dyDescent="0.3">
      <c r="A152" s="82" t="s">
        <v>1699</v>
      </c>
      <c r="B152" s="85">
        <v>216075</v>
      </c>
      <c r="C152" s="84">
        <v>3.6012500000000003E-2</v>
      </c>
    </row>
    <row r="153" spans="1:12" x14ac:dyDescent="0.3">
      <c r="A153" s="82" t="s">
        <v>1700</v>
      </c>
      <c r="B153" s="86">
        <v>1.6810496355432141</v>
      </c>
      <c r="C153" s="87">
        <v>1.6810496355432141</v>
      </c>
    </row>
    <row r="154" spans="1:12" x14ac:dyDescent="0.3">
      <c r="A154" s="88" t="s">
        <v>1701</v>
      </c>
      <c r="B154" s="89">
        <v>0.59486643276708495</v>
      </c>
      <c r="C154" s="90"/>
    </row>
    <row r="155" spans="1:12" x14ac:dyDescent="0.3">
      <c r="A155" s="88" t="s">
        <v>1702</v>
      </c>
      <c r="B155" s="91">
        <v>430674.19999999995</v>
      </c>
      <c r="C155" s="92">
        <v>7.1779033333333325E-2</v>
      </c>
    </row>
    <row r="156" spans="1:12" x14ac:dyDescent="0.3">
      <c r="A156" s="93" t="s">
        <v>1703</v>
      </c>
      <c r="B156" s="94">
        <v>3.9699999999999999E-2</v>
      </c>
      <c r="C156" s="95"/>
    </row>
    <row r="157" spans="1:12" x14ac:dyDescent="0.3">
      <c r="A157" s="82" t="s">
        <v>1704</v>
      </c>
      <c r="B157" s="96">
        <v>-789639.64245375479</v>
      </c>
      <c r="C157" s="97">
        <v>-0.1316066070756258</v>
      </c>
    </row>
    <row r="158" spans="1:12" x14ac:dyDescent="0.3">
      <c r="A158" s="82" t="s">
        <v>1705</v>
      </c>
      <c r="B158" s="96">
        <v>-1069326.2970749999</v>
      </c>
      <c r="C158" s="98">
        <v>-0.17822104951249998</v>
      </c>
    </row>
    <row r="159" spans="1:12" x14ac:dyDescent="0.3">
      <c r="A159" s="82" t="s">
        <v>1706</v>
      </c>
      <c r="B159" s="85">
        <v>-1042354.5309570087</v>
      </c>
      <c r="C159" s="92">
        <v>-0.17372575515950145</v>
      </c>
    </row>
    <row r="160" spans="1:12" x14ac:dyDescent="0.3">
      <c r="A160" s="82" t="s">
        <v>1707</v>
      </c>
      <c r="B160" s="99">
        <v>0.4599981820457712</v>
      </c>
      <c r="C160" s="84"/>
    </row>
    <row r="161" spans="1:9" x14ac:dyDescent="0.3">
      <c r="A161" s="82" t="s">
        <v>1708</v>
      </c>
      <c r="B161" s="85">
        <v>5250000</v>
      </c>
      <c r="C161" s="84"/>
    </row>
    <row r="162" spans="1:9" x14ac:dyDescent="0.3">
      <c r="A162" s="82" t="s">
        <v>1709</v>
      </c>
      <c r="B162" s="85">
        <v>5250000</v>
      </c>
      <c r="C162" s="84"/>
    </row>
    <row r="163" spans="1:9" x14ac:dyDescent="0.3">
      <c r="A163" s="82" t="s">
        <v>1710</v>
      </c>
      <c r="B163" s="34"/>
      <c r="C163" s="100">
        <v>0.875</v>
      </c>
    </row>
    <row r="164" spans="1:9" ht="15" thickBot="1" x14ac:dyDescent="0.35">
      <c r="A164" s="101" t="s">
        <v>1426</v>
      </c>
      <c r="B164" s="102"/>
      <c r="C164" s="103">
        <v>9.3526095238095242E-2</v>
      </c>
    </row>
    <row r="165" spans="1:9" x14ac:dyDescent="0.3">
      <c r="A165" s="104" t="s">
        <v>1665</v>
      </c>
      <c r="B165" s="105">
        <v>5109500</v>
      </c>
      <c r="C165" s="106"/>
    </row>
    <row r="166" spans="1:9" ht="15" thickBot="1" x14ac:dyDescent="0.35">
      <c r="A166" s="107" t="s">
        <v>1666</v>
      </c>
      <c r="B166" s="108">
        <v>6000000</v>
      </c>
      <c r="C166" s="109"/>
    </row>
    <row r="169" spans="1:9" ht="15" thickBot="1" x14ac:dyDescent="0.35"/>
    <row r="170" spans="1:9" x14ac:dyDescent="0.3">
      <c r="A170" s="115" t="s">
        <v>1393</v>
      </c>
      <c r="B170" s="110" t="s">
        <v>1717</v>
      </c>
      <c r="C170" s="110" t="s">
        <v>1718</v>
      </c>
      <c r="D170" s="110" t="s">
        <v>1711</v>
      </c>
      <c r="E170" s="110" t="s">
        <v>1712</v>
      </c>
      <c r="F170" s="110" t="s">
        <v>1713</v>
      </c>
      <c r="G170" s="110" t="s">
        <v>1714</v>
      </c>
      <c r="H170" s="110" t="s">
        <v>1715</v>
      </c>
      <c r="I170" s="111" t="s">
        <v>1716</v>
      </c>
    </row>
    <row r="171" spans="1:9" x14ac:dyDescent="0.3">
      <c r="A171" s="88" t="s">
        <v>1325</v>
      </c>
      <c r="B171" s="116">
        <v>5338749.239325</v>
      </c>
      <c r="C171" s="117">
        <v>0.88979153988750004</v>
      </c>
      <c r="D171" s="112">
        <v>0.05</v>
      </c>
      <c r="E171" s="112" t="s">
        <v>1663</v>
      </c>
      <c r="F171" s="113">
        <v>0.99999933581210465</v>
      </c>
      <c r="G171" s="113">
        <v>1.0448672549809179</v>
      </c>
      <c r="H171" s="113">
        <v>0.99999938458383109</v>
      </c>
      <c r="I171" s="114">
        <v>491011.69782327604</v>
      </c>
    </row>
    <row r="173" spans="1:9" ht="15" thickBot="1" x14ac:dyDescent="0.35"/>
    <row r="174" spans="1:9" x14ac:dyDescent="0.3">
      <c r="A174" s="118" t="s">
        <v>1632</v>
      </c>
      <c r="B174" s="118" t="s">
        <v>1719</v>
      </c>
      <c r="C174" s="118" t="s">
        <v>1720</v>
      </c>
      <c r="D174" s="118" t="s">
        <v>1721</v>
      </c>
      <c r="E174" s="118" t="s">
        <v>1722</v>
      </c>
      <c r="F174" s="118" t="s">
        <v>1723</v>
      </c>
      <c r="G174" s="118" t="s">
        <v>1724</v>
      </c>
      <c r="H174" s="118" t="s">
        <v>1725</v>
      </c>
      <c r="I174" s="118" t="s">
        <v>1725</v>
      </c>
    </row>
    <row r="175" spans="1:9" x14ac:dyDescent="0.3">
      <c r="A175" s="119" t="s">
        <v>1633</v>
      </c>
      <c r="B175" s="120">
        <v>1000000.30125</v>
      </c>
      <c r="C175" s="120">
        <v>1573495.9668341517</v>
      </c>
      <c r="D175" s="117">
        <v>0.16666671687500001</v>
      </c>
      <c r="E175" s="117">
        <v>0.26224932780569193</v>
      </c>
      <c r="F175" s="117">
        <v>0.35</v>
      </c>
      <c r="G175" s="117">
        <v>0.2</v>
      </c>
      <c r="H175" s="112" t="s">
        <v>1571</v>
      </c>
      <c r="I175" s="121" t="s">
        <v>1663</v>
      </c>
    </row>
    <row r="176" spans="1:9" x14ac:dyDescent="0.3">
      <c r="A176" s="119" t="s">
        <v>1635</v>
      </c>
      <c r="B176" s="120">
        <v>750000.3</v>
      </c>
      <c r="C176" s="120">
        <v>1257017.6879124604</v>
      </c>
      <c r="D176" s="117">
        <v>0.12500005</v>
      </c>
      <c r="E176" s="117">
        <v>0.20950294798541008</v>
      </c>
      <c r="F176" s="117">
        <v>0.15</v>
      </c>
      <c r="G176" s="117">
        <v>0.2</v>
      </c>
      <c r="H176" s="112" t="s">
        <v>1571</v>
      </c>
      <c r="I176" s="121" t="s">
        <v>1663</v>
      </c>
    </row>
    <row r="177" spans="1:9" x14ac:dyDescent="0.3">
      <c r="A177" s="119" t="s">
        <v>1639</v>
      </c>
      <c r="B177" s="120">
        <v>90478.46921743064</v>
      </c>
      <c r="C177" s="120">
        <v>604641.61720596883</v>
      </c>
      <c r="D177" s="117">
        <v>1.5079744869571773E-2</v>
      </c>
      <c r="E177" s="117">
        <v>0.10077360286766147</v>
      </c>
      <c r="F177" s="117">
        <v>0.15</v>
      </c>
      <c r="G177" s="117">
        <v>0.2</v>
      </c>
      <c r="H177" s="112" t="s">
        <v>1571</v>
      </c>
      <c r="I177" s="121" t="s">
        <v>1571</v>
      </c>
    </row>
    <row r="178" spans="1:9" x14ac:dyDescent="0.3">
      <c r="A178" s="122" t="s">
        <v>1651</v>
      </c>
      <c r="B178" s="120">
        <v>12797.484205814064</v>
      </c>
      <c r="C178" s="120">
        <v>250000.5</v>
      </c>
      <c r="D178" s="117">
        <v>2.132914034302344E-3</v>
      </c>
      <c r="E178" s="117">
        <v>4.1666750000000002E-2</v>
      </c>
      <c r="F178" s="117">
        <v>0.4</v>
      </c>
      <c r="G178" s="117">
        <v>0.65</v>
      </c>
      <c r="H178" s="112" t="s">
        <v>1571</v>
      </c>
      <c r="I178" s="121" t="s">
        <v>1571</v>
      </c>
    </row>
    <row r="179" spans="1:9" x14ac:dyDescent="0.3">
      <c r="A179" s="119" t="s">
        <v>1649</v>
      </c>
      <c r="B179" s="120">
        <v>47877.335033221607</v>
      </c>
      <c r="C179" s="120">
        <v>462425.78845155856</v>
      </c>
      <c r="D179" s="117">
        <v>7.9795558388702677E-3</v>
      </c>
      <c r="E179" s="117">
        <v>7.7070964741926429E-2</v>
      </c>
      <c r="F179" s="117">
        <v>0.4</v>
      </c>
      <c r="G179" s="117">
        <v>0.65</v>
      </c>
      <c r="H179" s="112" t="s">
        <v>1571</v>
      </c>
      <c r="I179" s="121" t="s">
        <v>1571</v>
      </c>
    </row>
    <row r="180" spans="1:9" x14ac:dyDescent="0.3">
      <c r="A180" s="119" t="s">
        <v>1650</v>
      </c>
      <c r="B180" s="120">
        <v>250000</v>
      </c>
      <c r="C180" s="120">
        <v>554976.1300192232</v>
      </c>
      <c r="D180" s="117">
        <v>4.1666666666666664E-2</v>
      </c>
      <c r="E180" s="117">
        <v>9.2496021669870532E-2</v>
      </c>
      <c r="F180" s="117">
        <v>0.4</v>
      </c>
      <c r="G180" s="117">
        <v>0.65</v>
      </c>
      <c r="H180" s="112" t="s">
        <v>1571</v>
      </c>
      <c r="I180" s="121" t="s">
        <v>1571</v>
      </c>
    </row>
    <row r="181" spans="1:9" x14ac:dyDescent="0.3">
      <c r="A181" s="119" t="s">
        <v>1636</v>
      </c>
      <c r="B181" s="120">
        <v>39013.761465282805</v>
      </c>
      <c r="C181" s="120">
        <v>261564.83352664317</v>
      </c>
      <c r="D181" s="117">
        <v>6.5022935775471344E-3</v>
      </c>
      <c r="E181" s="117">
        <v>4.3594138921107195E-2</v>
      </c>
      <c r="F181" s="117">
        <v>0.15</v>
      </c>
      <c r="G181" s="117">
        <v>0.2</v>
      </c>
      <c r="H181" s="112" t="s">
        <v>1571</v>
      </c>
      <c r="I181" s="121" t="s">
        <v>1571</v>
      </c>
    </row>
    <row r="182" spans="1:9" x14ac:dyDescent="0.3">
      <c r="A182" s="119" t="s">
        <v>1640</v>
      </c>
      <c r="B182" s="120">
        <v>250000.5</v>
      </c>
      <c r="C182" s="120">
        <v>1199112.9772331303</v>
      </c>
      <c r="D182" s="117">
        <v>4.1666750000000002E-2</v>
      </c>
      <c r="E182" s="117">
        <v>0.19985216287218838</v>
      </c>
      <c r="F182" s="117">
        <v>0.15</v>
      </c>
      <c r="G182" s="117">
        <v>0.2</v>
      </c>
      <c r="H182" s="112" t="s">
        <v>1571</v>
      </c>
      <c r="I182" s="121" t="s">
        <v>1571</v>
      </c>
    </row>
    <row r="183" spans="1:9" x14ac:dyDescent="0.3">
      <c r="A183" s="119" t="s">
        <v>1653</v>
      </c>
      <c r="B183" s="120">
        <v>0</v>
      </c>
      <c r="C183" s="120">
        <v>249999.90000000005</v>
      </c>
      <c r="D183" s="117">
        <v>0</v>
      </c>
      <c r="E183" s="117">
        <v>4.1666650000000006E-2</v>
      </c>
      <c r="F183" s="117">
        <v>0.3</v>
      </c>
      <c r="G183" s="117">
        <v>0.45</v>
      </c>
      <c r="H183" s="112" t="s">
        <v>1571</v>
      </c>
      <c r="I183" s="121" t="s">
        <v>1571</v>
      </c>
    </row>
    <row r="184" spans="1:9" x14ac:dyDescent="0.3">
      <c r="A184" s="119" t="s">
        <v>1660</v>
      </c>
      <c r="B184" s="120">
        <v>0</v>
      </c>
      <c r="C184" s="120">
        <v>0</v>
      </c>
      <c r="D184" s="117">
        <v>0</v>
      </c>
      <c r="E184" s="117">
        <v>0</v>
      </c>
      <c r="F184" s="117">
        <v>0.2</v>
      </c>
      <c r="G184" s="117">
        <v>0.35</v>
      </c>
      <c r="H184" s="112" t="s">
        <v>1571</v>
      </c>
      <c r="I184" s="121" t="s">
        <v>1571</v>
      </c>
    </row>
    <row r="185" spans="1:9" x14ac:dyDescent="0.3">
      <c r="A185" s="119" t="s">
        <v>1638</v>
      </c>
      <c r="B185" s="120">
        <v>0</v>
      </c>
      <c r="C185" s="120">
        <v>0</v>
      </c>
      <c r="D185" s="117">
        <v>0</v>
      </c>
      <c r="E185" s="117">
        <v>0</v>
      </c>
      <c r="F185" s="117">
        <v>0.15</v>
      </c>
      <c r="G185" s="117">
        <v>0.2</v>
      </c>
      <c r="H185" s="112" t="s">
        <v>1571</v>
      </c>
      <c r="I185" s="121" t="s">
        <v>1571</v>
      </c>
    </row>
    <row r="186" spans="1:9" x14ac:dyDescent="0.3">
      <c r="A186" s="119" t="s">
        <v>1656</v>
      </c>
      <c r="B186" s="120">
        <v>0</v>
      </c>
      <c r="C186" s="120">
        <v>0</v>
      </c>
      <c r="D186" s="117">
        <v>0</v>
      </c>
      <c r="E186" s="117">
        <v>0</v>
      </c>
      <c r="F186" s="117">
        <v>0.3</v>
      </c>
      <c r="G186" s="117">
        <v>0.45</v>
      </c>
      <c r="H186" s="112" t="s">
        <v>1571</v>
      </c>
      <c r="I186" s="121" t="s">
        <v>1571</v>
      </c>
    </row>
    <row r="187" spans="1:9" x14ac:dyDescent="0.3">
      <c r="A187" s="119" t="s">
        <v>1641</v>
      </c>
      <c r="B187" s="120">
        <v>0</v>
      </c>
      <c r="C187" s="120">
        <v>250000.5</v>
      </c>
      <c r="D187" s="117">
        <v>0</v>
      </c>
      <c r="E187" s="117">
        <v>4.1666750000000002E-2</v>
      </c>
      <c r="F187" s="117">
        <v>0.15</v>
      </c>
      <c r="G187" s="117">
        <v>0.2</v>
      </c>
      <c r="H187" s="112" t="s">
        <v>1571</v>
      </c>
      <c r="I187" s="121" t="s">
        <v>1571</v>
      </c>
    </row>
    <row r="188" spans="1:9" x14ac:dyDescent="0.3">
      <c r="A188" s="119" t="s">
        <v>1637</v>
      </c>
      <c r="B188" s="120">
        <v>249999.6</v>
      </c>
      <c r="C188" s="120">
        <v>249999.60000000003</v>
      </c>
      <c r="D188" s="117">
        <v>4.1666599999999998E-2</v>
      </c>
      <c r="E188" s="117">
        <v>4.1666600000000005E-2</v>
      </c>
      <c r="F188" s="117">
        <v>0.15</v>
      </c>
      <c r="G188" s="117">
        <v>0.2</v>
      </c>
      <c r="H188" s="112" t="s">
        <v>1571</v>
      </c>
      <c r="I188" s="121" t="s">
        <v>1571</v>
      </c>
    </row>
    <row r="189" spans="1:9" x14ac:dyDescent="0.3">
      <c r="A189" s="119" t="s">
        <v>1659</v>
      </c>
      <c r="B189" s="120">
        <v>0</v>
      </c>
      <c r="C189" s="120">
        <v>0</v>
      </c>
      <c r="D189" s="117">
        <v>0</v>
      </c>
      <c r="E189" s="117">
        <v>0</v>
      </c>
      <c r="F189" s="117">
        <v>0.2</v>
      </c>
      <c r="G189" s="117">
        <v>0.35</v>
      </c>
      <c r="H189" s="112" t="s">
        <v>1571</v>
      </c>
      <c r="I189" s="121" t="s">
        <v>1571</v>
      </c>
    </row>
    <row r="190" spans="1:9" x14ac:dyDescent="0.3">
      <c r="A190" s="119" t="s">
        <v>1657</v>
      </c>
      <c r="B190" s="116">
        <v>0</v>
      </c>
      <c r="C190" s="116">
        <v>0</v>
      </c>
      <c r="D190" s="117">
        <v>0</v>
      </c>
      <c r="E190" s="117">
        <v>0</v>
      </c>
      <c r="F190" s="117">
        <v>0.2</v>
      </c>
      <c r="G190" s="117">
        <v>0.35</v>
      </c>
      <c r="H190" s="123" t="s">
        <v>1571</v>
      </c>
      <c r="I190" s="124" t="s">
        <v>1571</v>
      </c>
    </row>
    <row r="191" spans="1:9" x14ac:dyDescent="0.3">
      <c r="A191" s="119" t="s">
        <v>1658</v>
      </c>
      <c r="B191" s="116">
        <v>0</v>
      </c>
      <c r="C191" s="116">
        <v>0</v>
      </c>
      <c r="D191" s="117">
        <v>0</v>
      </c>
      <c r="E191" s="117">
        <v>0</v>
      </c>
      <c r="F191" s="117">
        <v>0.2</v>
      </c>
      <c r="G191" s="117">
        <v>0.35</v>
      </c>
      <c r="H191" s="112" t="s">
        <v>1571</v>
      </c>
      <c r="I191" s="124" t="s">
        <v>1571</v>
      </c>
    </row>
    <row r="192" spans="1:9" x14ac:dyDescent="0.3">
      <c r="A192" s="125" t="s">
        <v>1652</v>
      </c>
      <c r="B192" s="126">
        <v>0</v>
      </c>
      <c r="C192" s="126">
        <v>0</v>
      </c>
      <c r="D192" s="117">
        <v>0</v>
      </c>
      <c r="E192" s="117">
        <v>0</v>
      </c>
      <c r="F192" s="117">
        <v>0.4</v>
      </c>
      <c r="G192" s="117">
        <v>0.65</v>
      </c>
      <c r="H192" s="38" t="s">
        <v>1571</v>
      </c>
      <c r="I192" s="121" t="s">
        <v>1571</v>
      </c>
    </row>
    <row r="193" spans="1:9" x14ac:dyDescent="0.3">
      <c r="A193" s="125" t="s">
        <v>1654</v>
      </c>
      <c r="B193" s="116">
        <v>0</v>
      </c>
      <c r="C193" s="116">
        <v>0</v>
      </c>
      <c r="D193" s="117">
        <v>0</v>
      </c>
      <c r="E193" s="117">
        <v>0</v>
      </c>
      <c r="F193" s="117">
        <v>0.3</v>
      </c>
      <c r="G193" s="117">
        <v>0.45</v>
      </c>
      <c r="H193" s="42" t="s">
        <v>1571</v>
      </c>
      <c r="I193" s="124" t="s">
        <v>1571</v>
      </c>
    </row>
    <row r="194" spans="1:9" x14ac:dyDescent="0.3">
      <c r="A194" s="125" t="s">
        <v>1655</v>
      </c>
      <c r="B194" s="116">
        <v>62500</v>
      </c>
      <c r="C194" s="116">
        <v>250000</v>
      </c>
      <c r="D194" s="117">
        <v>1.0416666666666666E-2</v>
      </c>
      <c r="E194" s="117">
        <v>4.1666666666666664E-2</v>
      </c>
      <c r="F194" s="117">
        <v>0.3</v>
      </c>
      <c r="G194" s="117">
        <v>0.45</v>
      </c>
      <c r="H194" s="42" t="s">
        <v>1571</v>
      </c>
      <c r="I194" s="124" t="s">
        <v>1571</v>
      </c>
    </row>
    <row r="195" spans="1:9" x14ac:dyDescent="0.3">
      <c r="A195" s="125" t="s">
        <v>1647</v>
      </c>
      <c r="B195" s="116">
        <v>0</v>
      </c>
      <c r="C195" s="116">
        <v>0</v>
      </c>
      <c r="D195" s="117">
        <v>0</v>
      </c>
      <c r="E195" s="117">
        <v>0</v>
      </c>
      <c r="F195" s="117">
        <v>0.15</v>
      </c>
      <c r="G195" s="117">
        <v>0.2</v>
      </c>
      <c r="H195" s="42" t="s">
        <v>1571</v>
      </c>
      <c r="I195" s="124" t="s">
        <v>1571</v>
      </c>
    </row>
    <row r="196" spans="1:9" x14ac:dyDescent="0.3">
      <c r="A196" s="125" t="s">
        <v>1642</v>
      </c>
      <c r="B196" s="116">
        <v>0</v>
      </c>
      <c r="C196" s="116">
        <v>0</v>
      </c>
      <c r="D196" s="117">
        <v>0</v>
      </c>
      <c r="E196" s="117">
        <v>0</v>
      </c>
      <c r="F196" s="117">
        <v>0.15</v>
      </c>
      <c r="G196" s="117">
        <v>0.2</v>
      </c>
      <c r="H196" s="42" t="s">
        <v>1571</v>
      </c>
      <c r="I196" s="124" t="s">
        <v>1571</v>
      </c>
    </row>
    <row r="197" spans="1:9" ht="15" thickBot="1" x14ac:dyDescent="0.35">
      <c r="A197" s="127" t="s">
        <v>1643</v>
      </c>
      <c r="B197" s="128">
        <v>0</v>
      </c>
      <c r="C197" s="128">
        <v>0</v>
      </c>
      <c r="D197" s="129">
        <v>0</v>
      </c>
      <c r="E197" s="129">
        <v>0</v>
      </c>
      <c r="F197" s="129">
        <v>0.15</v>
      </c>
      <c r="G197" s="129">
        <v>0.2</v>
      </c>
      <c r="H197" s="130" t="s">
        <v>1571</v>
      </c>
      <c r="I197" s="131" t="s">
        <v>1571</v>
      </c>
    </row>
    <row r="200" spans="1:9" x14ac:dyDescent="0.3">
      <c r="A200" s="132" t="s">
        <v>1315</v>
      </c>
      <c r="B200" s="132" t="s">
        <v>1717</v>
      </c>
      <c r="C200" s="132" t="s">
        <v>1718</v>
      </c>
      <c r="D200" s="132" t="s">
        <v>1711</v>
      </c>
      <c r="E200" s="132" t="s">
        <v>1712</v>
      </c>
    </row>
    <row r="201" spans="1:9" x14ac:dyDescent="0.3">
      <c r="A201" s="112" t="s">
        <v>1344</v>
      </c>
      <c r="B201" s="116">
        <v>250000</v>
      </c>
      <c r="C201" s="133">
        <v>4.1666666666666664E-2</v>
      </c>
      <c r="D201" s="187">
        <v>0.3</v>
      </c>
      <c r="E201" s="112" t="s">
        <v>1571</v>
      </c>
    </row>
    <row r="202" spans="1:9" x14ac:dyDescent="0.3">
      <c r="A202" s="112" t="s">
        <v>1359</v>
      </c>
      <c r="B202" s="116">
        <v>250000</v>
      </c>
      <c r="C202" s="133">
        <v>4.1666666666666664E-2</v>
      </c>
      <c r="D202" s="187">
        <v>0.3</v>
      </c>
      <c r="E202" s="112" t="s">
        <v>1571</v>
      </c>
    </row>
    <row r="203" spans="1:9" x14ac:dyDescent="0.3">
      <c r="A203" s="112" t="s">
        <v>1342</v>
      </c>
      <c r="B203" s="116">
        <v>250000</v>
      </c>
      <c r="C203" s="133">
        <v>4.1666666666666664E-2</v>
      </c>
      <c r="D203" s="187">
        <v>0.3</v>
      </c>
      <c r="E203" s="112" t="s">
        <v>1571</v>
      </c>
    </row>
    <row r="204" spans="1:9" x14ac:dyDescent="0.3">
      <c r="A204" s="112" t="s">
        <v>1352</v>
      </c>
      <c r="B204" s="116">
        <v>250000</v>
      </c>
      <c r="C204" s="133">
        <v>4.1666666666666664E-2</v>
      </c>
      <c r="D204" s="187">
        <v>0.3</v>
      </c>
      <c r="E204" s="112" t="s">
        <v>1571</v>
      </c>
    </row>
    <row r="205" spans="1:9" x14ac:dyDescent="0.3">
      <c r="A205" s="112" t="s">
        <v>1339</v>
      </c>
      <c r="B205" s="116">
        <v>249999</v>
      </c>
      <c r="C205" s="133">
        <v>4.1666500000000002E-2</v>
      </c>
      <c r="D205" s="187">
        <v>0.3</v>
      </c>
      <c r="E205" s="112" t="s">
        <v>1571</v>
      </c>
    </row>
    <row r="206" spans="1:9" x14ac:dyDescent="0.3">
      <c r="A206" s="112" t="s">
        <v>1341</v>
      </c>
      <c r="B206" s="116">
        <v>249999</v>
      </c>
      <c r="C206" s="133">
        <v>4.1666500000000002E-2</v>
      </c>
      <c r="D206" s="187">
        <v>0.3</v>
      </c>
      <c r="E206" s="112" t="s">
        <v>1571</v>
      </c>
    </row>
    <row r="207" spans="1:9" x14ac:dyDescent="0.3">
      <c r="A207" s="34" t="s">
        <v>1358</v>
      </c>
      <c r="B207" s="137">
        <v>250000</v>
      </c>
      <c r="C207" s="133">
        <v>4.1666666666666664E-2</v>
      </c>
      <c r="D207" s="187">
        <v>0.3</v>
      </c>
      <c r="E207" s="143" t="s">
        <v>1571</v>
      </c>
    </row>
    <row r="208" spans="1:9" x14ac:dyDescent="0.3">
      <c r="A208" s="34" t="s">
        <v>1357</v>
      </c>
      <c r="B208" s="137">
        <v>250000.5</v>
      </c>
      <c r="C208" s="133">
        <v>4.1666750000000002E-2</v>
      </c>
      <c r="D208" s="187">
        <v>0.3</v>
      </c>
      <c r="E208" s="143" t="s">
        <v>1571</v>
      </c>
    </row>
    <row r="209" spans="1:9" x14ac:dyDescent="0.3">
      <c r="A209" s="34" t="s">
        <v>1354</v>
      </c>
      <c r="B209" s="137">
        <v>500000</v>
      </c>
      <c r="C209" s="133">
        <v>8.3333333333333329E-2</v>
      </c>
      <c r="D209" s="187">
        <v>0.3</v>
      </c>
      <c r="E209" s="143" t="s">
        <v>1571</v>
      </c>
    </row>
    <row r="210" spans="1:9" x14ac:dyDescent="0.3">
      <c r="A210" s="34" t="s">
        <v>1331</v>
      </c>
      <c r="B210" s="137">
        <v>249999.9</v>
      </c>
      <c r="C210" s="133">
        <v>4.166665E-2</v>
      </c>
      <c r="D210" s="187">
        <v>0.3</v>
      </c>
      <c r="E210" s="143" t="s">
        <v>1571</v>
      </c>
    </row>
    <row r="211" spans="1:9" x14ac:dyDescent="0.3">
      <c r="A211" s="34" t="s">
        <v>1337</v>
      </c>
      <c r="B211" s="137">
        <v>249999.60000000003</v>
      </c>
      <c r="C211" s="133">
        <v>4.1666600000000005E-2</v>
      </c>
      <c r="D211" s="187">
        <v>0.3</v>
      </c>
      <c r="E211" s="143" t="s">
        <v>1571</v>
      </c>
    </row>
    <row r="212" spans="1:9" x14ac:dyDescent="0.3">
      <c r="A212" s="34" t="s">
        <v>1335</v>
      </c>
      <c r="B212" s="137">
        <v>250000</v>
      </c>
      <c r="C212" s="133">
        <v>4.1666666666666664E-2</v>
      </c>
      <c r="D212" s="187">
        <v>0.3</v>
      </c>
      <c r="E212" s="143" t="s">
        <v>1571</v>
      </c>
    </row>
    <row r="213" spans="1:9" x14ac:dyDescent="0.3">
      <c r="A213" s="34" t="s">
        <v>1353</v>
      </c>
      <c r="B213" s="137">
        <v>250000.5</v>
      </c>
      <c r="C213" s="133">
        <v>4.1666750000000002E-2</v>
      </c>
      <c r="D213" s="187">
        <v>0.3</v>
      </c>
      <c r="E213" s="143" t="s">
        <v>1571</v>
      </c>
    </row>
    <row r="214" spans="1:9" x14ac:dyDescent="0.3">
      <c r="A214" s="34" t="s">
        <v>1348</v>
      </c>
      <c r="B214" s="137">
        <v>250000.5</v>
      </c>
      <c r="C214" s="133">
        <v>4.1666750000000002E-2</v>
      </c>
      <c r="D214" s="187">
        <v>0.3</v>
      </c>
      <c r="E214" s="143" t="s">
        <v>1571</v>
      </c>
    </row>
    <row r="215" spans="1:9" x14ac:dyDescent="0.3">
      <c r="A215" s="34" t="s">
        <v>1351</v>
      </c>
      <c r="B215" s="137">
        <v>250000.80000000002</v>
      </c>
      <c r="C215" s="133">
        <v>4.1666800000000004E-2</v>
      </c>
      <c r="D215" s="187">
        <v>0.3</v>
      </c>
      <c r="E215" s="143" t="s">
        <v>1571</v>
      </c>
    </row>
    <row r="216" spans="1:9" x14ac:dyDescent="0.3">
      <c r="A216" s="34" t="s">
        <v>1345</v>
      </c>
      <c r="B216" s="137">
        <v>250000</v>
      </c>
      <c r="C216" s="133">
        <v>4.1666666666666664E-2</v>
      </c>
      <c r="D216" s="187">
        <v>0.3</v>
      </c>
      <c r="E216" s="143" t="s">
        <v>1571</v>
      </c>
    </row>
    <row r="217" spans="1:9" x14ac:dyDescent="0.3">
      <c r="A217" s="34" t="s">
        <v>1343</v>
      </c>
      <c r="B217" s="137">
        <v>249999.45</v>
      </c>
      <c r="C217" s="133">
        <v>4.1666575000000004E-2</v>
      </c>
      <c r="D217" s="187">
        <v>0.3</v>
      </c>
      <c r="E217" s="143" t="s">
        <v>1571</v>
      </c>
    </row>
    <row r="218" spans="1:9" x14ac:dyDescent="0.3">
      <c r="A218" s="34" t="s">
        <v>1360</v>
      </c>
      <c r="B218" s="137">
        <v>499999.50000000006</v>
      </c>
      <c r="C218" s="133">
        <v>8.3333250000000011E-2</v>
      </c>
      <c r="D218" s="187">
        <v>0.3</v>
      </c>
      <c r="E218" s="143" t="s">
        <v>1571</v>
      </c>
    </row>
    <row r="219" spans="1:9" x14ac:dyDescent="0.3">
      <c r="A219" s="34" t="s">
        <v>1327</v>
      </c>
      <c r="B219" s="137">
        <v>250000.5</v>
      </c>
      <c r="C219" s="133">
        <v>4.1666750000000002E-2</v>
      </c>
      <c r="D219" s="187">
        <v>0.3</v>
      </c>
      <c r="E219" s="143" t="s">
        <v>1571</v>
      </c>
    </row>
    <row r="221" spans="1:9" x14ac:dyDescent="0.3">
      <c r="A221" s="134" t="s">
        <v>1432</v>
      </c>
      <c r="B221" s="135" t="s">
        <v>1727</v>
      </c>
      <c r="C221" s="136" t="s">
        <v>1728</v>
      </c>
      <c r="D221" s="136" t="s">
        <v>1729</v>
      </c>
      <c r="E221" s="136" t="s">
        <v>1730</v>
      </c>
      <c r="F221" s="136" t="s">
        <v>1731</v>
      </c>
      <c r="G221" s="136" t="s">
        <v>1732</v>
      </c>
      <c r="H221" s="136" t="s">
        <v>1733</v>
      </c>
      <c r="I221" s="136" t="s">
        <v>1734</v>
      </c>
    </row>
    <row r="222" spans="1:9" x14ac:dyDescent="0.3">
      <c r="A222" s="34">
        <v>1</v>
      </c>
      <c r="B222" s="34" t="s">
        <v>1661</v>
      </c>
      <c r="C222" s="137">
        <v>67359.721551873969</v>
      </c>
      <c r="D222" s="137">
        <v>81.633654364501126</v>
      </c>
      <c r="E222" s="137">
        <v>1220313.8424537547</v>
      </c>
      <c r="F222" s="137">
        <v>1473028.7309570089</v>
      </c>
      <c r="G222" s="137">
        <v>1473028.7309570089</v>
      </c>
      <c r="H222" s="137">
        <v>1220395.4761081194</v>
      </c>
      <c r="I222" s="137">
        <v>-717721.58308484335</v>
      </c>
    </row>
    <row r="223" spans="1:9" x14ac:dyDescent="0.3">
      <c r="A223" s="34">
        <v>2</v>
      </c>
      <c r="B223" s="34" t="s">
        <v>1633</v>
      </c>
      <c r="C223" s="137">
        <v>47988.203976722143</v>
      </c>
      <c r="D223" s="137">
        <v>19453.151229516327</v>
      </c>
      <c r="E223" s="137">
        <v>1008809.2649268428</v>
      </c>
      <c r="F223" s="137">
        <v>1368440.9026685078</v>
      </c>
      <c r="G223" s="137">
        <v>1119403.9993332287</v>
      </c>
      <c r="H223" s="137">
        <v>1028262.4161563591</v>
      </c>
      <c r="I223" s="137">
        <v>-525588.52313308313</v>
      </c>
    </row>
    <row r="224" spans="1:9" x14ac:dyDescent="0.3">
      <c r="A224" s="34">
        <v>3</v>
      </c>
      <c r="B224" s="34" t="s">
        <v>1635</v>
      </c>
      <c r="C224" s="137">
        <v>20316.602698315259</v>
      </c>
      <c r="D224" s="137">
        <v>47124.752507923215</v>
      </c>
      <c r="E224" s="137">
        <v>750000.3</v>
      </c>
      <c r="F224" s="137">
        <v>1080953.8998678788</v>
      </c>
      <c r="G224" s="137">
        <v>429967.16754347191</v>
      </c>
      <c r="H224" s="137">
        <v>797125.05250792322</v>
      </c>
      <c r="I224" s="137">
        <v>-294451.15948464721</v>
      </c>
    </row>
    <row r="225" spans="1:9" x14ac:dyDescent="0.3">
      <c r="A225" s="34">
        <v>4</v>
      </c>
      <c r="B225" s="34" t="s">
        <v>1639</v>
      </c>
      <c r="C225" s="137">
        <v>3817.9982759520285</v>
      </c>
      <c r="D225" s="137">
        <v>63623.356930286442</v>
      </c>
      <c r="E225" s="137">
        <v>90998.341564623188</v>
      </c>
      <c r="F225" s="137">
        <v>367689.04664349084</v>
      </c>
      <c r="G225" s="137">
        <v>11801.699530669186</v>
      </c>
      <c r="H225" s="137">
        <v>154621.69849490962</v>
      </c>
      <c r="I225" s="137">
        <v>348052.19452836638</v>
      </c>
    </row>
    <row r="226" spans="1:9" x14ac:dyDescent="0.3">
      <c r="A226" s="34">
        <v>5</v>
      </c>
      <c r="B226" s="34" t="s">
        <v>1651</v>
      </c>
      <c r="C226" s="137">
        <v>1879.4244694471322</v>
      </c>
      <c r="D226" s="137">
        <v>65561.930736791342</v>
      </c>
      <c r="E226" s="137">
        <v>12797.484205814064</v>
      </c>
      <c r="F226" s="137">
        <v>187454.52660086489</v>
      </c>
      <c r="G226" s="137">
        <v>5983.080604808667</v>
      </c>
      <c r="H226" s="137">
        <v>78359.414942605406</v>
      </c>
      <c r="I226" s="137">
        <v>424314.47808067058</v>
      </c>
    </row>
    <row r="227" spans="1:9" x14ac:dyDescent="0.3">
      <c r="A227" s="34">
        <v>6</v>
      </c>
      <c r="B227" s="34" t="s">
        <v>1649</v>
      </c>
      <c r="C227" s="137">
        <v>3417.1361203935517</v>
      </c>
      <c r="D227" s="137">
        <v>64024.219085844918</v>
      </c>
      <c r="E227" s="137">
        <v>47877.335033221607</v>
      </c>
      <c r="F227" s="137">
        <v>339497.51920301915</v>
      </c>
      <c r="G227" s="137">
        <v>84412.492444536198</v>
      </c>
      <c r="H227" s="137">
        <v>111901.55411906652</v>
      </c>
      <c r="I227" s="137">
        <v>390772.33890420949</v>
      </c>
    </row>
    <row r="228" spans="1:9" x14ac:dyDescent="0.3">
      <c r="A228" s="34">
        <v>7</v>
      </c>
      <c r="B228" s="34" t="s">
        <v>1650</v>
      </c>
      <c r="C228" s="137">
        <v>9708.4638103006273</v>
      </c>
      <c r="D228" s="137">
        <v>57732.891395937841</v>
      </c>
      <c r="E228" s="137">
        <v>250000</v>
      </c>
      <c r="F228" s="137">
        <v>484839.43437104562</v>
      </c>
      <c r="G228" s="137">
        <v>111996.48945732706</v>
      </c>
      <c r="H228" s="137">
        <v>307732.89139593783</v>
      </c>
      <c r="I228" s="137">
        <v>194941.00162733818</v>
      </c>
    </row>
    <row r="229" spans="1:9" x14ac:dyDescent="0.3">
      <c r="A229" s="34">
        <v>8</v>
      </c>
      <c r="B229" s="34" t="s">
        <v>1636</v>
      </c>
      <c r="C229" s="137">
        <v>2162.3370180458942</v>
      </c>
      <c r="D229" s="137">
        <v>65279.018188192575</v>
      </c>
      <c r="E229" s="137">
        <v>39013.761465282805</v>
      </c>
      <c r="F229" s="137">
        <v>211502.49689106244</v>
      </c>
      <c r="G229" s="137">
        <v>14240.396392497514</v>
      </c>
      <c r="H229" s="137">
        <v>104292.77965347539</v>
      </c>
      <c r="I229" s="137">
        <v>398381.11336980062</v>
      </c>
    </row>
    <row r="230" spans="1:9" x14ac:dyDescent="0.3">
      <c r="A230" s="34">
        <v>9</v>
      </c>
      <c r="B230" s="34" t="s">
        <v>1640</v>
      </c>
      <c r="C230" s="137">
        <v>8478.8231042104417</v>
      </c>
      <c r="D230" s="137">
        <v>58962.532102028024</v>
      </c>
      <c r="E230" s="137">
        <v>250000.5</v>
      </c>
      <c r="F230" s="137">
        <v>738505.6042291359</v>
      </c>
      <c r="G230" s="137">
        <v>267294.0023101081</v>
      </c>
      <c r="H230" s="137">
        <v>308963.03210202802</v>
      </c>
      <c r="I230" s="137">
        <v>193710.86092124798</v>
      </c>
    </row>
    <row r="231" spans="1:9" x14ac:dyDescent="0.3">
      <c r="A231" s="34">
        <v>10</v>
      </c>
      <c r="B231" s="34" t="s">
        <v>1653</v>
      </c>
      <c r="C231" s="137">
        <v>1682.3473798496746</v>
      </c>
      <c r="D231" s="137">
        <v>65759.007826388799</v>
      </c>
      <c r="E231" s="137">
        <v>0</v>
      </c>
      <c r="F231" s="137">
        <v>168234.73798496745</v>
      </c>
      <c r="G231" s="137">
        <v>14999.987995750002</v>
      </c>
      <c r="H231" s="137">
        <v>65759.007826388799</v>
      </c>
      <c r="I231" s="137">
        <v>436914.88519688719</v>
      </c>
    </row>
    <row r="232" spans="1:9" x14ac:dyDescent="0.3">
      <c r="A232" s="34">
        <v>11</v>
      </c>
      <c r="B232" s="34" t="s">
        <v>1660</v>
      </c>
      <c r="C232" s="137">
        <v>0</v>
      </c>
      <c r="D232" s="137">
        <v>67441.35520623847</v>
      </c>
      <c r="E232" s="137">
        <v>0</v>
      </c>
      <c r="F232" s="137">
        <v>0</v>
      </c>
      <c r="G232" s="137">
        <v>0</v>
      </c>
      <c r="H232" s="137">
        <v>67441.35520623847</v>
      </c>
      <c r="I232" s="137">
        <v>435232.53781703755</v>
      </c>
    </row>
    <row r="233" spans="1:9" x14ac:dyDescent="0.3">
      <c r="A233" s="34">
        <v>12</v>
      </c>
      <c r="B233" s="34" t="s">
        <v>1638</v>
      </c>
      <c r="C233" s="137">
        <v>0</v>
      </c>
      <c r="D233" s="137">
        <v>67441.35520623847</v>
      </c>
      <c r="E233" s="137">
        <v>0</v>
      </c>
      <c r="F233" s="137">
        <v>0</v>
      </c>
      <c r="G233" s="137">
        <v>0</v>
      </c>
      <c r="H233" s="137">
        <v>67441.35520623847</v>
      </c>
      <c r="I233" s="137">
        <v>435232.53781703755</v>
      </c>
    </row>
    <row r="234" spans="1:9" x14ac:dyDescent="0.3">
      <c r="A234" s="34">
        <v>13</v>
      </c>
      <c r="B234" s="34" t="s">
        <v>1656</v>
      </c>
      <c r="C234" s="137">
        <v>0</v>
      </c>
      <c r="D234" s="137">
        <v>67441.35520623847</v>
      </c>
      <c r="E234" s="137">
        <v>0</v>
      </c>
      <c r="F234" s="137">
        <v>0</v>
      </c>
      <c r="G234" s="137">
        <v>0</v>
      </c>
      <c r="H234" s="137">
        <v>67441.35520623847</v>
      </c>
      <c r="I234" s="137">
        <v>435232.53781703755</v>
      </c>
    </row>
    <row r="235" spans="1:9" x14ac:dyDescent="0.3">
      <c r="A235" s="34">
        <v>14</v>
      </c>
      <c r="B235" s="34" t="s">
        <v>1641</v>
      </c>
      <c r="C235" s="137">
        <v>1971.5092803013679</v>
      </c>
      <c r="D235" s="137">
        <v>65469.845925937101</v>
      </c>
      <c r="E235" s="137">
        <v>0</v>
      </c>
      <c r="F235" s="137">
        <v>197150.9280301368</v>
      </c>
      <c r="G235" s="137">
        <v>5000.01</v>
      </c>
      <c r="H235" s="137">
        <v>65469.845925937101</v>
      </c>
      <c r="I235" s="137">
        <v>437204.04709733889</v>
      </c>
    </row>
    <row r="236" spans="1:9" x14ac:dyDescent="0.3">
      <c r="A236" s="34">
        <v>15</v>
      </c>
      <c r="B236" s="34" t="s">
        <v>1637</v>
      </c>
      <c r="C236" s="137">
        <v>3733.109579950129</v>
      </c>
      <c r="D236" s="137">
        <v>63708.245626288342</v>
      </c>
      <c r="E236" s="137">
        <v>249999.6</v>
      </c>
      <c r="F236" s="137">
        <v>249999.6000000003</v>
      </c>
      <c r="G236" s="137">
        <v>7499.9880000000003</v>
      </c>
      <c r="H236" s="137">
        <v>313707.84562628833</v>
      </c>
      <c r="I236" s="137">
        <v>188966.04739698768</v>
      </c>
    </row>
    <row r="237" spans="1:9" x14ac:dyDescent="0.3">
      <c r="A237" s="34">
        <v>16</v>
      </c>
      <c r="B237" s="34" t="s">
        <v>1659</v>
      </c>
      <c r="C237" s="137">
        <v>0</v>
      </c>
      <c r="D237" s="137">
        <v>67441.35520623847</v>
      </c>
      <c r="E237" s="137">
        <v>0</v>
      </c>
      <c r="F237" s="137">
        <v>0</v>
      </c>
      <c r="G237" s="137">
        <v>0</v>
      </c>
      <c r="H237" s="137">
        <v>67441.35520623847</v>
      </c>
      <c r="I237" s="137">
        <v>435232.53781703755</v>
      </c>
    </row>
    <row r="238" spans="1:9" x14ac:dyDescent="0.3">
      <c r="A238" s="34">
        <v>17</v>
      </c>
      <c r="B238" s="34" t="s">
        <v>1657</v>
      </c>
      <c r="C238" s="137">
        <v>0</v>
      </c>
      <c r="D238" s="137">
        <v>67441.35520623847</v>
      </c>
      <c r="E238" s="137">
        <v>0</v>
      </c>
      <c r="F238" s="137">
        <v>0</v>
      </c>
      <c r="G238" s="137">
        <v>0</v>
      </c>
      <c r="H238" s="137">
        <v>67441.35520623847</v>
      </c>
      <c r="I238" s="137">
        <v>435232.53781703755</v>
      </c>
    </row>
    <row r="239" spans="1:9" x14ac:dyDescent="0.3">
      <c r="A239" s="34">
        <v>18</v>
      </c>
      <c r="B239" s="34" t="s">
        <v>1658</v>
      </c>
      <c r="C239" s="137">
        <v>153.18208328999415</v>
      </c>
      <c r="D239" s="137">
        <v>67288.173122948472</v>
      </c>
      <c r="E239" s="137">
        <v>0</v>
      </c>
      <c r="F239" s="137">
        <v>15318.208328999415</v>
      </c>
      <c r="G239" s="137">
        <v>0</v>
      </c>
      <c r="H239" s="137">
        <v>67288.173122948472</v>
      </c>
      <c r="I239" s="137">
        <v>435385.7199003275</v>
      </c>
    </row>
    <row r="240" spans="1:9" x14ac:dyDescent="0.3">
      <c r="A240" s="34">
        <v>19</v>
      </c>
      <c r="B240" s="34" t="s">
        <v>1652</v>
      </c>
      <c r="C240" s="137">
        <v>0</v>
      </c>
      <c r="D240" s="137">
        <v>67441.35520623847</v>
      </c>
      <c r="E240" s="137">
        <v>0</v>
      </c>
      <c r="F240" s="137">
        <v>0</v>
      </c>
      <c r="G240" s="137">
        <v>0</v>
      </c>
      <c r="H240" s="137">
        <v>67441.35520623847</v>
      </c>
      <c r="I240" s="137">
        <v>435232.53781703755</v>
      </c>
    </row>
    <row r="241" spans="1:13" x14ac:dyDescent="0.3">
      <c r="A241" s="34">
        <v>20</v>
      </c>
      <c r="B241" s="34" t="s">
        <v>1654</v>
      </c>
      <c r="C241" s="137">
        <v>0</v>
      </c>
      <c r="D241" s="137">
        <v>67441.35520623847</v>
      </c>
      <c r="E241" s="137">
        <v>0</v>
      </c>
      <c r="F241" s="137">
        <v>0</v>
      </c>
      <c r="G241" s="137">
        <v>0</v>
      </c>
      <c r="H241" s="137">
        <v>67441.35520623847</v>
      </c>
      <c r="I241" s="137">
        <v>435232.53781703755</v>
      </c>
    </row>
    <row r="242" spans="1:13" x14ac:dyDescent="0.3">
      <c r="A242" s="34">
        <v>21</v>
      </c>
      <c r="B242" s="34" t="s">
        <v>1655</v>
      </c>
      <c r="C242" s="137">
        <v>2306.25</v>
      </c>
      <c r="D242" s="137">
        <v>65135.10520623847</v>
      </c>
      <c r="E242" s="137">
        <v>62500</v>
      </c>
      <c r="F242" s="137">
        <v>222500</v>
      </c>
      <c r="G242" s="137">
        <v>5000</v>
      </c>
      <c r="H242" s="137">
        <v>127635.10520623847</v>
      </c>
      <c r="I242" s="137">
        <v>375038.78781703755</v>
      </c>
    </row>
    <row r="243" spans="1:13" x14ac:dyDescent="0.3">
      <c r="A243" s="34">
        <v>22</v>
      </c>
      <c r="B243" s="34" t="s">
        <v>1647</v>
      </c>
      <c r="C243" s="137">
        <v>0</v>
      </c>
      <c r="D243" s="137">
        <v>67441.35520623847</v>
      </c>
      <c r="E243" s="137">
        <v>0</v>
      </c>
      <c r="F243" s="137">
        <v>0</v>
      </c>
      <c r="G243" s="137">
        <v>0</v>
      </c>
      <c r="H243" s="137">
        <v>67441.35520623847</v>
      </c>
      <c r="I243" s="137">
        <v>435232.53781703755</v>
      </c>
    </row>
    <row r="244" spans="1:13" x14ac:dyDescent="0.3">
      <c r="A244" s="34">
        <v>23</v>
      </c>
      <c r="B244" s="34" t="s">
        <v>1642</v>
      </c>
      <c r="C244" s="137">
        <v>309.48694576837966</v>
      </c>
      <c r="D244" s="137">
        <v>67131.868260470088</v>
      </c>
      <c r="E244" s="137">
        <v>0</v>
      </c>
      <c r="F244" s="137">
        <v>30948.694576837966</v>
      </c>
      <c r="G244" s="137">
        <v>2886.1983273305045</v>
      </c>
      <c r="H244" s="137">
        <v>67131.868260470088</v>
      </c>
      <c r="I244" s="137">
        <v>435542.0247628059</v>
      </c>
    </row>
    <row r="245" spans="1:13" x14ac:dyDescent="0.3">
      <c r="A245" s="34">
        <v>24</v>
      </c>
      <c r="B245" s="34" t="s">
        <v>1643</v>
      </c>
      <c r="C245" s="137">
        <v>648.93535340519611</v>
      </c>
      <c r="D245" s="137">
        <v>66792.419852833278</v>
      </c>
      <c r="E245" s="137">
        <v>0</v>
      </c>
      <c r="F245" s="137">
        <v>64893.535340519615</v>
      </c>
      <c r="G245" s="137">
        <v>50944.544990592694</v>
      </c>
      <c r="H245" s="137">
        <v>66792.419852833278</v>
      </c>
      <c r="I245" s="137">
        <v>435881.47317044274</v>
      </c>
    </row>
    <row r="248" spans="1:13" x14ac:dyDescent="0.3">
      <c r="A248" s="134" t="s">
        <v>3</v>
      </c>
      <c r="B248" s="141" t="s">
        <v>1736</v>
      </c>
      <c r="C248" s="141" t="s">
        <v>1737</v>
      </c>
      <c r="D248" s="141" t="s">
        <v>1738</v>
      </c>
      <c r="E248" s="141" t="s">
        <v>1739</v>
      </c>
      <c r="F248" s="141" t="s">
        <v>1740</v>
      </c>
      <c r="G248" s="141" t="s">
        <v>1741</v>
      </c>
      <c r="H248" s="141" t="s">
        <v>1742</v>
      </c>
      <c r="I248" s="141" t="s">
        <v>1743</v>
      </c>
      <c r="J248" s="141" t="s">
        <v>1744</v>
      </c>
      <c r="K248" s="141" t="s">
        <v>1745</v>
      </c>
      <c r="L248" s="141" t="s">
        <v>1746</v>
      </c>
      <c r="M248" s="142" t="s">
        <v>1747</v>
      </c>
    </row>
    <row r="249" spans="1:13" x14ac:dyDescent="0.3">
      <c r="A249" s="134" t="s">
        <v>1748</v>
      </c>
      <c r="B249" s="143">
        <v>1.4265014188139852E-2</v>
      </c>
      <c r="C249" s="143">
        <v>1.4959265349363869E-2</v>
      </c>
      <c r="D249" s="143">
        <v>1.4793518438450802E-2</v>
      </c>
      <c r="E249" s="143">
        <v>2.3645203842091074E-2</v>
      </c>
      <c r="F249" s="143">
        <v>2.7269938535627074E-2</v>
      </c>
      <c r="G249" s="143">
        <v>2.3629959951748086E-2</v>
      </c>
      <c r="H249" s="143">
        <v>0.10987784926787625</v>
      </c>
      <c r="I249" s="143">
        <v>0.21287335698387019</v>
      </c>
      <c r="J249" s="143">
        <v>0.28553855648160498</v>
      </c>
      <c r="K249" s="143">
        <v>0.19401486515925145</v>
      </c>
      <c r="L249" s="143">
        <v>4.6429878640571597E-2</v>
      </c>
      <c r="M249" s="89">
        <v>3.1491490661666614E-2</v>
      </c>
    </row>
    <row r="250" spans="1:13" x14ac:dyDescent="0.3">
      <c r="A250" s="134" t="s">
        <v>373</v>
      </c>
      <c r="B250" s="143">
        <v>0</v>
      </c>
      <c r="C250" s="143">
        <v>0</v>
      </c>
      <c r="D250" s="143">
        <v>0</v>
      </c>
      <c r="E250" s="143">
        <v>0</v>
      </c>
      <c r="F250" s="143">
        <v>0</v>
      </c>
      <c r="G250" s="143">
        <v>5.4819306478374333E-3</v>
      </c>
      <c r="H250" s="143">
        <v>3.4157243342015836E-2</v>
      </c>
      <c r="I250" s="143">
        <v>0.16027457696472897</v>
      </c>
      <c r="J250" s="143">
        <v>0.43169154418002015</v>
      </c>
      <c r="K250" s="143">
        <v>0.32120038164391124</v>
      </c>
      <c r="L250" s="143">
        <v>4.7194575398971872E-2</v>
      </c>
      <c r="M250" s="89">
        <v>0</v>
      </c>
    </row>
    <row r="251" spans="1:13" x14ac:dyDescent="0.3">
      <c r="A251" s="134" t="s">
        <v>418</v>
      </c>
      <c r="B251" s="143">
        <v>9.2125361825374716E-3</v>
      </c>
      <c r="C251" s="143">
        <v>0</v>
      </c>
      <c r="D251" s="143">
        <v>1.9233949749381626E-2</v>
      </c>
      <c r="E251" s="143">
        <v>0</v>
      </c>
      <c r="F251" s="143">
        <v>0</v>
      </c>
      <c r="G251" s="143">
        <v>4.0765256499497547E-3</v>
      </c>
      <c r="H251" s="143">
        <v>0.16716078752946564</v>
      </c>
      <c r="I251" s="143">
        <v>0.22471629386534661</v>
      </c>
      <c r="J251" s="143">
        <v>0.35611373176918232</v>
      </c>
      <c r="K251" s="143">
        <v>0.16864073673426583</v>
      </c>
      <c r="L251" s="143">
        <v>1.9444030984041197E-2</v>
      </c>
      <c r="M251" s="89">
        <v>0</v>
      </c>
    </row>
    <row r="252" spans="1:13" x14ac:dyDescent="0.3">
      <c r="A252" s="134" t="s">
        <v>538</v>
      </c>
      <c r="B252" s="143">
        <v>4.8176636987198262E-2</v>
      </c>
      <c r="C252" s="143">
        <v>6.1353751309187965E-2</v>
      </c>
      <c r="D252" s="143">
        <v>4.4904507704114215E-2</v>
      </c>
      <c r="E252" s="143">
        <v>9.1901069863100232E-2</v>
      </c>
      <c r="F252" s="143">
        <v>0.13240248223293577</v>
      </c>
      <c r="G252" s="143">
        <v>4.5109511183203096E-2</v>
      </c>
      <c r="H252" s="143">
        <v>5.0862839715260739E-2</v>
      </c>
      <c r="I252" s="143">
        <v>0.11852107260909181</v>
      </c>
      <c r="J252" s="143">
        <v>0.13008821881123089</v>
      </c>
      <c r="K252" s="143">
        <v>0.10149987755724875</v>
      </c>
      <c r="L252" s="143">
        <v>6.5887900839373667E-2</v>
      </c>
      <c r="M252" s="89">
        <v>0.10929195082931117</v>
      </c>
    </row>
    <row r="253" spans="1:13" x14ac:dyDescent="0.3">
      <c r="A253" s="134" t="s">
        <v>625</v>
      </c>
      <c r="B253" s="143">
        <v>4.581253407546073E-2</v>
      </c>
      <c r="C253" s="143">
        <v>8.8365987119138706E-2</v>
      </c>
      <c r="D253" s="143">
        <v>6.3362474244213512E-2</v>
      </c>
      <c r="E253" s="143">
        <v>8.641559410637624E-2</v>
      </c>
      <c r="F253" s="143">
        <v>0.11523574104142738</v>
      </c>
      <c r="G253" s="143">
        <v>5.5050758765482849E-2</v>
      </c>
      <c r="H253" s="143">
        <v>7.5561662881372033E-2</v>
      </c>
      <c r="I253" s="143">
        <v>9.2981530731386958E-2</v>
      </c>
      <c r="J253" s="143">
        <v>9.8228070762673883E-2</v>
      </c>
      <c r="K253" s="143">
        <v>9.2985816983488262E-2</v>
      </c>
      <c r="L253" s="143">
        <v>7.9982604019048262E-2</v>
      </c>
      <c r="M253" s="89">
        <v>0.10601659168163574</v>
      </c>
    </row>
    <row r="254" spans="1:13" x14ac:dyDescent="0.3">
      <c r="A254" s="134" t="s">
        <v>668</v>
      </c>
      <c r="B254" s="143">
        <v>0</v>
      </c>
      <c r="C254" s="143">
        <v>0</v>
      </c>
      <c r="D254" s="143">
        <v>0</v>
      </c>
      <c r="E254" s="143">
        <v>0</v>
      </c>
      <c r="F254" s="143">
        <v>0</v>
      </c>
      <c r="G254" s="143">
        <v>1.2844111929466615E-2</v>
      </c>
      <c r="H254" s="143">
        <v>0.14927831065365924</v>
      </c>
      <c r="I254" s="143">
        <v>0.27728413875629065</v>
      </c>
      <c r="J254" s="143">
        <v>0.32860553610692789</v>
      </c>
      <c r="K254" s="143">
        <v>0.21968485499684401</v>
      </c>
      <c r="L254" s="143">
        <v>1.2303020067228294E-2</v>
      </c>
      <c r="M254" s="89">
        <v>0</v>
      </c>
    </row>
    <row r="255" spans="1:13" x14ac:dyDescent="0.3">
      <c r="A255" s="134" t="s">
        <v>695</v>
      </c>
      <c r="B255" s="143">
        <v>0</v>
      </c>
      <c r="C255" s="143">
        <v>0</v>
      </c>
      <c r="D255" s="143">
        <v>0</v>
      </c>
      <c r="E255" s="143">
        <v>0</v>
      </c>
      <c r="F255" s="143">
        <v>0</v>
      </c>
      <c r="G255" s="143">
        <v>2.8890804664116584E-2</v>
      </c>
      <c r="H255" s="143">
        <v>0.12019187534366529</v>
      </c>
      <c r="I255" s="143">
        <v>0.32100494741491825</v>
      </c>
      <c r="J255" s="143">
        <v>0.30145733327674495</v>
      </c>
      <c r="K255" s="143">
        <v>0.20428271733016184</v>
      </c>
      <c r="L255" s="143">
        <v>2.4172593623600372E-2</v>
      </c>
      <c r="M255" s="89">
        <v>0</v>
      </c>
    </row>
    <row r="256" spans="1:13" x14ac:dyDescent="0.3">
      <c r="A256" s="134" t="s">
        <v>711</v>
      </c>
      <c r="B256" s="143">
        <v>8.1890927706282868E-2</v>
      </c>
      <c r="C256" s="143">
        <v>6.1007284919591821E-2</v>
      </c>
      <c r="D256" s="143">
        <v>3.8041983048526261E-2</v>
      </c>
      <c r="E256" s="143">
        <v>0.10144528812940336</v>
      </c>
      <c r="F256" s="143">
        <v>0.14170089737115674</v>
      </c>
      <c r="G256" s="143">
        <v>2.7135170086679067E-2</v>
      </c>
      <c r="H256" s="143">
        <v>0.13948727117792958</v>
      </c>
      <c r="I256" s="143">
        <v>7.3870339903825397E-2</v>
      </c>
      <c r="J256" s="143">
        <v>0.11412594914557878</v>
      </c>
      <c r="K256" s="143">
        <v>0.10144528812940336</v>
      </c>
      <c r="L256" s="143">
        <v>7.6083966097052522E-2</v>
      </c>
      <c r="M256" s="89">
        <v>4.3765269235124804E-2</v>
      </c>
    </row>
    <row r="257" spans="1:13" x14ac:dyDescent="0.3">
      <c r="A257" s="134" t="s">
        <v>856</v>
      </c>
      <c r="B257" s="143">
        <v>1.3216618073489799E-2</v>
      </c>
      <c r="C257" s="143">
        <v>6.6083090367449002E-3</v>
      </c>
      <c r="D257" s="143">
        <v>2.5158196307004468E-2</v>
      </c>
      <c r="E257" s="143">
        <v>4.625816325721431E-2</v>
      </c>
      <c r="F257" s="143">
        <v>3.3041545183724499E-2</v>
      </c>
      <c r="G257" s="143">
        <v>4.2062562708936588E-2</v>
      </c>
      <c r="H257" s="143">
        <v>7.6911864271459837E-2</v>
      </c>
      <c r="I257" s="143">
        <v>0.14538279880838778</v>
      </c>
      <c r="J257" s="143">
        <v>0.2621267870600123</v>
      </c>
      <c r="K257" s="143">
        <v>0.18026948642761917</v>
      </c>
      <c r="L257" s="143">
        <v>8.7004588065098365E-2</v>
      </c>
      <c r="M257" s="89">
        <v>8.1958948620730762E-2</v>
      </c>
    </row>
    <row r="258" spans="1:13" x14ac:dyDescent="0.3">
      <c r="A258" s="134" t="s">
        <v>876</v>
      </c>
      <c r="B258" s="143">
        <v>0</v>
      </c>
      <c r="C258" s="143">
        <v>0</v>
      </c>
      <c r="D258" s="143">
        <v>0</v>
      </c>
      <c r="E258" s="143">
        <v>0</v>
      </c>
      <c r="F258" s="143">
        <v>0</v>
      </c>
      <c r="G258" s="143">
        <v>7.5399747546826077E-3</v>
      </c>
      <c r="H258" s="143">
        <v>0.14547916232513305</v>
      </c>
      <c r="I258" s="143">
        <v>0.28929804942244247</v>
      </c>
      <c r="J258" s="143">
        <v>0.35737250552916688</v>
      </c>
      <c r="K258" s="143">
        <v>0.18905341650462684</v>
      </c>
      <c r="L258" s="143">
        <v>1.1256888517055159E-2</v>
      </c>
      <c r="M258" s="89">
        <v>0</v>
      </c>
    </row>
    <row r="259" spans="1:13" x14ac:dyDescent="0.3">
      <c r="A259" s="134" t="s">
        <v>895</v>
      </c>
      <c r="B259" s="143">
        <v>9.3495934959349589E-2</v>
      </c>
      <c r="C259" s="143">
        <v>5.0135501355013552E-2</v>
      </c>
      <c r="D259" s="143">
        <v>0.12330623306233063</v>
      </c>
      <c r="E259" s="143">
        <v>5.4200542005420058E-2</v>
      </c>
      <c r="F259" s="143">
        <v>7.7235772357723581E-2</v>
      </c>
      <c r="G259" s="143">
        <v>8.943089430894309E-2</v>
      </c>
      <c r="H259" s="143">
        <v>0.1043360433604336</v>
      </c>
      <c r="I259" s="143">
        <v>6.097560975609756E-2</v>
      </c>
      <c r="J259" s="143">
        <v>7.4525745257452577E-2</v>
      </c>
      <c r="K259" s="143">
        <v>7.9945799457994585E-2</v>
      </c>
      <c r="L259" s="143">
        <v>9.0785907859078585E-2</v>
      </c>
      <c r="M259" s="89">
        <v>0.1016260162601626</v>
      </c>
    </row>
    <row r="260" spans="1:13" x14ac:dyDescent="0.3">
      <c r="A260" s="134" t="s">
        <v>943</v>
      </c>
      <c r="B260" s="143">
        <v>0</v>
      </c>
      <c r="C260" s="143">
        <v>0</v>
      </c>
      <c r="D260" s="143">
        <v>0</v>
      </c>
      <c r="E260" s="143">
        <v>0</v>
      </c>
      <c r="F260" s="143">
        <v>0</v>
      </c>
      <c r="G260" s="143">
        <v>0</v>
      </c>
      <c r="H260" s="143">
        <v>0.17080885595562703</v>
      </c>
      <c r="I260" s="143">
        <v>0.24844924502636664</v>
      </c>
      <c r="J260" s="143">
        <v>0.37887984603289876</v>
      </c>
      <c r="K260" s="143">
        <v>0.18633693376977498</v>
      </c>
      <c r="L260" s="143">
        <v>1.5528077814147915E-2</v>
      </c>
      <c r="M260" s="89">
        <v>0</v>
      </c>
    </row>
    <row r="261" spans="1:13" x14ac:dyDescent="0.3">
      <c r="A261" s="134" t="s">
        <v>963</v>
      </c>
      <c r="B261" s="143">
        <v>0</v>
      </c>
      <c r="C261" s="143">
        <v>0</v>
      </c>
      <c r="D261" s="143">
        <v>0</v>
      </c>
      <c r="E261" s="143">
        <v>0</v>
      </c>
      <c r="F261" s="143">
        <v>0</v>
      </c>
      <c r="G261" s="143">
        <v>0</v>
      </c>
      <c r="H261" s="143">
        <v>0.18257463723928827</v>
      </c>
      <c r="I261" s="143">
        <v>0.44955123663210012</v>
      </c>
      <c r="J261" s="143">
        <v>0.3173122104274802</v>
      </c>
      <c r="K261" s="143">
        <v>5.0560963345151165E-2</v>
      </c>
      <c r="L261" s="143">
        <v>0</v>
      </c>
      <c r="M261" s="89">
        <v>0</v>
      </c>
    </row>
    <row r="262" spans="1:13" x14ac:dyDescent="0.3">
      <c r="A262" s="134" t="s">
        <v>995</v>
      </c>
      <c r="B262" s="143">
        <v>0</v>
      </c>
      <c r="C262" s="143">
        <v>0</v>
      </c>
      <c r="D262" s="143">
        <v>0</v>
      </c>
      <c r="E262" s="143">
        <v>0</v>
      </c>
      <c r="F262" s="143">
        <v>0</v>
      </c>
      <c r="G262" s="143">
        <v>2.3087894964963752E-2</v>
      </c>
      <c r="H262" s="143">
        <v>0.13534007691071831</v>
      </c>
      <c r="I262" s="143">
        <v>0.29828004369793343</v>
      </c>
      <c r="J262" s="143">
        <v>0.28399441133772163</v>
      </c>
      <c r="K262" s="143">
        <v>0.22732437346071119</v>
      </c>
      <c r="L262" s="143">
        <v>3.1972548342541443E-2</v>
      </c>
      <c r="M262" s="89">
        <v>0</v>
      </c>
    </row>
    <row r="263" spans="1:13" x14ac:dyDescent="0.3">
      <c r="A263" s="134" t="s">
        <v>995</v>
      </c>
      <c r="B263" s="143">
        <v>0</v>
      </c>
      <c r="C263" s="143">
        <v>0</v>
      </c>
      <c r="D263" s="143">
        <v>0</v>
      </c>
      <c r="E263" s="143">
        <v>0</v>
      </c>
      <c r="F263" s="143">
        <v>0</v>
      </c>
      <c r="G263" s="143">
        <v>2.3087894964963752E-2</v>
      </c>
      <c r="H263" s="143">
        <v>0.13534007691071831</v>
      </c>
      <c r="I263" s="143">
        <v>0.29828004369793343</v>
      </c>
      <c r="J263" s="143">
        <v>0.28399441133772163</v>
      </c>
      <c r="K263" s="143">
        <v>0.22732437346071124</v>
      </c>
      <c r="L263" s="143">
        <v>3.1972548342541443E-2</v>
      </c>
      <c r="M263" s="89">
        <v>0</v>
      </c>
    </row>
    <row r="264" spans="1:13" x14ac:dyDescent="0.3">
      <c r="A264" s="134" t="s">
        <v>1000</v>
      </c>
      <c r="B264" s="143">
        <v>5.1364336785009859E-2</v>
      </c>
      <c r="C264" s="143">
        <v>7.0625963079388551E-2</v>
      </c>
      <c r="D264" s="143">
        <v>3.5312981539694276E-2</v>
      </c>
      <c r="E264" s="143">
        <v>0.12841084196252464</v>
      </c>
      <c r="F264" s="143">
        <v>0.15890841692862426</v>
      </c>
      <c r="G264" s="143">
        <v>5.9390014407667648E-2</v>
      </c>
      <c r="H264" s="143">
        <v>5.1364336785009859E-2</v>
      </c>
      <c r="I264" s="143">
        <v>5.778487888313609E-2</v>
      </c>
      <c r="J264" s="143">
        <v>7.8651640702046346E-2</v>
      </c>
      <c r="K264" s="143">
        <v>5.2969472309541417E-2</v>
      </c>
      <c r="L264" s="143">
        <v>0.11556975776627218</v>
      </c>
      <c r="M264" s="89">
        <v>0.13964679063424557</v>
      </c>
    </row>
    <row r="265" spans="1:13" x14ac:dyDescent="0.3">
      <c r="A265" s="134" t="s">
        <v>1028</v>
      </c>
      <c r="B265" s="143">
        <v>4.3735347898384923E-2</v>
      </c>
      <c r="C265" s="143">
        <v>9.4374240213367072E-2</v>
      </c>
      <c r="D265" s="143">
        <v>6.1890438631671194E-2</v>
      </c>
      <c r="E265" s="143">
        <v>8.9384982769975169E-2</v>
      </c>
      <c r="F265" s="143">
        <v>0.13936094181496883</v>
      </c>
      <c r="G265" s="143">
        <v>5.5489542349181811E-2</v>
      </c>
      <c r="H265" s="143">
        <v>6.1890438631671194E-2</v>
      </c>
      <c r="I265" s="143">
        <v>7.4268526358005432E-2</v>
      </c>
      <c r="J265" s="143">
        <v>0.10530929808580219</v>
      </c>
      <c r="K265" s="143">
        <v>8.6647575183294953E-2</v>
      </c>
      <c r="L265" s="143">
        <v>6.189808734715168E-2</v>
      </c>
      <c r="M265" s="89">
        <v>0.12574883266459574</v>
      </c>
    </row>
    <row r="266" spans="1:13" x14ac:dyDescent="0.3">
      <c r="A266" s="134" t="s">
        <v>1061</v>
      </c>
      <c r="B266" s="143">
        <v>1.5830227966883187E-2</v>
      </c>
      <c r="C266" s="143">
        <v>1.0826294478235103E-2</v>
      </c>
      <c r="D266" s="143">
        <v>5.6708710995920075E-3</v>
      </c>
      <c r="E266" s="143">
        <v>2.7102224155545234E-2</v>
      </c>
      <c r="F266" s="143">
        <v>2.4754509219873645E-2</v>
      </c>
      <c r="G266" s="143">
        <v>1.6937075732515589E-2</v>
      </c>
      <c r="H266" s="143">
        <v>0.16154035304061701</v>
      </c>
      <c r="I266" s="143">
        <v>0.19111398508563196</v>
      </c>
      <c r="J266" s="143">
        <v>0.29687046097564362</v>
      </c>
      <c r="K266" s="143">
        <v>0.17433226590123937</v>
      </c>
      <c r="L266" s="143">
        <v>4.4602319850973432E-2</v>
      </c>
      <c r="M266" s="89">
        <v>3.041876042941748E-2</v>
      </c>
    </row>
    <row r="267" spans="1:13" x14ac:dyDescent="0.3">
      <c r="A267" s="134" t="s">
        <v>1061</v>
      </c>
      <c r="B267" s="143">
        <v>1.5830227966883187E-2</v>
      </c>
      <c r="C267" s="143">
        <v>1.0826294478235103E-2</v>
      </c>
      <c r="D267" s="143">
        <v>5.6708710995920075E-3</v>
      </c>
      <c r="E267" s="143">
        <v>2.7102224155545231E-2</v>
      </c>
      <c r="F267" s="143">
        <v>2.4754509219873645E-2</v>
      </c>
      <c r="G267" s="143">
        <v>1.6937075732515593E-2</v>
      </c>
      <c r="H267" s="143">
        <v>0.16154035304061698</v>
      </c>
      <c r="I267" s="143">
        <v>0.19111398508563199</v>
      </c>
      <c r="J267" s="143">
        <v>0.29687046097564362</v>
      </c>
      <c r="K267" s="143">
        <v>0.17433226590123932</v>
      </c>
      <c r="L267" s="143">
        <v>4.4602319850973425E-2</v>
      </c>
      <c r="M267" s="89">
        <v>3.041876042941748E-2</v>
      </c>
    </row>
    <row r="268" spans="1:13" x14ac:dyDescent="0.3">
      <c r="A268" s="134" t="s">
        <v>1099</v>
      </c>
      <c r="B268" s="143">
        <v>2.3308764612571156E-2</v>
      </c>
      <c r="C268" s="143">
        <v>3.6368592056342255E-2</v>
      </c>
      <c r="D268" s="143">
        <v>2.8192379532979726E-2</v>
      </c>
      <c r="E268" s="143">
        <v>9.4410771821199072E-2</v>
      </c>
      <c r="F268" s="143">
        <v>0</v>
      </c>
      <c r="G268" s="143">
        <v>2.7933836131217381E-2</v>
      </c>
      <c r="H268" s="143">
        <v>0.11624487975867323</v>
      </c>
      <c r="I268" s="143">
        <v>0.1930389353143355</v>
      </c>
      <c r="J268" s="143">
        <v>0.20301217991955003</v>
      </c>
      <c r="K268" s="143">
        <v>9.2666127552529648E-2</v>
      </c>
      <c r="L268" s="143">
        <v>7.5283015095584577E-2</v>
      </c>
      <c r="M268" s="89">
        <v>0.10954000232553994</v>
      </c>
    </row>
    <row r="269" spans="1:13" x14ac:dyDescent="0.3">
      <c r="A269" s="134" t="s">
        <v>1114</v>
      </c>
      <c r="B269" s="143">
        <v>0</v>
      </c>
      <c r="C269" s="143">
        <v>0</v>
      </c>
      <c r="D269" s="143">
        <v>3.3018529063594091E-3</v>
      </c>
      <c r="E269" s="143">
        <v>8.416856649148383E-3</v>
      </c>
      <c r="F269" s="143">
        <v>0</v>
      </c>
      <c r="G269" s="143">
        <v>2.0936960691526809E-2</v>
      </c>
      <c r="H269" s="143">
        <v>9.9258793391909572E-2</v>
      </c>
      <c r="I269" s="143">
        <v>0.31643059286727893</v>
      </c>
      <c r="J269" s="143">
        <v>0.30321525519668624</v>
      </c>
      <c r="K269" s="143">
        <v>0.18952189746469894</v>
      </c>
      <c r="L269" s="143">
        <v>4.2084283245741913E-2</v>
      </c>
      <c r="M269" s="89">
        <v>1.6833713298296762E-2</v>
      </c>
    </row>
    <row r="270" spans="1:13" x14ac:dyDescent="0.3">
      <c r="A270" s="134" t="s">
        <v>1120</v>
      </c>
      <c r="B270" s="143">
        <v>0</v>
      </c>
      <c r="C270" s="143">
        <v>0</v>
      </c>
      <c r="D270" s="143">
        <v>0</v>
      </c>
      <c r="E270" s="143">
        <v>0</v>
      </c>
      <c r="F270" s="143">
        <v>0</v>
      </c>
      <c r="G270" s="143">
        <v>1.0381811336111969E-2</v>
      </c>
      <c r="H270" s="143">
        <v>3.6057237318996876E-2</v>
      </c>
      <c r="I270" s="143">
        <v>0.1852152811032359</v>
      </c>
      <c r="J270" s="143">
        <v>0.36622742578220602</v>
      </c>
      <c r="K270" s="143">
        <v>0.3086685924390169</v>
      </c>
      <c r="L270" s="143">
        <v>7.0566935656581398E-2</v>
      </c>
      <c r="M270" s="89">
        <v>2.2883070068887245E-2</v>
      </c>
    </row>
    <row r="273" spans="1:38" x14ac:dyDescent="0.3">
      <c r="A273" s="134" t="s">
        <v>1750</v>
      </c>
      <c r="B273" s="146" t="s">
        <v>1751</v>
      </c>
      <c r="C273" s="147" t="s">
        <v>1752</v>
      </c>
    </row>
    <row r="274" spans="1:38" x14ac:dyDescent="0.3">
      <c r="A274" s="34">
        <v>1</v>
      </c>
      <c r="B274" s="116">
        <v>7004.2888359916706</v>
      </c>
      <c r="C274" s="123">
        <v>1.4265014188139852E-2</v>
      </c>
    </row>
    <row r="275" spans="1:38" x14ac:dyDescent="0.3">
      <c r="A275" s="34">
        <v>2</v>
      </c>
      <c r="B275" s="116">
        <v>7345.1742773800561</v>
      </c>
      <c r="C275" s="123">
        <v>1.4959265349363869E-2</v>
      </c>
    </row>
    <row r="276" spans="1:38" x14ac:dyDescent="0.3">
      <c r="A276" s="34">
        <v>3</v>
      </c>
      <c r="B276" s="116">
        <v>7263.7906052436674</v>
      </c>
      <c r="C276" s="123">
        <v>1.4793518438450802E-2</v>
      </c>
    </row>
    <row r="277" spans="1:38" x14ac:dyDescent="0.3">
      <c r="A277" s="34">
        <v>4</v>
      </c>
      <c r="B277" s="116">
        <v>11610.071683882588</v>
      </c>
      <c r="C277" s="123">
        <v>2.3645203842091074E-2</v>
      </c>
    </row>
    <row r="278" spans="1:38" x14ac:dyDescent="0.3">
      <c r="A278" s="34">
        <v>5</v>
      </c>
      <c r="B278" s="116">
        <v>13389.858819914632</v>
      </c>
      <c r="C278" s="123">
        <v>2.7269938535627074E-2</v>
      </c>
    </row>
    <row r="279" spans="1:38" x14ac:dyDescent="0.3">
      <c r="A279" s="34">
        <v>6</v>
      </c>
      <c r="B279" s="116">
        <v>11602.586755403845</v>
      </c>
      <c r="C279" s="123">
        <v>2.3629959951748086E-2</v>
      </c>
    </row>
    <row r="280" spans="1:38" x14ac:dyDescent="0.3">
      <c r="A280" s="34">
        <v>7</v>
      </c>
      <c r="B280" s="116">
        <v>53951.309322189925</v>
      </c>
      <c r="C280" s="123">
        <v>0.10987784926787625</v>
      </c>
    </row>
    <row r="281" spans="1:38" x14ac:dyDescent="0.3">
      <c r="A281" s="34">
        <v>8</v>
      </c>
      <c r="B281" s="116">
        <v>104523.30843399045</v>
      </c>
      <c r="C281" s="123">
        <v>0.21287335698387019</v>
      </c>
    </row>
    <row r="282" spans="1:38" x14ac:dyDescent="0.3">
      <c r="A282" s="34">
        <v>9</v>
      </c>
      <c r="B282" s="116">
        <v>140202.77141204025</v>
      </c>
      <c r="C282" s="123">
        <v>0.28553855648160498</v>
      </c>
    </row>
    <row r="283" spans="1:38" x14ac:dyDescent="0.3">
      <c r="A283" s="34">
        <v>10</v>
      </c>
      <c r="B283" s="116">
        <v>95263.568344798026</v>
      </c>
      <c r="C283" s="123">
        <v>0.19401486515925145</v>
      </c>
    </row>
    <row r="284" spans="1:38" x14ac:dyDescent="0.3">
      <c r="A284" s="34">
        <v>11</v>
      </c>
      <c r="B284" s="116">
        <v>22797.61354103572</v>
      </c>
      <c r="C284" s="123">
        <v>4.6429878640571597E-2</v>
      </c>
    </row>
    <row r="285" spans="1:38" x14ac:dyDescent="0.3">
      <c r="A285" s="34">
        <v>12</v>
      </c>
      <c r="B285" s="116">
        <v>15462.690296770767</v>
      </c>
      <c r="C285" s="123">
        <v>3.1491490661666614E-2</v>
      </c>
    </row>
    <row r="287" spans="1:38" x14ac:dyDescent="0.3">
      <c r="A287" s="156" t="s">
        <v>3</v>
      </c>
      <c r="B287" s="156" t="s">
        <v>1389</v>
      </c>
      <c r="C287" s="156" t="s">
        <v>1391</v>
      </c>
      <c r="D287" s="134" t="s">
        <v>1318</v>
      </c>
      <c r="E287" s="134" t="s">
        <v>1392</v>
      </c>
      <c r="F287" s="134" t="s">
        <v>1393</v>
      </c>
      <c r="G287" s="134" t="s">
        <v>1394</v>
      </c>
      <c r="H287" s="134" t="s">
        <v>1395</v>
      </c>
      <c r="I287" s="134" t="s">
        <v>1322</v>
      </c>
      <c r="J287" s="134" t="s">
        <v>1397</v>
      </c>
      <c r="K287" s="134" t="s">
        <v>1398</v>
      </c>
      <c r="L287" s="134" t="s">
        <v>1321</v>
      </c>
      <c r="M287" s="134" t="s">
        <v>1427</v>
      </c>
      <c r="N287" s="134" t="s">
        <v>1399</v>
      </c>
      <c r="O287" s="134" t="s">
        <v>1400</v>
      </c>
      <c r="P287" s="134" t="s">
        <v>1445</v>
      </c>
      <c r="Q287" s="134" t="s">
        <v>1401</v>
      </c>
      <c r="R287" s="134" t="s">
        <v>1441</v>
      </c>
      <c r="S287" s="134" t="s">
        <v>1440</v>
      </c>
      <c r="T287" s="134" t="s">
        <v>1426</v>
      </c>
      <c r="U287" s="134" t="s">
        <v>1322</v>
      </c>
      <c r="V287" s="134" t="s">
        <v>1428</v>
      </c>
      <c r="W287" s="156" t="s">
        <v>1402</v>
      </c>
      <c r="X287" s="156" t="s">
        <v>1403</v>
      </c>
      <c r="Y287" s="156"/>
      <c r="Z287" s="156"/>
      <c r="AA287" s="156"/>
      <c r="AB287" s="156" t="s">
        <v>1407</v>
      </c>
      <c r="AC287" s="134" t="s">
        <v>1408</v>
      </c>
      <c r="AD287" s="134" t="s">
        <v>1410</v>
      </c>
      <c r="AE287" s="134" t="s">
        <v>1411</v>
      </c>
      <c r="AF287" s="134" t="s">
        <v>71</v>
      </c>
      <c r="AG287" s="134" t="s">
        <v>1419</v>
      </c>
      <c r="AH287" s="134" t="s">
        <v>1420</v>
      </c>
      <c r="AI287" s="134" t="s">
        <v>1421</v>
      </c>
      <c r="AJ287" s="134" t="s">
        <v>1422</v>
      </c>
      <c r="AK287" s="134" t="s">
        <v>1423</v>
      </c>
      <c r="AL287" s="134" t="s">
        <v>1416</v>
      </c>
    </row>
    <row r="288" spans="1:38" x14ac:dyDescent="0.3">
      <c r="A288" s="34" t="s">
        <v>1000</v>
      </c>
      <c r="B288" s="137"/>
      <c r="C288" s="152">
        <v>46332</v>
      </c>
      <c r="D288" s="153">
        <v>129</v>
      </c>
      <c r="E288" s="34"/>
      <c r="F288" s="34" t="s">
        <v>1325</v>
      </c>
      <c r="G288" s="34">
        <v>0</v>
      </c>
      <c r="H288" s="137">
        <v>150000000</v>
      </c>
      <c r="I288" s="137">
        <v>12256230</v>
      </c>
      <c r="J288" s="137">
        <v>250000.5</v>
      </c>
      <c r="K288" s="137">
        <v>250000.5</v>
      </c>
      <c r="L288" s="137">
        <v>250000</v>
      </c>
      <c r="M288" s="137"/>
      <c r="N288" s="34">
        <v>0</v>
      </c>
      <c r="O288" s="34">
        <v>102.4</v>
      </c>
      <c r="P288" s="154">
        <v>8.1708199999999995E-2</v>
      </c>
      <c r="Q288" s="155">
        <v>1.6666700000000001E-3</v>
      </c>
      <c r="R288" s="155">
        <v>4.3428769999999998E-2</v>
      </c>
      <c r="S288" s="155">
        <v>0</v>
      </c>
      <c r="T288" s="34">
        <v>6.8990380000000004E-2</v>
      </c>
      <c r="U288" s="155">
        <v>20427.090854099999</v>
      </c>
      <c r="V288" s="137">
        <v>25000.05</v>
      </c>
      <c r="W288" s="137">
        <v>256000.51200000002</v>
      </c>
      <c r="X288" s="137">
        <v>1946.8788937500001</v>
      </c>
      <c r="Y288" s="137">
        <v>20829.125148716455</v>
      </c>
      <c r="Z288" s="137">
        <v>0</v>
      </c>
      <c r="AA288" s="137">
        <v>250000.5</v>
      </c>
      <c r="AB288" s="137">
        <v>4.1666750000000002E-2</v>
      </c>
      <c r="AC288" s="155">
        <v>0</v>
      </c>
      <c r="AD288" s="34">
        <v>0</v>
      </c>
      <c r="AE288" s="34">
        <v>0</v>
      </c>
      <c r="AF288" s="34">
        <v>0</v>
      </c>
      <c r="AG288" s="34">
        <v>0</v>
      </c>
      <c r="AH288" s="34">
        <v>9.5308671589877159E-2</v>
      </c>
      <c r="AI288" s="155">
        <v>27187.554375</v>
      </c>
      <c r="AJ288" s="137">
        <v>18480.21196035</v>
      </c>
      <c r="AK288" s="137">
        <v>0.67973057471264364</v>
      </c>
      <c r="AL288" s="155" t="s">
        <v>1003</v>
      </c>
    </row>
    <row r="289" spans="1:38" x14ac:dyDescent="0.3">
      <c r="A289" s="34" t="s">
        <v>538</v>
      </c>
      <c r="B289" s="137"/>
      <c r="C289" s="152">
        <v>46484</v>
      </c>
      <c r="D289" s="153">
        <v>281</v>
      </c>
      <c r="E289" s="34"/>
      <c r="F289" s="34" t="s">
        <v>1325</v>
      </c>
      <c r="G289" s="34">
        <v>0</v>
      </c>
      <c r="H289" s="137">
        <v>250000000</v>
      </c>
      <c r="I289" s="137">
        <v>9300714</v>
      </c>
      <c r="J289" s="137">
        <v>250000</v>
      </c>
      <c r="K289" s="137">
        <v>250000</v>
      </c>
      <c r="L289" s="137">
        <v>250000</v>
      </c>
      <c r="M289" s="137"/>
      <c r="N289" s="34">
        <v>0</v>
      </c>
      <c r="O289" s="34">
        <v>103.85</v>
      </c>
      <c r="P289" s="154">
        <v>9.3007140000000002E-2</v>
      </c>
      <c r="Q289" s="155">
        <v>2.5000000000000001E-3</v>
      </c>
      <c r="R289" s="155">
        <v>5.4388600000000002E-2</v>
      </c>
      <c r="S289" s="155">
        <v>0</v>
      </c>
      <c r="T289" s="34">
        <v>7.5250440000000002E-2</v>
      </c>
      <c r="U289" s="155">
        <v>23251.785</v>
      </c>
      <c r="V289" s="137">
        <v>52162.937906635678</v>
      </c>
      <c r="W289" s="137">
        <v>259625</v>
      </c>
      <c r="X289" s="137">
        <v>1669.5596988802563</v>
      </c>
      <c r="Y289" s="137">
        <v>19286.862428845554</v>
      </c>
      <c r="Z289" s="137">
        <v>0</v>
      </c>
      <c r="AA289" s="137">
        <v>250000</v>
      </c>
      <c r="AB289" s="137">
        <v>4.1666666666666664E-2</v>
      </c>
      <c r="AC289" s="155">
        <v>0</v>
      </c>
      <c r="AD289" s="34">
        <v>0</v>
      </c>
      <c r="AE289" s="34">
        <v>0</v>
      </c>
      <c r="AF289" s="34">
        <v>0</v>
      </c>
      <c r="AG289" s="34">
        <v>0</v>
      </c>
      <c r="AH289" s="34">
        <v>7.1803506650360657E-2</v>
      </c>
      <c r="AI289" s="155">
        <v>55333.483445816339</v>
      </c>
      <c r="AJ289" s="137">
        <v>21582.225301119743</v>
      </c>
      <c r="AK289" s="137">
        <v>0.39003915815734774</v>
      </c>
      <c r="AL289" s="155" t="s">
        <v>541</v>
      </c>
    </row>
    <row r="290" spans="1:38" x14ac:dyDescent="0.3">
      <c r="A290" s="34" t="s">
        <v>668</v>
      </c>
      <c r="B290" s="137"/>
      <c r="C290" s="152">
        <v>46395</v>
      </c>
      <c r="D290" s="153">
        <v>192</v>
      </c>
      <c r="E290" s="34"/>
      <c r="F290" s="34" t="s">
        <v>1325</v>
      </c>
      <c r="G290" s="34">
        <v>0</v>
      </c>
      <c r="H290" s="137">
        <v>600000000</v>
      </c>
      <c r="I290" s="137">
        <v>18120000</v>
      </c>
      <c r="J290" s="137">
        <v>250000</v>
      </c>
      <c r="K290" s="137">
        <v>250000</v>
      </c>
      <c r="L290" s="137">
        <v>250000</v>
      </c>
      <c r="M290" s="137"/>
      <c r="N290" s="34">
        <v>0</v>
      </c>
      <c r="O290" s="34">
        <v>102.85</v>
      </c>
      <c r="P290" s="154">
        <v>9.06E-2</v>
      </c>
      <c r="Q290" s="155">
        <v>1.25E-3</v>
      </c>
      <c r="R290" s="155">
        <v>5.2493049999999999E-2</v>
      </c>
      <c r="S290" s="155">
        <v>0</v>
      </c>
      <c r="T290" s="34">
        <v>7.6703099999999996E-2</v>
      </c>
      <c r="U290" s="155">
        <v>22650</v>
      </c>
      <c r="V290" s="137">
        <v>156272.29965645529</v>
      </c>
      <c r="W290" s="137">
        <v>257125</v>
      </c>
      <c r="X290" s="137">
        <v>5261.3498553676891</v>
      </c>
      <c r="Y290" s="137">
        <v>34138.576508037731</v>
      </c>
      <c r="Z290" s="137">
        <v>249999.99750000006</v>
      </c>
      <c r="AA290" s="137">
        <v>249999.99750000008</v>
      </c>
      <c r="AB290" s="137">
        <v>4.1666666666666664E-2</v>
      </c>
      <c r="AC290" s="155">
        <v>0</v>
      </c>
      <c r="AD290" s="34">
        <v>0</v>
      </c>
      <c r="AE290" s="34">
        <v>0</v>
      </c>
      <c r="AF290" s="34">
        <v>0</v>
      </c>
      <c r="AG290" s="34">
        <v>0</v>
      </c>
      <c r="AH290" s="34">
        <v>0.23228917683742556</v>
      </c>
      <c r="AI290" s="155">
        <v>32706.273543781925</v>
      </c>
      <c r="AJ290" s="137">
        <v>17388.650144632309</v>
      </c>
      <c r="AK290" s="137">
        <v>0.53166100140864925</v>
      </c>
      <c r="AL290" s="155" t="s">
        <v>671</v>
      </c>
    </row>
    <row r="291" spans="1:38" x14ac:dyDescent="0.3">
      <c r="A291" s="34" t="s">
        <v>876</v>
      </c>
      <c r="B291" s="137"/>
      <c r="C291" s="152">
        <v>46517</v>
      </c>
      <c r="D291" s="153">
        <v>314</v>
      </c>
      <c r="E291" s="34"/>
      <c r="F291" s="34" t="s">
        <v>1325</v>
      </c>
      <c r="G291" s="34">
        <v>0</v>
      </c>
      <c r="H291" s="137">
        <v>125000000</v>
      </c>
      <c r="I291" s="137">
        <v>14315000</v>
      </c>
      <c r="J291" s="137">
        <v>250000</v>
      </c>
      <c r="K291" s="137">
        <v>250000</v>
      </c>
      <c r="L291" s="137">
        <v>250000</v>
      </c>
      <c r="M291" s="137"/>
      <c r="N291" s="34">
        <v>0</v>
      </c>
      <c r="O291" s="34">
        <v>102</v>
      </c>
      <c r="P291" s="154">
        <v>0.11452</v>
      </c>
      <c r="Q291" s="155">
        <v>2E-3</v>
      </c>
      <c r="R291" s="155">
        <v>7.6309879999999997E-2</v>
      </c>
      <c r="S291" s="155">
        <v>0</v>
      </c>
      <c r="T291" s="34">
        <v>0.106922</v>
      </c>
      <c r="U291" s="155">
        <v>28630</v>
      </c>
      <c r="V291" s="137">
        <v>115906.54916197927</v>
      </c>
      <c r="W291" s="137">
        <v>255000</v>
      </c>
      <c r="X291" s="137">
        <v>6876.8499797346594</v>
      </c>
      <c r="Y291" s="137">
        <v>38094.656895663335</v>
      </c>
      <c r="Z291" s="137">
        <v>250000</v>
      </c>
      <c r="AA291" s="137">
        <v>250000</v>
      </c>
      <c r="AB291" s="137">
        <v>4.1666666666666664E-2</v>
      </c>
      <c r="AC291" s="155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0.24019734473400836</v>
      </c>
      <c r="AI291" s="155">
        <v>124781.25163645709</v>
      </c>
      <c r="AJ291" s="137">
        <v>21753.150020265341</v>
      </c>
      <c r="AK291" s="137">
        <v>0.17433027586261016</v>
      </c>
      <c r="AL291" s="155" t="s">
        <v>879</v>
      </c>
    </row>
    <row r="292" spans="1:38" x14ac:dyDescent="0.3">
      <c r="A292" s="34" t="s">
        <v>943</v>
      </c>
      <c r="B292" s="137"/>
      <c r="C292" s="152">
        <v>46211</v>
      </c>
      <c r="D292" s="153">
        <v>8</v>
      </c>
      <c r="E292" s="34"/>
      <c r="F292" s="34" t="s">
        <v>1325</v>
      </c>
      <c r="G292" s="34">
        <v>0</v>
      </c>
      <c r="H292" s="137">
        <v>150000000</v>
      </c>
      <c r="I292" s="137">
        <v>11677500</v>
      </c>
      <c r="J292" s="137">
        <v>250000.5</v>
      </c>
      <c r="K292" s="137">
        <v>250000.5</v>
      </c>
      <c r="L292" s="137">
        <v>250000</v>
      </c>
      <c r="M292" s="137"/>
      <c r="N292" s="34">
        <v>0</v>
      </c>
      <c r="O292" s="34">
        <v>101.15</v>
      </c>
      <c r="P292" s="154">
        <v>7.7850000000000003E-2</v>
      </c>
      <c r="Q292" s="155">
        <v>1.6666700000000001E-3</v>
      </c>
      <c r="R292" s="155">
        <v>3.8097329999999999E-2</v>
      </c>
      <c r="S292" s="155">
        <v>0</v>
      </c>
      <c r="T292" s="34">
        <v>6.9939169999999995E-2</v>
      </c>
      <c r="U292" s="155">
        <v>19462.538925000001</v>
      </c>
      <c r="V292" s="137">
        <v>125000.25</v>
      </c>
      <c r="W292" s="137">
        <v>252875.50575000004</v>
      </c>
      <c r="X292" s="137">
        <v>1609.9947633145066</v>
      </c>
      <c r="Y292" s="137">
        <v>19799.755023787478</v>
      </c>
      <c r="Z292" s="137">
        <v>0</v>
      </c>
      <c r="AA292" s="137">
        <v>250000.5</v>
      </c>
      <c r="AB292" s="137">
        <v>4.1666750000000002E-2</v>
      </c>
      <c r="AC292" s="155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8.2722751102449324E-2</v>
      </c>
      <c r="AI292" s="155">
        <v>105599.51152272261</v>
      </c>
      <c r="AJ292" s="137">
        <v>17852.544161685495</v>
      </c>
      <c r="AK292" s="137">
        <v>0.16905896537072557</v>
      </c>
      <c r="AL292" s="155" t="s">
        <v>946</v>
      </c>
    </row>
    <row r="293" spans="1:38" x14ac:dyDescent="0.3">
      <c r="A293" s="34" t="s">
        <v>963</v>
      </c>
      <c r="B293" s="137"/>
      <c r="C293" s="152">
        <v>46395</v>
      </c>
      <c r="D293" s="153">
        <v>192</v>
      </c>
      <c r="E293" s="34"/>
      <c r="F293" s="34" t="s">
        <v>1325</v>
      </c>
      <c r="G293" s="34">
        <v>0</v>
      </c>
      <c r="H293" s="137">
        <v>400000000</v>
      </c>
      <c r="I293" s="137">
        <v>20017500</v>
      </c>
      <c r="J293" s="137">
        <v>249999.45</v>
      </c>
      <c r="K293" s="137">
        <v>249999.45</v>
      </c>
      <c r="L293" s="137">
        <v>250000</v>
      </c>
      <c r="M293" s="137"/>
      <c r="N293" s="34">
        <v>0</v>
      </c>
      <c r="O293" s="34">
        <v>102.3</v>
      </c>
      <c r="P293" s="154">
        <v>7.85E-2</v>
      </c>
      <c r="Q293" s="155">
        <v>9.8039000000000004E-4</v>
      </c>
      <c r="R293" s="155">
        <v>4.0195000000000002E-2</v>
      </c>
      <c r="S293" s="155">
        <v>0</v>
      </c>
      <c r="T293" s="34">
        <v>6.7969870000000002E-2</v>
      </c>
      <c r="U293" s="155">
        <v>19624.956825000001</v>
      </c>
      <c r="V293" s="137">
        <v>0</v>
      </c>
      <c r="W293" s="137">
        <v>255749.43734999999</v>
      </c>
      <c r="X293" s="137">
        <v>407.35961204826805</v>
      </c>
      <c r="Y293" s="137">
        <v>9001.9858960103265</v>
      </c>
      <c r="Z293" s="137">
        <v>0</v>
      </c>
      <c r="AA293" s="137">
        <v>97412.904708811286</v>
      </c>
      <c r="AB293" s="137">
        <v>4.1666575000000004E-2</v>
      </c>
      <c r="AC293" s="155">
        <v>0</v>
      </c>
      <c r="AD293" s="34">
        <v>0</v>
      </c>
      <c r="AE293" s="34">
        <v>0</v>
      </c>
      <c r="AF293" s="34">
        <v>0</v>
      </c>
      <c r="AG293" s="34">
        <v>0</v>
      </c>
      <c r="AH293" s="34">
        <v>2.0757223349879551E-2</v>
      </c>
      <c r="AI293" s="155">
        <v>0</v>
      </c>
      <c r="AJ293" s="137">
        <v>19217.597212951732</v>
      </c>
      <c r="AK293" s="137">
        <v>0</v>
      </c>
      <c r="AL293" s="155" t="s">
        <v>966</v>
      </c>
    </row>
    <row r="294" spans="1:38" x14ac:dyDescent="0.3">
      <c r="A294" s="34" t="s">
        <v>1061</v>
      </c>
      <c r="B294" s="137"/>
      <c r="C294" s="152">
        <v>46395</v>
      </c>
      <c r="D294" s="153">
        <v>192</v>
      </c>
      <c r="E294" s="34"/>
      <c r="F294" s="34" t="s">
        <v>1325</v>
      </c>
      <c r="G294" s="34">
        <v>0</v>
      </c>
      <c r="H294" s="137">
        <v>301000000</v>
      </c>
      <c r="I294" s="137">
        <v>20180000</v>
      </c>
      <c r="J294" s="137">
        <v>250000</v>
      </c>
      <c r="K294" s="137">
        <v>250000</v>
      </c>
      <c r="L294" s="137">
        <v>250000</v>
      </c>
      <c r="M294" s="137"/>
      <c r="N294" s="34">
        <v>0</v>
      </c>
      <c r="O294" s="34">
        <v>103.6</v>
      </c>
      <c r="P294" s="154">
        <v>0.1009</v>
      </c>
      <c r="Q294" s="155">
        <v>1.25E-3</v>
      </c>
      <c r="R294" s="155">
        <v>6.2344139999999999E-2</v>
      </c>
      <c r="S294" s="155">
        <v>0</v>
      </c>
      <c r="T294" s="34">
        <v>7.6477260000000005E-2</v>
      </c>
      <c r="U294" s="155">
        <v>25225.000000000004</v>
      </c>
      <c r="V294" s="137">
        <v>213632.79258852778</v>
      </c>
      <c r="W294" s="137">
        <v>259000</v>
      </c>
      <c r="X294" s="137">
        <v>3592.3576575519778</v>
      </c>
      <c r="Y294" s="137">
        <v>28646.096371683623</v>
      </c>
      <c r="Z294" s="137">
        <v>250000.00103749998</v>
      </c>
      <c r="AA294" s="137">
        <v>250000.00103749998</v>
      </c>
      <c r="AB294" s="137">
        <v>4.1666666666666664E-2</v>
      </c>
      <c r="AC294" s="155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0.14241259296539058</v>
      </c>
      <c r="AI294" s="155">
        <v>204916.75127455965</v>
      </c>
      <c r="AJ294" s="137">
        <v>21632.642342448027</v>
      </c>
      <c r="AK294" s="137">
        <v>0.10556795482992665</v>
      </c>
      <c r="AL294" s="155" t="s">
        <v>1064</v>
      </c>
    </row>
    <row r="295" spans="1:38" x14ac:dyDescent="0.3">
      <c r="A295" s="34" t="s">
        <v>1061</v>
      </c>
      <c r="B295" s="137"/>
      <c r="C295" s="152">
        <v>46395</v>
      </c>
      <c r="D295" s="153">
        <v>192</v>
      </c>
      <c r="E295" s="34"/>
      <c r="F295" s="34" t="s">
        <v>1325</v>
      </c>
      <c r="G295" s="34">
        <v>0</v>
      </c>
      <c r="H295" s="137">
        <v>301000000</v>
      </c>
      <c r="I295" s="137">
        <v>20180000</v>
      </c>
      <c r="J295" s="137">
        <v>250000</v>
      </c>
      <c r="K295" s="137">
        <v>250000</v>
      </c>
      <c r="L295" s="137">
        <v>250000</v>
      </c>
      <c r="M295" s="137"/>
      <c r="N295" s="34">
        <v>0</v>
      </c>
      <c r="O295" s="34">
        <v>103.1</v>
      </c>
      <c r="P295" s="154">
        <v>0.1009</v>
      </c>
      <c r="Q295" s="155">
        <v>1.25E-3</v>
      </c>
      <c r="R295" s="155">
        <v>6.2344139999999999E-2</v>
      </c>
      <c r="S295" s="155">
        <v>0</v>
      </c>
      <c r="T295" s="34">
        <v>8.4681469999999995E-2</v>
      </c>
      <c r="U295" s="155">
        <v>25225.000000000004</v>
      </c>
      <c r="V295" s="137">
        <v>213632.79258852778</v>
      </c>
      <c r="W295" s="137">
        <v>257750</v>
      </c>
      <c r="X295" s="137">
        <v>3592.3576575519792</v>
      </c>
      <c r="Y295" s="137">
        <v>28646.09637168363</v>
      </c>
      <c r="Z295" s="137">
        <v>250000.00103749998</v>
      </c>
      <c r="AA295" s="137">
        <v>250000.00103749998</v>
      </c>
      <c r="AB295" s="137">
        <v>4.1666666666666664E-2</v>
      </c>
      <c r="AC295" s="155">
        <v>0</v>
      </c>
      <c r="AD295" s="34">
        <v>0</v>
      </c>
      <c r="AE295" s="34">
        <v>0</v>
      </c>
      <c r="AF295" s="34">
        <v>0</v>
      </c>
      <c r="AG295" s="34">
        <v>0</v>
      </c>
      <c r="AH295" s="34">
        <v>0.14241259296539063</v>
      </c>
      <c r="AI295" s="155">
        <v>204916.75127455965</v>
      </c>
      <c r="AJ295" s="137">
        <v>21632.642342448024</v>
      </c>
      <c r="AK295" s="137">
        <v>0.10556795482992663</v>
      </c>
      <c r="AL295" s="155" t="s">
        <v>1064</v>
      </c>
    </row>
    <row r="296" spans="1:38" x14ac:dyDescent="0.3">
      <c r="A296" s="34" t="s">
        <v>1114</v>
      </c>
      <c r="B296" s="137"/>
      <c r="C296" s="152">
        <v>46849</v>
      </c>
      <c r="D296" s="153">
        <v>646</v>
      </c>
      <c r="E296" s="34"/>
      <c r="F296" s="34" t="s">
        <v>1325</v>
      </c>
      <c r="G296" s="34">
        <v>0</v>
      </c>
      <c r="H296" s="137">
        <v>300000000</v>
      </c>
      <c r="I296" s="137">
        <v>17920000</v>
      </c>
      <c r="J296" s="137">
        <v>250000</v>
      </c>
      <c r="K296" s="137">
        <v>250000</v>
      </c>
      <c r="L296" s="137">
        <v>250000</v>
      </c>
      <c r="M296" s="137"/>
      <c r="N296" s="34">
        <v>0</v>
      </c>
      <c r="O296" s="34">
        <v>100.65</v>
      </c>
      <c r="P296" s="154">
        <v>8.9599999999999999E-2</v>
      </c>
      <c r="Q296" s="155">
        <v>1.25E-3</v>
      </c>
      <c r="R296" s="155">
        <v>5.1341879999999999E-2</v>
      </c>
      <c r="S296" s="155">
        <v>0</v>
      </c>
      <c r="T296" s="34">
        <v>9.0424110000000002E-2</v>
      </c>
      <c r="U296" s="155">
        <v>22400</v>
      </c>
      <c r="V296" s="137">
        <v>178534.38013186408</v>
      </c>
      <c r="W296" s="137">
        <v>251625</v>
      </c>
      <c r="X296" s="137">
        <v>2970.2306110109012</v>
      </c>
      <c r="Y296" s="137">
        <v>25886.925799512042</v>
      </c>
      <c r="Z296" s="137">
        <v>212102.31331062448</v>
      </c>
      <c r="AA296" s="137">
        <v>250000.00125</v>
      </c>
      <c r="AB296" s="137">
        <v>4.1666666666666664E-2</v>
      </c>
      <c r="AC296" s="155">
        <v>0</v>
      </c>
      <c r="AD296" s="34">
        <v>0</v>
      </c>
      <c r="AE296" s="34">
        <v>0</v>
      </c>
      <c r="AF296" s="34">
        <v>0</v>
      </c>
      <c r="AG296" s="34">
        <v>0</v>
      </c>
      <c r="AH296" s="34">
        <v>0.13259958084870094</v>
      </c>
      <c r="AI296" s="155">
        <v>88914.332985633519</v>
      </c>
      <c r="AJ296" s="137">
        <v>19429.769388989098</v>
      </c>
      <c r="AK296" s="137">
        <v>0.2185223544569411</v>
      </c>
      <c r="AL296" s="155" t="s">
        <v>1117</v>
      </c>
    </row>
    <row r="297" spans="1:38" x14ac:dyDescent="0.3">
      <c r="A297" s="34" t="s">
        <v>373</v>
      </c>
      <c r="B297" s="137"/>
      <c r="C297" s="152">
        <v>46575</v>
      </c>
      <c r="D297" s="153">
        <v>372</v>
      </c>
      <c r="E297" s="34"/>
      <c r="F297" s="34" t="s">
        <v>1325</v>
      </c>
      <c r="G297" s="34">
        <v>200000000</v>
      </c>
      <c r="H297" s="137">
        <v>200000000</v>
      </c>
      <c r="I297" s="137">
        <v>20049718.5</v>
      </c>
      <c r="J297" s="137">
        <v>250000.5</v>
      </c>
      <c r="K297" s="137">
        <v>250000.5</v>
      </c>
      <c r="L297" s="137">
        <v>250000</v>
      </c>
      <c r="M297" s="137"/>
      <c r="N297" s="34">
        <v>0</v>
      </c>
      <c r="O297" s="34">
        <v>100.1</v>
      </c>
      <c r="P297" s="154">
        <v>0.13366479000000001</v>
      </c>
      <c r="Q297" s="155">
        <v>1.6666700000000001E-3</v>
      </c>
      <c r="R297" s="155">
        <v>9.4942250000000006E-2</v>
      </c>
      <c r="S297" s="155">
        <v>0</v>
      </c>
      <c r="T297" s="34">
        <v>0.13305328999999999</v>
      </c>
      <c r="U297" s="155">
        <v>33416.264332395003</v>
      </c>
      <c r="V297" s="137">
        <v>79949.962939607518</v>
      </c>
      <c r="W297" s="137">
        <v>250250.50049999997</v>
      </c>
      <c r="X297" s="137">
        <v>4186.0910556376457</v>
      </c>
      <c r="Y297" s="137">
        <v>28308.701808495513</v>
      </c>
      <c r="Z297" s="137">
        <v>209612.74096868146</v>
      </c>
      <c r="AA297" s="137">
        <v>250000.5</v>
      </c>
      <c r="AB297" s="137">
        <v>4.1666750000000002E-2</v>
      </c>
      <c r="AC297" s="155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0.12527106602934934</v>
      </c>
      <c r="AI297" s="155">
        <v>67939.972331939221</v>
      </c>
      <c r="AJ297" s="137">
        <v>29230.173276757356</v>
      </c>
      <c r="AK297" s="137">
        <v>0.4302352837876558</v>
      </c>
      <c r="AL297" s="155" t="s">
        <v>375</v>
      </c>
    </row>
    <row r="298" spans="1:38" x14ac:dyDescent="0.3">
      <c r="A298" s="137" t="s">
        <v>895</v>
      </c>
      <c r="B298" s="137"/>
      <c r="C298" s="152">
        <v>46762</v>
      </c>
      <c r="D298" s="152">
        <v>559</v>
      </c>
      <c r="E298" s="137"/>
      <c r="F298" s="137" t="s">
        <v>1325</v>
      </c>
      <c r="G298" s="154">
        <v>0</v>
      </c>
      <c r="H298" s="137">
        <v>100000000</v>
      </c>
      <c r="I298" s="137">
        <v>7310000</v>
      </c>
      <c r="J298" s="137">
        <v>250000</v>
      </c>
      <c r="K298" s="137">
        <v>250000</v>
      </c>
      <c r="L298" s="137">
        <v>250000</v>
      </c>
      <c r="M298" s="137"/>
      <c r="N298" s="137">
        <v>0</v>
      </c>
      <c r="O298" s="137">
        <v>101.6</v>
      </c>
      <c r="P298" s="137">
        <v>7.3099999999999998E-2</v>
      </c>
      <c r="Q298" s="137">
        <v>2.5000000000000001E-3</v>
      </c>
      <c r="R298" s="180">
        <v>3.4997439999999998E-2</v>
      </c>
      <c r="S298" s="180">
        <v>0</v>
      </c>
      <c r="T298" s="137">
        <v>6.9968119999999995E-2</v>
      </c>
      <c r="U298" s="180">
        <v>18275</v>
      </c>
      <c r="V298" s="137">
        <v>0</v>
      </c>
      <c r="W298" s="137">
        <v>254000</v>
      </c>
      <c r="X298" s="137">
        <v>2306.25</v>
      </c>
      <c r="Y298" s="137">
        <v>22853.282055047777</v>
      </c>
      <c r="Z298" s="137">
        <v>62500</v>
      </c>
      <c r="AA298" s="137">
        <v>250000</v>
      </c>
      <c r="AB298" s="137">
        <v>4.1666666666666664E-2</v>
      </c>
      <c r="AC298" s="137">
        <v>0</v>
      </c>
      <c r="AD298" s="137">
        <v>0</v>
      </c>
      <c r="AE298" s="137">
        <v>0</v>
      </c>
      <c r="AF298" s="137">
        <v>0</v>
      </c>
      <c r="AG298" s="137">
        <v>0</v>
      </c>
      <c r="AH298" s="166">
        <v>0.12619699042407662</v>
      </c>
      <c r="AI298" s="155">
        <v>5000</v>
      </c>
      <c r="AJ298" s="137">
        <v>15968.75</v>
      </c>
      <c r="AK298" s="137">
        <v>3.1937500000000001</v>
      </c>
      <c r="AL298" s="180" t="s">
        <v>898</v>
      </c>
    </row>
    <row r="299" spans="1:38" x14ac:dyDescent="0.3">
      <c r="A299" s="137" t="s">
        <v>1120</v>
      </c>
      <c r="B299" s="137"/>
      <c r="C299" s="152">
        <v>46850</v>
      </c>
      <c r="D299" s="152">
        <v>647</v>
      </c>
      <c r="E299" s="137"/>
      <c r="F299" s="137" t="s">
        <v>1325</v>
      </c>
      <c r="G299" s="154">
        <v>5000000</v>
      </c>
      <c r="H299" s="137">
        <v>5000000</v>
      </c>
      <c r="I299" s="137">
        <v>3142943.6999999997</v>
      </c>
      <c r="J299" s="137">
        <v>249999.9</v>
      </c>
      <c r="K299" s="137">
        <v>249999.9</v>
      </c>
      <c r="L299" s="137">
        <v>250000</v>
      </c>
      <c r="M299" s="137"/>
      <c r="N299" s="137">
        <v>0</v>
      </c>
      <c r="O299" s="137">
        <v>100.2</v>
      </c>
      <c r="P299" s="137">
        <v>0.10476479</v>
      </c>
      <c r="Q299" s="137">
        <v>8.3333299999999999E-3</v>
      </c>
      <c r="R299" s="180">
        <v>6.6102750000000002E-2</v>
      </c>
      <c r="S299" s="180">
        <v>0</v>
      </c>
      <c r="T299" s="137">
        <v>0.10367698</v>
      </c>
      <c r="U299" s="180">
        <v>26191.187023521001</v>
      </c>
      <c r="V299" s="137">
        <v>149999.93999999997</v>
      </c>
      <c r="W299" s="137">
        <v>250499.89980000001</v>
      </c>
      <c r="X299" s="137">
        <v>7224.1725552252974</v>
      </c>
      <c r="Y299" s="137">
        <v>40913.053250054196</v>
      </c>
      <c r="Z299" s="137">
        <v>249999.9</v>
      </c>
      <c r="AA299" s="137">
        <v>249999.90000000005</v>
      </c>
      <c r="AB299" s="137">
        <v>4.166665E-2</v>
      </c>
      <c r="AC299" s="137">
        <v>0</v>
      </c>
      <c r="AD299" s="137">
        <v>0</v>
      </c>
      <c r="AE299" s="137">
        <v>0</v>
      </c>
      <c r="AF299" s="137">
        <v>0</v>
      </c>
      <c r="AG299" s="137">
        <v>0</v>
      </c>
      <c r="AH299" s="166">
        <v>0.27582455689150814</v>
      </c>
      <c r="AI299" s="155">
        <v>85270.15233742728</v>
      </c>
      <c r="AJ299" s="137">
        <v>18967.014468295703</v>
      </c>
      <c r="AK299" s="137">
        <v>0.22243439173463972</v>
      </c>
      <c r="AL299" s="180" t="s">
        <v>1121</v>
      </c>
    </row>
    <row r="300" spans="1:38" x14ac:dyDescent="0.3">
      <c r="A300" s="137" t="s">
        <v>711</v>
      </c>
      <c r="B300" s="137"/>
      <c r="C300" s="152">
        <v>47212</v>
      </c>
      <c r="D300" s="152">
        <v>1009</v>
      </c>
      <c r="E300" s="137"/>
      <c r="F300" s="137" t="s">
        <v>1325</v>
      </c>
      <c r="G300" s="154">
        <v>0</v>
      </c>
      <c r="H300" s="137">
        <v>150000000</v>
      </c>
      <c r="I300" s="137">
        <v>9324720</v>
      </c>
      <c r="J300" s="137">
        <v>250000.5</v>
      </c>
      <c r="K300" s="137">
        <v>250000.5</v>
      </c>
      <c r="L300" s="137">
        <v>250000</v>
      </c>
      <c r="M300" s="137"/>
      <c r="N300" s="137">
        <v>0</v>
      </c>
      <c r="O300" s="137">
        <v>101</v>
      </c>
      <c r="P300" s="137">
        <v>6.2164799999999999E-2</v>
      </c>
      <c r="Q300" s="137">
        <v>1.6666700000000001E-3</v>
      </c>
      <c r="R300" s="180">
        <v>2.3430280000000001E-2</v>
      </c>
      <c r="S300" s="180">
        <v>0</v>
      </c>
      <c r="T300" s="137">
        <v>5.6722120000000001E-2</v>
      </c>
      <c r="U300" s="180">
        <v>15541.2310824</v>
      </c>
      <c r="V300" s="137">
        <v>0</v>
      </c>
      <c r="W300" s="137">
        <v>252500.505</v>
      </c>
      <c r="X300" s="137">
        <v>1971.5092803013679</v>
      </c>
      <c r="Y300" s="137">
        <v>22005.247728234022</v>
      </c>
      <c r="Z300" s="137">
        <v>0</v>
      </c>
      <c r="AA300" s="137">
        <v>250000.5</v>
      </c>
      <c r="AB300" s="137">
        <v>4.1666750000000002E-2</v>
      </c>
      <c r="AC300" s="137">
        <v>0</v>
      </c>
      <c r="AD300" s="137">
        <v>0</v>
      </c>
      <c r="AE300" s="137">
        <v>0</v>
      </c>
      <c r="AF300" s="137">
        <v>0</v>
      </c>
      <c r="AG300" s="137">
        <v>0</v>
      </c>
      <c r="AH300" s="166">
        <v>0.12685669943702502</v>
      </c>
      <c r="AI300" s="155">
        <v>5000.0100000000011</v>
      </c>
      <c r="AJ300" s="137">
        <v>13569.721802098631</v>
      </c>
      <c r="AK300" s="137">
        <v>2.7139389325418604</v>
      </c>
      <c r="AL300" s="180" t="s">
        <v>714</v>
      </c>
    </row>
    <row r="301" spans="1:38" x14ac:dyDescent="0.3">
      <c r="A301" s="137" t="s">
        <v>695</v>
      </c>
      <c r="B301" s="137"/>
      <c r="C301" s="152">
        <v>46545</v>
      </c>
      <c r="D301" s="152">
        <v>342</v>
      </c>
      <c r="E301" s="137"/>
      <c r="F301" s="137" t="s">
        <v>1325</v>
      </c>
      <c r="G301" s="154">
        <v>0</v>
      </c>
      <c r="H301" s="137">
        <v>300000000</v>
      </c>
      <c r="I301" s="137">
        <v>27228600</v>
      </c>
      <c r="J301" s="137">
        <v>250000.80000000002</v>
      </c>
      <c r="K301" s="137">
        <v>250000.80000000002</v>
      </c>
      <c r="L301" s="137">
        <v>250000</v>
      </c>
      <c r="M301" s="137"/>
      <c r="N301" s="137">
        <v>0</v>
      </c>
      <c r="O301" s="137">
        <v>102.6</v>
      </c>
      <c r="P301" s="137">
        <v>0.12966</v>
      </c>
      <c r="Q301" s="137">
        <v>1.1904800000000001E-3</v>
      </c>
      <c r="R301" s="180">
        <v>9.1247229999999999E-2</v>
      </c>
      <c r="S301" s="180">
        <v>0</v>
      </c>
      <c r="T301" s="137">
        <v>0.11921872999999999</v>
      </c>
      <c r="U301" s="180">
        <v>32415.103728000002</v>
      </c>
      <c r="V301" s="137">
        <v>175000.56</v>
      </c>
      <c r="W301" s="137">
        <v>256500.82080000002</v>
      </c>
      <c r="X301" s="137">
        <v>4326.6511753483428</v>
      </c>
      <c r="Y301" s="137">
        <v>31900.149926613594</v>
      </c>
      <c r="Z301" s="137">
        <v>250000.80000000002</v>
      </c>
      <c r="AA301" s="137">
        <v>250000.80000000002</v>
      </c>
      <c r="AB301" s="137">
        <v>4.1666800000000004E-2</v>
      </c>
      <c r="AC301" s="137">
        <v>0</v>
      </c>
      <c r="AD301" s="137">
        <v>0</v>
      </c>
      <c r="AE301" s="137">
        <v>0</v>
      </c>
      <c r="AF301" s="137">
        <v>0</v>
      </c>
      <c r="AG301" s="137">
        <v>0</v>
      </c>
      <c r="AH301" s="166">
        <v>0.13347639457377405</v>
      </c>
      <c r="AI301" s="155">
        <v>72500.23199999996</v>
      </c>
      <c r="AJ301" s="137">
        <v>28088.452552651659</v>
      </c>
      <c r="AK301" s="137">
        <v>0.38742569199849836</v>
      </c>
      <c r="AL301" s="180" t="s">
        <v>697</v>
      </c>
    </row>
    <row r="302" spans="1:38" x14ac:dyDescent="0.3">
      <c r="A302" s="137" t="s">
        <v>418</v>
      </c>
      <c r="B302" s="137"/>
      <c r="C302" s="152">
        <v>46484</v>
      </c>
      <c r="D302" s="152">
        <v>281</v>
      </c>
      <c r="E302" s="137"/>
      <c r="F302" s="137" t="s">
        <v>1325</v>
      </c>
      <c r="G302" s="154">
        <v>0</v>
      </c>
      <c r="H302" s="137">
        <v>750000000</v>
      </c>
      <c r="I302" s="137">
        <v>9300000</v>
      </c>
      <c r="J302" s="137">
        <v>250000</v>
      </c>
      <c r="K302" s="137">
        <v>250000</v>
      </c>
      <c r="L302" s="137">
        <v>250000</v>
      </c>
      <c r="M302" s="137"/>
      <c r="N302" s="137">
        <v>0</v>
      </c>
      <c r="O302" s="137">
        <v>102.6</v>
      </c>
      <c r="P302" s="137">
        <v>9.2999999999999999E-2</v>
      </c>
      <c r="Q302" s="137">
        <v>2.5000000000000001E-3</v>
      </c>
      <c r="R302" s="180">
        <v>5.4591849999999997E-2</v>
      </c>
      <c r="S302" s="180">
        <v>0</v>
      </c>
      <c r="T302" s="137">
        <v>8.2214540000000003E-2</v>
      </c>
      <c r="U302" s="180">
        <v>23250</v>
      </c>
      <c r="V302" s="137">
        <v>99999.997500000012</v>
      </c>
      <c r="W302" s="137">
        <v>256500</v>
      </c>
      <c r="X302" s="137">
        <v>2599.5734973763847</v>
      </c>
      <c r="Y302" s="137">
        <v>24816.248146518759</v>
      </c>
      <c r="Z302" s="137">
        <v>179115.24229819802</v>
      </c>
      <c r="AA302" s="137">
        <v>249999.99375000005</v>
      </c>
      <c r="AB302" s="137">
        <v>4.1666666666666664E-2</v>
      </c>
      <c r="AC302" s="137">
        <v>0</v>
      </c>
      <c r="AD302" s="137">
        <v>0</v>
      </c>
      <c r="AE302" s="137">
        <v>0</v>
      </c>
      <c r="AF302" s="137">
        <v>0</v>
      </c>
      <c r="AG302" s="137">
        <v>0</v>
      </c>
      <c r="AH302" s="166">
        <v>0.11180961279038214</v>
      </c>
      <c r="AI302" s="155">
        <v>116581.89195060199</v>
      </c>
      <c r="AJ302" s="137">
        <v>20650.426502623617</v>
      </c>
      <c r="AK302" s="137">
        <v>0.17713236727513054</v>
      </c>
      <c r="AL302" s="180" t="s">
        <v>419</v>
      </c>
    </row>
    <row r="303" spans="1:38" x14ac:dyDescent="0.3">
      <c r="A303" s="137" t="s">
        <v>856</v>
      </c>
      <c r="B303" s="137"/>
      <c r="C303" s="152">
        <v>46119</v>
      </c>
      <c r="D303" s="152">
        <v>-84</v>
      </c>
      <c r="E303" s="137"/>
      <c r="F303" s="137" t="s">
        <v>1325</v>
      </c>
      <c r="G303" s="154">
        <v>0</v>
      </c>
      <c r="H303" s="137">
        <v>100000000</v>
      </c>
      <c r="I303" s="137">
        <v>7992000.0000000019</v>
      </c>
      <c r="J303" s="137">
        <v>249999.60000000003</v>
      </c>
      <c r="K303" s="137">
        <v>249999.60000000003</v>
      </c>
      <c r="L303" s="137">
        <v>250000</v>
      </c>
      <c r="M303" s="137"/>
      <c r="N303" s="137">
        <v>0</v>
      </c>
      <c r="O303" s="137">
        <v>101</v>
      </c>
      <c r="P303" s="137">
        <v>6.6600000000000006E-2</v>
      </c>
      <c r="Q303" s="137">
        <v>2.08333E-3</v>
      </c>
      <c r="R303" s="180">
        <v>2.8000799999999999E-2</v>
      </c>
      <c r="S303" s="180">
        <v>0</v>
      </c>
      <c r="T303" s="137">
        <v>5.962858E-2</v>
      </c>
      <c r="U303" s="180">
        <v>16649.973360000004</v>
      </c>
      <c r="V303" s="137">
        <v>0</v>
      </c>
      <c r="W303" s="137">
        <v>252499.59600000005</v>
      </c>
      <c r="X303" s="137">
        <v>3783.109499950132</v>
      </c>
      <c r="Y303" s="137">
        <v>30259.525223829893</v>
      </c>
      <c r="Z303" s="137">
        <v>249999.6</v>
      </c>
      <c r="AA303" s="137">
        <v>249999.60000000003</v>
      </c>
      <c r="AB303" s="137">
        <v>4.1666600000000005E-2</v>
      </c>
      <c r="AC303" s="137">
        <v>0</v>
      </c>
      <c r="AD303" s="137">
        <v>0</v>
      </c>
      <c r="AE303" s="137">
        <v>0</v>
      </c>
      <c r="AF303" s="137">
        <v>0</v>
      </c>
      <c r="AG303" s="137">
        <v>0</v>
      </c>
      <c r="AH303" s="166">
        <v>0.22721414732342438</v>
      </c>
      <c r="AI303" s="155">
        <v>7499.9880000000003</v>
      </c>
      <c r="AJ303" s="137">
        <v>12866.863860049871</v>
      </c>
      <c r="AK303" s="137">
        <v>1.7155845929419982</v>
      </c>
      <c r="AL303" s="180" t="s">
        <v>858</v>
      </c>
    </row>
    <row r="304" spans="1:38" x14ac:dyDescent="0.3">
      <c r="A304" s="137" t="s">
        <v>1028</v>
      </c>
      <c r="B304" s="137"/>
      <c r="C304" s="152">
        <v>46363</v>
      </c>
      <c r="D304" s="152">
        <v>160</v>
      </c>
      <c r="E304" s="137"/>
      <c r="F304" s="137" t="s">
        <v>1325</v>
      </c>
      <c r="G304" s="154">
        <v>0</v>
      </c>
      <c r="H304" s="137">
        <v>1000000000</v>
      </c>
      <c r="I304" s="137">
        <v>27960000</v>
      </c>
      <c r="J304" s="137">
        <v>249999</v>
      </c>
      <c r="K304" s="137">
        <v>249999</v>
      </c>
      <c r="L304" s="137">
        <v>250000</v>
      </c>
      <c r="M304" s="137"/>
      <c r="N304" s="137">
        <v>0</v>
      </c>
      <c r="O304" s="137">
        <v>103.95</v>
      </c>
      <c r="P304" s="137">
        <v>9.3200000000000005E-2</v>
      </c>
      <c r="Q304" s="137">
        <v>8.3332999999999996E-4</v>
      </c>
      <c r="R304" s="180">
        <v>5.500062E-2</v>
      </c>
      <c r="S304" s="180">
        <v>0</v>
      </c>
      <c r="T304" s="137">
        <v>7.1253140000000006E-2</v>
      </c>
      <c r="U304" s="180">
        <v>23299.906800000001</v>
      </c>
      <c r="V304" s="137">
        <v>24999.899999999994</v>
      </c>
      <c r="W304" s="137">
        <v>259873.96050000002</v>
      </c>
      <c r="X304" s="137">
        <v>2019.6864694769979</v>
      </c>
      <c r="Y304" s="137">
        <v>22128.200213811611</v>
      </c>
      <c r="Z304" s="137">
        <v>0</v>
      </c>
      <c r="AA304" s="137">
        <v>249999</v>
      </c>
      <c r="AB304" s="137">
        <v>4.1666500000000002E-2</v>
      </c>
      <c r="AC304" s="137">
        <v>0</v>
      </c>
      <c r="AD304" s="137">
        <v>0</v>
      </c>
      <c r="AE304" s="137">
        <v>0</v>
      </c>
      <c r="AF304" s="137">
        <v>0</v>
      </c>
      <c r="AG304" s="137">
        <v>0</v>
      </c>
      <c r="AH304" s="166">
        <v>8.6682169453012478E-2</v>
      </c>
      <c r="AI304" s="155">
        <v>47499.81</v>
      </c>
      <c r="AJ304" s="137">
        <v>21280.220330523003</v>
      </c>
      <c r="AK304" s="137">
        <v>0.44800643056304867</v>
      </c>
      <c r="AL304" s="180" t="s">
        <v>1029</v>
      </c>
    </row>
    <row r="305" spans="1:86" x14ac:dyDescent="0.3">
      <c r="A305" s="137" t="s">
        <v>625</v>
      </c>
      <c r="B305" s="137"/>
      <c r="C305" s="152">
        <v>46820</v>
      </c>
      <c r="D305" s="152">
        <v>617</v>
      </c>
      <c r="E305" s="137"/>
      <c r="F305" s="137" t="s">
        <v>1325</v>
      </c>
      <c r="G305" s="154">
        <v>0</v>
      </c>
      <c r="H305" s="137">
        <v>300000000</v>
      </c>
      <c r="I305" s="137">
        <v>22052142</v>
      </c>
      <c r="J305" s="137">
        <v>249999</v>
      </c>
      <c r="K305" s="137">
        <v>249999</v>
      </c>
      <c r="L305" s="137">
        <v>250000</v>
      </c>
      <c r="M305" s="137"/>
      <c r="N305" s="137">
        <v>0</v>
      </c>
      <c r="O305" s="137">
        <v>100.25</v>
      </c>
      <c r="P305" s="137">
        <v>7.3507139999999999E-2</v>
      </c>
      <c r="Q305" s="137">
        <v>8.3332999999999996E-4</v>
      </c>
      <c r="R305" s="180">
        <v>3.496664E-2</v>
      </c>
      <c r="S305" s="180">
        <v>0</v>
      </c>
      <c r="T305" s="137">
        <v>7.558753E-2</v>
      </c>
      <c r="U305" s="180">
        <v>18376.711492859999</v>
      </c>
      <c r="V305" s="137">
        <v>24999.9</v>
      </c>
      <c r="W305" s="137">
        <v>250623.9975</v>
      </c>
      <c r="X305" s="137">
        <v>2315.9785326221804</v>
      </c>
      <c r="Y305" s="137">
        <v>23132.702715101106</v>
      </c>
      <c r="Z305" s="137">
        <v>101536.98720045778</v>
      </c>
      <c r="AA305" s="137">
        <v>249999</v>
      </c>
      <c r="AB305" s="137">
        <v>4.1666500000000002E-2</v>
      </c>
      <c r="AC305" s="137">
        <v>0</v>
      </c>
      <c r="AD305" s="137">
        <v>0</v>
      </c>
      <c r="AE305" s="137">
        <v>0</v>
      </c>
      <c r="AF305" s="137">
        <v>0</v>
      </c>
      <c r="AG305" s="137">
        <v>0</v>
      </c>
      <c r="AH305" s="166">
        <v>0.12602790948326201</v>
      </c>
      <c r="AI305" s="155">
        <v>59999.76</v>
      </c>
      <c r="AJ305" s="137">
        <v>16060.732960237818</v>
      </c>
      <c r="AK305" s="137">
        <v>0.26767995339044387</v>
      </c>
      <c r="AL305" s="180" t="s">
        <v>626</v>
      </c>
    </row>
    <row r="306" spans="1:86" x14ac:dyDescent="0.3">
      <c r="A306" s="137" t="s">
        <v>995</v>
      </c>
      <c r="B306" s="137"/>
      <c r="C306" s="152">
        <v>46804</v>
      </c>
      <c r="D306" s="152">
        <v>601</v>
      </c>
      <c r="E306" s="137"/>
      <c r="F306" s="137" t="s">
        <v>1325</v>
      </c>
      <c r="G306" s="154">
        <v>0</v>
      </c>
      <c r="H306" s="137">
        <v>200000000</v>
      </c>
      <c r="I306" s="137">
        <v>18060000</v>
      </c>
      <c r="J306" s="137">
        <v>499999.50000000006</v>
      </c>
      <c r="K306" s="137">
        <v>499999.50000000006</v>
      </c>
      <c r="L306" s="137">
        <v>750000</v>
      </c>
      <c r="M306" s="137"/>
      <c r="N306" s="137">
        <v>0</v>
      </c>
      <c r="O306" s="137">
        <v>99.85</v>
      </c>
      <c r="P306" s="137">
        <v>0.1032</v>
      </c>
      <c r="Q306" s="137">
        <v>2.8571400000000002E-3</v>
      </c>
      <c r="R306" s="180">
        <v>6.497E-2</v>
      </c>
      <c r="S306" s="180">
        <v>0</v>
      </c>
      <c r="T306" s="137">
        <v>0.10708301000000001</v>
      </c>
      <c r="U306" s="180">
        <v>51599.948400000001</v>
      </c>
      <c r="V306" s="137">
        <v>264977.53574156552</v>
      </c>
      <c r="W306" s="137">
        <v>495874.50412500004</v>
      </c>
      <c r="X306" s="137">
        <v>7819.1949074691211</v>
      </c>
      <c r="Y306" s="137">
        <v>61158.268720411892</v>
      </c>
      <c r="Z306" s="137">
        <v>249999.75000000003</v>
      </c>
      <c r="AA306" s="137">
        <v>249999.75000000003</v>
      </c>
      <c r="AB306" s="137">
        <v>8.3333250000000011E-2</v>
      </c>
      <c r="AC306" s="137">
        <v>0</v>
      </c>
      <c r="AD306" s="137">
        <v>0</v>
      </c>
      <c r="AE306" s="137">
        <v>0</v>
      </c>
      <c r="AF306" s="137">
        <v>0</v>
      </c>
      <c r="AG306" s="137">
        <v>0</v>
      </c>
      <c r="AH306" s="166">
        <v>0.15153493656340788</v>
      </c>
      <c r="AI306" s="155">
        <v>136497.64357415654</v>
      </c>
      <c r="AJ306" s="137">
        <v>43780.753492530879</v>
      </c>
      <c r="AK306" s="137">
        <v>0.64148731576813833</v>
      </c>
      <c r="AL306" s="180" t="s">
        <v>996</v>
      </c>
    </row>
    <row r="307" spans="1:86" x14ac:dyDescent="0.3">
      <c r="A307" s="137" t="s">
        <v>1099</v>
      </c>
      <c r="B307" s="137"/>
      <c r="C307" s="152">
        <v>46241</v>
      </c>
      <c r="D307" s="152">
        <v>38</v>
      </c>
      <c r="E307" s="137"/>
      <c r="F307" s="137" t="s">
        <v>1325</v>
      </c>
      <c r="G307" s="154">
        <v>0</v>
      </c>
      <c r="H307" s="137">
        <v>300000000</v>
      </c>
      <c r="I307" s="137">
        <v>10040000</v>
      </c>
      <c r="J307" s="137">
        <v>250000</v>
      </c>
      <c r="K307" s="137">
        <v>250000</v>
      </c>
      <c r="L307" s="137">
        <v>250000</v>
      </c>
      <c r="M307" s="137"/>
      <c r="N307" s="137">
        <v>0</v>
      </c>
      <c r="O307" s="137">
        <v>101.95</v>
      </c>
      <c r="P307" s="137">
        <v>0.1004</v>
      </c>
      <c r="Q307" s="137">
        <v>2.5000000000000001E-3</v>
      </c>
      <c r="R307" s="180">
        <v>6.1561049999999999E-2</v>
      </c>
      <c r="S307" s="180">
        <v>0</v>
      </c>
      <c r="T307" s="137">
        <v>8.6950429999999995E-2</v>
      </c>
      <c r="U307" s="180">
        <v>25100.000000000004</v>
      </c>
      <c r="V307" s="137">
        <v>78275.694878462484</v>
      </c>
      <c r="W307" s="137">
        <v>254875</v>
      </c>
      <c r="X307" s="137">
        <v>962.19950362076702</v>
      </c>
      <c r="Y307" s="137">
        <v>13617.280628733681</v>
      </c>
      <c r="Z307" s="137">
        <v>0</v>
      </c>
      <c r="AA307" s="137">
        <v>233793.04499264315</v>
      </c>
      <c r="AB307" s="137">
        <v>4.1666666666666664E-2</v>
      </c>
      <c r="AC307" s="137">
        <v>0</v>
      </c>
      <c r="AD307" s="137">
        <v>0</v>
      </c>
      <c r="AE307" s="137">
        <v>0</v>
      </c>
      <c r="AF307" s="137">
        <v>0</v>
      </c>
      <c r="AG307" s="137">
        <v>0</v>
      </c>
      <c r="AH307" s="166">
        <v>3.8334641578516605E-2</v>
      </c>
      <c r="AI307" s="155">
        <v>24883.360704355491</v>
      </c>
      <c r="AJ307" s="137">
        <v>24137.800496379237</v>
      </c>
      <c r="AK307" s="137">
        <v>0.97003780088893887</v>
      </c>
      <c r="AL307" s="180" t="s">
        <v>1100</v>
      </c>
    </row>
    <row r="310" spans="1:86" x14ac:dyDescent="0.3">
      <c r="A310" s="134" t="s">
        <v>1753</v>
      </c>
      <c r="B310" s="134" t="s">
        <v>1585</v>
      </c>
      <c r="C310" s="134" t="s">
        <v>1315</v>
      </c>
      <c r="D310" s="134" t="s">
        <v>14</v>
      </c>
      <c r="E310" s="134" t="s">
        <v>13</v>
      </c>
      <c r="F310" s="134" t="s">
        <v>1316</v>
      </c>
      <c r="G310" s="134" t="s">
        <v>1442</v>
      </c>
      <c r="H310" s="134" t="s">
        <v>1572</v>
      </c>
      <c r="I310" s="134" t="s">
        <v>1754</v>
      </c>
      <c r="J310" s="134" t="s">
        <v>1317</v>
      </c>
      <c r="K310" s="134" t="s">
        <v>1755</v>
      </c>
      <c r="L310" s="134" t="s">
        <v>1323</v>
      </c>
      <c r="M310" s="134" t="s">
        <v>1324</v>
      </c>
      <c r="N310" s="134" t="s">
        <v>1320</v>
      </c>
      <c r="O310" s="134" t="s">
        <v>1756</v>
      </c>
      <c r="P310" s="134" t="s">
        <v>1389</v>
      </c>
      <c r="Q310" s="134" t="s">
        <v>1757</v>
      </c>
      <c r="R310" s="134" t="s">
        <v>1758</v>
      </c>
      <c r="S310" s="134" t="s">
        <v>1318</v>
      </c>
      <c r="T310" s="134" t="s">
        <v>1392</v>
      </c>
      <c r="U310" s="134" t="s">
        <v>1759</v>
      </c>
      <c r="V310" s="134" t="s">
        <v>1760</v>
      </c>
      <c r="W310" s="134" t="s">
        <v>1761</v>
      </c>
      <c r="X310" s="134" t="s">
        <v>1762</v>
      </c>
      <c r="Y310" s="156" t="s">
        <v>1763</v>
      </c>
      <c r="Z310" s="156" t="s">
        <v>1764</v>
      </c>
      <c r="AA310" s="156" t="s">
        <v>1765</v>
      </c>
      <c r="AB310" s="156" t="s">
        <v>1766</v>
      </c>
      <c r="AC310" s="134" t="s">
        <v>1767</v>
      </c>
      <c r="AD310" s="157" t="s">
        <v>1768</v>
      </c>
      <c r="AE310" s="156" t="s">
        <v>1769</v>
      </c>
      <c r="AF310" s="156" t="s">
        <v>1770</v>
      </c>
      <c r="AG310" s="156" t="s">
        <v>1321</v>
      </c>
      <c r="AH310" s="156" t="s">
        <v>1427</v>
      </c>
      <c r="AI310" s="156" t="s">
        <v>1771</v>
      </c>
      <c r="AJ310" s="158" t="s">
        <v>1772</v>
      </c>
      <c r="AK310" s="159" t="s">
        <v>1773</v>
      </c>
      <c r="AL310" s="160" t="s">
        <v>1774</v>
      </c>
      <c r="AM310" s="160" t="s">
        <v>1319</v>
      </c>
      <c r="AN310" s="156" t="s">
        <v>1573</v>
      </c>
      <c r="AO310" s="156" t="s">
        <v>1775</v>
      </c>
      <c r="AP310" s="160" t="s">
        <v>1448</v>
      </c>
      <c r="AQ310" s="134" t="s">
        <v>1576</v>
      </c>
      <c r="AR310" s="161" t="s">
        <v>1776</v>
      </c>
      <c r="AS310" s="162" t="s">
        <v>1777</v>
      </c>
      <c r="AT310" s="156" t="s">
        <v>1778</v>
      </c>
      <c r="AU310" s="156" t="s">
        <v>1426</v>
      </c>
      <c r="AV310" s="157" t="s">
        <v>1779</v>
      </c>
      <c r="AW310" s="156" t="s">
        <v>1322</v>
      </c>
      <c r="AX310" s="156" t="s">
        <v>1780</v>
      </c>
      <c r="AY310" s="156" t="s">
        <v>1781</v>
      </c>
      <c r="AZ310" s="156" t="s">
        <v>1782</v>
      </c>
      <c r="BA310" s="156" t="s">
        <v>1783</v>
      </c>
      <c r="BB310" s="163" t="s">
        <v>1784</v>
      </c>
      <c r="BC310" s="163" t="s">
        <v>1785</v>
      </c>
      <c r="BD310" s="156" t="s">
        <v>1786</v>
      </c>
      <c r="BE310" s="163" t="s">
        <v>1787</v>
      </c>
      <c r="BF310" s="163" t="s">
        <v>1788</v>
      </c>
      <c r="BG310" s="156" t="s">
        <v>1789</v>
      </c>
      <c r="BH310" s="163" t="s">
        <v>1790</v>
      </c>
      <c r="BI310" s="163" t="s">
        <v>1791</v>
      </c>
      <c r="BJ310" s="156" t="s">
        <v>1792</v>
      </c>
      <c r="BK310" s="156" t="s">
        <v>1718</v>
      </c>
      <c r="BL310" s="134" t="s">
        <v>1793</v>
      </c>
      <c r="BM310" s="134" t="s">
        <v>1712</v>
      </c>
      <c r="BN310" s="134" t="s">
        <v>1794</v>
      </c>
      <c r="BO310" s="134" t="s">
        <v>1795</v>
      </c>
      <c r="BP310" s="134" t="s">
        <v>1686</v>
      </c>
      <c r="BQ310" s="156" t="s">
        <v>1796</v>
      </c>
      <c r="BR310" s="156" t="s">
        <v>1797</v>
      </c>
      <c r="BS310" s="134" t="s">
        <v>1798</v>
      </c>
      <c r="BT310" s="134" t="s">
        <v>1799</v>
      </c>
      <c r="BU310" s="156" t="s">
        <v>1800</v>
      </c>
      <c r="BV310" s="156" t="s">
        <v>1422</v>
      </c>
      <c r="BW310" s="156" t="s">
        <v>1801</v>
      </c>
      <c r="BX310" s="142" t="s">
        <v>1802</v>
      </c>
      <c r="BY310" s="142" t="s">
        <v>1582</v>
      </c>
      <c r="BZ310" s="134" t="s">
        <v>1803</v>
      </c>
      <c r="CA310" s="134" t="s">
        <v>1804</v>
      </c>
      <c r="CB310" s="134" t="s">
        <v>1434</v>
      </c>
      <c r="CC310" s="134" t="s">
        <v>1435</v>
      </c>
      <c r="CD310" s="134" t="s">
        <v>1436</v>
      </c>
      <c r="CE310" s="134" t="s">
        <v>1437</v>
      </c>
      <c r="CF310" s="134" t="s">
        <v>1438</v>
      </c>
      <c r="CG310" s="134" t="s">
        <v>1439</v>
      </c>
      <c r="CH310" s="134" t="s">
        <v>1433</v>
      </c>
    </row>
    <row r="311" spans="1:86" x14ac:dyDescent="0.3">
      <c r="A311" s="34">
        <v>1</v>
      </c>
      <c r="B311" s="34" t="s">
        <v>373</v>
      </c>
      <c r="C311" s="34" t="s">
        <v>1348</v>
      </c>
      <c r="D311" s="34" t="s">
        <v>159</v>
      </c>
      <c r="E311" s="34" t="s">
        <v>1349</v>
      </c>
      <c r="F311" s="34"/>
      <c r="G311" s="34"/>
      <c r="H311" s="34" t="s">
        <v>1456</v>
      </c>
      <c r="I311" s="34" t="s">
        <v>375</v>
      </c>
      <c r="J311" s="34" t="s">
        <v>1806</v>
      </c>
      <c r="K311" s="34"/>
      <c r="L311" s="34">
        <v>3.0200000000000001E-2</v>
      </c>
      <c r="M311" s="34">
        <v>0</v>
      </c>
      <c r="N311" s="153">
        <v>1</v>
      </c>
      <c r="O311" s="34">
        <v>0</v>
      </c>
      <c r="P311" s="34"/>
      <c r="Q311" s="153">
        <v>45715</v>
      </c>
      <c r="R311" s="153">
        <v>46575</v>
      </c>
      <c r="S311" s="153">
        <v>372</v>
      </c>
      <c r="T311" s="34"/>
      <c r="U311" s="153" t="s">
        <v>1325</v>
      </c>
      <c r="V311" s="153" t="s">
        <v>1809</v>
      </c>
      <c r="W311" s="153">
        <v>1</v>
      </c>
      <c r="X311" s="166"/>
      <c r="Y311" s="137"/>
      <c r="Z311" s="137"/>
      <c r="AA311" s="137"/>
      <c r="AB311" s="137">
        <v>200000000</v>
      </c>
      <c r="AC311" s="137">
        <v>200000000</v>
      </c>
      <c r="AD311" s="137">
        <v>20049718.5</v>
      </c>
      <c r="AE311" s="137">
        <v>250000.5</v>
      </c>
      <c r="AF311" s="137">
        <v>250000.5</v>
      </c>
      <c r="AG311" s="137">
        <v>250000</v>
      </c>
      <c r="AH311" s="153"/>
      <c r="AI311" s="167">
        <v>0</v>
      </c>
      <c r="AJ311" s="153"/>
      <c r="AK311" s="153"/>
      <c r="AL311" s="154">
        <v>100.1</v>
      </c>
      <c r="AM311" s="154">
        <v>0.13366479000000001</v>
      </c>
      <c r="AN311" s="168" t="s">
        <v>1326</v>
      </c>
      <c r="AO311" s="168">
        <v>45758</v>
      </c>
      <c r="AP311" s="154">
        <v>0</v>
      </c>
      <c r="AQ311" s="168"/>
      <c r="AR311" s="155">
        <v>1.6666700000000001E-3</v>
      </c>
      <c r="AS311" s="152">
        <v>9.4942250000000006E-2</v>
      </c>
      <c r="AT311" s="154">
        <v>0</v>
      </c>
      <c r="AU311" s="137">
        <v>0.13305328999999999</v>
      </c>
      <c r="AV311" s="137">
        <v>0</v>
      </c>
      <c r="AW311" s="137">
        <v>33416.264332395003</v>
      </c>
      <c r="AX311" s="137">
        <v>79949.962939607518</v>
      </c>
      <c r="AY311" s="137">
        <v>250250.50049999997</v>
      </c>
      <c r="AZ311" s="137">
        <v>4186.0910556376457</v>
      </c>
      <c r="BA311" s="137">
        <v>28308.701808495513</v>
      </c>
      <c r="BB311" s="137">
        <v>0</v>
      </c>
      <c r="BC311" s="137">
        <v>0</v>
      </c>
      <c r="BD311" s="137">
        <v>0</v>
      </c>
      <c r="BE311" s="137">
        <v>0</v>
      </c>
      <c r="BF311" s="137">
        <v>83367.349968107068</v>
      </c>
      <c r="BG311" s="137">
        <v>148795.63124470395</v>
      </c>
      <c r="BH311" s="137">
        <v>209612.74096868146</v>
      </c>
      <c r="BI311" s="137">
        <v>250000.5</v>
      </c>
      <c r="BJ311" s="137">
        <v>0.9748</v>
      </c>
      <c r="BK311" s="137">
        <v>4.1666750000000002E-2</v>
      </c>
      <c r="BL311" s="113">
        <v>0</v>
      </c>
      <c r="BM311" s="113" t="s">
        <v>1663</v>
      </c>
      <c r="BN311" s="168">
        <v>0</v>
      </c>
      <c r="BO311" s="152">
        <v>0</v>
      </c>
      <c r="BP311" s="152">
        <v>0</v>
      </c>
      <c r="BQ311" s="137">
        <v>250000.5</v>
      </c>
      <c r="BR311" s="137">
        <v>0</v>
      </c>
      <c r="BS311" s="166" t="s">
        <v>1806</v>
      </c>
      <c r="BT311" s="168">
        <v>0.12527106602934934</v>
      </c>
      <c r="BU311" s="137">
        <v>67939.972331939221</v>
      </c>
      <c r="BV311" s="137">
        <v>29230.173276757356</v>
      </c>
      <c r="BW311" s="137">
        <v>0.4302352837876558</v>
      </c>
      <c r="BX311" s="89">
        <v>0.87472893397065066</v>
      </c>
      <c r="BY311" s="89">
        <v>0</v>
      </c>
      <c r="BZ311" s="153">
        <v>0</v>
      </c>
      <c r="CA311" s="153">
        <v>0</v>
      </c>
      <c r="CB311" s="153">
        <v>45758</v>
      </c>
      <c r="CC311" s="153">
        <v>45758</v>
      </c>
      <c r="CD311" s="153"/>
      <c r="CE311" s="153"/>
      <c r="CF311" s="153"/>
      <c r="CG311" s="34" t="s">
        <v>139</v>
      </c>
      <c r="CH311" s="34" t="s">
        <v>1350</v>
      </c>
    </row>
    <row r="312" spans="1:86" x14ac:dyDescent="0.3">
      <c r="A312" s="34">
        <v>2</v>
      </c>
      <c r="B312" s="34" t="s">
        <v>418</v>
      </c>
      <c r="C312" s="34" t="s">
        <v>1344</v>
      </c>
      <c r="D312" s="34" t="s">
        <v>133</v>
      </c>
      <c r="E312" s="34" t="s">
        <v>1336</v>
      </c>
      <c r="F312" s="34" t="s">
        <v>1805</v>
      </c>
      <c r="G312" s="34"/>
      <c r="H312" s="34" t="s">
        <v>1456</v>
      </c>
      <c r="I312" s="34" t="s">
        <v>419</v>
      </c>
      <c r="J312" s="34" t="s">
        <v>1806</v>
      </c>
      <c r="K312" s="34"/>
      <c r="L312" s="34">
        <v>1.24E-2</v>
      </c>
      <c r="M312" s="34">
        <v>9.1999999999999998E-3</v>
      </c>
      <c r="N312" s="153">
        <v>1</v>
      </c>
      <c r="O312" s="34">
        <v>0</v>
      </c>
      <c r="P312" s="34"/>
      <c r="Q312" s="153">
        <v>45016</v>
      </c>
      <c r="R312" s="153">
        <v>46484</v>
      </c>
      <c r="S312" s="153">
        <v>281</v>
      </c>
      <c r="T312" s="34"/>
      <c r="U312" s="153" t="s">
        <v>1325</v>
      </c>
      <c r="V312" s="153" t="s">
        <v>1807</v>
      </c>
      <c r="W312" s="153">
        <v>1</v>
      </c>
      <c r="X312" s="166"/>
      <c r="Y312" s="137"/>
      <c r="Z312" s="137"/>
      <c r="AA312" s="137"/>
      <c r="AB312" s="137">
        <v>0</v>
      </c>
      <c r="AC312" s="137">
        <v>750000000</v>
      </c>
      <c r="AD312" s="137">
        <v>9300000</v>
      </c>
      <c r="AE312" s="137">
        <v>250000</v>
      </c>
      <c r="AF312" s="137">
        <v>250000</v>
      </c>
      <c r="AG312" s="137">
        <v>250000</v>
      </c>
      <c r="AH312" s="153"/>
      <c r="AI312" s="167">
        <v>0</v>
      </c>
      <c r="AJ312" s="153"/>
      <c r="AK312" s="153"/>
      <c r="AL312" s="154">
        <v>102.6</v>
      </c>
      <c r="AM312" s="154">
        <v>9.2999999999999999E-2</v>
      </c>
      <c r="AN312" s="168" t="s">
        <v>1326</v>
      </c>
      <c r="AO312" s="168">
        <v>45756</v>
      </c>
      <c r="AP312" s="154">
        <v>0</v>
      </c>
      <c r="AQ312" s="168"/>
      <c r="AR312" s="155">
        <v>2.5000000000000001E-3</v>
      </c>
      <c r="AS312" s="152">
        <v>5.4591849999999997E-2</v>
      </c>
      <c r="AT312" s="154">
        <v>0</v>
      </c>
      <c r="AU312" s="137">
        <v>8.2214540000000003E-2</v>
      </c>
      <c r="AV312" s="137">
        <v>0</v>
      </c>
      <c r="AW312" s="137">
        <v>23250</v>
      </c>
      <c r="AX312" s="137">
        <v>99999.997500000012</v>
      </c>
      <c r="AY312" s="137">
        <v>256500</v>
      </c>
      <c r="AZ312" s="137">
        <v>2599.5734973763847</v>
      </c>
      <c r="BA312" s="137">
        <v>24816.248146518759</v>
      </c>
      <c r="BB312" s="137">
        <v>0</v>
      </c>
      <c r="BC312" s="137">
        <v>0</v>
      </c>
      <c r="BD312" s="137">
        <v>0</v>
      </c>
      <c r="BE312" s="137">
        <v>0</v>
      </c>
      <c r="BF312" s="137">
        <v>0</v>
      </c>
      <c r="BG312" s="137">
        <v>0</v>
      </c>
      <c r="BH312" s="137">
        <v>179115.24229819802</v>
      </c>
      <c r="BI312" s="137">
        <v>249999.99375000005</v>
      </c>
      <c r="BJ312" s="137">
        <v>0.98829999999999996</v>
      </c>
      <c r="BK312" s="137">
        <v>4.1666666666666664E-2</v>
      </c>
      <c r="BL312" s="113">
        <v>0</v>
      </c>
      <c r="BM312" s="113" t="s">
        <v>1663</v>
      </c>
      <c r="BN312" s="168">
        <v>0</v>
      </c>
      <c r="BO312" s="152">
        <v>0</v>
      </c>
      <c r="BP312" s="152">
        <v>0</v>
      </c>
      <c r="BQ312" s="137">
        <v>250000</v>
      </c>
      <c r="BR312" s="137">
        <v>0</v>
      </c>
      <c r="BS312" s="166" t="s">
        <v>1806</v>
      </c>
      <c r="BT312" s="168">
        <v>0.11180961279038214</v>
      </c>
      <c r="BU312" s="137">
        <v>116581.89195060199</v>
      </c>
      <c r="BV312" s="137">
        <v>20650.426502623617</v>
      </c>
      <c r="BW312" s="137">
        <v>0.17713236727513054</v>
      </c>
      <c r="BX312" s="89">
        <v>0.88819038720961796</v>
      </c>
      <c r="BY312" s="89">
        <v>0</v>
      </c>
      <c r="BZ312" s="153">
        <v>0</v>
      </c>
      <c r="CA312" s="153">
        <v>0</v>
      </c>
      <c r="CB312" s="153">
        <v>45756</v>
      </c>
      <c r="CC312" s="153">
        <v>45756</v>
      </c>
      <c r="CD312" s="153"/>
      <c r="CE312" s="153"/>
      <c r="CF312" s="153"/>
      <c r="CG312" s="34" t="s">
        <v>139</v>
      </c>
      <c r="CH312" s="34" t="s">
        <v>1333</v>
      </c>
    </row>
    <row r="313" spans="1:86" x14ac:dyDescent="0.3">
      <c r="A313" s="34">
        <v>3</v>
      </c>
      <c r="B313" s="34" t="s">
        <v>538</v>
      </c>
      <c r="C313" s="34" t="s">
        <v>1352</v>
      </c>
      <c r="D313" s="34" t="s">
        <v>150</v>
      </c>
      <c r="E313" s="34" t="s">
        <v>1336</v>
      </c>
      <c r="F313" s="34" t="s">
        <v>1805</v>
      </c>
      <c r="G313" s="34"/>
      <c r="H313" s="34" t="s">
        <v>1456</v>
      </c>
      <c r="I313" s="34" t="s">
        <v>541</v>
      </c>
      <c r="J313" s="34" t="s">
        <v>1806</v>
      </c>
      <c r="K313" s="34"/>
      <c r="L313" s="34">
        <v>8.9999999999999993E-3</v>
      </c>
      <c r="M313" s="34">
        <v>5.1000000000000004E-3</v>
      </c>
      <c r="N313" s="153">
        <v>1</v>
      </c>
      <c r="O313" s="34">
        <v>0</v>
      </c>
      <c r="P313" s="34"/>
      <c r="Q313" s="153">
        <v>45379</v>
      </c>
      <c r="R313" s="153">
        <v>46484</v>
      </c>
      <c r="S313" s="153">
        <v>281</v>
      </c>
      <c r="T313" s="34"/>
      <c r="U313" s="153" t="s">
        <v>1325</v>
      </c>
      <c r="V313" s="153" t="s">
        <v>1807</v>
      </c>
      <c r="W313" s="153">
        <v>1</v>
      </c>
      <c r="X313" s="166"/>
      <c r="Y313" s="137"/>
      <c r="Z313" s="137"/>
      <c r="AA313" s="137"/>
      <c r="AB313" s="137">
        <v>0</v>
      </c>
      <c r="AC313" s="137">
        <v>250000000</v>
      </c>
      <c r="AD313" s="137">
        <v>9300714</v>
      </c>
      <c r="AE313" s="137">
        <v>250000</v>
      </c>
      <c r="AF313" s="137">
        <v>250000</v>
      </c>
      <c r="AG313" s="137">
        <v>250000</v>
      </c>
      <c r="AH313" s="153"/>
      <c r="AI313" s="167">
        <v>0</v>
      </c>
      <c r="AJ313" s="153"/>
      <c r="AK313" s="153"/>
      <c r="AL313" s="154">
        <v>103.85</v>
      </c>
      <c r="AM313" s="154">
        <v>9.3007140000000002E-2</v>
      </c>
      <c r="AN313" s="168" t="s">
        <v>1326</v>
      </c>
      <c r="AO313" s="168">
        <v>45763</v>
      </c>
      <c r="AP313" s="154">
        <v>0</v>
      </c>
      <c r="AQ313" s="168"/>
      <c r="AR313" s="155">
        <v>2.5000000000000001E-3</v>
      </c>
      <c r="AS313" s="152">
        <v>5.4388600000000002E-2</v>
      </c>
      <c r="AT313" s="154">
        <v>0</v>
      </c>
      <c r="AU313" s="137">
        <v>7.5250440000000002E-2</v>
      </c>
      <c r="AV313" s="137">
        <v>0</v>
      </c>
      <c r="AW313" s="137">
        <v>23251.785</v>
      </c>
      <c r="AX313" s="137">
        <v>52162.937906635678</v>
      </c>
      <c r="AY313" s="137">
        <v>259625</v>
      </c>
      <c r="AZ313" s="137">
        <v>1669.5596988802563</v>
      </c>
      <c r="BA313" s="137">
        <v>19286.862428845554</v>
      </c>
      <c r="BB313" s="137">
        <v>0</v>
      </c>
      <c r="BC313" s="137">
        <v>0</v>
      </c>
      <c r="BD313" s="137">
        <v>0</v>
      </c>
      <c r="BE313" s="137">
        <v>0</v>
      </c>
      <c r="BF313" s="137">
        <v>0</v>
      </c>
      <c r="BG313" s="137">
        <v>0</v>
      </c>
      <c r="BH313" s="137">
        <v>0</v>
      </c>
      <c r="BI313" s="137">
        <v>250000</v>
      </c>
      <c r="BJ313" s="137">
        <v>0.99170000000000003</v>
      </c>
      <c r="BK313" s="137">
        <v>4.1666666666666664E-2</v>
      </c>
      <c r="BL313" s="113">
        <v>0</v>
      </c>
      <c r="BM313" s="113" t="s">
        <v>1663</v>
      </c>
      <c r="BN313" s="168">
        <v>0</v>
      </c>
      <c r="BO313" s="152">
        <v>0</v>
      </c>
      <c r="BP313" s="152">
        <v>0</v>
      </c>
      <c r="BQ313" s="137">
        <v>250000</v>
      </c>
      <c r="BR313" s="137">
        <v>0</v>
      </c>
      <c r="BS313" s="166" t="s">
        <v>1806</v>
      </c>
      <c r="BT313" s="168">
        <v>7.1803506650360657E-2</v>
      </c>
      <c r="BU313" s="137">
        <v>55333.483445816339</v>
      </c>
      <c r="BV313" s="137">
        <v>21582.225301119743</v>
      </c>
      <c r="BW313" s="137">
        <v>0.39003915815734774</v>
      </c>
      <c r="BX313" s="89">
        <v>0.92819649334963927</v>
      </c>
      <c r="BY313" s="89">
        <v>0</v>
      </c>
      <c r="BZ313" s="153">
        <v>0</v>
      </c>
      <c r="CA313" s="153">
        <v>0</v>
      </c>
      <c r="CB313" s="153">
        <v>45763</v>
      </c>
      <c r="CC313" s="153">
        <v>45763</v>
      </c>
      <c r="CD313" s="153"/>
      <c r="CE313" s="153"/>
      <c r="CF313" s="153"/>
      <c r="CG313" s="34" t="s">
        <v>139</v>
      </c>
      <c r="CH313" s="34" t="s">
        <v>1333</v>
      </c>
    </row>
    <row r="314" spans="1:86" x14ac:dyDescent="0.3">
      <c r="A314" s="34">
        <v>4</v>
      </c>
      <c r="B314" s="34" t="s">
        <v>625</v>
      </c>
      <c r="C314" s="34" t="s">
        <v>1341</v>
      </c>
      <c r="D314" s="34" t="s">
        <v>159</v>
      </c>
      <c r="E314" s="34" t="s">
        <v>1336</v>
      </c>
      <c r="F314" s="34"/>
      <c r="G314" s="34"/>
      <c r="H314" s="34" t="s">
        <v>1456</v>
      </c>
      <c r="I314" s="34" t="s">
        <v>626</v>
      </c>
      <c r="J314" s="34" t="s">
        <v>1806</v>
      </c>
      <c r="K314" s="34"/>
      <c r="L314" s="34">
        <v>1.11E-2</v>
      </c>
      <c r="M314" s="34">
        <v>0</v>
      </c>
      <c r="N314" s="153">
        <v>1</v>
      </c>
      <c r="O314" s="34">
        <v>0</v>
      </c>
      <c r="P314" s="34"/>
      <c r="Q314" s="153">
        <v>45693</v>
      </c>
      <c r="R314" s="153">
        <v>46820</v>
      </c>
      <c r="S314" s="153">
        <v>617</v>
      </c>
      <c r="T314" s="34"/>
      <c r="U314" s="153" t="s">
        <v>1325</v>
      </c>
      <c r="V314" s="153" t="s">
        <v>1807</v>
      </c>
      <c r="W314" s="153">
        <v>1</v>
      </c>
      <c r="X314" s="169"/>
      <c r="Y314" s="170"/>
      <c r="Z314" s="170"/>
      <c r="AA314" s="170"/>
      <c r="AB314" s="170">
        <v>0</v>
      </c>
      <c r="AC314" s="170">
        <v>300000000</v>
      </c>
      <c r="AD314" s="170">
        <v>22052142</v>
      </c>
      <c r="AE314" s="170">
        <v>249999</v>
      </c>
      <c r="AF314" s="170">
        <v>249999</v>
      </c>
      <c r="AG314" s="170">
        <v>250000</v>
      </c>
      <c r="AH314" s="153"/>
      <c r="AI314" s="171">
        <v>0</v>
      </c>
      <c r="AJ314" s="153"/>
      <c r="AK314" s="153"/>
      <c r="AL314" s="172">
        <v>100.25</v>
      </c>
      <c r="AM314" s="172">
        <v>7.3507139999999999E-2</v>
      </c>
      <c r="AN314" s="173" t="s">
        <v>1326</v>
      </c>
      <c r="AO314" s="173">
        <v>45755</v>
      </c>
      <c r="AP314" s="172">
        <v>0</v>
      </c>
      <c r="AQ314" s="173"/>
      <c r="AR314" s="174">
        <v>8.3332999999999996E-4</v>
      </c>
      <c r="AS314" s="175">
        <v>3.496664E-2</v>
      </c>
      <c r="AT314" s="134">
        <v>0</v>
      </c>
      <c r="AU314" s="134">
        <v>7.558753E-2</v>
      </c>
      <c r="AV314" s="170">
        <v>0</v>
      </c>
      <c r="AW314" s="170">
        <v>18376.711492859999</v>
      </c>
      <c r="AX314" s="170">
        <v>24999.9</v>
      </c>
      <c r="AY314" s="170">
        <v>250623.9975</v>
      </c>
      <c r="AZ314" s="170">
        <v>2315.9785326221804</v>
      </c>
      <c r="BA314" s="170">
        <v>23132.702715101106</v>
      </c>
      <c r="BB314" s="170">
        <v>0</v>
      </c>
      <c r="BC314" s="170">
        <v>0</v>
      </c>
      <c r="BD314" s="170">
        <v>0</v>
      </c>
      <c r="BE314" s="170">
        <v>0</v>
      </c>
      <c r="BF314" s="170">
        <v>0</v>
      </c>
      <c r="BG314" s="170">
        <v>0</v>
      </c>
      <c r="BH314" s="170">
        <v>101536.98720045778</v>
      </c>
      <c r="BI314" s="170">
        <v>249999</v>
      </c>
      <c r="BJ314" s="170">
        <v>0.98939999999999995</v>
      </c>
      <c r="BK314" s="170">
        <v>4.1666500000000002E-2</v>
      </c>
      <c r="BL314" s="176">
        <v>0</v>
      </c>
      <c r="BM314" s="176" t="s">
        <v>1663</v>
      </c>
      <c r="BN314" s="173">
        <v>0</v>
      </c>
      <c r="BO314" s="175">
        <v>0</v>
      </c>
      <c r="BP314" s="175">
        <v>0</v>
      </c>
      <c r="BQ314" s="170">
        <v>249999</v>
      </c>
      <c r="BR314" s="170">
        <v>0</v>
      </c>
      <c r="BS314" s="169" t="s">
        <v>1806</v>
      </c>
      <c r="BT314" s="173">
        <v>0.12602790948326201</v>
      </c>
      <c r="BU314" s="170">
        <v>59999.76</v>
      </c>
      <c r="BV314" s="170">
        <v>16060.732960237818</v>
      </c>
      <c r="BW314" s="170">
        <v>0.26767995339044387</v>
      </c>
      <c r="BX314" s="177">
        <v>0.87397209051673796</v>
      </c>
      <c r="BY314" s="177">
        <v>0</v>
      </c>
      <c r="BZ314" s="153">
        <v>0</v>
      </c>
      <c r="CA314" s="153">
        <v>0</v>
      </c>
      <c r="CB314" s="153">
        <v>45755</v>
      </c>
      <c r="CC314" s="153">
        <v>45755</v>
      </c>
      <c r="CD314" s="153"/>
      <c r="CE314" s="153"/>
      <c r="CF314" s="153"/>
      <c r="CG314" s="34" t="s">
        <v>139</v>
      </c>
      <c r="CH314" s="34" t="s">
        <v>1333</v>
      </c>
    </row>
    <row r="315" spans="1:86" x14ac:dyDescent="0.3">
      <c r="A315" s="34">
        <v>5</v>
      </c>
      <c r="B315" s="34" t="s">
        <v>668</v>
      </c>
      <c r="C315" s="34" t="s">
        <v>1335</v>
      </c>
      <c r="D315" s="34" t="s">
        <v>133</v>
      </c>
      <c r="E315" s="34" t="s">
        <v>1336</v>
      </c>
      <c r="F315" s="34" t="s">
        <v>1805</v>
      </c>
      <c r="G315" s="34"/>
      <c r="H315" s="34" t="s">
        <v>1456</v>
      </c>
      <c r="I315" s="34" t="s">
        <v>671</v>
      </c>
      <c r="J315" s="34" t="s">
        <v>1806</v>
      </c>
      <c r="K315" s="34"/>
      <c r="L315" s="34">
        <v>2.8000000000000001E-2</v>
      </c>
      <c r="M315" s="34">
        <v>1.6E-2</v>
      </c>
      <c r="N315" s="153">
        <v>1</v>
      </c>
      <c r="O315" s="34">
        <v>0</v>
      </c>
      <c r="P315" s="34"/>
      <c r="Q315" s="153">
        <v>45252</v>
      </c>
      <c r="R315" s="153">
        <v>46395</v>
      </c>
      <c r="S315" s="153">
        <v>192</v>
      </c>
      <c r="T315" s="34"/>
      <c r="U315" s="153" t="s">
        <v>1325</v>
      </c>
      <c r="V315" s="153" t="s">
        <v>1807</v>
      </c>
      <c r="W315" s="153">
        <v>1</v>
      </c>
      <c r="X315" s="169"/>
      <c r="Y315" s="170"/>
      <c r="Z315" s="170"/>
      <c r="AA315" s="170"/>
      <c r="AB315" s="170">
        <v>0</v>
      </c>
      <c r="AC315" s="170">
        <v>600000000</v>
      </c>
      <c r="AD315" s="170">
        <v>18120000</v>
      </c>
      <c r="AE315" s="170">
        <v>250000</v>
      </c>
      <c r="AF315" s="170">
        <v>250000</v>
      </c>
      <c r="AG315" s="170">
        <v>250000</v>
      </c>
      <c r="AH315" s="153"/>
      <c r="AI315" s="171">
        <v>0</v>
      </c>
      <c r="AJ315" s="153"/>
      <c r="AK315" s="153"/>
      <c r="AL315" s="172">
        <v>102.85</v>
      </c>
      <c r="AM315" s="172">
        <v>9.06E-2</v>
      </c>
      <c r="AN315" s="173" t="s">
        <v>1326</v>
      </c>
      <c r="AO315" s="173">
        <v>45751</v>
      </c>
      <c r="AP315" s="172">
        <v>0</v>
      </c>
      <c r="AQ315" s="173"/>
      <c r="AR315" s="174">
        <v>1.25E-3</v>
      </c>
      <c r="AS315" s="175">
        <v>5.2493049999999999E-2</v>
      </c>
      <c r="AT315" s="34">
        <v>0</v>
      </c>
      <c r="AU315" s="34">
        <v>7.6703099999999996E-2</v>
      </c>
      <c r="AV315" s="170">
        <v>0</v>
      </c>
      <c r="AW315" s="170">
        <v>22650</v>
      </c>
      <c r="AX315" s="170">
        <v>156272.29965645529</v>
      </c>
      <c r="AY315" s="170">
        <v>257125</v>
      </c>
      <c r="AZ315" s="170">
        <v>5261.3498553676891</v>
      </c>
      <c r="BA315" s="170">
        <v>34138.576508037731</v>
      </c>
      <c r="BB315" s="170">
        <v>0</v>
      </c>
      <c r="BC315" s="170">
        <v>0</v>
      </c>
      <c r="BD315" s="170">
        <v>0</v>
      </c>
      <c r="BE315" s="170">
        <v>0</v>
      </c>
      <c r="BF315" s="170">
        <v>135707.53001740572</v>
      </c>
      <c r="BG315" s="170">
        <v>249999.99749999997</v>
      </c>
      <c r="BH315" s="170">
        <v>249999.99750000006</v>
      </c>
      <c r="BI315" s="170">
        <v>249999.99750000008</v>
      </c>
      <c r="BJ315" s="170">
        <v>0.97360000000000002</v>
      </c>
      <c r="BK315" s="170">
        <v>4.1666666666666664E-2</v>
      </c>
      <c r="BL315" s="176">
        <v>0</v>
      </c>
      <c r="BM315" s="176" t="s">
        <v>1663</v>
      </c>
      <c r="BN315" s="173">
        <v>0</v>
      </c>
      <c r="BO315" s="175">
        <v>0</v>
      </c>
      <c r="BP315" s="175">
        <v>0</v>
      </c>
      <c r="BQ315" s="170">
        <v>250000</v>
      </c>
      <c r="BR315" s="170">
        <v>0</v>
      </c>
      <c r="BS315" s="169" t="s">
        <v>1806</v>
      </c>
      <c r="BT315" s="173">
        <v>0.23228917683742556</v>
      </c>
      <c r="BU315" s="170">
        <v>32706.273543781925</v>
      </c>
      <c r="BV315" s="170">
        <v>17388.650144632309</v>
      </c>
      <c r="BW315" s="170">
        <v>0.53166100140864925</v>
      </c>
      <c r="BX315" s="177">
        <v>0.76771082316257433</v>
      </c>
      <c r="BY315" s="177">
        <v>0</v>
      </c>
      <c r="BZ315" s="153">
        <v>0</v>
      </c>
      <c r="CA315" s="153">
        <v>0</v>
      </c>
      <c r="CB315" s="153">
        <v>45751</v>
      </c>
      <c r="CC315" s="153">
        <v>45751</v>
      </c>
      <c r="CD315" s="153"/>
      <c r="CE315" s="153"/>
      <c r="CF315" s="153"/>
      <c r="CG315" s="34" t="s">
        <v>139</v>
      </c>
      <c r="CH315" s="34" t="s">
        <v>1333</v>
      </c>
    </row>
    <row r="316" spans="1:86" x14ac:dyDescent="0.3">
      <c r="A316" s="34">
        <v>6</v>
      </c>
      <c r="B316" s="34" t="s">
        <v>695</v>
      </c>
      <c r="C316" s="34" t="s">
        <v>1351</v>
      </c>
      <c r="D316" s="34" t="s">
        <v>150</v>
      </c>
      <c r="E316" s="34" t="s">
        <v>1336</v>
      </c>
      <c r="F316" s="34" t="s">
        <v>1805</v>
      </c>
      <c r="G316" s="34"/>
      <c r="H316" s="34" t="s">
        <v>1456</v>
      </c>
      <c r="I316" s="34" t="s">
        <v>697</v>
      </c>
      <c r="J316" s="34" t="s">
        <v>1806</v>
      </c>
      <c r="K316" s="34"/>
      <c r="L316" s="34">
        <v>0.02</v>
      </c>
      <c r="M316" s="34">
        <v>0</v>
      </c>
      <c r="N316" s="153">
        <v>1</v>
      </c>
      <c r="O316" s="34">
        <v>0</v>
      </c>
      <c r="P316" s="34"/>
      <c r="Q316" s="153">
        <v>45391</v>
      </c>
      <c r="R316" s="153">
        <v>46545</v>
      </c>
      <c r="S316" s="153">
        <v>342</v>
      </c>
      <c r="T316" s="34"/>
      <c r="U316" s="153" t="s">
        <v>1325</v>
      </c>
      <c r="V316" s="153" t="s">
        <v>1809</v>
      </c>
      <c r="W316" s="153">
        <v>1</v>
      </c>
      <c r="X316" s="169"/>
      <c r="Y316" s="170"/>
      <c r="Z316" s="170"/>
      <c r="AA316" s="170"/>
      <c r="AB316" s="170">
        <v>0</v>
      </c>
      <c r="AC316" s="170">
        <v>300000000</v>
      </c>
      <c r="AD316" s="170">
        <v>27228600</v>
      </c>
      <c r="AE316" s="170">
        <v>250000.80000000002</v>
      </c>
      <c r="AF316" s="170">
        <v>250000.80000000002</v>
      </c>
      <c r="AG316" s="170">
        <v>250000</v>
      </c>
      <c r="AH316" s="153"/>
      <c r="AI316" s="171">
        <v>0</v>
      </c>
      <c r="AJ316" s="153"/>
      <c r="AK316" s="153"/>
      <c r="AL316" s="172">
        <v>102.6</v>
      </c>
      <c r="AM316" s="172">
        <v>0.12966</v>
      </c>
      <c r="AN316" s="173" t="s">
        <v>1326</v>
      </c>
      <c r="AO316" s="173">
        <v>45761</v>
      </c>
      <c r="AP316" s="172">
        <v>0</v>
      </c>
      <c r="AQ316" s="173"/>
      <c r="AR316" s="174">
        <v>1.1904800000000001E-3</v>
      </c>
      <c r="AS316" s="175">
        <v>9.1247229999999999E-2</v>
      </c>
      <c r="AT316" s="34">
        <v>0</v>
      </c>
      <c r="AU316" s="34">
        <v>0.11921872999999999</v>
      </c>
      <c r="AV316" s="170">
        <v>0</v>
      </c>
      <c r="AW316" s="170">
        <v>32415.103728000002</v>
      </c>
      <c r="AX316" s="170">
        <v>175000.56</v>
      </c>
      <c r="AY316" s="170">
        <v>256500.82080000002</v>
      </c>
      <c r="AZ316" s="170">
        <v>4326.6511753483428</v>
      </c>
      <c r="BA316" s="170">
        <v>31900.149926613594</v>
      </c>
      <c r="BB316" s="170">
        <v>0</v>
      </c>
      <c r="BC316" s="170">
        <v>0</v>
      </c>
      <c r="BD316" s="170">
        <v>0</v>
      </c>
      <c r="BE316" s="170">
        <v>0</v>
      </c>
      <c r="BF316" s="170">
        <v>4762.8987747345946</v>
      </c>
      <c r="BG316" s="170">
        <v>250000.80000000002</v>
      </c>
      <c r="BH316" s="170">
        <v>250000.80000000002</v>
      </c>
      <c r="BI316" s="170">
        <v>250000.80000000002</v>
      </c>
      <c r="BJ316" s="170">
        <v>0.98089999999999999</v>
      </c>
      <c r="BK316" s="170">
        <v>4.1666800000000004E-2</v>
      </c>
      <c r="BL316" s="176">
        <v>0</v>
      </c>
      <c r="BM316" s="176" t="s">
        <v>1663</v>
      </c>
      <c r="BN316" s="173">
        <v>0</v>
      </c>
      <c r="BO316" s="175">
        <v>0</v>
      </c>
      <c r="BP316" s="175">
        <v>0</v>
      </c>
      <c r="BQ316" s="170">
        <v>250000.80000000002</v>
      </c>
      <c r="BR316" s="170">
        <v>0</v>
      </c>
      <c r="BS316" s="169" t="s">
        <v>1806</v>
      </c>
      <c r="BT316" s="173">
        <v>0.13347639457377405</v>
      </c>
      <c r="BU316" s="170">
        <v>72500.23199999996</v>
      </c>
      <c r="BV316" s="170">
        <v>28088.452552651659</v>
      </c>
      <c r="BW316" s="170">
        <v>0.38742569199849836</v>
      </c>
      <c r="BX316" s="177">
        <v>0.86652360542622597</v>
      </c>
      <c r="BY316" s="177">
        <v>0</v>
      </c>
      <c r="BZ316" s="153">
        <v>0</v>
      </c>
      <c r="CA316" s="153">
        <v>0</v>
      </c>
      <c r="CB316" s="153">
        <v>45761</v>
      </c>
      <c r="CC316" s="153">
        <v>45761</v>
      </c>
      <c r="CD316" s="153"/>
      <c r="CE316" s="153"/>
      <c r="CF316" s="153"/>
      <c r="CG316" s="34" t="s">
        <v>139</v>
      </c>
      <c r="CH316" s="34" t="s">
        <v>1333</v>
      </c>
    </row>
    <row r="317" spans="1:86" x14ac:dyDescent="0.3">
      <c r="A317" s="34">
        <v>7</v>
      </c>
      <c r="B317" s="34" t="s">
        <v>711</v>
      </c>
      <c r="C317" s="34" t="s">
        <v>1327</v>
      </c>
      <c r="D317" s="34" t="s">
        <v>150</v>
      </c>
      <c r="E317" s="34" t="s">
        <v>1328</v>
      </c>
      <c r="F317" s="34" t="s">
        <v>1805</v>
      </c>
      <c r="G317" s="34"/>
      <c r="H317" s="34" t="s">
        <v>1456</v>
      </c>
      <c r="I317" s="34" t="s">
        <v>714</v>
      </c>
      <c r="J317" s="34" t="s">
        <v>1806</v>
      </c>
      <c r="K317" s="34"/>
      <c r="L317" s="34">
        <v>8.0999999999999996E-3</v>
      </c>
      <c r="M317" s="34">
        <v>7.7000000000000002E-3</v>
      </c>
      <c r="N317" s="153">
        <v>1</v>
      </c>
      <c r="O317" s="34">
        <v>0</v>
      </c>
      <c r="P317" s="34"/>
      <c r="Q317" s="153">
        <v>45405</v>
      </c>
      <c r="R317" s="153">
        <v>47212</v>
      </c>
      <c r="S317" s="153">
        <v>1009</v>
      </c>
      <c r="T317" s="34"/>
      <c r="U317" s="153" t="s">
        <v>1325</v>
      </c>
      <c r="V317" s="153" t="s">
        <v>1807</v>
      </c>
      <c r="W317" s="153">
        <v>1</v>
      </c>
      <c r="X317" s="169"/>
      <c r="Y317" s="170"/>
      <c r="Z317" s="170"/>
      <c r="AA317" s="170"/>
      <c r="AB317" s="170">
        <v>0</v>
      </c>
      <c r="AC317" s="170">
        <v>150000000</v>
      </c>
      <c r="AD317" s="170">
        <v>9324720</v>
      </c>
      <c r="AE317" s="170">
        <v>250000.5</v>
      </c>
      <c r="AF317" s="170">
        <v>250000.5</v>
      </c>
      <c r="AG317" s="170">
        <v>250000</v>
      </c>
      <c r="AH317" s="153"/>
      <c r="AI317" s="171">
        <v>0</v>
      </c>
      <c r="AJ317" s="153"/>
      <c r="AK317" s="153"/>
      <c r="AL317" s="172">
        <v>101</v>
      </c>
      <c r="AM317" s="172">
        <v>6.2164799999999999E-2</v>
      </c>
      <c r="AN317" s="173" t="s">
        <v>1326</v>
      </c>
      <c r="AO317" s="173">
        <v>45749</v>
      </c>
      <c r="AP317" s="172">
        <v>0</v>
      </c>
      <c r="AQ317" s="173"/>
      <c r="AR317" s="174">
        <v>1.6666700000000001E-3</v>
      </c>
      <c r="AS317" s="175">
        <v>2.3430280000000001E-2</v>
      </c>
      <c r="AT317" s="34">
        <v>0</v>
      </c>
      <c r="AU317" s="34">
        <v>5.6722120000000001E-2</v>
      </c>
      <c r="AV317" s="170">
        <v>0</v>
      </c>
      <c r="AW317" s="170">
        <v>15541.2310824</v>
      </c>
      <c r="AX317" s="170">
        <v>0</v>
      </c>
      <c r="AY317" s="170">
        <v>252500.505</v>
      </c>
      <c r="AZ317" s="170">
        <v>1971.5092803013679</v>
      </c>
      <c r="BA317" s="170">
        <v>22005.247728234022</v>
      </c>
      <c r="BB317" s="170">
        <v>0</v>
      </c>
      <c r="BC317" s="170">
        <v>0</v>
      </c>
      <c r="BD317" s="170">
        <v>0</v>
      </c>
      <c r="BE317" s="170">
        <v>0</v>
      </c>
      <c r="BF317" s="170">
        <v>0</v>
      </c>
      <c r="BG317" s="170">
        <v>0</v>
      </c>
      <c r="BH317" s="170">
        <v>0</v>
      </c>
      <c r="BI317" s="170">
        <v>250000.5</v>
      </c>
      <c r="BJ317" s="170">
        <v>0.9919</v>
      </c>
      <c r="BK317" s="170">
        <v>4.1666750000000002E-2</v>
      </c>
      <c r="BL317" s="176">
        <v>0</v>
      </c>
      <c r="BM317" s="176" t="s">
        <v>1663</v>
      </c>
      <c r="BN317" s="173">
        <v>0</v>
      </c>
      <c r="BO317" s="175">
        <v>0</v>
      </c>
      <c r="BP317" s="175">
        <v>0</v>
      </c>
      <c r="BQ317" s="170">
        <v>250000.5</v>
      </c>
      <c r="BR317" s="170">
        <v>0</v>
      </c>
      <c r="BS317" s="169" t="s">
        <v>1806</v>
      </c>
      <c r="BT317" s="173">
        <v>0.12685669943702502</v>
      </c>
      <c r="BU317" s="170">
        <v>5000.0100000000011</v>
      </c>
      <c r="BV317" s="170">
        <v>13569.721802098631</v>
      </c>
      <c r="BW317" s="170">
        <v>2.7139389325418604</v>
      </c>
      <c r="BX317" s="177">
        <v>0.87314330056297496</v>
      </c>
      <c r="BY317" s="177">
        <v>0</v>
      </c>
      <c r="BZ317" s="153">
        <v>0</v>
      </c>
      <c r="CA317" s="153">
        <v>0</v>
      </c>
      <c r="CB317" s="153">
        <v>45749</v>
      </c>
      <c r="CC317" s="153">
        <v>45749</v>
      </c>
      <c r="CD317" s="153"/>
      <c r="CE317" s="153"/>
      <c r="CF317" s="153"/>
      <c r="CG317" s="34" t="s">
        <v>139</v>
      </c>
      <c r="CH317" s="34" t="s">
        <v>1329</v>
      </c>
    </row>
    <row r="318" spans="1:86" x14ac:dyDescent="0.3">
      <c r="A318" s="34">
        <v>8</v>
      </c>
      <c r="B318" s="34" t="s">
        <v>856</v>
      </c>
      <c r="C318" s="34" t="s">
        <v>1337</v>
      </c>
      <c r="D318" s="34" t="s">
        <v>167</v>
      </c>
      <c r="E318" s="34" t="s">
        <v>1338</v>
      </c>
      <c r="F318" s="34" t="s">
        <v>1805</v>
      </c>
      <c r="G318" s="34"/>
      <c r="H318" s="34" t="s">
        <v>1456</v>
      </c>
      <c r="I318" s="34" t="s">
        <v>858</v>
      </c>
      <c r="J318" s="34" t="s">
        <v>1806</v>
      </c>
      <c r="K318" s="34"/>
      <c r="L318" s="34">
        <v>1.5900000000000001E-2</v>
      </c>
      <c r="M318" s="34">
        <v>0</v>
      </c>
      <c r="N318" s="153">
        <v>1</v>
      </c>
      <c r="O318" s="34">
        <v>0</v>
      </c>
      <c r="P318" s="34"/>
      <c r="Q318" s="153">
        <v>44650</v>
      </c>
      <c r="R318" s="153">
        <v>46119</v>
      </c>
      <c r="S318" s="153">
        <v>-84</v>
      </c>
      <c r="T318" s="34"/>
      <c r="U318" s="153" t="s">
        <v>1325</v>
      </c>
      <c r="V318" s="153" t="s">
        <v>1807</v>
      </c>
      <c r="W318" s="153">
        <v>1</v>
      </c>
      <c r="X318" s="169"/>
      <c r="Y318" s="170"/>
      <c r="Z318" s="170"/>
      <c r="AA318" s="170"/>
      <c r="AB318" s="170">
        <v>0</v>
      </c>
      <c r="AC318" s="170">
        <v>100000000</v>
      </c>
      <c r="AD318" s="170">
        <v>7992000.0000000019</v>
      </c>
      <c r="AE318" s="170">
        <v>249999.60000000003</v>
      </c>
      <c r="AF318" s="170">
        <v>249999.60000000003</v>
      </c>
      <c r="AG318" s="170">
        <v>250000</v>
      </c>
      <c r="AH318" s="153"/>
      <c r="AI318" s="171">
        <v>0</v>
      </c>
      <c r="AJ318" s="153"/>
      <c r="AK318" s="153"/>
      <c r="AL318" s="172">
        <v>101</v>
      </c>
      <c r="AM318" s="172">
        <v>6.6600000000000006E-2</v>
      </c>
      <c r="AN318" s="173" t="s">
        <v>1326</v>
      </c>
      <c r="AO318" s="173">
        <v>45751</v>
      </c>
      <c r="AP318" s="172">
        <v>0</v>
      </c>
      <c r="AQ318" s="173"/>
      <c r="AR318" s="174">
        <v>2.08333E-3</v>
      </c>
      <c r="AS318" s="175">
        <v>2.8000799999999999E-2</v>
      </c>
      <c r="AT318" s="34">
        <v>0</v>
      </c>
      <c r="AU318" s="34">
        <v>5.962858E-2</v>
      </c>
      <c r="AV318" s="170">
        <v>0</v>
      </c>
      <c r="AW318" s="170">
        <v>16649.973360000004</v>
      </c>
      <c r="AX318" s="170">
        <v>0</v>
      </c>
      <c r="AY318" s="170">
        <v>252499.59600000005</v>
      </c>
      <c r="AZ318" s="170">
        <v>3783.109499950132</v>
      </c>
      <c r="BA318" s="170">
        <v>30259.525223829893</v>
      </c>
      <c r="BB318" s="170">
        <v>0</v>
      </c>
      <c r="BC318" s="170">
        <v>0</v>
      </c>
      <c r="BD318" s="170">
        <v>0</v>
      </c>
      <c r="BE318" s="170">
        <v>0</v>
      </c>
      <c r="BF318" s="170">
        <v>0</v>
      </c>
      <c r="BG318" s="170">
        <v>249999.59999999998</v>
      </c>
      <c r="BH318" s="170">
        <v>249999.6</v>
      </c>
      <c r="BI318" s="170">
        <v>249999.60000000003</v>
      </c>
      <c r="BJ318" s="170">
        <v>0.98429999999999995</v>
      </c>
      <c r="BK318" s="170">
        <v>4.1666600000000005E-2</v>
      </c>
      <c r="BL318" s="176">
        <v>0</v>
      </c>
      <c r="BM318" s="176" t="s">
        <v>1663</v>
      </c>
      <c r="BN318" s="173">
        <v>0</v>
      </c>
      <c r="BO318" s="175">
        <v>0</v>
      </c>
      <c r="BP318" s="175">
        <v>0</v>
      </c>
      <c r="BQ318" s="170">
        <v>249999.60000000003</v>
      </c>
      <c r="BR318" s="170">
        <v>0</v>
      </c>
      <c r="BS318" s="169" t="s">
        <v>1806</v>
      </c>
      <c r="BT318" s="173">
        <v>0.22721414732342438</v>
      </c>
      <c r="BU318" s="170">
        <v>7499.9880000000003</v>
      </c>
      <c r="BV318" s="170">
        <v>12866.863860049871</v>
      </c>
      <c r="BW318" s="170">
        <v>1.7155845929419982</v>
      </c>
      <c r="BX318" s="177">
        <v>0.77278585267657562</v>
      </c>
      <c r="BY318" s="177">
        <v>0</v>
      </c>
      <c r="BZ318" s="153">
        <v>0</v>
      </c>
      <c r="CA318" s="153">
        <v>0</v>
      </c>
      <c r="CB318" s="153">
        <v>45751</v>
      </c>
      <c r="CC318" s="153">
        <v>45751</v>
      </c>
      <c r="CD318" s="153"/>
      <c r="CE318" s="153"/>
      <c r="CF318" s="153"/>
      <c r="CG318" s="34" t="s">
        <v>139</v>
      </c>
      <c r="CH318" s="34" t="s">
        <v>1333</v>
      </c>
    </row>
    <row r="319" spans="1:86" x14ac:dyDescent="0.3">
      <c r="A319" s="34">
        <v>9</v>
      </c>
      <c r="B319" s="34" t="s">
        <v>876</v>
      </c>
      <c r="C319" s="34" t="s">
        <v>1359</v>
      </c>
      <c r="D319" s="34" t="s">
        <v>150</v>
      </c>
      <c r="E319" s="34" t="s">
        <v>1336</v>
      </c>
      <c r="F319" s="34" t="s">
        <v>1805</v>
      </c>
      <c r="G319" s="34"/>
      <c r="H319" s="34" t="s">
        <v>1456</v>
      </c>
      <c r="I319" s="34" t="s">
        <v>879</v>
      </c>
      <c r="J319" s="34" t="s">
        <v>1806</v>
      </c>
      <c r="K319" s="34"/>
      <c r="L319" s="34">
        <v>3.9699999999999999E-2</v>
      </c>
      <c r="M319" s="34">
        <v>0</v>
      </c>
      <c r="N319" s="153">
        <v>1</v>
      </c>
      <c r="O319" s="34">
        <v>0</v>
      </c>
      <c r="P319" s="34"/>
      <c r="Q319" s="153">
        <v>45393</v>
      </c>
      <c r="R319" s="153">
        <v>46517</v>
      </c>
      <c r="S319" s="153">
        <v>314</v>
      </c>
      <c r="T319" s="34"/>
      <c r="U319" s="153" t="s">
        <v>1325</v>
      </c>
      <c r="V319" s="153" t="s">
        <v>1809</v>
      </c>
      <c r="W319" s="153">
        <v>1</v>
      </c>
      <c r="X319" s="169"/>
      <c r="Y319" s="170"/>
      <c r="Z319" s="170"/>
      <c r="AA319" s="170"/>
      <c r="AB319" s="170">
        <v>0</v>
      </c>
      <c r="AC319" s="170">
        <v>125000000</v>
      </c>
      <c r="AD319" s="170">
        <v>14315000</v>
      </c>
      <c r="AE319" s="170">
        <v>250000</v>
      </c>
      <c r="AF319" s="170">
        <v>250000</v>
      </c>
      <c r="AG319" s="170">
        <v>250000</v>
      </c>
      <c r="AH319" s="153"/>
      <c r="AI319" s="171">
        <v>0</v>
      </c>
      <c r="AJ319" s="153"/>
      <c r="AK319" s="153"/>
      <c r="AL319" s="172">
        <v>102</v>
      </c>
      <c r="AM319" s="172">
        <v>0.11452</v>
      </c>
      <c r="AN319" s="173" t="s">
        <v>1326</v>
      </c>
      <c r="AO319" s="173">
        <v>45777</v>
      </c>
      <c r="AP319" s="172">
        <v>0</v>
      </c>
      <c r="AQ319" s="173"/>
      <c r="AR319" s="174">
        <v>2E-3</v>
      </c>
      <c r="AS319" s="175">
        <v>7.6309879999999997E-2</v>
      </c>
      <c r="AT319" s="172">
        <v>0</v>
      </c>
      <c r="AU319" s="170">
        <v>0.106922</v>
      </c>
      <c r="AV319" s="170">
        <v>0</v>
      </c>
      <c r="AW319" s="170">
        <v>28630</v>
      </c>
      <c r="AX319" s="170">
        <v>115906.54916197927</v>
      </c>
      <c r="AY319" s="170">
        <v>255000</v>
      </c>
      <c r="AZ319" s="170">
        <v>6876.8499797346594</v>
      </c>
      <c r="BA319" s="170">
        <v>38094.656895663335</v>
      </c>
      <c r="BB319" s="170">
        <v>0</v>
      </c>
      <c r="BC319" s="170">
        <v>0</v>
      </c>
      <c r="BD319" s="170">
        <v>0</v>
      </c>
      <c r="BE319" s="170">
        <v>0</v>
      </c>
      <c r="BF319" s="170">
        <v>225035.28833753764</v>
      </c>
      <c r="BG319" s="170">
        <v>250000</v>
      </c>
      <c r="BH319" s="170">
        <v>250000</v>
      </c>
      <c r="BI319" s="170">
        <v>250000</v>
      </c>
      <c r="BJ319" s="170">
        <v>0.96430000000000005</v>
      </c>
      <c r="BK319" s="170">
        <v>4.1666666666666664E-2</v>
      </c>
      <c r="BL319" s="176">
        <v>0</v>
      </c>
      <c r="BM319" s="176" t="s">
        <v>1663</v>
      </c>
      <c r="BN319" s="173">
        <v>0</v>
      </c>
      <c r="BO319" s="175">
        <v>0</v>
      </c>
      <c r="BP319" s="175">
        <v>0</v>
      </c>
      <c r="BQ319" s="170">
        <v>250000</v>
      </c>
      <c r="BR319" s="170">
        <v>0</v>
      </c>
      <c r="BS319" s="169" t="s">
        <v>1806</v>
      </c>
      <c r="BT319" s="173">
        <v>0.24019734473400836</v>
      </c>
      <c r="BU319" s="170">
        <v>124781.25163645709</v>
      </c>
      <c r="BV319" s="170">
        <v>21753.150020265341</v>
      </c>
      <c r="BW319" s="170">
        <v>0.17433027586261016</v>
      </c>
      <c r="BX319" s="177">
        <v>0.75980265526599167</v>
      </c>
      <c r="BY319" s="177">
        <v>0</v>
      </c>
      <c r="BZ319" s="153">
        <v>0</v>
      </c>
      <c r="CA319" s="153">
        <v>0</v>
      </c>
      <c r="CB319" s="153">
        <v>45777</v>
      </c>
      <c r="CC319" s="153">
        <v>45777</v>
      </c>
      <c r="CD319" s="153"/>
      <c r="CE319" s="153"/>
      <c r="CF319" s="153"/>
      <c r="CG319" s="34" t="s">
        <v>139</v>
      </c>
      <c r="CH319" s="34" t="s">
        <v>1333</v>
      </c>
    </row>
    <row r="320" spans="1:86" x14ac:dyDescent="0.3">
      <c r="A320" s="34">
        <v>10</v>
      </c>
      <c r="B320" s="34" t="s">
        <v>895</v>
      </c>
      <c r="C320" s="34" t="s">
        <v>1345</v>
      </c>
      <c r="D320" s="34" t="s">
        <v>150</v>
      </c>
      <c r="E320" s="34" t="s">
        <v>1336</v>
      </c>
      <c r="F320" s="34"/>
      <c r="G320" s="34"/>
      <c r="H320" s="34" t="s">
        <v>1456</v>
      </c>
      <c r="I320" s="34" t="s">
        <v>898</v>
      </c>
      <c r="J320" s="34" t="s">
        <v>1806</v>
      </c>
      <c r="K320" s="34"/>
      <c r="L320" s="34">
        <v>1.1299999999999999E-2</v>
      </c>
      <c r="M320" s="34">
        <v>0</v>
      </c>
      <c r="N320" s="153">
        <v>1</v>
      </c>
      <c r="O320" s="34">
        <v>0</v>
      </c>
      <c r="P320" s="34"/>
      <c r="Q320" s="153">
        <v>45630</v>
      </c>
      <c r="R320" s="153">
        <v>46762</v>
      </c>
      <c r="S320" s="153">
        <v>559</v>
      </c>
      <c r="T320" s="34"/>
      <c r="U320" s="153" t="s">
        <v>1325</v>
      </c>
      <c r="V320" s="153" t="s">
        <v>1807</v>
      </c>
      <c r="W320" s="153">
        <v>1</v>
      </c>
      <c r="X320" s="166"/>
      <c r="Y320" s="137"/>
      <c r="Z320" s="137"/>
      <c r="AA320" s="137"/>
      <c r="AB320" s="137">
        <v>0</v>
      </c>
      <c r="AC320" s="137">
        <v>100000000</v>
      </c>
      <c r="AD320" s="137">
        <v>7310000</v>
      </c>
      <c r="AE320" s="137">
        <v>250000</v>
      </c>
      <c r="AF320" s="137">
        <v>250000</v>
      </c>
      <c r="AG320" s="137">
        <v>250000</v>
      </c>
      <c r="AH320" s="153"/>
      <c r="AI320" s="167">
        <v>0</v>
      </c>
      <c r="AJ320" s="153"/>
      <c r="AK320" s="153"/>
      <c r="AL320" s="154">
        <v>101.6</v>
      </c>
      <c r="AM320" s="154">
        <v>7.3099999999999998E-2</v>
      </c>
      <c r="AN320" s="168" t="s">
        <v>1326</v>
      </c>
      <c r="AO320" s="168">
        <v>45756</v>
      </c>
      <c r="AP320" s="154">
        <v>0</v>
      </c>
      <c r="AQ320" s="168"/>
      <c r="AR320" s="155">
        <v>2.5000000000000001E-3</v>
      </c>
      <c r="AS320" s="152">
        <v>3.4997439999999998E-2</v>
      </c>
      <c r="AT320" s="154">
        <v>0</v>
      </c>
      <c r="AU320" s="137">
        <v>6.9968119999999995E-2</v>
      </c>
      <c r="AV320" s="137">
        <v>0</v>
      </c>
      <c r="AW320" s="137">
        <v>18275</v>
      </c>
      <c r="AX320" s="137">
        <v>0</v>
      </c>
      <c r="AY320" s="137">
        <v>254000</v>
      </c>
      <c r="AZ320" s="137">
        <v>2306.25</v>
      </c>
      <c r="BA320" s="137">
        <v>22853.282055047777</v>
      </c>
      <c r="BB320" s="137">
        <v>0</v>
      </c>
      <c r="BC320" s="137">
        <v>0</v>
      </c>
      <c r="BD320" s="137">
        <v>0</v>
      </c>
      <c r="BE320" s="137">
        <v>0</v>
      </c>
      <c r="BF320" s="137">
        <v>0</v>
      </c>
      <c r="BG320" s="137">
        <v>0</v>
      </c>
      <c r="BH320" s="137">
        <v>62500</v>
      </c>
      <c r="BI320" s="137">
        <v>250000</v>
      </c>
      <c r="BJ320" s="137">
        <v>0.98870000000000002</v>
      </c>
      <c r="BK320" s="137">
        <v>4.1666666666666664E-2</v>
      </c>
      <c r="BL320" s="113">
        <v>0</v>
      </c>
      <c r="BM320" s="113" t="s">
        <v>1663</v>
      </c>
      <c r="BN320" s="168">
        <v>0</v>
      </c>
      <c r="BO320" s="152">
        <v>0</v>
      </c>
      <c r="BP320" s="152">
        <v>0</v>
      </c>
      <c r="BQ320" s="137">
        <v>250000</v>
      </c>
      <c r="BR320" s="137">
        <v>0</v>
      </c>
      <c r="BS320" s="166" t="s">
        <v>1806</v>
      </c>
      <c r="BT320" s="168">
        <v>0.12619699042407662</v>
      </c>
      <c r="BU320" s="137">
        <v>5000</v>
      </c>
      <c r="BV320" s="137">
        <v>15968.75</v>
      </c>
      <c r="BW320" s="137">
        <v>3.1937500000000001</v>
      </c>
      <c r="BX320" s="89">
        <v>0.87380300957592338</v>
      </c>
      <c r="BY320" s="89">
        <v>0</v>
      </c>
      <c r="BZ320" s="153">
        <v>0</v>
      </c>
      <c r="CA320" s="153">
        <v>0</v>
      </c>
      <c r="CB320" s="153">
        <v>45756</v>
      </c>
      <c r="CC320" s="153">
        <v>45756</v>
      </c>
      <c r="CD320" s="153"/>
      <c r="CE320" s="153"/>
      <c r="CF320" s="153"/>
      <c r="CG320" s="34" t="s">
        <v>1347</v>
      </c>
      <c r="CH320" s="34" t="s">
        <v>1333</v>
      </c>
    </row>
    <row r="321" spans="1:86" x14ac:dyDescent="0.3">
      <c r="A321" s="34">
        <v>11</v>
      </c>
      <c r="B321" s="34" t="s">
        <v>943</v>
      </c>
      <c r="C321" s="34" t="s">
        <v>1357</v>
      </c>
      <c r="D321" s="34" t="s">
        <v>133</v>
      </c>
      <c r="E321" s="34" t="s">
        <v>1336</v>
      </c>
      <c r="F321" s="34" t="s">
        <v>1805</v>
      </c>
      <c r="G321" s="34"/>
      <c r="H321" s="34" t="s">
        <v>1456</v>
      </c>
      <c r="I321" s="34" t="s">
        <v>946</v>
      </c>
      <c r="J321" s="34" t="s">
        <v>1806</v>
      </c>
      <c r="K321" s="34"/>
      <c r="L321" s="34">
        <v>6.7999999999999996E-3</v>
      </c>
      <c r="M321" s="34">
        <v>0</v>
      </c>
      <c r="N321" s="153">
        <v>1</v>
      </c>
      <c r="O321" s="34">
        <v>0</v>
      </c>
      <c r="P321" s="34"/>
      <c r="Q321" s="153">
        <v>45098</v>
      </c>
      <c r="R321" s="153">
        <v>46211</v>
      </c>
      <c r="S321" s="153">
        <v>8</v>
      </c>
      <c r="T321" s="34"/>
      <c r="U321" s="153" t="s">
        <v>1325</v>
      </c>
      <c r="V321" s="153" t="s">
        <v>1807</v>
      </c>
      <c r="W321" s="153">
        <v>1</v>
      </c>
      <c r="X321" s="166"/>
      <c r="Y321" s="137"/>
      <c r="Z321" s="137"/>
      <c r="AA321" s="137"/>
      <c r="AB321" s="137">
        <v>0</v>
      </c>
      <c r="AC321" s="137">
        <v>150000000</v>
      </c>
      <c r="AD321" s="137">
        <v>11677500</v>
      </c>
      <c r="AE321" s="137">
        <v>250000.5</v>
      </c>
      <c r="AF321" s="137">
        <v>250000.5</v>
      </c>
      <c r="AG321" s="137">
        <v>250000</v>
      </c>
      <c r="AH321" s="153"/>
      <c r="AI321" s="167">
        <v>0</v>
      </c>
      <c r="AJ321" s="153"/>
      <c r="AK321" s="153"/>
      <c r="AL321" s="154">
        <v>101.15</v>
      </c>
      <c r="AM321" s="154">
        <v>7.7850000000000003E-2</v>
      </c>
      <c r="AN321" s="168" t="s">
        <v>1326</v>
      </c>
      <c r="AO321" s="168">
        <v>45775</v>
      </c>
      <c r="AP321" s="154">
        <v>0</v>
      </c>
      <c r="AQ321" s="168"/>
      <c r="AR321" s="155">
        <v>1.6666700000000001E-3</v>
      </c>
      <c r="AS321" s="152">
        <v>3.8097329999999999E-2</v>
      </c>
      <c r="AT321" s="154">
        <v>0</v>
      </c>
      <c r="AU321" s="137">
        <v>6.9939169999999995E-2</v>
      </c>
      <c r="AV321" s="137">
        <v>0</v>
      </c>
      <c r="AW321" s="137">
        <v>19462.538925000001</v>
      </c>
      <c r="AX321" s="137">
        <v>125000.25</v>
      </c>
      <c r="AY321" s="137">
        <v>252875.50575000004</v>
      </c>
      <c r="AZ321" s="137">
        <v>1609.9947633145066</v>
      </c>
      <c r="BA321" s="137">
        <v>19799.755023787478</v>
      </c>
      <c r="BB321" s="137">
        <v>0</v>
      </c>
      <c r="BC321" s="137">
        <v>0</v>
      </c>
      <c r="BD321" s="137">
        <v>0</v>
      </c>
      <c r="BE321" s="137">
        <v>0</v>
      </c>
      <c r="BF321" s="137">
        <v>0</v>
      </c>
      <c r="BG321" s="137">
        <v>0</v>
      </c>
      <c r="BH321" s="137">
        <v>0</v>
      </c>
      <c r="BI321" s="137">
        <v>250000.5</v>
      </c>
      <c r="BJ321" s="137">
        <v>0.99329999999999996</v>
      </c>
      <c r="BK321" s="137">
        <v>4.1666750000000002E-2</v>
      </c>
      <c r="BL321" s="113">
        <v>0</v>
      </c>
      <c r="BM321" s="113" t="s">
        <v>1663</v>
      </c>
      <c r="BN321" s="168">
        <v>0</v>
      </c>
      <c r="BO321" s="152">
        <v>0</v>
      </c>
      <c r="BP321" s="152">
        <v>0</v>
      </c>
      <c r="BQ321" s="137">
        <v>250000.5</v>
      </c>
      <c r="BR321" s="137">
        <v>0</v>
      </c>
      <c r="BS321" s="166" t="s">
        <v>1806</v>
      </c>
      <c r="BT321" s="168">
        <v>8.2722751102449324E-2</v>
      </c>
      <c r="BU321" s="137">
        <v>105599.51152272261</v>
      </c>
      <c r="BV321" s="137">
        <v>17852.544161685495</v>
      </c>
      <c r="BW321" s="137">
        <v>0.16905896537072557</v>
      </c>
      <c r="BX321" s="89">
        <v>0.91727724889755069</v>
      </c>
      <c r="BY321" s="89">
        <v>0</v>
      </c>
      <c r="BZ321" s="153">
        <v>0</v>
      </c>
      <c r="CA321" s="153">
        <v>0</v>
      </c>
      <c r="CB321" s="153">
        <v>45775</v>
      </c>
      <c r="CC321" s="153">
        <v>45775</v>
      </c>
      <c r="CD321" s="153"/>
      <c r="CE321" s="153"/>
      <c r="CF321" s="153"/>
      <c r="CG321" s="34" t="s">
        <v>139</v>
      </c>
      <c r="CH321" s="34" t="s">
        <v>1333</v>
      </c>
    </row>
    <row r="322" spans="1:86" x14ac:dyDescent="0.3">
      <c r="A322" s="34">
        <v>12</v>
      </c>
      <c r="B322" s="34" t="s">
        <v>963</v>
      </c>
      <c r="C322" s="34" t="s">
        <v>1343</v>
      </c>
      <c r="D322" s="34" t="s">
        <v>150</v>
      </c>
      <c r="E322" s="34" t="s">
        <v>1336</v>
      </c>
      <c r="F322" s="34" t="s">
        <v>1805</v>
      </c>
      <c r="G322" s="34"/>
      <c r="H322" s="34" t="s">
        <v>1456</v>
      </c>
      <c r="I322" s="34" t="s">
        <v>966</v>
      </c>
      <c r="J322" s="34" t="s">
        <v>1806</v>
      </c>
      <c r="K322" s="34"/>
      <c r="L322" s="34">
        <v>2.5000000000000001E-3</v>
      </c>
      <c r="M322" s="34">
        <v>8.0000000000000004E-4</v>
      </c>
      <c r="N322" s="153">
        <v>1</v>
      </c>
      <c r="O322" s="34">
        <v>0</v>
      </c>
      <c r="P322" s="34"/>
      <c r="Q322" s="153">
        <v>45300</v>
      </c>
      <c r="R322" s="153">
        <v>46395</v>
      </c>
      <c r="S322" s="153">
        <v>192</v>
      </c>
      <c r="T322" s="34"/>
      <c r="U322" s="153" t="s">
        <v>1325</v>
      </c>
      <c r="V322" s="153" t="s">
        <v>1807</v>
      </c>
      <c r="W322" s="153">
        <v>1</v>
      </c>
      <c r="X322" s="166"/>
      <c r="Y322" s="137"/>
      <c r="Z322" s="137"/>
      <c r="AA322" s="137"/>
      <c r="AB322" s="137">
        <v>0</v>
      </c>
      <c r="AC322" s="137">
        <v>400000000</v>
      </c>
      <c r="AD322" s="137">
        <v>20017500</v>
      </c>
      <c r="AE322" s="137">
        <v>249999.45</v>
      </c>
      <c r="AF322" s="137">
        <v>249999.45</v>
      </c>
      <c r="AG322" s="137">
        <v>250000</v>
      </c>
      <c r="AH322" s="153"/>
      <c r="AI322" s="167">
        <v>0</v>
      </c>
      <c r="AJ322" s="153"/>
      <c r="AK322" s="153"/>
      <c r="AL322" s="154">
        <v>102.3</v>
      </c>
      <c r="AM322" s="154">
        <v>7.85E-2</v>
      </c>
      <c r="AN322" s="168" t="s">
        <v>1326</v>
      </c>
      <c r="AO322" s="168">
        <v>45756</v>
      </c>
      <c r="AP322" s="154">
        <v>0</v>
      </c>
      <c r="AQ322" s="168"/>
      <c r="AR322" s="155">
        <v>9.8039000000000004E-4</v>
      </c>
      <c r="AS322" s="152">
        <v>4.0195000000000002E-2</v>
      </c>
      <c r="AT322" s="154">
        <v>0</v>
      </c>
      <c r="AU322" s="137">
        <v>6.7969870000000002E-2</v>
      </c>
      <c r="AV322" s="137">
        <v>0</v>
      </c>
      <c r="AW322" s="137">
        <v>19624.956825000001</v>
      </c>
      <c r="AX322" s="137">
        <v>0</v>
      </c>
      <c r="AY322" s="137">
        <v>255749.43734999999</v>
      </c>
      <c r="AZ322" s="137">
        <v>407.35961204826805</v>
      </c>
      <c r="BA322" s="137">
        <v>9001.9858960103265</v>
      </c>
      <c r="BB322" s="137">
        <v>0</v>
      </c>
      <c r="BC322" s="137">
        <v>0</v>
      </c>
      <c r="BD322" s="137">
        <v>0</v>
      </c>
      <c r="BE322" s="137">
        <v>0</v>
      </c>
      <c r="BF322" s="137">
        <v>0</v>
      </c>
      <c r="BG322" s="137">
        <v>0</v>
      </c>
      <c r="BH322" s="137">
        <v>0</v>
      </c>
      <c r="BI322" s="137">
        <v>97412.904708811286</v>
      </c>
      <c r="BJ322" s="137">
        <v>0.99760000000000004</v>
      </c>
      <c r="BK322" s="137">
        <v>4.1666575000000004E-2</v>
      </c>
      <c r="BL322" s="113">
        <v>0</v>
      </c>
      <c r="BM322" s="113" t="s">
        <v>1663</v>
      </c>
      <c r="BN322" s="168">
        <v>0</v>
      </c>
      <c r="BO322" s="152">
        <v>0</v>
      </c>
      <c r="BP322" s="152">
        <v>0</v>
      </c>
      <c r="BQ322" s="137">
        <v>249999.45</v>
      </c>
      <c r="BR322" s="137">
        <v>0</v>
      </c>
      <c r="BS322" s="166" t="s">
        <v>1806</v>
      </c>
      <c r="BT322" s="168">
        <v>2.0757223349879551E-2</v>
      </c>
      <c r="BU322" s="137">
        <v>0</v>
      </c>
      <c r="BV322" s="137">
        <v>19217.597212951732</v>
      </c>
      <c r="BW322" s="137">
        <v>0</v>
      </c>
      <c r="BX322" s="89">
        <v>0.97924277665012038</v>
      </c>
      <c r="BY322" s="89">
        <v>0</v>
      </c>
      <c r="BZ322" s="153">
        <v>0</v>
      </c>
      <c r="CA322" s="153">
        <v>0</v>
      </c>
      <c r="CB322" s="153">
        <v>45756</v>
      </c>
      <c r="CC322" s="153">
        <v>45756</v>
      </c>
      <c r="CD322" s="153"/>
      <c r="CE322" s="153"/>
      <c r="CF322" s="153"/>
      <c r="CG322" s="34" t="s">
        <v>139</v>
      </c>
      <c r="CH322" s="34" t="s">
        <v>1333</v>
      </c>
    </row>
    <row r="323" spans="1:86" x14ac:dyDescent="0.3">
      <c r="A323" s="34">
        <v>13</v>
      </c>
      <c r="B323" s="34" t="s">
        <v>995</v>
      </c>
      <c r="C323" s="34" t="s">
        <v>1360</v>
      </c>
      <c r="D323" s="34" t="s">
        <v>159</v>
      </c>
      <c r="E323" s="34" t="s">
        <v>1336</v>
      </c>
      <c r="F323" s="34"/>
      <c r="G323" s="34"/>
      <c r="H323" s="34" t="s">
        <v>1456</v>
      </c>
      <c r="I323" s="34" t="s">
        <v>996</v>
      </c>
      <c r="J323" s="34" t="s">
        <v>1806</v>
      </c>
      <c r="K323" s="34"/>
      <c r="L323" s="34">
        <v>1.7000000000000001E-2</v>
      </c>
      <c r="M323" s="34">
        <v>1.44E-2</v>
      </c>
      <c r="N323" s="153">
        <v>1</v>
      </c>
      <c r="O323" s="34">
        <v>0</v>
      </c>
      <c r="P323" s="34"/>
      <c r="Q323" s="153">
        <v>45701</v>
      </c>
      <c r="R323" s="153">
        <v>46804</v>
      </c>
      <c r="S323" s="153">
        <v>601</v>
      </c>
      <c r="T323" s="34"/>
      <c r="U323" s="153" t="s">
        <v>1325</v>
      </c>
      <c r="V323" s="153" t="s">
        <v>1809</v>
      </c>
      <c r="W323" s="153">
        <v>1</v>
      </c>
      <c r="X323" s="166"/>
      <c r="Y323" s="137"/>
      <c r="Z323" s="137"/>
      <c r="AA323" s="137"/>
      <c r="AB323" s="137">
        <v>0</v>
      </c>
      <c r="AC323" s="137">
        <v>200000000</v>
      </c>
      <c r="AD323" s="137">
        <v>18060000</v>
      </c>
      <c r="AE323" s="137">
        <v>249999.75000000003</v>
      </c>
      <c r="AF323" s="137">
        <v>249999.75000000003</v>
      </c>
      <c r="AG323" s="137">
        <v>250000</v>
      </c>
      <c r="AH323" s="153"/>
      <c r="AI323" s="167">
        <v>0</v>
      </c>
      <c r="AJ323" s="153"/>
      <c r="AK323" s="153"/>
      <c r="AL323" s="154">
        <v>99.85</v>
      </c>
      <c r="AM323" s="154">
        <v>0.1032</v>
      </c>
      <c r="AN323" s="168" t="s">
        <v>1326</v>
      </c>
      <c r="AO323" s="168">
        <v>45784</v>
      </c>
      <c r="AP323" s="154">
        <v>0</v>
      </c>
      <c r="AQ323" s="168"/>
      <c r="AR323" s="155">
        <v>1.4285700000000001E-3</v>
      </c>
      <c r="AS323" s="152">
        <v>6.497E-2</v>
      </c>
      <c r="AT323" s="154">
        <v>0</v>
      </c>
      <c r="AU323" s="137">
        <v>0.10708301000000001</v>
      </c>
      <c r="AV323" s="137">
        <v>0</v>
      </c>
      <c r="AW323" s="137">
        <v>25799.974200000001</v>
      </c>
      <c r="AX323" s="137">
        <v>132488.76787078276</v>
      </c>
      <c r="AY323" s="137">
        <v>249624.750375</v>
      </c>
      <c r="AZ323" s="137">
        <v>3909.5974537345605</v>
      </c>
      <c r="BA323" s="137">
        <v>30579.134360205946</v>
      </c>
      <c r="BB323" s="137">
        <v>0</v>
      </c>
      <c r="BC323" s="137">
        <v>0</v>
      </c>
      <c r="BD323" s="137">
        <v>0</v>
      </c>
      <c r="BE323" s="137">
        <v>0</v>
      </c>
      <c r="BF323" s="137">
        <v>0</v>
      </c>
      <c r="BG323" s="137">
        <v>249999.75000000003</v>
      </c>
      <c r="BH323" s="137">
        <v>249999.75000000003</v>
      </c>
      <c r="BI323" s="137">
        <v>249999.75000000003</v>
      </c>
      <c r="BJ323" s="137">
        <v>0.98329999999999995</v>
      </c>
      <c r="BK323" s="137">
        <v>4.1666625000000006E-2</v>
      </c>
      <c r="BL323" s="113">
        <v>0</v>
      </c>
      <c r="BM323" s="113" t="s">
        <v>1663</v>
      </c>
      <c r="BN323" s="168">
        <v>0</v>
      </c>
      <c r="BO323" s="152">
        <v>0</v>
      </c>
      <c r="BP323" s="152">
        <v>0</v>
      </c>
      <c r="BQ323" s="137">
        <v>249999.75000000003</v>
      </c>
      <c r="BR323" s="137">
        <v>0</v>
      </c>
      <c r="BS323" s="166" t="s">
        <v>1806</v>
      </c>
      <c r="BT323" s="168">
        <v>0.15153493656340788</v>
      </c>
      <c r="BU323" s="137">
        <v>68248.821787078268</v>
      </c>
      <c r="BV323" s="137">
        <v>21890.37674626544</v>
      </c>
      <c r="BW323" s="137">
        <v>0.32074365788406917</v>
      </c>
      <c r="BX323" s="89">
        <v>0.84846506343659212</v>
      </c>
      <c r="BY323" s="89">
        <v>0</v>
      </c>
      <c r="BZ323" s="153">
        <v>0</v>
      </c>
      <c r="CA323" s="153">
        <v>0</v>
      </c>
      <c r="CB323" s="153">
        <v>45784</v>
      </c>
      <c r="CC323" s="153">
        <v>45784</v>
      </c>
      <c r="CD323" s="153"/>
      <c r="CE323" s="153"/>
      <c r="CF323" s="153"/>
      <c r="CG323" s="34" t="s">
        <v>139</v>
      </c>
      <c r="CH323" s="34" t="s">
        <v>1333</v>
      </c>
    </row>
    <row r="324" spans="1:86" x14ac:dyDescent="0.3">
      <c r="A324" s="34">
        <v>14</v>
      </c>
      <c r="B324" s="34" t="s">
        <v>995</v>
      </c>
      <c r="C324" s="34" t="s">
        <v>1360</v>
      </c>
      <c r="D324" s="34" t="s">
        <v>159</v>
      </c>
      <c r="E324" s="34" t="s">
        <v>1336</v>
      </c>
      <c r="F324" s="34"/>
      <c r="G324" s="34"/>
      <c r="H324" s="34" t="s">
        <v>1456</v>
      </c>
      <c r="I324" s="34" t="s">
        <v>996</v>
      </c>
      <c r="J324" s="34" t="s">
        <v>1806</v>
      </c>
      <c r="K324" s="34"/>
      <c r="L324" s="34">
        <v>1.7000000000000001E-2</v>
      </c>
      <c r="M324" s="34">
        <v>1.44E-2</v>
      </c>
      <c r="N324" s="153">
        <v>1</v>
      </c>
      <c r="O324" s="34">
        <v>0</v>
      </c>
      <c r="P324" s="34"/>
      <c r="Q324" s="153">
        <v>45701</v>
      </c>
      <c r="R324" s="153">
        <v>46804</v>
      </c>
      <c r="S324" s="153">
        <v>601</v>
      </c>
      <c r="T324" s="34"/>
      <c r="U324" s="153" t="s">
        <v>1325</v>
      </c>
      <c r="V324" s="153" t="s">
        <v>1809</v>
      </c>
      <c r="W324" s="153">
        <v>1</v>
      </c>
      <c r="X324" s="166"/>
      <c r="Y324" s="137"/>
      <c r="Z324" s="137"/>
      <c r="AA324" s="137"/>
      <c r="AB324" s="137">
        <v>0</v>
      </c>
      <c r="AC324" s="137">
        <v>200000000</v>
      </c>
      <c r="AD324" s="137">
        <v>18060000</v>
      </c>
      <c r="AE324" s="137">
        <v>249999.75000000003</v>
      </c>
      <c r="AF324" s="137">
        <v>249999.75000000003</v>
      </c>
      <c r="AG324" s="137">
        <v>500000</v>
      </c>
      <c r="AH324" s="153"/>
      <c r="AI324" s="167">
        <v>0</v>
      </c>
      <c r="AJ324" s="153"/>
      <c r="AK324" s="153"/>
      <c r="AL324" s="154">
        <v>98.5</v>
      </c>
      <c r="AM324" s="154">
        <v>0.1032</v>
      </c>
      <c r="AN324" s="168" t="s">
        <v>1326</v>
      </c>
      <c r="AO324" s="168">
        <v>45815</v>
      </c>
      <c r="AP324" s="154">
        <v>0</v>
      </c>
      <c r="AQ324" s="168"/>
      <c r="AR324" s="155">
        <v>1.4285700000000001E-3</v>
      </c>
      <c r="AS324" s="152">
        <v>6.497E-2</v>
      </c>
      <c r="AT324" s="154">
        <v>0</v>
      </c>
      <c r="AU324" s="137">
        <v>0.10708301000000001</v>
      </c>
      <c r="AV324" s="137">
        <v>0</v>
      </c>
      <c r="AW324" s="137">
        <v>25799.974200000001</v>
      </c>
      <c r="AX324" s="137">
        <v>132488.76787078276</v>
      </c>
      <c r="AY324" s="137">
        <v>246249.75375000003</v>
      </c>
      <c r="AZ324" s="137">
        <v>3909.5974537345605</v>
      </c>
      <c r="BA324" s="137">
        <v>30579.134360205946</v>
      </c>
      <c r="BB324" s="137">
        <v>0</v>
      </c>
      <c r="BC324" s="137">
        <v>0</v>
      </c>
      <c r="BD324" s="137">
        <v>0</v>
      </c>
      <c r="BE324" s="137">
        <v>0</v>
      </c>
      <c r="BF324" s="137">
        <v>0</v>
      </c>
      <c r="BG324" s="137">
        <v>249999.75000000003</v>
      </c>
      <c r="BH324" s="137">
        <v>249999.75000000003</v>
      </c>
      <c r="BI324" s="137">
        <v>249999.75000000003</v>
      </c>
      <c r="BJ324" s="137">
        <v>0.98329999999999995</v>
      </c>
      <c r="BK324" s="137">
        <v>4.1666625000000006E-2</v>
      </c>
      <c r="BL324" s="113">
        <v>0</v>
      </c>
      <c r="BM324" s="113" t="s">
        <v>1663</v>
      </c>
      <c r="BN324" s="168">
        <v>0</v>
      </c>
      <c r="BO324" s="152">
        <v>0</v>
      </c>
      <c r="BP324" s="152">
        <v>0</v>
      </c>
      <c r="BQ324" s="137">
        <v>249999.75000000003</v>
      </c>
      <c r="BR324" s="137">
        <v>0</v>
      </c>
      <c r="BS324" s="166" t="s">
        <v>1806</v>
      </c>
      <c r="BT324" s="168">
        <v>0.15153493656340788</v>
      </c>
      <c r="BU324" s="137">
        <v>68248.821787078268</v>
      </c>
      <c r="BV324" s="137">
        <v>21890.37674626544</v>
      </c>
      <c r="BW324" s="137">
        <v>0.32074365788406917</v>
      </c>
      <c r="BX324" s="89">
        <v>0.84846506343659212</v>
      </c>
      <c r="BY324" s="89">
        <v>0</v>
      </c>
      <c r="BZ324" s="153">
        <v>0</v>
      </c>
      <c r="CA324" s="153">
        <v>0</v>
      </c>
      <c r="CB324" s="153">
        <v>45815</v>
      </c>
      <c r="CC324" s="153">
        <v>45815</v>
      </c>
      <c r="CD324" s="153"/>
      <c r="CE324" s="153"/>
      <c r="CF324" s="153"/>
      <c r="CG324" s="34" t="s">
        <v>139</v>
      </c>
      <c r="CH324" s="34" t="s">
        <v>1333</v>
      </c>
    </row>
    <row r="325" spans="1:86" x14ac:dyDescent="0.3">
      <c r="A325" s="34">
        <v>15</v>
      </c>
      <c r="B325" s="34" t="s">
        <v>1000</v>
      </c>
      <c r="C325" s="34" t="s">
        <v>1353</v>
      </c>
      <c r="D325" s="34" t="s">
        <v>133</v>
      </c>
      <c r="E325" s="34" t="s">
        <v>1336</v>
      </c>
      <c r="F325" s="34"/>
      <c r="G325" s="34"/>
      <c r="H325" s="34" t="s">
        <v>1456</v>
      </c>
      <c r="I325" s="34" t="s">
        <v>1003</v>
      </c>
      <c r="J325" s="34" t="s">
        <v>1806</v>
      </c>
      <c r="K325" s="34"/>
      <c r="L325" s="34">
        <v>9.7000000000000003E-3</v>
      </c>
      <c r="M325" s="34">
        <v>6.0000000000000001E-3</v>
      </c>
      <c r="N325" s="153">
        <v>1</v>
      </c>
      <c r="O325" s="34">
        <v>0</v>
      </c>
      <c r="P325" s="34"/>
      <c r="Q325" s="153">
        <v>45104</v>
      </c>
      <c r="R325" s="153">
        <v>46332</v>
      </c>
      <c r="S325" s="153">
        <v>129</v>
      </c>
      <c r="T325" s="34"/>
      <c r="U325" s="153" t="s">
        <v>1325</v>
      </c>
      <c r="V325" s="153" t="s">
        <v>1807</v>
      </c>
      <c r="W325" s="153">
        <v>1</v>
      </c>
      <c r="X325" s="166"/>
      <c r="Y325" s="137"/>
      <c r="Z325" s="137"/>
      <c r="AA325" s="137"/>
      <c r="AB325" s="137">
        <v>0</v>
      </c>
      <c r="AC325" s="137">
        <v>150000000</v>
      </c>
      <c r="AD325" s="137">
        <v>12256230</v>
      </c>
      <c r="AE325" s="137">
        <v>250000.5</v>
      </c>
      <c r="AF325" s="137">
        <v>250000.5</v>
      </c>
      <c r="AG325" s="137">
        <v>250000</v>
      </c>
      <c r="AH325" s="153"/>
      <c r="AI325" s="167">
        <v>0</v>
      </c>
      <c r="AJ325" s="153"/>
      <c r="AK325" s="153"/>
      <c r="AL325" s="154">
        <v>102.4</v>
      </c>
      <c r="AM325" s="154">
        <v>8.1708199999999995E-2</v>
      </c>
      <c r="AN325" s="168" t="s">
        <v>1326</v>
      </c>
      <c r="AO325" s="168">
        <v>45763</v>
      </c>
      <c r="AP325" s="154">
        <v>0</v>
      </c>
      <c r="AQ325" s="168"/>
      <c r="AR325" s="155">
        <v>1.6666700000000001E-3</v>
      </c>
      <c r="AS325" s="152">
        <v>4.3428769999999998E-2</v>
      </c>
      <c r="AT325" s="154">
        <v>0</v>
      </c>
      <c r="AU325" s="137">
        <v>6.8990380000000004E-2</v>
      </c>
      <c r="AV325" s="137">
        <v>0</v>
      </c>
      <c r="AW325" s="137">
        <v>20427.090854099999</v>
      </c>
      <c r="AX325" s="137">
        <v>25000.05</v>
      </c>
      <c r="AY325" s="137">
        <v>256000.51200000002</v>
      </c>
      <c r="AZ325" s="137">
        <v>1946.8788937500001</v>
      </c>
      <c r="BA325" s="137">
        <v>20829.125148716455</v>
      </c>
      <c r="BB325" s="137">
        <v>0</v>
      </c>
      <c r="BC325" s="137">
        <v>0</v>
      </c>
      <c r="BD325" s="137">
        <v>0</v>
      </c>
      <c r="BE325" s="137">
        <v>0</v>
      </c>
      <c r="BF325" s="137">
        <v>0</v>
      </c>
      <c r="BG325" s="137">
        <v>0</v>
      </c>
      <c r="BH325" s="137">
        <v>0</v>
      </c>
      <c r="BI325" s="137">
        <v>250000.5</v>
      </c>
      <c r="BJ325" s="137">
        <v>0.99029999999999996</v>
      </c>
      <c r="BK325" s="137">
        <v>4.1666750000000002E-2</v>
      </c>
      <c r="BL325" s="113">
        <v>0</v>
      </c>
      <c r="BM325" s="113" t="s">
        <v>1663</v>
      </c>
      <c r="BN325" s="168">
        <v>0</v>
      </c>
      <c r="BO325" s="152">
        <v>0</v>
      </c>
      <c r="BP325" s="152">
        <v>0</v>
      </c>
      <c r="BQ325" s="137">
        <v>250000.5</v>
      </c>
      <c r="BR325" s="137">
        <v>0</v>
      </c>
      <c r="BS325" s="166" t="s">
        <v>1806</v>
      </c>
      <c r="BT325" s="168">
        <v>9.5308671589877159E-2</v>
      </c>
      <c r="BU325" s="137">
        <v>27187.554375</v>
      </c>
      <c r="BV325" s="137">
        <v>18480.21196035</v>
      </c>
      <c r="BW325" s="137">
        <v>0.67973057471264364</v>
      </c>
      <c r="BX325" s="89">
        <v>0.9046913284101229</v>
      </c>
      <c r="BY325" s="89">
        <v>0</v>
      </c>
      <c r="BZ325" s="153">
        <v>0</v>
      </c>
      <c r="CA325" s="153">
        <v>0</v>
      </c>
      <c r="CB325" s="153">
        <v>45763</v>
      </c>
      <c r="CC325" s="153">
        <v>45763</v>
      </c>
      <c r="CD325" s="153"/>
      <c r="CE325" s="153"/>
      <c r="CF325" s="153"/>
      <c r="CG325" s="34" t="s">
        <v>1347</v>
      </c>
      <c r="CH325" s="34" t="s">
        <v>1333</v>
      </c>
    </row>
    <row r="326" spans="1:86" x14ac:dyDescent="0.3">
      <c r="A326" s="34">
        <v>16</v>
      </c>
      <c r="B326" s="34" t="s">
        <v>1028</v>
      </c>
      <c r="C326" s="34" t="s">
        <v>1339</v>
      </c>
      <c r="D326" s="34" t="s">
        <v>528</v>
      </c>
      <c r="E326" s="34" t="s">
        <v>1340</v>
      </c>
      <c r="F326" s="34" t="s">
        <v>1808</v>
      </c>
      <c r="G326" s="34"/>
      <c r="H326" s="34" t="s">
        <v>1456</v>
      </c>
      <c r="I326" s="34" t="s">
        <v>1029</v>
      </c>
      <c r="J326" s="34" t="s">
        <v>1806</v>
      </c>
      <c r="K326" s="34"/>
      <c r="L326" s="34">
        <v>8.5000000000000006E-3</v>
      </c>
      <c r="M326" s="34">
        <v>7.7000000000000002E-3</v>
      </c>
      <c r="N326" s="153">
        <v>1</v>
      </c>
      <c r="O326" s="34">
        <v>0</v>
      </c>
      <c r="P326" s="34"/>
      <c r="Q326" s="153">
        <v>45267</v>
      </c>
      <c r="R326" s="153">
        <v>46363</v>
      </c>
      <c r="S326" s="153">
        <v>160</v>
      </c>
      <c r="T326" s="34"/>
      <c r="U326" s="153" t="s">
        <v>1325</v>
      </c>
      <c r="V326" s="153" t="s">
        <v>1807</v>
      </c>
      <c r="W326" s="153">
        <v>1</v>
      </c>
      <c r="X326" s="166"/>
      <c r="Y326" s="137"/>
      <c r="Z326" s="137"/>
      <c r="AA326" s="137"/>
      <c r="AB326" s="137">
        <v>0</v>
      </c>
      <c r="AC326" s="137">
        <v>1000000000</v>
      </c>
      <c r="AD326" s="137">
        <v>27960000</v>
      </c>
      <c r="AE326" s="137">
        <v>249999</v>
      </c>
      <c r="AF326" s="137">
        <v>249999</v>
      </c>
      <c r="AG326" s="137">
        <v>250000</v>
      </c>
      <c r="AH326" s="153"/>
      <c r="AI326" s="167">
        <v>0</v>
      </c>
      <c r="AJ326" s="153"/>
      <c r="AK326" s="153"/>
      <c r="AL326" s="154">
        <v>103.95</v>
      </c>
      <c r="AM326" s="154">
        <v>9.3200000000000005E-2</v>
      </c>
      <c r="AN326" s="168" t="s">
        <v>1326</v>
      </c>
      <c r="AO326" s="168">
        <v>45751</v>
      </c>
      <c r="AP326" s="154">
        <v>0</v>
      </c>
      <c r="AQ326" s="168"/>
      <c r="AR326" s="155">
        <v>8.3332999999999996E-4</v>
      </c>
      <c r="AS326" s="152">
        <v>5.500062E-2</v>
      </c>
      <c r="AT326" s="154">
        <v>0</v>
      </c>
      <c r="AU326" s="137">
        <v>7.1253140000000006E-2</v>
      </c>
      <c r="AV326" s="137">
        <v>0</v>
      </c>
      <c r="AW326" s="137">
        <v>23299.906800000001</v>
      </c>
      <c r="AX326" s="137">
        <v>24999.899999999994</v>
      </c>
      <c r="AY326" s="137">
        <v>259873.96050000002</v>
      </c>
      <c r="AZ326" s="137">
        <v>2019.6864694769979</v>
      </c>
      <c r="BA326" s="137">
        <v>22128.200213811611</v>
      </c>
      <c r="BB326" s="137">
        <v>0</v>
      </c>
      <c r="BC326" s="137">
        <v>0</v>
      </c>
      <c r="BD326" s="137">
        <v>0</v>
      </c>
      <c r="BE326" s="137">
        <v>0</v>
      </c>
      <c r="BF326" s="137">
        <v>0</v>
      </c>
      <c r="BG326" s="137">
        <v>0</v>
      </c>
      <c r="BH326" s="137">
        <v>0</v>
      </c>
      <c r="BI326" s="137">
        <v>249999</v>
      </c>
      <c r="BJ326" s="137">
        <v>0.99150000000000005</v>
      </c>
      <c r="BK326" s="137">
        <v>4.1666500000000002E-2</v>
      </c>
      <c r="BL326" s="113">
        <v>0</v>
      </c>
      <c r="BM326" s="113" t="s">
        <v>1663</v>
      </c>
      <c r="BN326" s="168">
        <v>0</v>
      </c>
      <c r="BO326" s="152">
        <v>0</v>
      </c>
      <c r="BP326" s="152">
        <v>0</v>
      </c>
      <c r="BQ326" s="137">
        <v>249999</v>
      </c>
      <c r="BR326" s="137">
        <v>0</v>
      </c>
      <c r="BS326" s="166" t="s">
        <v>1806</v>
      </c>
      <c r="BT326" s="168">
        <v>8.6682169453012478E-2</v>
      </c>
      <c r="BU326" s="137">
        <v>47499.81</v>
      </c>
      <c r="BV326" s="137">
        <v>21280.220330523003</v>
      </c>
      <c r="BW326" s="137">
        <v>0.44800643056304867</v>
      </c>
      <c r="BX326" s="89">
        <v>0.91331783054698756</v>
      </c>
      <c r="BY326" s="89">
        <v>0</v>
      </c>
      <c r="BZ326" s="153">
        <v>0</v>
      </c>
      <c r="CA326" s="153">
        <v>0</v>
      </c>
      <c r="CB326" s="153">
        <v>45751</v>
      </c>
      <c r="CC326" s="153">
        <v>45751</v>
      </c>
      <c r="CD326" s="153"/>
      <c r="CE326" s="153"/>
      <c r="CF326" s="153"/>
      <c r="CG326" s="34" t="s">
        <v>139</v>
      </c>
      <c r="CH326" s="34" t="s">
        <v>1329</v>
      </c>
    </row>
    <row r="327" spans="1:86" x14ac:dyDescent="0.3">
      <c r="A327" s="34">
        <v>17</v>
      </c>
      <c r="B327" s="34" t="s">
        <v>1061</v>
      </c>
      <c r="C327" s="34" t="s">
        <v>1354</v>
      </c>
      <c r="D327" s="34" t="s">
        <v>133</v>
      </c>
      <c r="E327" s="34" t="s">
        <v>1336</v>
      </c>
      <c r="F327" s="34" t="s">
        <v>1805</v>
      </c>
      <c r="G327" s="34"/>
      <c r="H327" s="34" t="s">
        <v>1456</v>
      </c>
      <c r="I327" s="34" t="s">
        <v>1064</v>
      </c>
      <c r="J327" s="34" t="s">
        <v>1806</v>
      </c>
      <c r="K327" s="34"/>
      <c r="L327" s="34">
        <v>1.7600000000000001E-2</v>
      </c>
      <c r="M327" s="34">
        <v>0</v>
      </c>
      <c r="N327" s="153">
        <v>1</v>
      </c>
      <c r="O327" s="34">
        <v>0</v>
      </c>
      <c r="P327" s="34"/>
      <c r="Q327" s="153">
        <v>45287</v>
      </c>
      <c r="R327" s="153">
        <v>46395</v>
      </c>
      <c r="S327" s="153">
        <v>192</v>
      </c>
      <c r="T327" s="34"/>
      <c r="U327" s="153" t="s">
        <v>1325</v>
      </c>
      <c r="V327" s="153" t="s">
        <v>1807</v>
      </c>
      <c r="W327" s="153">
        <v>1</v>
      </c>
      <c r="X327" s="166"/>
      <c r="Y327" s="137"/>
      <c r="Z327" s="137"/>
      <c r="AA327" s="137"/>
      <c r="AB327" s="137">
        <v>0</v>
      </c>
      <c r="AC327" s="137">
        <v>301000000</v>
      </c>
      <c r="AD327" s="137">
        <v>20180000</v>
      </c>
      <c r="AE327" s="137">
        <v>250000</v>
      </c>
      <c r="AF327" s="137">
        <v>250000</v>
      </c>
      <c r="AG327" s="137">
        <v>250000</v>
      </c>
      <c r="AH327" s="153"/>
      <c r="AI327" s="167">
        <v>0</v>
      </c>
      <c r="AJ327" s="153"/>
      <c r="AK327" s="153"/>
      <c r="AL327" s="154">
        <v>103.1</v>
      </c>
      <c r="AM327" s="154">
        <v>0.1009</v>
      </c>
      <c r="AN327" s="168" t="s">
        <v>1326</v>
      </c>
      <c r="AO327" s="168">
        <v>45770</v>
      </c>
      <c r="AP327" s="154">
        <v>0</v>
      </c>
      <c r="AQ327" s="168"/>
      <c r="AR327" s="155">
        <v>1.25E-3</v>
      </c>
      <c r="AS327" s="152">
        <v>6.2344139999999999E-2</v>
      </c>
      <c r="AT327" s="154">
        <v>0</v>
      </c>
      <c r="AU327" s="137">
        <v>8.4681469999999995E-2</v>
      </c>
      <c r="AV327" s="137">
        <v>0</v>
      </c>
      <c r="AW327" s="137">
        <v>25225.000000000004</v>
      </c>
      <c r="AX327" s="137">
        <v>213632.79258852778</v>
      </c>
      <c r="AY327" s="137">
        <v>257750</v>
      </c>
      <c r="AZ327" s="137">
        <v>3592.3576575519792</v>
      </c>
      <c r="BA327" s="137">
        <v>28646.09637168363</v>
      </c>
      <c r="BB327" s="137">
        <v>0</v>
      </c>
      <c r="BC327" s="137">
        <v>0</v>
      </c>
      <c r="BD327" s="137">
        <v>0</v>
      </c>
      <c r="BE327" s="137">
        <v>0</v>
      </c>
      <c r="BF327" s="137">
        <v>0</v>
      </c>
      <c r="BG327" s="137">
        <v>175034.94974073794</v>
      </c>
      <c r="BH327" s="137">
        <v>250000.00103749998</v>
      </c>
      <c r="BI327" s="137">
        <v>250000.00103749998</v>
      </c>
      <c r="BJ327" s="137">
        <v>0.9829</v>
      </c>
      <c r="BK327" s="137">
        <v>4.1666666666666664E-2</v>
      </c>
      <c r="BL327" s="113">
        <v>0</v>
      </c>
      <c r="BM327" s="113" t="s">
        <v>1663</v>
      </c>
      <c r="BN327" s="168">
        <v>0</v>
      </c>
      <c r="BO327" s="152">
        <v>0</v>
      </c>
      <c r="BP327" s="152">
        <v>0</v>
      </c>
      <c r="BQ327" s="137">
        <v>250000</v>
      </c>
      <c r="BR327" s="137">
        <v>0</v>
      </c>
      <c r="BS327" s="166" t="s">
        <v>1806</v>
      </c>
      <c r="BT327" s="168">
        <v>0.14241259296539063</v>
      </c>
      <c r="BU327" s="137">
        <v>204916.75127455965</v>
      </c>
      <c r="BV327" s="137">
        <v>21632.642342448024</v>
      </c>
      <c r="BW327" s="137">
        <v>0.10556795482992663</v>
      </c>
      <c r="BX327" s="89">
        <v>0.85758740703460934</v>
      </c>
      <c r="BY327" s="89">
        <v>0</v>
      </c>
      <c r="BZ327" s="153">
        <v>0</v>
      </c>
      <c r="CA327" s="153">
        <v>0</v>
      </c>
      <c r="CB327" s="153">
        <v>45770</v>
      </c>
      <c r="CC327" s="153">
        <v>45770</v>
      </c>
      <c r="CD327" s="153"/>
      <c r="CE327" s="153"/>
      <c r="CF327" s="153"/>
      <c r="CG327" s="34" t="s">
        <v>139</v>
      </c>
      <c r="CH327" s="34" t="s">
        <v>1333</v>
      </c>
    </row>
    <row r="328" spans="1:86" x14ac:dyDescent="0.3">
      <c r="A328" s="34">
        <v>18</v>
      </c>
      <c r="B328" s="34" t="s">
        <v>1061</v>
      </c>
      <c r="C328" s="34" t="s">
        <v>1354</v>
      </c>
      <c r="D328" s="34" t="s">
        <v>133</v>
      </c>
      <c r="E328" s="34" t="s">
        <v>1336</v>
      </c>
      <c r="F328" s="34" t="s">
        <v>1805</v>
      </c>
      <c r="G328" s="34"/>
      <c r="H328" s="34" t="s">
        <v>1456</v>
      </c>
      <c r="I328" s="34" t="s">
        <v>1064</v>
      </c>
      <c r="J328" s="34" t="s">
        <v>1806</v>
      </c>
      <c r="K328" s="34"/>
      <c r="L328" s="34">
        <v>1.7600000000000001E-2</v>
      </c>
      <c r="M328" s="34">
        <v>0</v>
      </c>
      <c r="N328" s="153">
        <v>1</v>
      </c>
      <c r="O328" s="34">
        <v>0</v>
      </c>
      <c r="P328" s="34"/>
      <c r="Q328" s="153">
        <v>45287</v>
      </c>
      <c r="R328" s="153">
        <v>46395</v>
      </c>
      <c r="S328" s="153">
        <v>192</v>
      </c>
      <c r="T328" s="34"/>
      <c r="U328" s="153" t="s">
        <v>1325</v>
      </c>
      <c r="V328" s="153" t="s">
        <v>1807</v>
      </c>
      <c r="W328" s="153">
        <v>1</v>
      </c>
      <c r="X328" s="166"/>
      <c r="Y328" s="137"/>
      <c r="Z328" s="137"/>
      <c r="AA328" s="137"/>
      <c r="AB328" s="137">
        <v>0</v>
      </c>
      <c r="AC328" s="137">
        <v>301000000</v>
      </c>
      <c r="AD328" s="137">
        <v>20180000</v>
      </c>
      <c r="AE328" s="137">
        <v>250000</v>
      </c>
      <c r="AF328" s="137">
        <v>250000</v>
      </c>
      <c r="AG328" s="137">
        <v>250000</v>
      </c>
      <c r="AH328" s="153"/>
      <c r="AI328" s="167">
        <v>0</v>
      </c>
      <c r="AJ328" s="153"/>
      <c r="AK328" s="153"/>
      <c r="AL328" s="154">
        <v>103.6</v>
      </c>
      <c r="AM328" s="154">
        <v>0.1009</v>
      </c>
      <c r="AN328" s="168" t="s">
        <v>1326</v>
      </c>
      <c r="AO328" s="168">
        <v>45889</v>
      </c>
      <c r="AP328" s="154">
        <v>0</v>
      </c>
      <c r="AQ328" s="168"/>
      <c r="AR328" s="155">
        <v>1.25E-3</v>
      </c>
      <c r="AS328" s="152">
        <v>6.2344139999999999E-2</v>
      </c>
      <c r="AT328" s="154">
        <v>0</v>
      </c>
      <c r="AU328" s="137">
        <v>7.6477260000000005E-2</v>
      </c>
      <c r="AV328" s="137">
        <v>0</v>
      </c>
      <c r="AW328" s="137">
        <v>25225.000000000004</v>
      </c>
      <c r="AX328" s="137">
        <v>213632.79258852778</v>
      </c>
      <c r="AY328" s="137">
        <v>259000</v>
      </c>
      <c r="AZ328" s="137">
        <v>3592.3576575519778</v>
      </c>
      <c r="BA328" s="137">
        <v>28646.096371683623</v>
      </c>
      <c r="BB328" s="137">
        <v>0</v>
      </c>
      <c r="BC328" s="137">
        <v>0</v>
      </c>
      <c r="BD328" s="137">
        <v>0</v>
      </c>
      <c r="BE328" s="137">
        <v>0</v>
      </c>
      <c r="BF328" s="137">
        <v>0</v>
      </c>
      <c r="BG328" s="137">
        <v>175034.94974073794</v>
      </c>
      <c r="BH328" s="137">
        <v>250000.00103749998</v>
      </c>
      <c r="BI328" s="137">
        <v>250000.00103749998</v>
      </c>
      <c r="BJ328" s="137">
        <v>0.9829</v>
      </c>
      <c r="BK328" s="137">
        <v>4.1666666666666664E-2</v>
      </c>
      <c r="BL328" s="113">
        <v>0</v>
      </c>
      <c r="BM328" s="113" t="s">
        <v>1663</v>
      </c>
      <c r="BN328" s="168">
        <v>0</v>
      </c>
      <c r="BO328" s="152">
        <v>0</v>
      </c>
      <c r="BP328" s="152">
        <v>0</v>
      </c>
      <c r="BQ328" s="137">
        <v>250000</v>
      </c>
      <c r="BR328" s="137">
        <v>0</v>
      </c>
      <c r="BS328" s="166" t="s">
        <v>1806</v>
      </c>
      <c r="BT328" s="168">
        <v>0.14241259296539058</v>
      </c>
      <c r="BU328" s="137">
        <v>204916.75127455965</v>
      </c>
      <c r="BV328" s="137">
        <v>21632.642342448027</v>
      </c>
      <c r="BW328" s="137">
        <v>0.10556795482992665</v>
      </c>
      <c r="BX328" s="89">
        <v>0.85758740703460945</v>
      </c>
      <c r="BY328" s="89">
        <v>0</v>
      </c>
      <c r="BZ328" s="153">
        <v>0</v>
      </c>
      <c r="CA328" s="153">
        <v>0</v>
      </c>
      <c r="CB328" s="153">
        <v>45889</v>
      </c>
      <c r="CC328" s="153">
        <v>45889</v>
      </c>
      <c r="CD328" s="153"/>
      <c r="CE328" s="153"/>
      <c r="CF328" s="153"/>
      <c r="CG328" s="34" t="s">
        <v>139</v>
      </c>
      <c r="CH328" s="34" t="s">
        <v>1333</v>
      </c>
    </row>
    <row r="329" spans="1:86" x14ac:dyDescent="0.3">
      <c r="A329" s="34">
        <v>19</v>
      </c>
      <c r="B329" s="34" t="s">
        <v>1099</v>
      </c>
      <c r="C329" s="34" t="s">
        <v>1358</v>
      </c>
      <c r="D329" s="34" t="s">
        <v>133</v>
      </c>
      <c r="E329" s="34" t="s">
        <v>1336</v>
      </c>
      <c r="F329" s="34" t="s">
        <v>1805</v>
      </c>
      <c r="G329" s="34"/>
      <c r="H329" s="34" t="s">
        <v>1456</v>
      </c>
      <c r="I329" s="34" t="s">
        <v>1100</v>
      </c>
      <c r="J329" s="34" t="s">
        <v>1806</v>
      </c>
      <c r="K329" s="34"/>
      <c r="L329" s="34">
        <v>7.0000000000000001E-3</v>
      </c>
      <c r="M329" s="34">
        <v>0</v>
      </c>
      <c r="N329" s="153">
        <v>1</v>
      </c>
      <c r="O329" s="34">
        <v>0</v>
      </c>
      <c r="P329" s="34"/>
      <c r="Q329" s="153">
        <v>45126</v>
      </c>
      <c r="R329" s="153">
        <v>46241</v>
      </c>
      <c r="S329" s="153">
        <v>38</v>
      </c>
      <c r="T329" s="34"/>
      <c r="U329" s="153" t="s">
        <v>1325</v>
      </c>
      <c r="V329" s="153" t="s">
        <v>1807</v>
      </c>
      <c r="W329" s="153">
        <v>1</v>
      </c>
      <c r="X329" s="166"/>
      <c r="Y329" s="137"/>
      <c r="Z329" s="137"/>
      <c r="AA329" s="137"/>
      <c r="AB329" s="137">
        <v>0</v>
      </c>
      <c r="AC329" s="137">
        <v>300000000</v>
      </c>
      <c r="AD329" s="137">
        <v>10040000</v>
      </c>
      <c r="AE329" s="137">
        <v>250000</v>
      </c>
      <c r="AF329" s="137">
        <v>250000</v>
      </c>
      <c r="AG329" s="137">
        <v>250000</v>
      </c>
      <c r="AH329" s="153"/>
      <c r="AI329" s="167">
        <v>0</v>
      </c>
      <c r="AJ329" s="153"/>
      <c r="AK329" s="153"/>
      <c r="AL329" s="154">
        <v>101.95</v>
      </c>
      <c r="AM329" s="154">
        <v>0.1004</v>
      </c>
      <c r="AN329" s="168" t="s">
        <v>1326</v>
      </c>
      <c r="AO329" s="168">
        <v>45777</v>
      </c>
      <c r="AP329" s="154">
        <v>0</v>
      </c>
      <c r="AQ329" s="168"/>
      <c r="AR329" s="155">
        <v>2.5000000000000001E-3</v>
      </c>
      <c r="AS329" s="152">
        <v>6.1561049999999999E-2</v>
      </c>
      <c r="AT329" s="154">
        <v>0</v>
      </c>
      <c r="AU329" s="137">
        <v>8.6950429999999995E-2</v>
      </c>
      <c r="AV329" s="137">
        <v>0</v>
      </c>
      <c r="AW329" s="137">
        <v>25100.000000000004</v>
      </c>
      <c r="AX329" s="137">
        <v>78275.694878462484</v>
      </c>
      <c r="AY329" s="137">
        <v>254875</v>
      </c>
      <c r="AZ329" s="137">
        <v>962.19950362076702</v>
      </c>
      <c r="BA329" s="137">
        <v>13617.280628733681</v>
      </c>
      <c r="BB329" s="137">
        <v>0</v>
      </c>
      <c r="BC329" s="137">
        <v>0</v>
      </c>
      <c r="BD329" s="137">
        <v>0</v>
      </c>
      <c r="BE329" s="137">
        <v>0</v>
      </c>
      <c r="BF329" s="137">
        <v>0</v>
      </c>
      <c r="BG329" s="137">
        <v>0</v>
      </c>
      <c r="BH329" s="137">
        <v>0</v>
      </c>
      <c r="BI329" s="137">
        <v>233793.04499264315</v>
      </c>
      <c r="BJ329" s="137">
        <v>0.99380000000000002</v>
      </c>
      <c r="BK329" s="137">
        <v>4.1666666666666664E-2</v>
      </c>
      <c r="BL329" s="113">
        <v>0</v>
      </c>
      <c r="BM329" s="113" t="s">
        <v>1663</v>
      </c>
      <c r="BN329" s="168">
        <v>0</v>
      </c>
      <c r="BO329" s="152">
        <v>0</v>
      </c>
      <c r="BP329" s="152">
        <v>0</v>
      </c>
      <c r="BQ329" s="137">
        <v>250000</v>
      </c>
      <c r="BR329" s="137">
        <v>0</v>
      </c>
      <c r="BS329" s="166" t="s">
        <v>1806</v>
      </c>
      <c r="BT329" s="168">
        <v>3.8334641578516605E-2</v>
      </c>
      <c r="BU329" s="137">
        <v>24883.360704355491</v>
      </c>
      <c r="BV329" s="137">
        <v>24137.800496379237</v>
      </c>
      <c r="BW329" s="137">
        <v>0.97003780088893887</v>
      </c>
      <c r="BX329" s="89">
        <v>0.96166535842148337</v>
      </c>
      <c r="BY329" s="89">
        <v>0</v>
      </c>
      <c r="BZ329" s="153">
        <v>0</v>
      </c>
      <c r="CA329" s="153">
        <v>0</v>
      </c>
      <c r="CB329" s="153">
        <v>45777</v>
      </c>
      <c r="CC329" s="153">
        <v>45777</v>
      </c>
      <c r="CD329" s="153"/>
      <c r="CE329" s="153"/>
      <c r="CF329" s="153"/>
      <c r="CG329" s="34" t="s">
        <v>139</v>
      </c>
      <c r="CH329" s="34" t="s">
        <v>1333</v>
      </c>
    </row>
    <row r="330" spans="1:86" x14ac:dyDescent="0.3">
      <c r="A330" s="34">
        <v>20</v>
      </c>
      <c r="B330" s="34" t="s">
        <v>1114</v>
      </c>
      <c r="C330" s="34" t="s">
        <v>1342</v>
      </c>
      <c r="D330" s="34" t="s">
        <v>150</v>
      </c>
      <c r="E330" s="34" t="s">
        <v>1336</v>
      </c>
      <c r="F330" s="34" t="s">
        <v>1805</v>
      </c>
      <c r="G330" s="34"/>
      <c r="H330" s="34" t="s">
        <v>1456</v>
      </c>
      <c r="I330" s="34" t="s">
        <v>1117</v>
      </c>
      <c r="J330" s="34" t="s">
        <v>1806</v>
      </c>
      <c r="K330" s="34"/>
      <c r="L330" s="34">
        <v>1.4999999999999999E-2</v>
      </c>
      <c r="M330" s="34">
        <v>9.1999999999999998E-3</v>
      </c>
      <c r="N330" s="153">
        <v>1</v>
      </c>
      <c r="O330" s="34">
        <v>0</v>
      </c>
      <c r="P330" s="34"/>
      <c r="Q330" s="153">
        <v>45649</v>
      </c>
      <c r="R330" s="153">
        <v>46849</v>
      </c>
      <c r="S330" s="153">
        <v>646</v>
      </c>
      <c r="T330" s="34"/>
      <c r="U330" s="153" t="s">
        <v>1325</v>
      </c>
      <c r="V330" s="153" t="s">
        <v>1807</v>
      </c>
      <c r="W330" s="153">
        <v>1</v>
      </c>
      <c r="X330" s="166"/>
      <c r="Y330" s="137"/>
      <c r="Z330" s="137"/>
      <c r="AA330" s="137"/>
      <c r="AB330" s="137">
        <v>0</v>
      </c>
      <c r="AC330" s="137">
        <v>300000000</v>
      </c>
      <c r="AD330" s="137">
        <v>17920000</v>
      </c>
      <c r="AE330" s="137">
        <v>250000</v>
      </c>
      <c r="AF330" s="137">
        <v>250000</v>
      </c>
      <c r="AG330" s="137">
        <v>250000</v>
      </c>
      <c r="AH330" s="153"/>
      <c r="AI330" s="167">
        <v>0</v>
      </c>
      <c r="AJ330" s="153"/>
      <c r="AK330" s="153"/>
      <c r="AL330" s="154">
        <v>100.65</v>
      </c>
      <c r="AM330" s="154">
        <v>8.9599999999999999E-2</v>
      </c>
      <c r="AN330" s="168" t="s">
        <v>1326</v>
      </c>
      <c r="AO330" s="168">
        <v>45755</v>
      </c>
      <c r="AP330" s="154">
        <v>0</v>
      </c>
      <c r="AQ330" s="168"/>
      <c r="AR330" s="155">
        <v>1.25E-3</v>
      </c>
      <c r="AS330" s="152">
        <v>5.1341879999999999E-2</v>
      </c>
      <c r="AT330" s="154">
        <v>0</v>
      </c>
      <c r="AU330" s="137">
        <v>9.0424110000000002E-2</v>
      </c>
      <c r="AV330" s="137">
        <v>0</v>
      </c>
      <c r="AW330" s="137">
        <v>22400</v>
      </c>
      <c r="AX330" s="137">
        <v>178534.38013186408</v>
      </c>
      <c r="AY330" s="137">
        <v>251625</v>
      </c>
      <c r="AZ330" s="137">
        <v>2970.2306110109012</v>
      </c>
      <c r="BA330" s="137">
        <v>25886.925799512042</v>
      </c>
      <c r="BB330" s="137">
        <v>0</v>
      </c>
      <c r="BC330" s="137">
        <v>0</v>
      </c>
      <c r="BD330" s="137">
        <v>0</v>
      </c>
      <c r="BE330" s="137">
        <v>0</v>
      </c>
      <c r="BF330" s="137">
        <v>0</v>
      </c>
      <c r="BG330" s="137">
        <v>75931.153607653789</v>
      </c>
      <c r="BH330" s="137">
        <v>212102.31331062448</v>
      </c>
      <c r="BI330" s="137">
        <v>250000.00125</v>
      </c>
      <c r="BJ330" s="137">
        <v>0.98550000000000004</v>
      </c>
      <c r="BK330" s="137">
        <v>4.1666666666666664E-2</v>
      </c>
      <c r="BL330" s="113">
        <v>0</v>
      </c>
      <c r="BM330" s="113" t="s">
        <v>1663</v>
      </c>
      <c r="BN330" s="168">
        <v>0</v>
      </c>
      <c r="BO330" s="152">
        <v>0</v>
      </c>
      <c r="BP330" s="152">
        <v>0</v>
      </c>
      <c r="BQ330" s="137">
        <v>250000</v>
      </c>
      <c r="BR330" s="137">
        <v>0</v>
      </c>
      <c r="BS330" s="166" t="s">
        <v>1806</v>
      </c>
      <c r="BT330" s="168">
        <v>0.13259958084870094</v>
      </c>
      <c r="BU330" s="137">
        <v>88914.332985633519</v>
      </c>
      <c r="BV330" s="137">
        <v>19429.769388989098</v>
      </c>
      <c r="BW330" s="137">
        <v>0.2185223544569411</v>
      </c>
      <c r="BX330" s="89">
        <v>0.86740041915129906</v>
      </c>
      <c r="BY330" s="89">
        <v>0</v>
      </c>
      <c r="BZ330" s="153">
        <v>0</v>
      </c>
      <c r="CA330" s="153">
        <v>0</v>
      </c>
      <c r="CB330" s="153">
        <v>45755</v>
      </c>
      <c r="CC330" s="153">
        <v>45755</v>
      </c>
      <c r="CD330" s="153"/>
      <c r="CE330" s="153"/>
      <c r="CF330" s="153"/>
      <c r="CG330" s="34" t="s">
        <v>139</v>
      </c>
      <c r="CH330" s="34" t="s">
        <v>1333</v>
      </c>
    </row>
    <row r="331" spans="1:86" x14ac:dyDescent="0.3">
      <c r="A331" s="34">
        <v>21</v>
      </c>
      <c r="B331" s="34" t="s">
        <v>1120</v>
      </c>
      <c r="C331" s="34" t="s">
        <v>1331</v>
      </c>
      <c r="D331" s="34" t="s">
        <v>159</v>
      </c>
      <c r="E331" s="34" t="s">
        <v>1332</v>
      </c>
      <c r="F331" s="34" t="s">
        <v>1805</v>
      </c>
      <c r="G331" s="34"/>
      <c r="H331" s="34" t="s">
        <v>1456</v>
      </c>
      <c r="I331" s="34" t="s">
        <v>1121</v>
      </c>
      <c r="J331" s="34" t="s">
        <v>1806</v>
      </c>
      <c r="K331" s="34"/>
      <c r="L331" s="34">
        <v>3.3399999999999999E-2</v>
      </c>
      <c r="M331" s="34">
        <v>3.1300000000000001E-2</v>
      </c>
      <c r="N331" s="153">
        <v>1</v>
      </c>
      <c r="O331" s="34">
        <v>0</v>
      </c>
      <c r="P331" s="34"/>
      <c r="Q331" s="153">
        <v>45686</v>
      </c>
      <c r="R331" s="153">
        <v>46850</v>
      </c>
      <c r="S331" s="153">
        <v>647</v>
      </c>
      <c r="T331" s="34"/>
      <c r="U331" s="153" t="s">
        <v>1325</v>
      </c>
      <c r="V331" s="153" t="s">
        <v>1809</v>
      </c>
      <c r="W331" s="153">
        <v>1</v>
      </c>
      <c r="X331" s="166"/>
      <c r="Y331" s="137"/>
      <c r="Z331" s="137"/>
      <c r="AA331" s="137"/>
      <c r="AB331" s="137">
        <v>5000000</v>
      </c>
      <c r="AC331" s="137">
        <v>5000000</v>
      </c>
      <c r="AD331" s="137">
        <v>3142943.6999999997</v>
      </c>
      <c r="AE331" s="137">
        <v>249999.9</v>
      </c>
      <c r="AF331" s="137">
        <v>249999.9</v>
      </c>
      <c r="AG331" s="137">
        <v>250000</v>
      </c>
      <c r="AH331" s="153"/>
      <c r="AI331" s="167">
        <v>0</v>
      </c>
      <c r="AJ331" s="153"/>
      <c r="AK331" s="153"/>
      <c r="AL331" s="154">
        <v>100.2</v>
      </c>
      <c r="AM331" s="154">
        <v>0.10476479</v>
      </c>
      <c r="AN331" s="168" t="s">
        <v>1326</v>
      </c>
      <c r="AO331" s="168">
        <v>45751</v>
      </c>
      <c r="AP331" s="154">
        <v>0</v>
      </c>
      <c r="AQ331" s="168"/>
      <c r="AR331" s="155">
        <v>8.3333299999999999E-3</v>
      </c>
      <c r="AS331" s="152">
        <v>6.6102750000000002E-2</v>
      </c>
      <c r="AT331" s="154">
        <v>0</v>
      </c>
      <c r="AU331" s="137">
        <v>0.10367698</v>
      </c>
      <c r="AV331" s="137">
        <v>0</v>
      </c>
      <c r="AW331" s="137">
        <v>26191.187023521001</v>
      </c>
      <c r="AX331" s="137">
        <v>149999.93999999997</v>
      </c>
      <c r="AY331" s="137">
        <v>250499.89980000001</v>
      </c>
      <c r="AZ331" s="137">
        <v>7224.1725552252974</v>
      </c>
      <c r="BA331" s="137">
        <v>40913.053250054196</v>
      </c>
      <c r="BB331" s="137">
        <v>0</v>
      </c>
      <c r="BC331" s="137">
        <v>0</v>
      </c>
      <c r="BD331" s="137">
        <v>0</v>
      </c>
      <c r="BE331" s="137">
        <v>0</v>
      </c>
      <c r="BF331" s="137">
        <v>249999.89999999994</v>
      </c>
      <c r="BG331" s="137">
        <v>249999.9</v>
      </c>
      <c r="BH331" s="137">
        <v>249999.9</v>
      </c>
      <c r="BI331" s="137">
        <v>249999.90000000005</v>
      </c>
      <c r="BJ331" s="137">
        <v>0.96840000000000004</v>
      </c>
      <c r="BK331" s="137">
        <v>4.166665E-2</v>
      </c>
      <c r="BL331" s="113">
        <v>0</v>
      </c>
      <c r="BM331" s="113" t="s">
        <v>1663</v>
      </c>
      <c r="BN331" s="168">
        <v>0</v>
      </c>
      <c r="BO331" s="152">
        <v>0</v>
      </c>
      <c r="BP331" s="152">
        <v>0</v>
      </c>
      <c r="BQ331" s="137">
        <v>249999.9</v>
      </c>
      <c r="BR331" s="137">
        <v>0</v>
      </c>
      <c r="BS331" s="166" t="s">
        <v>1806</v>
      </c>
      <c r="BT331" s="168">
        <v>0.27582455689150814</v>
      </c>
      <c r="BU331" s="137">
        <v>85270.15233742728</v>
      </c>
      <c r="BV331" s="137">
        <v>18967.014468295703</v>
      </c>
      <c r="BW331" s="137">
        <v>0.22243439173463972</v>
      </c>
      <c r="BX331" s="89">
        <v>0.72417544310849191</v>
      </c>
      <c r="BY331" s="89">
        <v>0</v>
      </c>
      <c r="BZ331" s="153">
        <v>0</v>
      </c>
      <c r="CA331" s="153">
        <v>0</v>
      </c>
      <c r="CB331" s="153">
        <v>45751</v>
      </c>
      <c r="CC331" s="153">
        <v>45751</v>
      </c>
      <c r="CD331" s="153"/>
      <c r="CE331" s="153"/>
      <c r="CF331" s="153"/>
      <c r="CG331" s="34" t="s">
        <v>1334</v>
      </c>
      <c r="CH331" s="34" t="s">
        <v>1333</v>
      </c>
    </row>
  </sheetData>
  <mergeCells count="2">
    <mergeCell ref="A128:A129"/>
    <mergeCell ref="B128:B1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976B-1520-446E-B01B-253A384051D0}">
  <sheetPr codeName="Sheet11"/>
  <dimension ref="A1:CH523"/>
  <sheetViews>
    <sheetView tabSelected="1" topLeftCell="BI104" workbookViewId="0">
      <selection activeCell="CD123" sqref="CD123"/>
    </sheetView>
  </sheetViews>
  <sheetFormatPr defaultColWidth="9.109375" defaultRowHeight="14.4" x14ac:dyDescent="0.3"/>
  <cols>
    <col min="1" max="1" width="31.44140625" customWidth="1"/>
    <col min="2" max="2" width="41.5546875" customWidth="1"/>
    <col min="9" max="9" width="14.33203125" bestFit="1" customWidth="1"/>
  </cols>
  <sheetData>
    <row r="1" spans="1:19" x14ac:dyDescent="0.3">
      <c r="A1" s="34" t="s">
        <v>1432</v>
      </c>
      <c r="B1" s="34" t="s">
        <v>1584</v>
      </c>
      <c r="C1" s="34" t="s">
        <v>1585</v>
      </c>
      <c r="D1" s="34" t="s">
        <v>1586</v>
      </c>
      <c r="E1" s="34" t="s">
        <v>1408</v>
      </c>
      <c r="F1" s="34" t="s">
        <v>1409</v>
      </c>
      <c r="G1" s="34" t="s">
        <v>1444</v>
      </c>
      <c r="H1" s="34" t="s">
        <v>1587</v>
      </c>
      <c r="I1" s="34" t="s">
        <v>1588</v>
      </c>
      <c r="J1" s="34" t="s">
        <v>1589</v>
      </c>
      <c r="K1" s="34" t="s">
        <v>1590</v>
      </c>
      <c r="L1" s="34" t="s">
        <v>76</v>
      </c>
      <c r="M1" s="34" t="s">
        <v>1591</v>
      </c>
      <c r="N1" s="34" t="s">
        <v>1592</v>
      </c>
      <c r="O1" s="34" t="s">
        <v>1593</v>
      </c>
      <c r="P1" s="34" t="s">
        <v>1594</v>
      </c>
      <c r="Q1" s="34" t="s">
        <v>1595</v>
      </c>
      <c r="R1" s="34" t="s">
        <v>1596</v>
      </c>
      <c r="S1" s="34" t="s">
        <v>1429</v>
      </c>
    </row>
    <row r="2" spans="1:19" x14ac:dyDescent="0.3">
      <c r="A2" s="34">
        <v>115</v>
      </c>
      <c r="B2" s="34">
        <v>1</v>
      </c>
      <c r="C2" s="34" t="s">
        <v>1823</v>
      </c>
      <c r="D2" s="34">
        <v>17000000</v>
      </c>
      <c r="E2" s="34" t="s">
        <v>123</v>
      </c>
      <c r="F2" s="34" t="s">
        <v>123</v>
      </c>
      <c r="G2" s="34" t="s">
        <v>1330</v>
      </c>
      <c r="H2" s="34" t="s">
        <v>123</v>
      </c>
      <c r="I2" s="34" t="s">
        <v>123</v>
      </c>
      <c r="J2" s="35">
        <v>46203</v>
      </c>
      <c r="K2" s="34" t="s">
        <v>1824</v>
      </c>
      <c r="L2" s="35">
        <v>46203.724349652781</v>
      </c>
      <c r="M2" s="34">
        <v>1</v>
      </c>
      <c r="N2" s="34">
        <v>0</v>
      </c>
      <c r="O2" s="34" t="s">
        <v>1599</v>
      </c>
      <c r="P2" s="34" t="s">
        <v>1600</v>
      </c>
      <c r="Q2" s="34">
        <v>16648948.310000001</v>
      </c>
      <c r="R2" s="34" t="s">
        <v>123</v>
      </c>
      <c r="S2" s="34">
        <v>115</v>
      </c>
    </row>
    <row r="5" spans="1:19" x14ac:dyDescent="0.3">
      <c r="A5" s="34" t="s">
        <v>1601</v>
      </c>
      <c r="B5" s="34" t="s">
        <v>1602</v>
      </c>
      <c r="C5" s="34" t="s">
        <v>1603</v>
      </c>
      <c r="D5" s="34" t="s">
        <v>1604</v>
      </c>
      <c r="E5" s="34" t="s">
        <v>1605</v>
      </c>
      <c r="F5" s="34" t="s">
        <v>63</v>
      </c>
      <c r="G5" s="34" t="s">
        <v>71</v>
      </c>
      <c r="H5" s="34" t="s">
        <v>1606</v>
      </c>
      <c r="I5" s="34" t="s">
        <v>67</v>
      </c>
      <c r="J5" s="34" t="s">
        <v>1607</v>
      </c>
      <c r="K5" s="34" t="s">
        <v>1608</v>
      </c>
      <c r="L5" s="34" t="s">
        <v>1429</v>
      </c>
      <c r="M5" s="34" t="s">
        <v>1609</v>
      </c>
      <c r="N5" s="34" t="s">
        <v>1610</v>
      </c>
      <c r="O5" s="34" t="s">
        <v>1611</v>
      </c>
      <c r="P5" s="34" t="s">
        <v>1612</v>
      </c>
    </row>
    <row r="6" spans="1:19" x14ac:dyDescent="0.3">
      <c r="A6" s="34">
        <v>95</v>
      </c>
      <c r="B6" s="34">
        <v>1</v>
      </c>
      <c r="C6" s="34">
        <v>1.2E-2</v>
      </c>
      <c r="D6" s="34">
        <v>0</v>
      </c>
      <c r="E6" s="34" t="s">
        <v>1613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3.8E-3</v>
      </c>
      <c r="L6" s="34">
        <v>115</v>
      </c>
      <c r="M6" s="34">
        <v>3.8699999999999998E-2</v>
      </c>
      <c r="N6" s="34">
        <v>0</v>
      </c>
      <c r="O6" s="34">
        <v>0</v>
      </c>
      <c r="P6" s="34">
        <v>0</v>
      </c>
    </row>
    <row r="9" spans="1:19" x14ac:dyDescent="0.3">
      <c r="A9" s="34" t="s">
        <v>1432</v>
      </c>
      <c r="B9" s="34" t="s">
        <v>1584</v>
      </c>
      <c r="C9" s="34" t="s">
        <v>1614</v>
      </c>
      <c r="D9" s="34" t="s">
        <v>1615</v>
      </c>
      <c r="E9" s="34" t="s">
        <v>1616</v>
      </c>
      <c r="F9" s="34" t="s">
        <v>1617</v>
      </c>
      <c r="G9" s="34" t="s">
        <v>1618</v>
      </c>
      <c r="H9" s="34" t="s">
        <v>1619</v>
      </c>
      <c r="I9" s="34" t="s">
        <v>1429</v>
      </c>
    </row>
    <row r="10" spans="1:19" x14ac:dyDescent="0.3">
      <c r="A10" s="34">
        <v>6104</v>
      </c>
      <c r="B10" s="34">
        <v>1</v>
      </c>
      <c r="C10" s="34" t="s">
        <v>1620</v>
      </c>
      <c r="D10" s="34" t="s">
        <v>1621</v>
      </c>
      <c r="E10" s="34">
        <v>0</v>
      </c>
      <c r="F10" s="34">
        <v>0.15</v>
      </c>
      <c r="G10" s="34"/>
      <c r="H10" s="34">
        <v>0</v>
      </c>
      <c r="I10" s="34">
        <v>115</v>
      </c>
    </row>
    <row r="11" spans="1:19" x14ac:dyDescent="0.3">
      <c r="A11" s="34">
        <v>6105</v>
      </c>
      <c r="B11" s="34">
        <v>1</v>
      </c>
      <c r="C11" s="34" t="s">
        <v>1620</v>
      </c>
      <c r="D11" s="34" t="s">
        <v>1622</v>
      </c>
      <c r="E11" s="34">
        <v>0</v>
      </c>
      <c r="F11" s="34">
        <v>0.3</v>
      </c>
      <c r="G11" s="34"/>
      <c r="H11" s="34">
        <v>0</v>
      </c>
      <c r="I11" s="34">
        <v>115</v>
      </c>
    </row>
    <row r="12" spans="1:19" x14ac:dyDescent="0.3">
      <c r="A12" s="34">
        <v>6106</v>
      </c>
      <c r="B12" s="34">
        <v>1</v>
      </c>
      <c r="C12" s="34" t="s">
        <v>1315</v>
      </c>
      <c r="D12" s="34" t="s">
        <v>1327</v>
      </c>
      <c r="E12" s="34">
        <v>0</v>
      </c>
      <c r="F12" s="34">
        <v>0.3</v>
      </c>
      <c r="G12" s="34"/>
      <c r="H12" s="34">
        <v>0</v>
      </c>
      <c r="I12" s="34">
        <v>115</v>
      </c>
    </row>
    <row r="13" spans="1:19" x14ac:dyDescent="0.3">
      <c r="A13" s="34">
        <v>6107</v>
      </c>
      <c r="B13" s="34">
        <v>1</v>
      </c>
      <c r="C13" s="34" t="s">
        <v>1315</v>
      </c>
      <c r="D13" s="34" t="s">
        <v>1331</v>
      </c>
      <c r="E13" s="34">
        <v>0</v>
      </c>
      <c r="F13" s="34">
        <v>0.3</v>
      </c>
      <c r="G13" s="34"/>
      <c r="H13" s="34">
        <v>0</v>
      </c>
      <c r="I13" s="34">
        <v>115</v>
      </c>
    </row>
    <row r="14" spans="1:19" x14ac:dyDescent="0.3">
      <c r="A14" s="34">
        <v>6108</v>
      </c>
      <c r="B14" s="34">
        <v>1</v>
      </c>
      <c r="C14" s="34" t="s">
        <v>1315</v>
      </c>
      <c r="D14" s="34" t="s">
        <v>1335</v>
      </c>
      <c r="E14" s="34">
        <v>0</v>
      </c>
      <c r="F14" s="34">
        <v>0.3</v>
      </c>
      <c r="G14" s="34"/>
      <c r="H14" s="34">
        <v>0</v>
      </c>
      <c r="I14" s="34">
        <v>115</v>
      </c>
    </row>
    <row r="15" spans="1:19" x14ac:dyDescent="0.3">
      <c r="A15" s="34">
        <v>6109</v>
      </c>
      <c r="B15" s="34">
        <v>1</v>
      </c>
      <c r="C15" s="34" t="s">
        <v>1315</v>
      </c>
      <c r="D15" s="34" t="s">
        <v>1337</v>
      </c>
      <c r="E15" s="34">
        <v>0</v>
      </c>
      <c r="F15" s="34">
        <v>0.3</v>
      </c>
      <c r="G15" s="34"/>
      <c r="H15" s="34">
        <v>0</v>
      </c>
      <c r="I15" s="34">
        <v>115</v>
      </c>
    </row>
    <row r="16" spans="1:19" x14ac:dyDescent="0.3">
      <c r="A16" s="34">
        <v>6110</v>
      </c>
      <c r="B16" s="34">
        <v>1</v>
      </c>
      <c r="C16" s="34" t="s">
        <v>1315</v>
      </c>
      <c r="D16" s="34" t="s">
        <v>1339</v>
      </c>
      <c r="E16" s="34">
        <v>0</v>
      </c>
      <c r="F16" s="34">
        <v>0.3</v>
      </c>
      <c r="G16" s="34"/>
      <c r="H16" s="34">
        <v>0</v>
      </c>
      <c r="I16" s="34">
        <v>115</v>
      </c>
    </row>
    <row r="17" spans="1:9" x14ac:dyDescent="0.3">
      <c r="A17" s="34">
        <v>6111</v>
      </c>
      <c r="B17" s="34">
        <v>1</v>
      </c>
      <c r="C17" s="34" t="s">
        <v>1315</v>
      </c>
      <c r="D17" s="34" t="s">
        <v>1341</v>
      </c>
      <c r="E17" s="34">
        <v>0</v>
      </c>
      <c r="F17" s="34">
        <v>0.3</v>
      </c>
      <c r="G17" s="34"/>
      <c r="H17" s="34">
        <v>0</v>
      </c>
      <c r="I17" s="34">
        <v>115</v>
      </c>
    </row>
    <row r="18" spans="1:9" x14ac:dyDescent="0.3">
      <c r="A18" s="34">
        <v>6112</v>
      </c>
      <c r="B18" s="34">
        <v>1</v>
      </c>
      <c r="C18" s="34" t="s">
        <v>1315</v>
      </c>
      <c r="D18" s="34" t="s">
        <v>1342</v>
      </c>
      <c r="E18" s="34">
        <v>0</v>
      </c>
      <c r="F18" s="34">
        <v>0.3</v>
      </c>
      <c r="G18" s="34"/>
      <c r="H18" s="34">
        <v>0</v>
      </c>
      <c r="I18" s="34">
        <v>115</v>
      </c>
    </row>
    <row r="19" spans="1:9" x14ac:dyDescent="0.3">
      <c r="A19" s="34">
        <v>6113</v>
      </c>
      <c r="B19" s="34">
        <v>1</v>
      </c>
      <c r="C19" s="34" t="s">
        <v>1315</v>
      </c>
      <c r="D19" s="34" t="s">
        <v>1343</v>
      </c>
      <c r="E19" s="34">
        <v>0</v>
      </c>
      <c r="F19" s="34">
        <v>0.3</v>
      </c>
      <c r="G19" s="34"/>
      <c r="H19" s="34">
        <v>0</v>
      </c>
      <c r="I19" s="34">
        <v>115</v>
      </c>
    </row>
    <row r="20" spans="1:9" x14ac:dyDescent="0.3">
      <c r="A20" s="34">
        <v>6114</v>
      </c>
      <c r="B20" s="34">
        <v>1</v>
      </c>
      <c r="C20" s="34" t="s">
        <v>1315</v>
      </c>
      <c r="D20" s="34" t="s">
        <v>1344</v>
      </c>
      <c r="E20" s="34">
        <v>0</v>
      </c>
      <c r="F20" s="34">
        <v>0.3</v>
      </c>
      <c r="G20" s="34"/>
      <c r="H20" s="34">
        <v>0</v>
      </c>
      <c r="I20" s="34">
        <v>115</v>
      </c>
    </row>
    <row r="21" spans="1:9" x14ac:dyDescent="0.3">
      <c r="A21" s="34">
        <v>6115</v>
      </c>
      <c r="B21" s="34">
        <v>1</v>
      </c>
      <c r="C21" s="34" t="s">
        <v>1315</v>
      </c>
      <c r="D21" s="34" t="s">
        <v>1345</v>
      </c>
      <c r="E21" s="34">
        <v>0</v>
      </c>
      <c r="F21" s="34">
        <v>0.3</v>
      </c>
      <c r="G21" s="34"/>
      <c r="H21" s="34">
        <v>0</v>
      </c>
      <c r="I21" s="34">
        <v>115</v>
      </c>
    </row>
    <row r="22" spans="1:9" x14ac:dyDescent="0.3">
      <c r="A22" s="34">
        <v>6116</v>
      </c>
      <c r="B22" s="34">
        <v>1</v>
      </c>
      <c r="C22" s="34" t="s">
        <v>1315</v>
      </c>
      <c r="D22" s="34" t="s">
        <v>1348</v>
      </c>
      <c r="E22" s="34">
        <v>0</v>
      </c>
      <c r="F22" s="34">
        <v>0.3</v>
      </c>
      <c r="G22" s="34"/>
      <c r="H22" s="34">
        <v>0</v>
      </c>
      <c r="I22" s="34">
        <v>115</v>
      </c>
    </row>
    <row r="23" spans="1:9" x14ac:dyDescent="0.3">
      <c r="A23" s="34">
        <v>6117</v>
      </c>
      <c r="B23" s="34">
        <v>1</v>
      </c>
      <c r="C23" s="34" t="s">
        <v>1315</v>
      </c>
      <c r="D23" s="34" t="s">
        <v>1351</v>
      </c>
      <c r="E23" s="34">
        <v>0</v>
      </c>
      <c r="F23" s="34">
        <v>0.3</v>
      </c>
      <c r="G23" s="34"/>
      <c r="H23" s="34">
        <v>0</v>
      </c>
      <c r="I23" s="34">
        <v>115</v>
      </c>
    </row>
    <row r="24" spans="1:9" x14ac:dyDescent="0.3">
      <c r="A24" s="34">
        <v>6118</v>
      </c>
      <c r="B24" s="34">
        <v>1</v>
      </c>
      <c r="C24" s="34" t="s">
        <v>1315</v>
      </c>
      <c r="D24" s="34" t="s">
        <v>1352</v>
      </c>
      <c r="E24" s="34">
        <v>0</v>
      </c>
      <c r="F24" s="34">
        <v>0.3</v>
      </c>
      <c r="G24" s="34"/>
      <c r="H24" s="34">
        <v>0</v>
      </c>
      <c r="I24" s="34">
        <v>115</v>
      </c>
    </row>
    <row r="25" spans="1:9" x14ac:dyDescent="0.3">
      <c r="A25" s="34">
        <v>6119</v>
      </c>
      <c r="B25" s="34">
        <v>1</v>
      </c>
      <c r="C25" s="34" t="s">
        <v>1315</v>
      </c>
      <c r="D25" s="34" t="s">
        <v>1353</v>
      </c>
      <c r="E25" s="34">
        <v>0</v>
      </c>
      <c r="F25" s="34">
        <v>0.3</v>
      </c>
      <c r="G25" s="34"/>
      <c r="H25" s="34">
        <v>0</v>
      </c>
      <c r="I25" s="34">
        <v>115</v>
      </c>
    </row>
    <row r="26" spans="1:9" x14ac:dyDescent="0.3">
      <c r="A26" s="34">
        <v>6120</v>
      </c>
      <c r="B26" s="34">
        <v>1</v>
      </c>
      <c r="C26" s="34" t="s">
        <v>1315</v>
      </c>
      <c r="D26" s="34" t="s">
        <v>1354</v>
      </c>
      <c r="E26" s="34">
        <v>0</v>
      </c>
      <c r="F26" s="34">
        <v>0.3</v>
      </c>
      <c r="G26" s="34"/>
      <c r="H26" s="34">
        <v>0</v>
      </c>
      <c r="I26" s="34">
        <v>115</v>
      </c>
    </row>
    <row r="27" spans="1:9" x14ac:dyDescent="0.3">
      <c r="A27" s="34">
        <v>6121</v>
      </c>
      <c r="B27" s="34">
        <v>1</v>
      </c>
      <c r="C27" s="34" t="s">
        <v>1315</v>
      </c>
      <c r="D27" s="34" t="s">
        <v>1357</v>
      </c>
      <c r="E27" s="34">
        <v>0</v>
      </c>
      <c r="F27" s="34">
        <v>0.3</v>
      </c>
      <c r="G27" s="34"/>
      <c r="H27" s="34">
        <v>0</v>
      </c>
      <c r="I27" s="34">
        <v>115</v>
      </c>
    </row>
    <row r="28" spans="1:9" x14ac:dyDescent="0.3">
      <c r="A28" s="34">
        <v>6122</v>
      </c>
      <c r="B28" s="34">
        <v>1</v>
      </c>
      <c r="C28" s="34" t="s">
        <v>1315</v>
      </c>
      <c r="D28" s="34" t="s">
        <v>1358</v>
      </c>
      <c r="E28" s="34">
        <v>0</v>
      </c>
      <c r="F28" s="34">
        <v>0.3</v>
      </c>
      <c r="G28" s="34"/>
      <c r="H28" s="34">
        <v>0</v>
      </c>
      <c r="I28" s="34">
        <v>115</v>
      </c>
    </row>
    <row r="29" spans="1:9" x14ac:dyDescent="0.3">
      <c r="A29" s="34">
        <v>6123</v>
      </c>
      <c r="B29" s="34">
        <v>1</v>
      </c>
      <c r="C29" s="34" t="s">
        <v>1315</v>
      </c>
      <c r="D29" s="34" t="s">
        <v>1359</v>
      </c>
      <c r="E29" s="34">
        <v>0</v>
      </c>
      <c r="F29" s="34">
        <v>0.3</v>
      </c>
      <c r="G29" s="34"/>
      <c r="H29" s="34">
        <v>0</v>
      </c>
      <c r="I29" s="34">
        <v>115</v>
      </c>
    </row>
    <row r="30" spans="1:9" x14ac:dyDescent="0.3">
      <c r="A30" s="34">
        <v>6124</v>
      </c>
      <c r="B30" s="34">
        <v>1</v>
      </c>
      <c r="C30" s="34" t="s">
        <v>1315</v>
      </c>
      <c r="D30" s="34" t="s">
        <v>1360</v>
      </c>
      <c r="E30" s="34">
        <v>0</v>
      </c>
      <c r="F30" s="34">
        <v>0.3</v>
      </c>
      <c r="G30" s="34"/>
      <c r="H30" s="34">
        <v>0</v>
      </c>
      <c r="I30" s="34">
        <v>115</v>
      </c>
    </row>
    <row r="31" spans="1:9" x14ac:dyDescent="0.3">
      <c r="A31" s="34">
        <v>6125</v>
      </c>
      <c r="B31" s="34">
        <v>1</v>
      </c>
      <c r="C31" s="34" t="s">
        <v>1315</v>
      </c>
      <c r="D31" s="34" t="s">
        <v>1362</v>
      </c>
      <c r="E31" s="34">
        <v>0</v>
      </c>
      <c r="F31" s="34">
        <v>0.3</v>
      </c>
      <c r="G31" s="34"/>
      <c r="H31" s="34">
        <v>0</v>
      </c>
      <c r="I31" s="34">
        <v>115</v>
      </c>
    </row>
    <row r="32" spans="1:9" x14ac:dyDescent="0.3">
      <c r="A32" s="34">
        <v>6126</v>
      </c>
      <c r="B32" s="34">
        <v>1</v>
      </c>
      <c r="C32" s="34" t="s">
        <v>1315</v>
      </c>
      <c r="D32" s="34" t="s">
        <v>1363</v>
      </c>
      <c r="E32" s="34">
        <v>0</v>
      </c>
      <c r="F32" s="34">
        <v>0.3</v>
      </c>
      <c r="G32" s="34"/>
      <c r="H32" s="34">
        <v>0</v>
      </c>
      <c r="I32" s="34">
        <v>115</v>
      </c>
    </row>
    <row r="33" spans="1:9" x14ac:dyDescent="0.3">
      <c r="A33" s="34">
        <v>6127</v>
      </c>
      <c r="B33" s="34">
        <v>1</v>
      </c>
      <c r="C33" s="34" t="s">
        <v>1315</v>
      </c>
      <c r="D33" s="34" t="s">
        <v>1364</v>
      </c>
      <c r="E33" s="34">
        <v>0</v>
      </c>
      <c r="F33" s="34">
        <v>0.3</v>
      </c>
      <c r="G33" s="34"/>
      <c r="H33" s="34">
        <v>0</v>
      </c>
      <c r="I33" s="34">
        <v>115</v>
      </c>
    </row>
    <row r="34" spans="1:9" x14ac:dyDescent="0.3">
      <c r="A34" s="34">
        <v>6128</v>
      </c>
      <c r="B34" s="34">
        <v>1</v>
      </c>
      <c r="C34" s="34" t="s">
        <v>1315</v>
      </c>
      <c r="D34" s="34" t="s">
        <v>1365</v>
      </c>
      <c r="E34" s="34">
        <v>0</v>
      </c>
      <c r="F34" s="34">
        <v>0.3</v>
      </c>
      <c r="G34" s="34"/>
      <c r="H34" s="34">
        <v>0</v>
      </c>
      <c r="I34" s="34">
        <v>115</v>
      </c>
    </row>
    <row r="35" spans="1:9" x14ac:dyDescent="0.3">
      <c r="A35" s="34">
        <v>6129</v>
      </c>
      <c r="B35" s="34">
        <v>1</v>
      </c>
      <c r="C35" s="34" t="s">
        <v>1315</v>
      </c>
      <c r="D35" s="34" t="s">
        <v>1366</v>
      </c>
      <c r="E35" s="34">
        <v>0</v>
      </c>
      <c r="F35" s="34">
        <v>0.3</v>
      </c>
      <c r="G35" s="34"/>
      <c r="H35" s="34">
        <v>0</v>
      </c>
      <c r="I35" s="34">
        <v>115</v>
      </c>
    </row>
    <row r="36" spans="1:9" x14ac:dyDescent="0.3">
      <c r="A36" s="34">
        <v>6130</v>
      </c>
      <c r="B36" s="34">
        <v>1</v>
      </c>
      <c r="C36" s="34" t="s">
        <v>1315</v>
      </c>
      <c r="D36" s="34" t="s">
        <v>1367</v>
      </c>
      <c r="E36" s="34">
        <v>0</v>
      </c>
      <c r="F36" s="34">
        <v>0.3</v>
      </c>
      <c r="G36" s="34"/>
      <c r="H36" s="34">
        <v>0</v>
      </c>
      <c r="I36" s="34">
        <v>115</v>
      </c>
    </row>
    <row r="37" spans="1:9" x14ac:dyDescent="0.3">
      <c r="A37" s="34">
        <v>6131</v>
      </c>
      <c r="B37" s="34">
        <v>1</v>
      </c>
      <c r="C37" s="34" t="s">
        <v>1315</v>
      </c>
      <c r="D37" s="34" t="s">
        <v>1368</v>
      </c>
      <c r="E37" s="34">
        <v>0</v>
      </c>
      <c r="F37" s="34">
        <v>0.3</v>
      </c>
      <c r="G37" s="34"/>
      <c r="H37" s="34">
        <v>0</v>
      </c>
      <c r="I37" s="34">
        <v>115</v>
      </c>
    </row>
    <row r="38" spans="1:9" x14ac:dyDescent="0.3">
      <c r="A38" s="34">
        <v>6132</v>
      </c>
      <c r="B38" s="34">
        <v>1</v>
      </c>
      <c r="C38" s="34" t="s">
        <v>1315</v>
      </c>
      <c r="D38" s="34" t="s">
        <v>1369</v>
      </c>
      <c r="E38" s="34">
        <v>0</v>
      </c>
      <c r="F38" s="34">
        <v>0.3</v>
      </c>
      <c r="G38" s="34"/>
      <c r="H38" s="34">
        <v>0</v>
      </c>
      <c r="I38" s="34">
        <v>115</v>
      </c>
    </row>
    <row r="39" spans="1:9" x14ac:dyDescent="0.3">
      <c r="A39" s="34">
        <v>6133</v>
      </c>
      <c r="B39" s="34">
        <v>1</v>
      </c>
      <c r="C39" s="34" t="s">
        <v>1315</v>
      </c>
      <c r="D39" s="34" t="s">
        <v>1370</v>
      </c>
      <c r="E39" s="34">
        <v>0</v>
      </c>
      <c r="F39" s="34">
        <v>0.3</v>
      </c>
      <c r="G39" s="34"/>
      <c r="H39" s="34">
        <v>0</v>
      </c>
      <c r="I39" s="34">
        <v>115</v>
      </c>
    </row>
    <row r="40" spans="1:9" x14ac:dyDescent="0.3">
      <c r="A40" s="34">
        <v>6134</v>
      </c>
      <c r="B40" s="34">
        <v>1</v>
      </c>
      <c r="C40" s="34" t="s">
        <v>1315</v>
      </c>
      <c r="D40" s="34" t="s">
        <v>1371</v>
      </c>
      <c r="E40" s="34">
        <v>0</v>
      </c>
      <c r="F40" s="34">
        <v>0.3</v>
      </c>
      <c r="G40" s="34"/>
      <c r="H40" s="34">
        <v>0</v>
      </c>
      <c r="I40" s="34">
        <v>115</v>
      </c>
    </row>
    <row r="41" spans="1:9" x14ac:dyDescent="0.3">
      <c r="A41" s="34">
        <v>6135</v>
      </c>
      <c r="B41" s="34">
        <v>1</v>
      </c>
      <c r="C41" s="34" t="s">
        <v>1315</v>
      </c>
      <c r="D41" s="34" t="s">
        <v>1372</v>
      </c>
      <c r="E41" s="34">
        <v>0</v>
      </c>
      <c r="F41" s="34">
        <v>0.3</v>
      </c>
      <c r="G41" s="34"/>
      <c r="H41" s="34">
        <v>0</v>
      </c>
      <c r="I41" s="34">
        <v>115</v>
      </c>
    </row>
    <row r="42" spans="1:9" x14ac:dyDescent="0.3">
      <c r="A42" s="34">
        <v>6136</v>
      </c>
      <c r="B42" s="34">
        <v>1</v>
      </c>
      <c r="C42" s="34" t="s">
        <v>1315</v>
      </c>
      <c r="D42" s="34" t="s">
        <v>1373</v>
      </c>
      <c r="E42" s="34">
        <v>0</v>
      </c>
      <c r="F42" s="34">
        <v>0.3</v>
      </c>
      <c r="G42" s="34"/>
      <c r="H42" s="34">
        <v>0</v>
      </c>
      <c r="I42" s="34">
        <v>115</v>
      </c>
    </row>
    <row r="43" spans="1:9" x14ac:dyDescent="0.3">
      <c r="A43" s="34">
        <v>6137</v>
      </c>
      <c r="B43" s="34">
        <v>1</v>
      </c>
      <c r="C43" s="34" t="s">
        <v>1315</v>
      </c>
      <c r="D43" s="34" t="s">
        <v>1327</v>
      </c>
      <c r="E43" s="34">
        <v>0</v>
      </c>
      <c r="F43" s="34">
        <v>0.3</v>
      </c>
      <c r="G43" s="34"/>
      <c r="H43" s="34">
        <v>0</v>
      </c>
      <c r="I43" s="34">
        <v>115</v>
      </c>
    </row>
    <row r="44" spans="1:9" x14ac:dyDescent="0.3">
      <c r="A44" s="34">
        <v>6138</v>
      </c>
      <c r="B44" s="34">
        <v>1</v>
      </c>
      <c r="C44" s="34" t="s">
        <v>1315</v>
      </c>
      <c r="D44" s="34" t="s">
        <v>1375</v>
      </c>
      <c r="E44" s="34">
        <v>0</v>
      </c>
      <c r="F44" s="34">
        <v>0.3</v>
      </c>
      <c r="G44" s="34"/>
      <c r="H44" s="34">
        <v>0</v>
      </c>
      <c r="I44" s="34">
        <v>115</v>
      </c>
    </row>
    <row r="45" spans="1:9" x14ac:dyDescent="0.3">
      <c r="A45" s="34">
        <v>6139</v>
      </c>
      <c r="B45" s="34">
        <v>1</v>
      </c>
      <c r="C45" s="34" t="s">
        <v>1315</v>
      </c>
      <c r="D45" s="34" t="s">
        <v>1378</v>
      </c>
      <c r="E45" s="34">
        <v>0</v>
      </c>
      <c r="F45" s="34">
        <v>0.3</v>
      </c>
      <c r="G45" s="34"/>
      <c r="H45" s="34">
        <v>0</v>
      </c>
      <c r="I45" s="34">
        <v>115</v>
      </c>
    </row>
    <row r="46" spans="1:9" x14ac:dyDescent="0.3">
      <c r="A46" s="34">
        <v>6140</v>
      </c>
      <c r="B46" s="34">
        <v>1</v>
      </c>
      <c r="C46" s="34" t="s">
        <v>1315</v>
      </c>
      <c r="D46" s="34" t="s">
        <v>1381</v>
      </c>
      <c r="E46" s="34">
        <v>0</v>
      </c>
      <c r="F46" s="34">
        <v>0.3</v>
      </c>
      <c r="G46" s="34"/>
      <c r="H46" s="34">
        <v>0</v>
      </c>
      <c r="I46" s="34">
        <v>115</v>
      </c>
    </row>
    <row r="47" spans="1:9" x14ac:dyDescent="0.3">
      <c r="A47" s="34">
        <v>6141</v>
      </c>
      <c r="B47" s="34">
        <v>1</v>
      </c>
      <c r="C47" s="34" t="s">
        <v>1315</v>
      </c>
      <c r="D47" s="34" t="s">
        <v>1382</v>
      </c>
      <c r="E47" s="34">
        <v>0</v>
      </c>
      <c r="F47" s="34">
        <v>0.3</v>
      </c>
      <c r="G47" s="34"/>
      <c r="H47" s="34">
        <v>0</v>
      </c>
      <c r="I47" s="34">
        <v>115</v>
      </c>
    </row>
    <row r="48" spans="1:9" x14ac:dyDescent="0.3">
      <c r="A48" s="34">
        <v>6142</v>
      </c>
      <c r="B48" s="34">
        <v>1</v>
      </c>
      <c r="C48" s="34" t="s">
        <v>1315</v>
      </c>
      <c r="D48" s="34" t="s">
        <v>1384</v>
      </c>
      <c r="E48" s="34">
        <v>0</v>
      </c>
      <c r="F48" s="34">
        <v>0.3</v>
      </c>
      <c r="G48" s="34"/>
      <c r="H48" s="34">
        <v>0</v>
      </c>
      <c r="I48" s="34">
        <v>115</v>
      </c>
    </row>
    <row r="49" spans="1:9" x14ac:dyDescent="0.3">
      <c r="A49" s="34">
        <v>6143</v>
      </c>
      <c r="B49" s="34">
        <v>1</v>
      </c>
      <c r="C49" s="34" t="s">
        <v>1315</v>
      </c>
      <c r="D49" s="34" t="s">
        <v>1386</v>
      </c>
      <c r="E49" s="34">
        <v>0</v>
      </c>
      <c r="F49" s="34">
        <v>0.3</v>
      </c>
      <c r="G49" s="34"/>
      <c r="H49" s="34">
        <v>0</v>
      </c>
      <c r="I49" s="34">
        <v>115</v>
      </c>
    </row>
    <row r="50" spans="1:9" x14ac:dyDescent="0.3">
      <c r="A50" s="34">
        <v>6144</v>
      </c>
      <c r="B50" s="34">
        <v>1</v>
      </c>
      <c r="C50" s="34" t="s">
        <v>1315</v>
      </c>
      <c r="D50" s="34" t="s">
        <v>1388</v>
      </c>
      <c r="E50" s="34">
        <v>0</v>
      </c>
      <c r="F50" s="34">
        <v>0.3</v>
      </c>
      <c r="G50" s="34"/>
      <c r="H50" s="34">
        <v>0</v>
      </c>
      <c r="I50" s="34">
        <v>115</v>
      </c>
    </row>
    <row r="51" spans="1:9" x14ac:dyDescent="0.3">
      <c r="A51" s="34">
        <v>6145</v>
      </c>
      <c r="B51" s="34">
        <v>1</v>
      </c>
      <c r="C51" s="34" t="s">
        <v>1630</v>
      </c>
      <c r="D51" s="34" t="s">
        <v>130</v>
      </c>
      <c r="E51" s="34">
        <v>0</v>
      </c>
      <c r="F51" s="34">
        <v>0.05</v>
      </c>
      <c r="G51" s="34"/>
      <c r="H51" s="34">
        <v>0</v>
      </c>
      <c r="I51" s="34">
        <v>115</v>
      </c>
    </row>
    <row r="52" spans="1:9" x14ac:dyDescent="0.3">
      <c r="A52" s="34">
        <v>6146</v>
      </c>
      <c r="B52" s="34">
        <v>1</v>
      </c>
      <c r="C52" s="34" t="s">
        <v>1630</v>
      </c>
      <c r="D52" s="34" t="s">
        <v>1624</v>
      </c>
      <c r="E52" s="34">
        <v>0</v>
      </c>
      <c r="F52" s="34">
        <v>2.5000000000000001E-2</v>
      </c>
      <c r="G52" s="34"/>
      <c r="H52" s="34">
        <v>0</v>
      </c>
      <c r="I52" s="34">
        <v>115</v>
      </c>
    </row>
    <row r="53" spans="1:9" x14ac:dyDescent="0.3">
      <c r="A53" s="34">
        <v>6147</v>
      </c>
      <c r="B53" s="34">
        <v>1</v>
      </c>
      <c r="C53" s="34" t="s">
        <v>1630</v>
      </c>
      <c r="D53" s="34" t="s">
        <v>1625</v>
      </c>
      <c r="E53" s="34">
        <v>0</v>
      </c>
      <c r="F53" s="34">
        <v>0.4</v>
      </c>
      <c r="G53" s="34"/>
      <c r="H53" s="34">
        <v>0</v>
      </c>
      <c r="I53" s="34">
        <v>115</v>
      </c>
    </row>
    <row r="54" spans="1:9" x14ac:dyDescent="0.3">
      <c r="A54" s="34">
        <v>6148</v>
      </c>
      <c r="B54" s="34">
        <v>1</v>
      </c>
      <c r="C54" s="34" t="s">
        <v>1630</v>
      </c>
      <c r="D54" s="34" t="s">
        <v>1627</v>
      </c>
      <c r="E54" s="34">
        <v>0</v>
      </c>
      <c r="F54" s="34">
        <v>0.4</v>
      </c>
      <c r="G54" s="34"/>
      <c r="H54" s="34">
        <v>0</v>
      </c>
      <c r="I54" s="34">
        <v>115</v>
      </c>
    </row>
    <row r="55" spans="1:9" x14ac:dyDescent="0.3">
      <c r="A55" s="34">
        <v>6149</v>
      </c>
      <c r="B55" s="34">
        <v>1</v>
      </c>
      <c r="C55" s="34" t="s">
        <v>1630</v>
      </c>
      <c r="D55" s="34" t="s">
        <v>1626</v>
      </c>
      <c r="E55" s="34">
        <v>0</v>
      </c>
      <c r="F55" s="34">
        <v>0.05</v>
      </c>
      <c r="G55" s="34"/>
      <c r="H55" s="34">
        <v>0</v>
      </c>
      <c r="I55" s="34">
        <v>115</v>
      </c>
    </row>
    <row r="56" spans="1:9" x14ac:dyDescent="0.3">
      <c r="A56" s="34">
        <v>6150</v>
      </c>
      <c r="B56" s="34">
        <v>1</v>
      </c>
      <c r="C56" s="34" t="s">
        <v>1630</v>
      </c>
      <c r="D56" s="34" t="s">
        <v>1629</v>
      </c>
      <c r="E56" s="34">
        <v>0</v>
      </c>
      <c r="F56" s="34">
        <v>0.1</v>
      </c>
      <c r="G56" s="34"/>
      <c r="H56" s="34">
        <v>0</v>
      </c>
      <c r="I56" s="34">
        <v>115</v>
      </c>
    </row>
    <row r="57" spans="1:9" x14ac:dyDescent="0.3">
      <c r="A57" s="34">
        <v>6151</v>
      </c>
      <c r="B57" s="34">
        <v>1</v>
      </c>
      <c r="C57" s="34" t="s">
        <v>1630</v>
      </c>
      <c r="D57" s="34" t="s">
        <v>1623</v>
      </c>
      <c r="E57" s="34">
        <v>0</v>
      </c>
      <c r="F57" s="34">
        <v>0.1</v>
      </c>
      <c r="G57" s="34"/>
      <c r="H57" s="34">
        <v>0</v>
      </c>
      <c r="I57" s="34">
        <v>115</v>
      </c>
    </row>
    <row r="58" spans="1:9" x14ac:dyDescent="0.3">
      <c r="A58" s="34">
        <v>6152</v>
      </c>
      <c r="B58" s="34">
        <v>1</v>
      </c>
      <c r="C58" s="34" t="s">
        <v>1630</v>
      </c>
      <c r="D58" s="34" t="s">
        <v>1631</v>
      </c>
      <c r="E58" s="34">
        <v>0</v>
      </c>
      <c r="F58" s="34">
        <v>0</v>
      </c>
      <c r="G58" s="34"/>
      <c r="H58" s="34">
        <v>0</v>
      </c>
      <c r="I58" s="34">
        <v>115</v>
      </c>
    </row>
    <row r="59" spans="1:9" x14ac:dyDescent="0.3">
      <c r="A59" s="34">
        <v>6153</v>
      </c>
      <c r="B59" s="34">
        <v>1</v>
      </c>
      <c r="C59" s="34" t="s">
        <v>1632</v>
      </c>
      <c r="D59" s="34" t="s">
        <v>1633</v>
      </c>
      <c r="E59" s="34">
        <v>0</v>
      </c>
      <c r="F59" s="34">
        <v>0.35</v>
      </c>
      <c r="G59" s="34" t="s">
        <v>1634</v>
      </c>
      <c r="H59" s="34">
        <v>100</v>
      </c>
      <c r="I59" s="34">
        <v>115</v>
      </c>
    </row>
    <row r="60" spans="1:9" x14ac:dyDescent="0.3">
      <c r="A60" s="34">
        <v>6154</v>
      </c>
      <c r="B60" s="34">
        <v>1</v>
      </c>
      <c r="C60" s="34" t="s">
        <v>1632</v>
      </c>
      <c r="D60" s="34" t="s">
        <v>1635</v>
      </c>
      <c r="E60" s="34">
        <v>0</v>
      </c>
      <c r="F60" s="34">
        <v>0.15</v>
      </c>
      <c r="G60" s="34" t="s">
        <v>1634</v>
      </c>
      <c r="H60" s="34">
        <v>100</v>
      </c>
      <c r="I60" s="34">
        <v>115</v>
      </c>
    </row>
    <row r="61" spans="1:9" x14ac:dyDescent="0.3">
      <c r="A61" s="34">
        <v>6155</v>
      </c>
      <c r="B61" s="34">
        <v>1</v>
      </c>
      <c r="C61" s="34" t="s">
        <v>1632</v>
      </c>
      <c r="D61" s="34" t="s">
        <v>1636</v>
      </c>
      <c r="E61" s="34">
        <v>0</v>
      </c>
      <c r="F61" s="34">
        <v>0.15</v>
      </c>
      <c r="G61" s="34" t="s">
        <v>1634</v>
      </c>
      <c r="H61" s="34">
        <v>100</v>
      </c>
      <c r="I61" s="34">
        <v>115</v>
      </c>
    </row>
    <row r="62" spans="1:9" x14ac:dyDescent="0.3">
      <c r="A62" s="34">
        <v>6156</v>
      </c>
      <c r="B62" s="34">
        <v>1</v>
      </c>
      <c r="C62" s="34" t="s">
        <v>1632</v>
      </c>
      <c r="D62" s="34" t="s">
        <v>1637</v>
      </c>
      <c r="E62" s="34">
        <v>0</v>
      </c>
      <c r="F62" s="34">
        <v>0.15</v>
      </c>
      <c r="G62" s="34" t="s">
        <v>1634</v>
      </c>
      <c r="H62" s="34">
        <v>100</v>
      </c>
      <c r="I62" s="34">
        <v>115</v>
      </c>
    </row>
    <row r="63" spans="1:9" x14ac:dyDescent="0.3">
      <c r="A63" s="34">
        <v>6157</v>
      </c>
      <c r="B63" s="34">
        <v>1</v>
      </c>
      <c r="C63" s="34" t="s">
        <v>1632</v>
      </c>
      <c r="D63" s="34" t="s">
        <v>1638</v>
      </c>
      <c r="E63" s="34">
        <v>0</v>
      </c>
      <c r="F63" s="34">
        <v>0.15</v>
      </c>
      <c r="G63" s="34" t="s">
        <v>1634</v>
      </c>
      <c r="H63" s="34">
        <v>100</v>
      </c>
      <c r="I63" s="34">
        <v>115</v>
      </c>
    </row>
    <row r="64" spans="1:9" x14ac:dyDescent="0.3">
      <c r="A64" s="34">
        <v>6158</v>
      </c>
      <c r="B64" s="34">
        <v>1</v>
      </c>
      <c r="C64" s="34" t="s">
        <v>1632</v>
      </c>
      <c r="D64" s="34" t="s">
        <v>1639</v>
      </c>
      <c r="E64" s="34">
        <v>0</v>
      </c>
      <c r="F64" s="34">
        <v>0.15</v>
      </c>
      <c r="G64" s="34" t="s">
        <v>1634</v>
      </c>
      <c r="H64" s="34">
        <v>100</v>
      </c>
      <c r="I64" s="34">
        <v>115</v>
      </c>
    </row>
    <row r="65" spans="1:9" x14ac:dyDescent="0.3">
      <c r="A65" s="34">
        <v>6159</v>
      </c>
      <c r="B65" s="34">
        <v>1</v>
      </c>
      <c r="C65" s="34" t="s">
        <v>1632</v>
      </c>
      <c r="D65" s="34" t="s">
        <v>1640</v>
      </c>
      <c r="E65" s="34">
        <v>0</v>
      </c>
      <c r="F65" s="34">
        <v>0.15</v>
      </c>
      <c r="G65" s="34" t="s">
        <v>1634</v>
      </c>
      <c r="H65" s="34">
        <v>100</v>
      </c>
      <c r="I65" s="34">
        <v>115</v>
      </c>
    </row>
    <row r="66" spans="1:9" x14ac:dyDescent="0.3">
      <c r="A66" s="34">
        <v>6160</v>
      </c>
      <c r="B66" s="34">
        <v>1</v>
      </c>
      <c r="C66" s="34" t="s">
        <v>1632</v>
      </c>
      <c r="D66" s="34" t="s">
        <v>1641</v>
      </c>
      <c r="E66" s="34">
        <v>0</v>
      </c>
      <c r="F66" s="34">
        <v>0.15</v>
      </c>
      <c r="G66" s="34" t="s">
        <v>1634</v>
      </c>
      <c r="H66" s="34">
        <v>100</v>
      </c>
      <c r="I66" s="34">
        <v>115</v>
      </c>
    </row>
    <row r="67" spans="1:9" x14ac:dyDescent="0.3">
      <c r="A67" s="34">
        <v>6161</v>
      </c>
      <c r="B67" s="34">
        <v>1</v>
      </c>
      <c r="C67" s="34" t="s">
        <v>1632</v>
      </c>
      <c r="D67" s="34" t="s">
        <v>1642</v>
      </c>
      <c r="E67" s="34">
        <v>0</v>
      </c>
      <c r="F67" s="34">
        <v>0.15</v>
      </c>
      <c r="G67" s="34" t="s">
        <v>1634</v>
      </c>
      <c r="H67" s="34">
        <v>100</v>
      </c>
      <c r="I67" s="34">
        <v>115</v>
      </c>
    </row>
    <row r="68" spans="1:9" x14ac:dyDescent="0.3">
      <c r="A68" s="34">
        <v>6162</v>
      </c>
      <c r="B68" s="34">
        <v>1</v>
      </c>
      <c r="C68" s="34" t="s">
        <v>1632</v>
      </c>
      <c r="D68" s="34" t="s">
        <v>1643</v>
      </c>
      <c r="E68" s="34">
        <v>0</v>
      </c>
      <c r="F68" s="34">
        <v>0.15</v>
      </c>
      <c r="G68" s="34" t="s">
        <v>1634</v>
      </c>
      <c r="H68" s="34">
        <v>100</v>
      </c>
      <c r="I68" s="34">
        <v>115</v>
      </c>
    </row>
    <row r="69" spans="1:9" x14ac:dyDescent="0.3">
      <c r="A69" s="34">
        <v>6163</v>
      </c>
      <c r="B69" s="34">
        <v>1</v>
      </c>
      <c r="C69" s="34" t="s">
        <v>1632</v>
      </c>
      <c r="D69" s="34" t="s">
        <v>1644</v>
      </c>
      <c r="E69" s="34">
        <v>0</v>
      </c>
      <c r="F69" s="34">
        <v>0.15</v>
      </c>
      <c r="G69" s="34" t="s">
        <v>1634</v>
      </c>
      <c r="H69" s="34">
        <v>100</v>
      </c>
      <c r="I69" s="34">
        <v>115</v>
      </c>
    </row>
    <row r="70" spans="1:9" x14ac:dyDescent="0.3">
      <c r="A70" s="34">
        <v>6164</v>
      </c>
      <c r="B70" s="34">
        <v>1</v>
      </c>
      <c r="C70" s="34" t="s">
        <v>1632</v>
      </c>
      <c r="D70" s="34" t="s">
        <v>1645</v>
      </c>
      <c r="E70" s="34">
        <v>0</v>
      </c>
      <c r="F70" s="34">
        <v>0.15</v>
      </c>
      <c r="G70" s="34" t="s">
        <v>1634</v>
      </c>
      <c r="H70" s="34">
        <v>100</v>
      </c>
      <c r="I70" s="34">
        <v>115</v>
      </c>
    </row>
    <row r="71" spans="1:9" x14ac:dyDescent="0.3">
      <c r="A71" s="34">
        <v>6165</v>
      </c>
      <c r="B71" s="34">
        <v>1</v>
      </c>
      <c r="C71" s="34" t="s">
        <v>1632</v>
      </c>
      <c r="D71" s="34" t="s">
        <v>1646</v>
      </c>
      <c r="E71" s="34">
        <v>0</v>
      </c>
      <c r="F71" s="34">
        <v>0.15</v>
      </c>
      <c r="G71" s="34" t="s">
        <v>1634</v>
      </c>
      <c r="H71" s="34">
        <v>100</v>
      </c>
      <c r="I71" s="34">
        <v>115</v>
      </c>
    </row>
    <row r="72" spans="1:9" x14ac:dyDescent="0.3">
      <c r="A72" s="34">
        <v>6166</v>
      </c>
      <c r="B72" s="34">
        <v>1</v>
      </c>
      <c r="C72" s="34" t="s">
        <v>1632</v>
      </c>
      <c r="D72" s="34" t="s">
        <v>1647</v>
      </c>
      <c r="E72" s="34">
        <v>0</v>
      </c>
      <c r="F72" s="34">
        <v>0.15</v>
      </c>
      <c r="G72" s="34" t="s">
        <v>1634</v>
      </c>
      <c r="H72" s="34">
        <v>100</v>
      </c>
      <c r="I72" s="34">
        <v>115</v>
      </c>
    </row>
    <row r="73" spans="1:9" x14ac:dyDescent="0.3">
      <c r="A73" s="34">
        <v>6167</v>
      </c>
      <c r="B73" s="34">
        <v>1</v>
      </c>
      <c r="C73" s="34" t="s">
        <v>1632</v>
      </c>
      <c r="D73" s="34" t="s">
        <v>1633</v>
      </c>
      <c r="E73" s="34">
        <v>0</v>
      </c>
      <c r="F73" s="34">
        <v>0.2</v>
      </c>
      <c r="G73" s="34" t="s">
        <v>1648</v>
      </c>
      <c r="H73" s="34">
        <v>500</v>
      </c>
      <c r="I73" s="34">
        <v>115</v>
      </c>
    </row>
    <row r="74" spans="1:9" x14ac:dyDescent="0.3">
      <c r="A74" s="34">
        <v>6168</v>
      </c>
      <c r="B74" s="34">
        <v>1</v>
      </c>
      <c r="C74" s="34" t="s">
        <v>1632</v>
      </c>
      <c r="D74" s="34" t="s">
        <v>1635</v>
      </c>
      <c r="E74" s="34">
        <v>0</v>
      </c>
      <c r="F74" s="34">
        <v>0.2</v>
      </c>
      <c r="G74" s="34" t="s">
        <v>1648</v>
      </c>
      <c r="H74" s="34">
        <v>500</v>
      </c>
      <c r="I74" s="34">
        <v>115</v>
      </c>
    </row>
    <row r="75" spans="1:9" x14ac:dyDescent="0.3">
      <c r="A75" s="34">
        <v>6169</v>
      </c>
      <c r="B75" s="34">
        <v>1</v>
      </c>
      <c r="C75" s="34" t="s">
        <v>1632</v>
      </c>
      <c r="D75" s="34" t="s">
        <v>1636</v>
      </c>
      <c r="E75" s="34">
        <v>0</v>
      </c>
      <c r="F75" s="34">
        <v>0.2</v>
      </c>
      <c r="G75" s="34" t="s">
        <v>1648</v>
      </c>
      <c r="H75" s="34">
        <v>500</v>
      </c>
      <c r="I75" s="34">
        <v>115</v>
      </c>
    </row>
    <row r="76" spans="1:9" x14ac:dyDescent="0.3">
      <c r="A76" s="34">
        <v>6170</v>
      </c>
      <c r="B76" s="34">
        <v>1</v>
      </c>
      <c r="C76" s="34" t="s">
        <v>1632</v>
      </c>
      <c r="D76" s="34" t="s">
        <v>1637</v>
      </c>
      <c r="E76" s="34">
        <v>0</v>
      </c>
      <c r="F76" s="34">
        <v>0.2</v>
      </c>
      <c r="G76" s="34" t="s">
        <v>1648</v>
      </c>
      <c r="H76" s="34">
        <v>500</v>
      </c>
      <c r="I76" s="34">
        <v>115</v>
      </c>
    </row>
    <row r="77" spans="1:9" x14ac:dyDescent="0.3">
      <c r="A77" s="34">
        <v>6171</v>
      </c>
      <c r="B77" s="34">
        <v>1</v>
      </c>
      <c r="C77" s="34" t="s">
        <v>1632</v>
      </c>
      <c r="D77" s="34" t="s">
        <v>1638</v>
      </c>
      <c r="E77" s="34">
        <v>0</v>
      </c>
      <c r="F77" s="34">
        <v>0.2</v>
      </c>
      <c r="G77" s="34" t="s">
        <v>1648</v>
      </c>
      <c r="H77" s="34">
        <v>500</v>
      </c>
      <c r="I77" s="34">
        <v>115</v>
      </c>
    </row>
    <row r="78" spans="1:9" x14ac:dyDescent="0.3">
      <c r="A78" s="34">
        <v>6172</v>
      </c>
      <c r="B78" s="34">
        <v>1</v>
      </c>
      <c r="C78" s="34" t="s">
        <v>1632</v>
      </c>
      <c r="D78" s="34" t="s">
        <v>1639</v>
      </c>
      <c r="E78" s="34">
        <v>0</v>
      </c>
      <c r="F78" s="34">
        <v>0.2</v>
      </c>
      <c r="G78" s="34" t="s">
        <v>1648</v>
      </c>
      <c r="H78" s="34">
        <v>500</v>
      </c>
      <c r="I78" s="34">
        <v>115</v>
      </c>
    </row>
    <row r="79" spans="1:9" x14ac:dyDescent="0.3">
      <c r="A79" s="34">
        <v>6173</v>
      </c>
      <c r="B79" s="34">
        <v>1</v>
      </c>
      <c r="C79" s="34" t="s">
        <v>1632</v>
      </c>
      <c r="D79" s="34" t="s">
        <v>1640</v>
      </c>
      <c r="E79" s="34">
        <v>0</v>
      </c>
      <c r="F79" s="34">
        <v>0.2</v>
      </c>
      <c r="G79" s="34" t="s">
        <v>1648</v>
      </c>
      <c r="H79" s="34">
        <v>500</v>
      </c>
      <c r="I79" s="34">
        <v>115</v>
      </c>
    </row>
    <row r="80" spans="1:9" x14ac:dyDescent="0.3">
      <c r="A80" s="34">
        <v>6174</v>
      </c>
      <c r="B80" s="34">
        <v>1</v>
      </c>
      <c r="C80" s="34" t="s">
        <v>1632</v>
      </c>
      <c r="D80" s="34" t="s">
        <v>1641</v>
      </c>
      <c r="E80" s="34">
        <v>0</v>
      </c>
      <c r="F80" s="34">
        <v>0.2</v>
      </c>
      <c r="G80" s="34" t="s">
        <v>1648</v>
      </c>
      <c r="H80" s="34">
        <v>500</v>
      </c>
      <c r="I80" s="34">
        <v>115</v>
      </c>
    </row>
    <row r="81" spans="1:9" x14ac:dyDescent="0.3">
      <c r="A81" s="34">
        <v>6175</v>
      </c>
      <c r="B81" s="34">
        <v>1</v>
      </c>
      <c r="C81" s="34" t="s">
        <v>1632</v>
      </c>
      <c r="D81" s="34" t="s">
        <v>1642</v>
      </c>
      <c r="E81" s="34">
        <v>0</v>
      </c>
      <c r="F81" s="34">
        <v>0.2</v>
      </c>
      <c r="G81" s="34" t="s">
        <v>1648</v>
      </c>
      <c r="H81" s="34">
        <v>500</v>
      </c>
      <c r="I81" s="34">
        <v>115</v>
      </c>
    </row>
    <row r="82" spans="1:9" x14ac:dyDescent="0.3">
      <c r="A82" s="34">
        <v>6176</v>
      </c>
      <c r="B82" s="34">
        <v>1</v>
      </c>
      <c r="C82" s="34" t="s">
        <v>1632</v>
      </c>
      <c r="D82" s="34" t="s">
        <v>1643</v>
      </c>
      <c r="E82" s="34">
        <v>0</v>
      </c>
      <c r="F82" s="34">
        <v>0.2</v>
      </c>
      <c r="G82" s="34" t="s">
        <v>1648</v>
      </c>
      <c r="H82" s="34">
        <v>500</v>
      </c>
      <c r="I82" s="34">
        <v>115</v>
      </c>
    </row>
    <row r="83" spans="1:9" x14ac:dyDescent="0.3">
      <c r="A83" s="34">
        <v>6177</v>
      </c>
      <c r="B83" s="34">
        <v>1</v>
      </c>
      <c r="C83" s="34" t="s">
        <v>1632</v>
      </c>
      <c r="D83" s="34" t="s">
        <v>1644</v>
      </c>
      <c r="E83" s="34">
        <v>0</v>
      </c>
      <c r="F83" s="34">
        <v>0.2</v>
      </c>
      <c r="G83" s="34" t="s">
        <v>1648</v>
      </c>
      <c r="H83" s="34">
        <v>500</v>
      </c>
      <c r="I83" s="34">
        <v>115</v>
      </c>
    </row>
    <row r="84" spans="1:9" x14ac:dyDescent="0.3">
      <c r="A84" s="34">
        <v>6178</v>
      </c>
      <c r="B84" s="34">
        <v>1</v>
      </c>
      <c r="C84" s="34" t="s">
        <v>1632</v>
      </c>
      <c r="D84" s="34" t="s">
        <v>1645</v>
      </c>
      <c r="E84" s="34">
        <v>0</v>
      </c>
      <c r="F84" s="34">
        <v>0.2</v>
      </c>
      <c r="G84" s="34" t="s">
        <v>1648</v>
      </c>
      <c r="H84" s="34">
        <v>500</v>
      </c>
      <c r="I84" s="34">
        <v>115</v>
      </c>
    </row>
    <row r="85" spans="1:9" x14ac:dyDescent="0.3">
      <c r="A85" s="34">
        <v>6179</v>
      </c>
      <c r="B85" s="34">
        <v>1</v>
      </c>
      <c r="C85" s="34" t="s">
        <v>1632</v>
      </c>
      <c r="D85" s="34" t="s">
        <v>1646</v>
      </c>
      <c r="E85" s="34">
        <v>0</v>
      </c>
      <c r="F85" s="34">
        <v>0.2</v>
      </c>
      <c r="G85" s="34" t="s">
        <v>1648</v>
      </c>
      <c r="H85" s="34">
        <v>500</v>
      </c>
      <c r="I85" s="34">
        <v>115</v>
      </c>
    </row>
    <row r="86" spans="1:9" x14ac:dyDescent="0.3">
      <c r="A86" s="34">
        <v>6180</v>
      </c>
      <c r="B86" s="34">
        <v>1</v>
      </c>
      <c r="C86" s="34" t="s">
        <v>1632</v>
      </c>
      <c r="D86" s="34" t="s">
        <v>1647</v>
      </c>
      <c r="E86" s="34">
        <v>0</v>
      </c>
      <c r="F86" s="34">
        <v>0.2</v>
      </c>
      <c r="G86" s="34" t="s">
        <v>1648</v>
      </c>
      <c r="H86" s="34">
        <v>500</v>
      </c>
      <c r="I86" s="34">
        <v>115</v>
      </c>
    </row>
    <row r="87" spans="1:9" x14ac:dyDescent="0.3">
      <c r="A87" s="34">
        <v>6181</v>
      </c>
      <c r="B87" s="34">
        <v>1</v>
      </c>
      <c r="C87" s="34" t="s">
        <v>1632</v>
      </c>
      <c r="D87" s="34" t="s">
        <v>1649</v>
      </c>
      <c r="E87" s="34">
        <v>0</v>
      </c>
      <c r="F87" s="34">
        <v>0.4</v>
      </c>
      <c r="G87" s="34" t="s">
        <v>1634</v>
      </c>
      <c r="H87" s="34">
        <v>100</v>
      </c>
      <c r="I87" s="34">
        <v>115</v>
      </c>
    </row>
    <row r="88" spans="1:9" x14ac:dyDescent="0.3">
      <c r="A88" s="34">
        <v>6182</v>
      </c>
      <c r="B88" s="34">
        <v>1</v>
      </c>
      <c r="C88" s="34" t="s">
        <v>1632</v>
      </c>
      <c r="D88" s="34" t="s">
        <v>1649</v>
      </c>
      <c r="E88" s="34">
        <v>0</v>
      </c>
      <c r="F88" s="34">
        <v>0.65</v>
      </c>
      <c r="G88" s="34" t="s">
        <v>1648</v>
      </c>
      <c r="H88" s="34">
        <v>500</v>
      </c>
      <c r="I88" s="34">
        <v>115</v>
      </c>
    </row>
    <row r="89" spans="1:9" x14ac:dyDescent="0.3">
      <c r="A89" s="34">
        <v>6183</v>
      </c>
      <c r="B89" s="34">
        <v>1</v>
      </c>
      <c r="C89" s="34" t="s">
        <v>1632</v>
      </c>
      <c r="D89" s="34" t="s">
        <v>1650</v>
      </c>
      <c r="E89" s="34">
        <v>0</v>
      </c>
      <c r="F89" s="34">
        <v>0.65</v>
      </c>
      <c r="G89" s="34" t="s">
        <v>1648</v>
      </c>
      <c r="H89" s="34">
        <v>500</v>
      </c>
      <c r="I89" s="34">
        <v>115</v>
      </c>
    </row>
    <row r="90" spans="1:9" x14ac:dyDescent="0.3">
      <c r="A90" s="34">
        <v>6184</v>
      </c>
      <c r="B90" s="34">
        <v>1</v>
      </c>
      <c r="C90" s="34" t="s">
        <v>1632</v>
      </c>
      <c r="D90" s="34" t="s">
        <v>1650</v>
      </c>
      <c r="E90" s="34">
        <v>0</v>
      </c>
      <c r="F90" s="34">
        <v>0.4</v>
      </c>
      <c r="G90" s="34" t="s">
        <v>1634</v>
      </c>
      <c r="H90" s="34">
        <v>100</v>
      </c>
      <c r="I90" s="34">
        <v>115</v>
      </c>
    </row>
    <row r="91" spans="1:9" x14ac:dyDescent="0.3">
      <c r="A91" s="34">
        <v>6185</v>
      </c>
      <c r="B91" s="34">
        <v>1</v>
      </c>
      <c r="C91" s="34" t="s">
        <v>1632</v>
      </c>
      <c r="D91" s="34" t="s">
        <v>1651</v>
      </c>
      <c r="E91" s="34">
        <v>0</v>
      </c>
      <c r="F91" s="34">
        <v>0.4</v>
      </c>
      <c r="G91" s="34" t="s">
        <v>1634</v>
      </c>
      <c r="H91" s="34">
        <v>100</v>
      </c>
      <c r="I91" s="34">
        <v>115</v>
      </c>
    </row>
    <row r="92" spans="1:9" x14ac:dyDescent="0.3">
      <c r="A92" s="34">
        <v>6186</v>
      </c>
      <c r="B92" s="34">
        <v>1</v>
      </c>
      <c r="C92" s="34" t="s">
        <v>1632</v>
      </c>
      <c r="D92" s="34" t="s">
        <v>1651</v>
      </c>
      <c r="E92" s="34">
        <v>0</v>
      </c>
      <c r="F92" s="34">
        <v>0.65</v>
      </c>
      <c r="G92" s="34" t="s">
        <v>1648</v>
      </c>
      <c r="H92" s="34">
        <v>500</v>
      </c>
      <c r="I92" s="34">
        <v>115</v>
      </c>
    </row>
    <row r="93" spans="1:9" x14ac:dyDescent="0.3">
      <c r="A93" s="34">
        <v>6187</v>
      </c>
      <c r="B93" s="34">
        <v>1</v>
      </c>
      <c r="C93" s="34" t="s">
        <v>1632</v>
      </c>
      <c r="D93" s="34" t="s">
        <v>1652</v>
      </c>
      <c r="E93" s="34">
        <v>0</v>
      </c>
      <c r="F93" s="34">
        <v>0.65</v>
      </c>
      <c r="G93" s="34" t="s">
        <v>1648</v>
      </c>
      <c r="H93" s="34">
        <v>500</v>
      </c>
      <c r="I93" s="34">
        <v>115</v>
      </c>
    </row>
    <row r="94" spans="1:9" x14ac:dyDescent="0.3">
      <c r="A94" s="34">
        <v>6188</v>
      </c>
      <c r="B94" s="34">
        <v>1</v>
      </c>
      <c r="C94" s="34" t="s">
        <v>1632</v>
      </c>
      <c r="D94" s="34" t="s">
        <v>1652</v>
      </c>
      <c r="E94" s="34">
        <v>0</v>
      </c>
      <c r="F94" s="34">
        <v>0.4</v>
      </c>
      <c r="G94" s="34" t="s">
        <v>1634</v>
      </c>
      <c r="H94" s="34">
        <v>100</v>
      </c>
      <c r="I94" s="34">
        <v>115</v>
      </c>
    </row>
    <row r="95" spans="1:9" x14ac:dyDescent="0.3">
      <c r="A95" s="34">
        <v>6189</v>
      </c>
      <c r="B95" s="34">
        <v>1</v>
      </c>
      <c r="C95" s="34" t="s">
        <v>1632</v>
      </c>
      <c r="D95" s="34" t="s">
        <v>1653</v>
      </c>
      <c r="E95" s="34">
        <v>0</v>
      </c>
      <c r="F95" s="34">
        <v>0.3</v>
      </c>
      <c r="G95" s="34" t="s">
        <v>1634</v>
      </c>
      <c r="H95" s="34">
        <v>100</v>
      </c>
      <c r="I95" s="34">
        <v>115</v>
      </c>
    </row>
    <row r="96" spans="1:9" x14ac:dyDescent="0.3">
      <c r="A96" s="34">
        <v>6190</v>
      </c>
      <c r="B96" s="34">
        <v>1</v>
      </c>
      <c r="C96" s="34" t="s">
        <v>1632</v>
      </c>
      <c r="D96" s="34" t="s">
        <v>1653</v>
      </c>
      <c r="E96" s="34">
        <v>0</v>
      </c>
      <c r="F96" s="34">
        <v>0.45</v>
      </c>
      <c r="G96" s="34" t="s">
        <v>1648</v>
      </c>
      <c r="H96" s="34">
        <v>500</v>
      </c>
      <c r="I96" s="34">
        <v>115</v>
      </c>
    </row>
    <row r="97" spans="1:9" x14ac:dyDescent="0.3">
      <c r="A97" s="34">
        <v>6191</v>
      </c>
      <c r="B97" s="34">
        <v>1</v>
      </c>
      <c r="C97" s="34" t="s">
        <v>1632</v>
      </c>
      <c r="D97" s="34" t="s">
        <v>1654</v>
      </c>
      <c r="E97" s="34">
        <v>0</v>
      </c>
      <c r="F97" s="34">
        <v>0.45</v>
      </c>
      <c r="G97" s="34" t="s">
        <v>1648</v>
      </c>
      <c r="H97" s="34">
        <v>500</v>
      </c>
      <c r="I97" s="34">
        <v>115</v>
      </c>
    </row>
    <row r="98" spans="1:9" x14ac:dyDescent="0.3">
      <c r="A98" s="34">
        <v>6192</v>
      </c>
      <c r="B98" s="34">
        <v>1</v>
      </c>
      <c r="C98" s="34" t="s">
        <v>1632</v>
      </c>
      <c r="D98" s="34" t="s">
        <v>1654</v>
      </c>
      <c r="E98" s="34">
        <v>0</v>
      </c>
      <c r="F98" s="34">
        <v>0.3</v>
      </c>
      <c r="G98" s="34" t="s">
        <v>1634</v>
      </c>
      <c r="H98" s="34">
        <v>100</v>
      </c>
      <c r="I98" s="34">
        <v>115</v>
      </c>
    </row>
    <row r="99" spans="1:9" x14ac:dyDescent="0.3">
      <c r="A99" s="34">
        <v>6193</v>
      </c>
      <c r="B99" s="34">
        <v>1</v>
      </c>
      <c r="C99" s="34" t="s">
        <v>1632</v>
      </c>
      <c r="D99" s="34" t="s">
        <v>1655</v>
      </c>
      <c r="E99" s="34">
        <v>0</v>
      </c>
      <c r="F99" s="34">
        <v>0.3</v>
      </c>
      <c r="G99" s="34" t="s">
        <v>1634</v>
      </c>
      <c r="H99" s="34">
        <v>100</v>
      </c>
      <c r="I99" s="34">
        <v>115</v>
      </c>
    </row>
    <row r="100" spans="1:9" x14ac:dyDescent="0.3">
      <c r="A100" s="34">
        <v>6194</v>
      </c>
      <c r="B100" s="34">
        <v>1</v>
      </c>
      <c r="C100" s="34" t="s">
        <v>1632</v>
      </c>
      <c r="D100" s="34" t="s">
        <v>1655</v>
      </c>
      <c r="E100" s="34">
        <v>0</v>
      </c>
      <c r="F100" s="34">
        <v>0.45</v>
      </c>
      <c r="G100" s="34" t="s">
        <v>1648</v>
      </c>
      <c r="H100" s="34">
        <v>500</v>
      </c>
      <c r="I100" s="34">
        <v>115</v>
      </c>
    </row>
    <row r="101" spans="1:9" x14ac:dyDescent="0.3">
      <c r="A101" s="34">
        <v>6195</v>
      </c>
      <c r="B101" s="34">
        <v>1</v>
      </c>
      <c r="C101" s="34" t="s">
        <v>1632</v>
      </c>
      <c r="D101" s="34" t="s">
        <v>1656</v>
      </c>
      <c r="E101" s="34">
        <v>0</v>
      </c>
      <c r="F101" s="34">
        <v>0.3</v>
      </c>
      <c r="G101" s="34" t="s">
        <v>1634</v>
      </c>
      <c r="H101" s="34">
        <v>100</v>
      </c>
      <c r="I101" s="34">
        <v>115</v>
      </c>
    </row>
    <row r="102" spans="1:9" x14ac:dyDescent="0.3">
      <c r="A102" s="34">
        <v>6196</v>
      </c>
      <c r="B102" s="34">
        <v>1</v>
      </c>
      <c r="C102" s="34" t="s">
        <v>1632</v>
      </c>
      <c r="D102" s="34" t="s">
        <v>1657</v>
      </c>
      <c r="E102" s="34">
        <v>0</v>
      </c>
      <c r="F102" s="34">
        <v>0.2</v>
      </c>
      <c r="G102" s="34" t="s">
        <v>1634</v>
      </c>
      <c r="H102" s="34">
        <v>100</v>
      </c>
      <c r="I102" s="34">
        <v>115</v>
      </c>
    </row>
    <row r="103" spans="1:9" x14ac:dyDescent="0.3">
      <c r="A103" s="34">
        <v>6197</v>
      </c>
      <c r="B103" s="34">
        <v>1</v>
      </c>
      <c r="C103" s="34" t="s">
        <v>1632</v>
      </c>
      <c r="D103" s="34" t="s">
        <v>1658</v>
      </c>
      <c r="E103" s="34">
        <v>0</v>
      </c>
      <c r="F103" s="34">
        <v>0.2</v>
      </c>
      <c r="G103" s="34" t="s">
        <v>1634</v>
      </c>
      <c r="H103" s="34">
        <v>100</v>
      </c>
      <c r="I103" s="34">
        <v>115</v>
      </c>
    </row>
    <row r="104" spans="1:9" x14ac:dyDescent="0.3">
      <c r="A104" s="34">
        <v>6198</v>
      </c>
      <c r="B104" s="34">
        <v>1</v>
      </c>
      <c r="C104" s="34" t="s">
        <v>1632</v>
      </c>
      <c r="D104" s="34" t="s">
        <v>1659</v>
      </c>
      <c r="E104" s="34">
        <v>0</v>
      </c>
      <c r="F104" s="34">
        <v>0.2</v>
      </c>
      <c r="G104" s="34" t="s">
        <v>1634</v>
      </c>
      <c r="H104" s="34">
        <v>100</v>
      </c>
      <c r="I104" s="34">
        <v>115</v>
      </c>
    </row>
    <row r="105" spans="1:9" x14ac:dyDescent="0.3">
      <c r="A105" s="34">
        <v>6199</v>
      </c>
      <c r="B105" s="34">
        <v>1</v>
      </c>
      <c r="C105" s="34" t="s">
        <v>1632</v>
      </c>
      <c r="D105" s="34" t="s">
        <v>1660</v>
      </c>
      <c r="E105" s="34">
        <v>0</v>
      </c>
      <c r="F105" s="34">
        <v>0.2</v>
      </c>
      <c r="G105" s="34" t="s">
        <v>1634</v>
      </c>
      <c r="H105" s="34">
        <v>100</v>
      </c>
      <c r="I105" s="34">
        <v>115</v>
      </c>
    </row>
    <row r="106" spans="1:9" x14ac:dyDescent="0.3">
      <c r="A106" s="34">
        <v>6200</v>
      </c>
      <c r="B106" s="34">
        <v>1</v>
      </c>
      <c r="C106" s="34" t="s">
        <v>1632</v>
      </c>
      <c r="D106" s="34" t="s">
        <v>1656</v>
      </c>
      <c r="E106" s="34">
        <v>0</v>
      </c>
      <c r="F106" s="34">
        <v>0.45</v>
      </c>
      <c r="G106" s="34" t="s">
        <v>1648</v>
      </c>
      <c r="H106" s="34">
        <v>500</v>
      </c>
      <c r="I106" s="34">
        <v>115</v>
      </c>
    </row>
    <row r="107" spans="1:9" x14ac:dyDescent="0.3">
      <c r="A107" s="34">
        <v>6201</v>
      </c>
      <c r="B107" s="34">
        <v>1</v>
      </c>
      <c r="C107" s="34" t="s">
        <v>1632</v>
      </c>
      <c r="D107" s="34" t="s">
        <v>1657</v>
      </c>
      <c r="E107" s="34">
        <v>0</v>
      </c>
      <c r="F107" s="34">
        <v>0.35</v>
      </c>
      <c r="G107" s="34" t="s">
        <v>1648</v>
      </c>
      <c r="H107" s="34">
        <v>500</v>
      </c>
      <c r="I107" s="34">
        <v>115</v>
      </c>
    </row>
    <row r="108" spans="1:9" x14ac:dyDescent="0.3">
      <c r="A108" s="34">
        <v>6202</v>
      </c>
      <c r="B108" s="34">
        <v>1</v>
      </c>
      <c r="C108" s="34" t="s">
        <v>1632</v>
      </c>
      <c r="D108" s="34" t="s">
        <v>1658</v>
      </c>
      <c r="E108" s="34">
        <v>0</v>
      </c>
      <c r="F108" s="34">
        <v>0.35</v>
      </c>
      <c r="G108" s="34" t="s">
        <v>1648</v>
      </c>
      <c r="H108" s="34">
        <v>500</v>
      </c>
      <c r="I108" s="34">
        <v>115</v>
      </c>
    </row>
    <row r="109" spans="1:9" x14ac:dyDescent="0.3">
      <c r="A109" s="34">
        <v>6203</v>
      </c>
      <c r="B109" s="34">
        <v>1</v>
      </c>
      <c r="C109" s="34" t="s">
        <v>1632</v>
      </c>
      <c r="D109" s="34" t="s">
        <v>1659</v>
      </c>
      <c r="E109" s="34">
        <v>0</v>
      </c>
      <c r="F109" s="34">
        <v>0.35</v>
      </c>
      <c r="G109" s="34" t="s">
        <v>1648</v>
      </c>
      <c r="H109" s="34">
        <v>500</v>
      </c>
      <c r="I109" s="34">
        <v>115</v>
      </c>
    </row>
    <row r="110" spans="1:9" x14ac:dyDescent="0.3">
      <c r="A110" s="34">
        <v>6204</v>
      </c>
      <c r="B110" s="34">
        <v>1</v>
      </c>
      <c r="C110" s="34" t="s">
        <v>1632</v>
      </c>
      <c r="D110" s="34" t="s">
        <v>1660</v>
      </c>
      <c r="E110" s="34">
        <v>0</v>
      </c>
      <c r="F110" s="34">
        <v>0.35</v>
      </c>
      <c r="G110" s="34" t="s">
        <v>1648</v>
      </c>
      <c r="H110" s="34">
        <v>500</v>
      </c>
      <c r="I110" s="34">
        <v>115</v>
      </c>
    </row>
    <row r="111" spans="1:9" x14ac:dyDescent="0.3">
      <c r="A111" s="34">
        <v>6205</v>
      </c>
      <c r="B111" s="34">
        <v>1</v>
      </c>
      <c r="C111" s="34" t="s">
        <v>1632</v>
      </c>
      <c r="D111" s="34" t="s">
        <v>1661</v>
      </c>
      <c r="E111" s="34">
        <v>0</v>
      </c>
      <c r="F111" s="34">
        <v>0.45</v>
      </c>
      <c r="G111" s="34" t="s">
        <v>1634</v>
      </c>
      <c r="H111" s="34">
        <v>100</v>
      </c>
      <c r="I111" s="34">
        <v>115</v>
      </c>
    </row>
    <row r="112" spans="1:9" x14ac:dyDescent="0.3">
      <c r="A112" s="34">
        <v>6206</v>
      </c>
      <c r="B112" s="34">
        <v>1</v>
      </c>
      <c r="C112" s="34" t="s">
        <v>1632</v>
      </c>
      <c r="D112" s="34" t="s">
        <v>1661</v>
      </c>
      <c r="E112" s="34">
        <v>0</v>
      </c>
      <c r="F112" s="34">
        <v>0.45</v>
      </c>
      <c r="G112" s="34" t="s">
        <v>1648</v>
      </c>
      <c r="H112" s="34">
        <v>500</v>
      </c>
      <c r="I112" s="34">
        <v>115</v>
      </c>
    </row>
    <row r="113" spans="1:81" x14ac:dyDescent="0.3">
      <c r="A113" s="34">
        <v>6207</v>
      </c>
      <c r="B113" s="34">
        <v>1</v>
      </c>
      <c r="C113" s="34" t="s">
        <v>1662</v>
      </c>
      <c r="D113" s="34" t="s">
        <v>130</v>
      </c>
      <c r="E113" s="34">
        <v>0</v>
      </c>
      <c r="F113" s="34">
        <v>0.5</v>
      </c>
      <c r="G113" s="34"/>
      <c r="H113" s="34">
        <v>0</v>
      </c>
      <c r="I113" s="34">
        <v>115</v>
      </c>
    </row>
    <row r="114" spans="1:81" x14ac:dyDescent="0.3">
      <c r="A114" s="34">
        <v>6208</v>
      </c>
      <c r="B114" s="34">
        <v>1</v>
      </c>
      <c r="C114" s="34" t="s">
        <v>1662</v>
      </c>
      <c r="D114" s="34" t="s">
        <v>1624</v>
      </c>
      <c r="E114" s="34">
        <v>0</v>
      </c>
      <c r="F114" s="34">
        <v>0.3</v>
      </c>
      <c r="G114" s="34"/>
      <c r="H114" s="34">
        <v>0</v>
      </c>
      <c r="I114" s="34">
        <v>115</v>
      </c>
    </row>
    <row r="115" spans="1:81" x14ac:dyDescent="0.3">
      <c r="A115" s="34">
        <v>6209</v>
      </c>
      <c r="B115" s="34">
        <v>1</v>
      </c>
      <c r="C115" s="34" t="s">
        <v>1662</v>
      </c>
      <c r="D115" s="34" t="s">
        <v>1625</v>
      </c>
      <c r="E115" s="34">
        <v>0</v>
      </c>
      <c r="F115" s="34">
        <v>0.7</v>
      </c>
      <c r="G115" s="34"/>
      <c r="H115" s="34">
        <v>0</v>
      </c>
      <c r="I115" s="34">
        <v>115</v>
      </c>
    </row>
    <row r="116" spans="1:81" x14ac:dyDescent="0.3">
      <c r="A116" s="34">
        <v>6210</v>
      </c>
      <c r="B116" s="34">
        <v>1</v>
      </c>
      <c r="C116" s="34" t="s">
        <v>1662</v>
      </c>
      <c r="D116" s="34" t="s">
        <v>1627</v>
      </c>
      <c r="E116" s="34">
        <v>0</v>
      </c>
      <c r="F116" s="34">
        <v>0.7</v>
      </c>
      <c r="G116" s="34"/>
      <c r="H116" s="34">
        <v>0</v>
      </c>
      <c r="I116" s="34">
        <v>115</v>
      </c>
    </row>
    <row r="117" spans="1:81" x14ac:dyDescent="0.3">
      <c r="A117" s="34">
        <v>6211</v>
      </c>
      <c r="B117" s="34">
        <v>1</v>
      </c>
      <c r="C117" s="34" t="s">
        <v>1662</v>
      </c>
      <c r="D117" s="34" t="s">
        <v>1626</v>
      </c>
      <c r="E117" s="34">
        <v>0</v>
      </c>
      <c r="F117" s="34">
        <v>0.3</v>
      </c>
      <c r="G117" s="34"/>
      <c r="H117" s="34">
        <v>0</v>
      </c>
      <c r="I117" s="34">
        <v>115</v>
      </c>
    </row>
    <row r="118" spans="1:81" x14ac:dyDescent="0.3">
      <c r="A118" s="34">
        <v>6212</v>
      </c>
      <c r="B118" s="34">
        <v>1</v>
      </c>
      <c r="C118" s="34" t="s">
        <v>1662</v>
      </c>
      <c r="D118" s="34" t="s">
        <v>1629</v>
      </c>
      <c r="E118" s="34">
        <v>0</v>
      </c>
      <c r="F118" s="34">
        <v>0.75</v>
      </c>
      <c r="G118" s="34"/>
      <c r="H118" s="34">
        <v>0</v>
      </c>
      <c r="I118" s="34">
        <v>115</v>
      </c>
    </row>
    <row r="119" spans="1:81" x14ac:dyDescent="0.3">
      <c r="A119" s="34">
        <v>6213</v>
      </c>
      <c r="B119" s="34">
        <v>1</v>
      </c>
      <c r="C119" s="34" t="s">
        <v>1662</v>
      </c>
      <c r="D119" s="34" t="s">
        <v>1623</v>
      </c>
      <c r="E119" s="34">
        <v>0</v>
      </c>
      <c r="F119" s="34">
        <v>0.15</v>
      </c>
      <c r="G119" s="34"/>
      <c r="H119" s="34">
        <v>0</v>
      </c>
      <c r="I119" s="34">
        <v>115</v>
      </c>
    </row>
    <row r="123" spans="1:81" x14ac:dyDescent="0.3">
      <c r="A123" s="34" t="s">
        <v>2</v>
      </c>
      <c r="B123" s="34" t="s">
        <v>3</v>
      </c>
      <c r="C123" s="34" t="s">
        <v>1315</v>
      </c>
      <c r="D123" s="34" t="s">
        <v>1389</v>
      </c>
      <c r="E123" s="34" t="s">
        <v>1390</v>
      </c>
      <c r="F123" s="34" t="s">
        <v>1391</v>
      </c>
      <c r="G123" s="34" t="s">
        <v>1392</v>
      </c>
      <c r="H123" s="34" t="s">
        <v>1393</v>
      </c>
      <c r="I123" s="34" t="s">
        <v>1394</v>
      </c>
      <c r="J123" s="34" t="s">
        <v>1395</v>
      </c>
      <c r="K123" s="34" t="s">
        <v>1396</v>
      </c>
      <c r="L123" s="34" t="s">
        <v>1397</v>
      </c>
      <c r="M123" s="34" t="s">
        <v>1398</v>
      </c>
      <c r="N123" s="34" t="s">
        <v>1399</v>
      </c>
      <c r="O123" s="34" t="s">
        <v>1400</v>
      </c>
      <c r="P123" s="34" t="s">
        <v>1401</v>
      </c>
      <c r="Q123" s="34" t="s">
        <v>1322</v>
      </c>
      <c r="R123" s="34" t="s">
        <v>1402</v>
      </c>
      <c r="S123" s="34" t="s">
        <v>1403</v>
      </c>
      <c r="T123" s="34" t="s">
        <v>1404</v>
      </c>
      <c r="U123" s="34" t="s">
        <v>1405</v>
      </c>
      <c r="V123" s="34" t="s">
        <v>1406</v>
      </c>
      <c r="W123" s="34" t="s">
        <v>1407</v>
      </c>
      <c r="X123" s="34" t="s">
        <v>1408</v>
      </c>
      <c r="Y123" s="34" t="s">
        <v>1409</v>
      </c>
      <c r="Z123" s="34" t="s">
        <v>1410</v>
      </c>
      <c r="AA123" s="34" t="s">
        <v>1411</v>
      </c>
      <c r="AB123" s="34" t="s">
        <v>1412</v>
      </c>
      <c r="AC123" s="34" t="s">
        <v>1413</v>
      </c>
      <c r="AD123" s="34" t="s">
        <v>1414</v>
      </c>
      <c r="AE123" s="34" t="s">
        <v>1415</v>
      </c>
      <c r="AF123" s="34" t="s">
        <v>1416</v>
      </c>
      <c r="AG123" s="34" t="s">
        <v>1417</v>
      </c>
      <c r="AH123" s="34" t="s">
        <v>1418</v>
      </c>
      <c r="AI123" s="34" t="s">
        <v>71</v>
      </c>
      <c r="AJ123" s="34" t="s">
        <v>1419</v>
      </c>
      <c r="AK123" s="34" t="s">
        <v>1420</v>
      </c>
      <c r="AL123" s="34" t="s">
        <v>1421</v>
      </c>
      <c r="AM123" s="34" t="s">
        <v>1422</v>
      </c>
      <c r="AN123" s="34" t="s">
        <v>1423</v>
      </c>
      <c r="AO123" s="34" t="s">
        <v>1424</v>
      </c>
      <c r="AP123" s="34" t="s">
        <v>1425</v>
      </c>
      <c r="AQ123" s="34" t="s">
        <v>1318</v>
      </c>
      <c r="AR123" s="34" t="s">
        <v>1426</v>
      </c>
      <c r="AS123" s="34" t="s">
        <v>1427</v>
      </c>
      <c r="AT123" s="34" t="s">
        <v>1428</v>
      </c>
      <c r="AU123" s="34" t="s">
        <v>1429</v>
      </c>
      <c r="AV123" s="34" t="s">
        <v>1430</v>
      </c>
      <c r="AW123" s="34" t="s">
        <v>1431</v>
      </c>
      <c r="AX123" s="34" t="s">
        <v>1432</v>
      </c>
      <c r="AY123" s="34" t="s">
        <v>1433</v>
      </c>
      <c r="AZ123" s="34" t="s">
        <v>1434</v>
      </c>
      <c r="BA123" s="34" t="s">
        <v>1435</v>
      </c>
      <c r="BB123" s="34" t="s">
        <v>1436</v>
      </c>
      <c r="BC123" s="34" t="s">
        <v>1437</v>
      </c>
      <c r="BD123" s="34" t="s">
        <v>1438</v>
      </c>
      <c r="BE123" s="34" t="s">
        <v>1439</v>
      </c>
      <c r="BF123" s="34" t="s">
        <v>0</v>
      </c>
      <c r="BG123" s="34" t="s">
        <v>1440</v>
      </c>
      <c r="BH123" s="34" t="s">
        <v>1441</v>
      </c>
      <c r="BI123" s="34" t="s">
        <v>14</v>
      </c>
      <c r="BJ123" s="34" t="s">
        <v>13</v>
      </c>
      <c r="BK123" s="34" t="s">
        <v>1316</v>
      </c>
      <c r="BL123" s="34" t="s">
        <v>35</v>
      </c>
      <c r="BM123" s="34" t="s">
        <v>1442</v>
      </c>
      <c r="BN123" s="34" t="s">
        <v>1443</v>
      </c>
      <c r="BO123" s="34" t="s">
        <v>1444</v>
      </c>
      <c r="BP123" s="34" t="s">
        <v>1445</v>
      </c>
      <c r="BQ123" s="34" t="s">
        <v>1446</v>
      </c>
      <c r="BR123" s="34" t="s">
        <v>1447</v>
      </c>
      <c r="BS123" s="34" t="s">
        <v>1448</v>
      </c>
      <c r="BT123" s="34" t="s">
        <v>1449</v>
      </c>
      <c r="BU123" s="34" t="s">
        <v>1450</v>
      </c>
      <c r="BV123" s="34" t="s">
        <v>1321</v>
      </c>
      <c r="BW123" s="34" t="s">
        <v>1451</v>
      </c>
      <c r="BX123" s="34" t="s">
        <v>1452</v>
      </c>
      <c r="BY123" s="34" t="s">
        <v>1317</v>
      </c>
      <c r="BZ123" s="34" t="s">
        <v>1320</v>
      </c>
      <c r="CA123" s="34" t="s">
        <v>1453</v>
      </c>
      <c r="CB123" s="34" t="s">
        <v>1323</v>
      </c>
      <c r="CC123" s="34" t="s">
        <v>1324</v>
      </c>
    </row>
    <row r="124" spans="1:81" x14ac:dyDescent="0.3">
      <c r="A124" s="34" t="s">
        <v>1563</v>
      </c>
      <c r="B124" s="34" t="s">
        <v>711</v>
      </c>
      <c r="C124" s="34" t="s">
        <v>1327</v>
      </c>
      <c r="D124" s="34"/>
      <c r="E124" s="35">
        <v>45405</v>
      </c>
      <c r="F124" s="35">
        <v>47212</v>
      </c>
      <c r="G124" s="34"/>
      <c r="H124" s="34" t="s">
        <v>1325</v>
      </c>
      <c r="I124" s="34">
        <v>0</v>
      </c>
      <c r="J124" s="34">
        <v>150000000</v>
      </c>
      <c r="K124" s="34" t="s">
        <v>123</v>
      </c>
      <c r="L124" s="34" t="s">
        <v>123</v>
      </c>
      <c r="M124" s="34" t="s">
        <v>123</v>
      </c>
      <c r="N124" s="34" t="s">
        <v>123</v>
      </c>
      <c r="O124" s="34">
        <v>101</v>
      </c>
      <c r="P124" s="34">
        <v>1.6666700000000001E-3</v>
      </c>
      <c r="Q124" s="34" t="s">
        <v>123</v>
      </c>
      <c r="R124" s="34" t="s">
        <v>123</v>
      </c>
      <c r="S124" s="34" t="s">
        <v>123</v>
      </c>
      <c r="T124" s="34" t="s">
        <v>123</v>
      </c>
      <c r="U124" s="34" t="s">
        <v>123</v>
      </c>
      <c r="V124" s="34" t="s">
        <v>123</v>
      </c>
      <c r="W124" s="34" t="s">
        <v>123</v>
      </c>
      <c r="X124" s="34" t="s">
        <v>123</v>
      </c>
      <c r="Y124" s="34" t="s">
        <v>123</v>
      </c>
      <c r="Z124" s="34">
        <v>0</v>
      </c>
      <c r="AA124" s="34" t="s">
        <v>123</v>
      </c>
      <c r="AB124" s="34">
        <v>0</v>
      </c>
      <c r="AC124" s="34">
        <v>1</v>
      </c>
      <c r="AD124" s="34" t="s">
        <v>123</v>
      </c>
      <c r="AE124" s="34" t="s">
        <v>123</v>
      </c>
      <c r="AF124" s="34" t="s">
        <v>714</v>
      </c>
      <c r="AG124" s="34" t="s">
        <v>123</v>
      </c>
      <c r="AH124" s="34" t="s">
        <v>123</v>
      </c>
      <c r="AI124" s="34" t="s">
        <v>123</v>
      </c>
      <c r="AJ124" s="34" t="s">
        <v>123</v>
      </c>
      <c r="AK124" s="34" t="s">
        <v>123</v>
      </c>
      <c r="AL124" s="34" t="s">
        <v>123</v>
      </c>
      <c r="AM124" s="34" t="s">
        <v>123</v>
      </c>
      <c r="AN124" s="34" t="s">
        <v>123</v>
      </c>
      <c r="AO124" s="34" t="s">
        <v>123</v>
      </c>
      <c r="AP124" s="34">
        <v>0</v>
      </c>
      <c r="AQ124" s="34" t="s">
        <v>123</v>
      </c>
      <c r="AR124" s="34">
        <v>5.6722120000000001E-2</v>
      </c>
      <c r="AS124" s="34"/>
      <c r="AT124" s="34" t="s">
        <v>123</v>
      </c>
      <c r="AU124" s="34">
        <v>115</v>
      </c>
      <c r="AV124" s="34" t="s">
        <v>1564</v>
      </c>
      <c r="AW124" s="34">
        <v>0</v>
      </c>
      <c r="AX124" s="34">
        <v>1473</v>
      </c>
      <c r="AY124" s="34" t="s">
        <v>1329</v>
      </c>
      <c r="AZ124" s="35">
        <v>45749</v>
      </c>
      <c r="BA124" s="35">
        <v>45749</v>
      </c>
      <c r="BB124" s="34" t="s">
        <v>123</v>
      </c>
      <c r="BC124" s="34" t="s">
        <v>123</v>
      </c>
      <c r="BD124" s="34" t="s">
        <v>123</v>
      </c>
      <c r="BE124" s="34" t="s">
        <v>139</v>
      </c>
      <c r="BF124" s="34">
        <v>151</v>
      </c>
      <c r="BG124" s="34">
        <v>0</v>
      </c>
      <c r="BH124" s="34">
        <v>2.3430280000000001E-2</v>
      </c>
      <c r="BI124" s="34" t="s">
        <v>150</v>
      </c>
      <c r="BJ124" s="34" t="s">
        <v>1328</v>
      </c>
      <c r="BK124" s="34">
        <v>2025</v>
      </c>
      <c r="BL124" s="34" t="s">
        <v>1456</v>
      </c>
      <c r="BM124" s="34"/>
      <c r="BN124" s="34">
        <v>0</v>
      </c>
      <c r="BO124" s="34" t="s">
        <v>1330</v>
      </c>
      <c r="BP124" s="34">
        <v>6.2164799999999999E-2</v>
      </c>
      <c r="BQ124" s="34" t="s">
        <v>1326</v>
      </c>
      <c r="BR124" s="35">
        <v>45749</v>
      </c>
      <c r="BS124" s="34">
        <v>0</v>
      </c>
      <c r="BT124" s="34" t="s">
        <v>123</v>
      </c>
      <c r="BU124" s="34">
        <v>0</v>
      </c>
      <c r="BV124" s="34">
        <v>250000</v>
      </c>
      <c r="BW124" s="34">
        <v>0</v>
      </c>
      <c r="BX124" s="34">
        <v>151</v>
      </c>
      <c r="BY124" s="34">
        <v>0</v>
      </c>
      <c r="BZ124" s="34">
        <v>1</v>
      </c>
      <c r="CA124" s="34" t="s">
        <v>123</v>
      </c>
      <c r="CB124" s="34" t="s">
        <v>123</v>
      </c>
      <c r="CC124" s="34" t="s">
        <v>123</v>
      </c>
    </row>
    <row r="125" spans="1:81" x14ac:dyDescent="0.3">
      <c r="A125" s="34" t="s">
        <v>1565</v>
      </c>
      <c r="B125" s="34" t="s">
        <v>1120</v>
      </c>
      <c r="C125" s="34" t="s">
        <v>1331</v>
      </c>
      <c r="D125" s="34"/>
      <c r="E125" s="35">
        <v>45686</v>
      </c>
      <c r="F125" s="35">
        <v>46850</v>
      </c>
      <c r="G125" s="34"/>
      <c r="H125" s="34" t="s">
        <v>1325</v>
      </c>
      <c r="I125" s="34">
        <v>5000000</v>
      </c>
      <c r="J125" s="34">
        <v>5000000</v>
      </c>
      <c r="K125" s="34" t="s">
        <v>123</v>
      </c>
      <c r="L125" s="34" t="s">
        <v>123</v>
      </c>
      <c r="M125" s="34" t="s">
        <v>123</v>
      </c>
      <c r="N125" s="34" t="s">
        <v>123</v>
      </c>
      <c r="O125" s="34">
        <v>100.2</v>
      </c>
      <c r="P125" s="34">
        <v>8.3333299999999999E-3</v>
      </c>
      <c r="Q125" s="34" t="s">
        <v>123</v>
      </c>
      <c r="R125" s="34" t="s">
        <v>123</v>
      </c>
      <c r="S125" s="34" t="s">
        <v>123</v>
      </c>
      <c r="T125" s="34" t="s">
        <v>123</v>
      </c>
      <c r="U125" s="34" t="s">
        <v>123</v>
      </c>
      <c r="V125" s="34" t="s">
        <v>123</v>
      </c>
      <c r="W125" s="34" t="s">
        <v>123</v>
      </c>
      <c r="X125" s="34" t="s">
        <v>123</v>
      </c>
      <c r="Y125" s="34" t="s">
        <v>123</v>
      </c>
      <c r="Z125" s="34">
        <v>0</v>
      </c>
      <c r="AA125" s="34" t="s">
        <v>123</v>
      </c>
      <c r="AB125" s="34">
        <v>0</v>
      </c>
      <c r="AC125" s="34">
        <v>1</v>
      </c>
      <c r="AD125" s="34" t="s">
        <v>123</v>
      </c>
      <c r="AE125" s="34" t="s">
        <v>123</v>
      </c>
      <c r="AF125" s="34" t="s">
        <v>1121</v>
      </c>
      <c r="AG125" s="34" t="s">
        <v>123</v>
      </c>
      <c r="AH125" s="34" t="s">
        <v>123</v>
      </c>
      <c r="AI125" s="34" t="s">
        <v>123</v>
      </c>
      <c r="AJ125" s="34" t="s">
        <v>123</v>
      </c>
      <c r="AK125" s="34" t="s">
        <v>123</v>
      </c>
      <c r="AL125" s="34" t="s">
        <v>123</v>
      </c>
      <c r="AM125" s="34" t="s">
        <v>123</v>
      </c>
      <c r="AN125" s="34" t="s">
        <v>123</v>
      </c>
      <c r="AO125" s="34" t="s">
        <v>123</v>
      </c>
      <c r="AP125" s="34">
        <v>0</v>
      </c>
      <c r="AQ125" s="34" t="s">
        <v>123</v>
      </c>
      <c r="AR125" s="34">
        <v>0.10367698</v>
      </c>
      <c r="AS125" s="34"/>
      <c r="AT125" s="34" t="s">
        <v>123</v>
      </c>
      <c r="AU125" s="34">
        <v>115</v>
      </c>
      <c r="AV125" s="34" t="s">
        <v>1566</v>
      </c>
      <c r="AW125" s="34">
        <v>0</v>
      </c>
      <c r="AX125" s="34">
        <v>1474</v>
      </c>
      <c r="AY125" s="34" t="s">
        <v>1333</v>
      </c>
      <c r="AZ125" s="35">
        <v>45751</v>
      </c>
      <c r="BA125" s="35">
        <v>45751</v>
      </c>
      <c r="BB125" s="34" t="s">
        <v>123</v>
      </c>
      <c r="BC125" s="34" t="s">
        <v>123</v>
      </c>
      <c r="BD125" s="34" t="s">
        <v>123</v>
      </c>
      <c r="BE125" s="34" t="s">
        <v>1334</v>
      </c>
      <c r="BF125" s="34">
        <v>268</v>
      </c>
      <c r="BG125" s="34">
        <v>0</v>
      </c>
      <c r="BH125" s="34">
        <v>6.6102750000000002E-2</v>
      </c>
      <c r="BI125" s="34" t="s">
        <v>159</v>
      </c>
      <c r="BJ125" s="34" t="s">
        <v>1332</v>
      </c>
      <c r="BK125" s="34">
        <v>2025</v>
      </c>
      <c r="BL125" s="34" t="s">
        <v>1456</v>
      </c>
      <c r="BM125" s="34"/>
      <c r="BN125" s="34">
        <v>0</v>
      </c>
      <c r="BO125" s="34" t="s">
        <v>1330</v>
      </c>
      <c r="BP125" s="34">
        <v>0.10476479</v>
      </c>
      <c r="BQ125" s="34" t="s">
        <v>1326</v>
      </c>
      <c r="BR125" s="35">
        <v>45751</v>
      </c>
      <c r="BS125" s="34">
        <v>0</v>
      </c>
      <c r="BT125" s="34" t="s">
        <v>123</v>
      </c>
      <c r="BU125" s="34">
        <v>0</v>
      </c>
      <c r="BV125" s="34">
        <v>250000</v>
      </c>
      <c r="BW125" s="34">
        <v>0</v>
      </c>
      <c r="BX125" s="34">
        <v>268</v>
      </c>
      <c r="BY125" s="34">
        <v>0</v>
      </c>
      <c r="BZ125" s="34">
        <v>1</v>
      </c>
      <c r="CA125" s="34" t="s">
        <v>123</v>
      </c>
      <c r="CB125" s="34" t="s">
        <v>123</v>
      </c>
      <c r="CC125" s="34" t="s">
        <v>123</v>
      </c>
    </row>
    <row r="126" spans="1:81" x14ac:dyDescent="0.3">
      <c r="A126" s="34" t="s">
        <v>1567</v>
      </c>
      <c r="B126" s="34" t="s">
        <v>668</v>
      </c>
      <c r="C126" s="34" t="s">
        <v>1335</v>
      </c>
      <c r="D126" s="34"/>
      <c r="E126" s="35">
        <v>45252</v>
      </c>
      <c r="F126" s="35">
        <v>46395</v>
      </c>
      <c r="G126" s="34"/>
      <c r="H126" s="34" t="s">
        <v>1325</v>
      </c>
      <c r="I126" s="34">
        <v>0</v>
      </c>
      <c r="J126" s="34">
        <v>600000000</v>
      </c>
      <c r="K126" s="34" t="s">
        <v>123</v>
      </c>
      <c r="L126" s="34" t="s">
        <v>123</v>
      </c>
      <c r="M126" s="34" t="s">
        <v>123</v>
      </c>
      <c r="N126" s="34" t="s">
        <v>123</v>
      </c>
      <c r="O126" s="34">
        <v>102.85</v>
      </c>
      <c r="P126" s="34">
        <v>1.25E-3</v>
      </c>
      <c r="Q126" s="34" t="s">
        <v>123</v>
      </c>
      <c r="R126" s="34" t="s">
        <v>123</v>
      </c>
      <c r="S126" s="34" t="s">
        <v>123</v>
      </c>
      <c r="T126" s="34" t="s">
        <v>123</v>
      </c>
      <c r="U126" s="34" t="s">
        <v>123</v>
      </c>
      <c r="V126" s="34" t="s">
        <v>123</v>
      </c>
      <c r="W126" s="34" t="s">
        <v>123</v>
      </c>
      <c r="X126" s="34" t="s">
        <v>123</v>
      </c>
      <c r="Y126" s="34" t="s">
        <v>123</v>
      </c>
      <c r="Z126" s="34">
        <v>0</v>
      </c>
      <c r="AA126" s="34" t="s">
        <v>123</v>
      </c>
      <c r="AB126" s="34">
        <v>0</v>
      </c>
      <c r="AC126" s="34">
        <v>1</v>
      </c>
      <c r="AD126" s="34" t="s">
        <v>123</v>
      </c>
      <c r="AE126" s="34" t="s">
        <v>123</v>
      </c>
      <c r="AF126" s="34" t="s">
        <v>671</v>
      </c>
      <c r="AG126" s="34" t="s">
        <v>123</v>
      </c>
      <c r="AH126" s="34" t="s">
        <v>123</v>
      </c>
      <c r="AI126" s="34" t="s">
        <v>123</v>
      </c>
      <c r="AJ126" s="34" t="s">
        <v>123</v>
      </c>
      <c r="AK126" s="34" t="s">
        <v>123</v>
      </c>
      <c r="AL126" s="34" t="s">
        <v>123</v>
      </c>
      <c r="AM126" s="34" t="s">
        <v>123</v>
      </c>
      <c r="AN126" s="34" t="s">
        <v>123</v>
      </c>
      <c r="AO126" s="34" t="s">
        <v>123</v>
      </c>
      <c r="AP126" s="34">
        <v>0</v>
      </c>
      <c r="AQ126" s="34" t="s">
        <v>123</v>
      </c>
      <c r="AR126" s="34">
        <v>7.6703099999999996E-2</v>
      </c>
      <c r="AS126" s="34"/>
      <c r="AT126" s="34" t="s">
        <v>123</v>
      </c>
      <c r="AU126" s="34">
        <v>115</v>
      </c>
      <c r="AV126" s="34" t="s">
        <v>1568</v>
      </c>
      <c r="AW126" s="34">
        <v>0</v>
      </c>
      <c r="AX126" s="34">
        <v>1475</v>
      </c>
      <c r="AY126" s="34" t="s">
        <v>1333</v>
      </c>
      <c r="AZ126" s="35">
        <v>45751</v>
      </c>
      <c r="BA126" s="35">
        <v>45751</v>
      </c>
      <c r="BB126" s="34" t="s">
        <v>123</v>
      </c>
      <c r="BC126" s="34" t="s">
        <v>123</v>
      </c>
      <c r="BD126" s="34" t="s">
        <v>123</v>
      </c>
      <c r="BE126" s="34" t="s">
        <v>139</v>
      </c>
      <c r="BF126" s="34">
        <v>138</v>
      </c>
      <c r="BG126" s="34">
        <v>0</v>
      </c>
      <c r="BH126" s="34">
        <v>5.2493049999999999E-2</v>
      </c>
      <c r="BI126" s="34" t="s">
        <v>133</v>
      </c>
      <c r="BJ126" s="34" t="s">
        <v>1336</v>
      </c>
      <c r="BK126" s="34">
        <v>2025</v>
      </c>
      <c r="BL126" s="34" t="s">
        <v>1456</v>
      </c>
      <c r="BM126" s="34"/>
      <c r="BN126" s="34">
        <v>0</v>
      </c>
      <c r="BO126" s="34" t="s">
        <v>1330</v>
      </c>
      <c r="BP126" s="34">
        <v>9.06E-2</v>
      </c>
      <c r="BQ126" s="34" t="s">
        <v>1326</v>
      </c>
      <c r="BR126" s="35">
        <v>45751</v>
      </c>
      <c r="BS126" s="34">
        <v>0</v>
      </c>
      <c r="BT126" s="34" t="s">
        <v>123</v>
      </c>
      <c r="BU126" s="34">
        <v>0</v>
      </c>
      <c r="BV126" s="34">
        <v>250000</v>
      </c>
      <c r="BW126" s="34">
        <v>0</v>
      </c>
      <c r="BX126" s="34">
        <v>138</v>
      </c>
      <c r="BY126" s="34">
        <v>0</v>
      </c>
      <c r="BZ126" s="34">
        <v>1</v>
      </c>
      <c r="CA126" s="34" t="s">
        <v>123</v>
      </c>
      <c r="CB126" s="34" t="s">
        <v>123</v>
      </c>
      <c r="CC126" s="34" t="s">
        <v>123</v>
      </c>
    </row>
    <row r="127" spans="1:81" x14ac:dyDescent="0.3">
      <c r="A127" s="34" t="s">
        <v>1569</v>
      </c>
      <c r="B127" s="34" t="s">
        <v>856</v>
      </c>
      <c r="C127" s="34" t="s">
        <v>1337</v>
      </c>
      <c r="D127" s="34"/>
      <c r="E127" s="35">
        <v>44650</v>
      </c>
      <c r="F127" s="35">
        <v>46119</v>
      </c>
      <c r="G127" s="34"/>
      <c r="H127" s="34" t="s">
        <v>1325</v>
      </c>
      <c r="I127" s="34">
        <v>0</v>
      </c>
      <c r="J127" s="34">
        <v>100000000</v>
      </c>
      <c r="K127" s="34" t="s">
        <v>123</v>
      </c>
      <c r="L127" s="34" t="s">
        <v>123</v>
      </c>
      <c r="M127" s="34" t="s">
        <v>123</v>
      </c>
      <c r="N127" s="34" t="s">
        <v>123</v>
      </c>
      <c r="O127" s="34">
        <v>101</v>
      </c>
      <c r="P127" s="34">
        <v>2.08333E-3</v>
      </c>
      <c r="Q127" s="34" t="s">
        <v>123</v>
      </c>
      <c r="R127" s="34" t="s">
        <v>123</v>
      </c>
      <c r="S127" s="34" t="s">
        <v>123</v>
      </c>
      <c r="T127" s="34" t="s">
        <v>123</v>
      </c>
      <c r="U127" s="34" t="s">
        <v>123</v>
      </c>
      <c r="V127" s="34" t="s">
        <v>123</v>
      </c>
      <c r="W127" s="34" t="s">
        <v>123</v>
      </c>
      <c r="X127" s="34" t="s">
        <v>123</v>
      </c>
      <c r="Y127" s="34" t="s">
        <v>123</v>
      </c>
      <c r="Z127" s="34">
        <v>0</v>
      </c>
      <c r="AA127" s="34" t="s">
        <v>123</v>
      </c>
      <c r="AB127" s="34">
        <v>0</v>
      </c>
      <c r="AC127" s="34">
        <v>1</v>
      </c>
      <c r="AD127" s="34" t="s">
        <v>123</v>
      </c>
      <c r="AE127" s="34" t="s">
        <v>123</v>
      </c>
      <c r="AF127" s="34" t="s">
        <v>858</v>
      </c>
      <c r="AG127" s="34" t="s">
        <v>123</v>
      </c>
      <c r="AH127" s="34" t="s">
        <v>123</v>
      </c>
      <c r="AI127" s="34" t="s">
        <v>123</v>
      </c>
      <c r="AJ127" s="34" t="s">
        <v>123</v>
      </c>
      <c r="AK127" s="34" t="s">
        <v>123</v>
      </c>
      <c r="AL127" s="34" t="s">
        <v>123</v>
      </c>
      <c r="AM127" s="34" t="s">
        <v>123</v>
      </c>
      <c r="AN127" s="34" t="s">
        <v>123</v>
      </c>
      <c r="AO127" s="34" t="s">
        <v>123</v>
      </c>
      <c r="AP127" s="34">
        <v>0</v>
      </c>
      <c r="AQ127" s="34" t="s">
        <v>123</v>
      </c>
      <c r="AR127" s="34">
        <v>5.962858E-2</v>
      </c>
      <c r="AS127" s="34"/>
      <c r="AT127" s="34" t="s">
        <v>123</v>
      </c>
      <c r="AU127" s="34">
        <v>115</v>
      </c>
      <c r="AV127" s="34" t="s">
        <v>1570</v>
      </c>
      <c r="AW127" s="34">
        <v>0</v>
      </c>
      <c r="AX127" s="34">
        <v>1476</v>
      </c>
      <c r="AY127" s="34" t="s">
        <v>1333</v>
      </c>
      <c r="AZ127" s="35">
        <v>45751</v>
      </c>
      <c r="BA127" s="35">
        <v>45751</v>
      </c>
      <c r="BB127" s="34" t="s">
        <v>123</v>
      </c>
      <c r="BC127" s="34" t="s">
        <v>123</v>
      </c>
      <c r="BD127" s="34" t="s">
        <v>123</v>
      </c>
      <c r="BE127" s="34" t="s">
        <v>139</v>
      </c>
      <c r="BF127" s="34">
        <v>196</v>
      </c>
      <c r="BG127" s="34">
        <v>0</v>
      </c>
      <c r="BH127" s="34">
        <v>2.8000799999999999E-2</v>
      </c>
      <c r="BI127" s="34" t="s">
        <v>167</v>
      </c>
      <c r="BJ127" s="34" t="s">
        <v>1338</v>
      </c>
      <c r="BK127" s="34">
        <v>2025</v>
      </c>
      <c r="BL127" s="34" t="s">
        <v>1456</v>
      </c>
      <c r="BM127" s="34"/>
      <c r="BN127" s="34">
        <v>0</v>
      </c>
      <c r="BO127" s="34" t="s">
        <v>1330</v>
      </c>
      <c r="BP127" s="34">
        <v>6.6600000000000006E-2</v>
      </c>
      <c r="BQ127" s="34" t="s">
        <v>1326</v>
      </c>
      <c r="BR127" s="35">
        <v>45751</v>
      </c>
      <c r="BS127" s="34">
        <v>0</v>
      </c>
      <c r="BT127" s="34" t="s">
        <v>123</v>
      </c>
      <c r="BU127" s="34">
        <v>0</v>
      </c>
      <c r="BV127" s="34">
        <v>250000</v>
      </c>
      <c r="BW127" s="34">
        <v>0</v>
      </c>
      <c r="BX127" s="34">
        <v>196</v>
      </c>
      <c r="BY127" s="34">
        <v>0</v>
      </c>
      <c r="BZ127" s="34">
        <v>1</v>
      </c>
      <c r="CA127" s="34" t="s">
        <v>123</v>
      </c>
      <c r="CB127" s="34" t="s">
        <v>123</v>
      </c>
      <c r="CC127" s="34" t="s">
        <v>123</v>
      </c>
    </row>
    <row r="128" spans="1:81" x14ac:dyDescent="0.3">
      <c r="A128" s="34" t="s">
        <v>1454</v>
      </c>
      <c r="B128" s="34" t="s">
        <v>1028</v>
      </c>
      <c r="C128" s="34" t="s">
        <v>1339</v>
      </c>
      <c r="D128" s="34"/>
      <c r="E128" s="35">
        <v>45267</v>
      </c>
      <c r="F128" s="35">
        <v>46363</v>
      </c>
      <c r="G128" s="34"/>
      <c r="H128" s="34" t="s">
        <v>1325</v>
      </c>
      <c r="I128" s="34">
        <v>0</v>
      </c>
      <c r="J128" s="34">
        <v>1000000000</v>
      </c>
      <c r="K128" s="34" t="s">
        <v>123</v>
      </c>
      <c r="L128" s="34" t="s">
        <v>123</v>
      </c>
      <c r="M128" s="34" t="s">
        <v>123</v>
      </c>
      <c r="N128" s="34" t="s">
        <v>123</v>
      </c>
      <c r="O128" s="34">
        <v>103.95</v>
      </c>
      <c r="P128" s="34">
        <v>8.3332999999999996E-4</v>
      </c>
      <c r="Q128" s="34" t="s">
        <v>123</v>
      </c>
      <c r="R128" s="34" t="s">
        <v>123</v>
      </c>
      <c r="S128" s="34" t="s">
        <v>123</v>
      </c>
      <c r="T128" s="34" t="s">
        <v>123</v>
      </c>
      <c r="U128" s="34" t="s">
        <v>123</v>
      </c>
      <c r="V128" s="34" t="s">
        <v>123</v>
      </c>
      <c r="W128" s="34" t="s">
        <v>123</v>
      </c>
      <c r="X128" s="34" t="s">
        <v>123</v>
      </c>
      <c r="Y128" s="34" t="s">
        <v>123</v>
      </c>
      <c r="Z128" s="34">
        <v>0</v>
      </c>
      <c r="AA128" s="34" t="s">
        <v>123</v>
      </c>
      <c r="AB128" s="34">
        <v>0</v>
      </c>
      <c r="AC128" s="34">
        <v>1</v>
      </c>
      <c r="AD128" s="34" t="s">
        <v>123</v>
      </c>
      <c r="AE128" s="34" t="s">
        <v>123</v>
      </c>
      <c r="AF128" s="34" t="s">
        <v>1029</v>
      </c>
      <c r="AG128" s="34" t="s">
        <v>123</v>
      </c>
      <c r="AH128" s="34" t="s">
        <v>123</v>
      </c>
      <c r="AI128" s="34" t="s">
        <v>123</v>
      </c>
      <c r="AJ128" s="34" t="s">
        <v>123</v>
      </c>
      <c r="AK128" s="34" t="s">
        <v>123</v>
      </c>
      <c r="AL128" s="34" t="s">
        <v>123</v>
      </c>
      <c r="AM128" s="34" t="s">
        <v>123</v>
      </c>
      <c r="AN128" s="34" t="s">
        <v>123</v>
      </c>
      <c r="AO128" s="34" t="s">
        <v>123</v>
      </c>
      <c r="AP128" s="34">
        <v>0</v>
      </c>
      <c r="AQ128" s="34" t="s">
        <v>123</v>
      </c>
      <c r="AR128" s="34">
        <v>7.1253140000000006E-2</v>
      </c>
      <c r="AS128" s="34"/>
      <c r="AT128" s="34" t="s">
        <v>123</v>
      </c>
      <c r="AU128" s="34">
        <v>115</v>
      </c>
      <c r="AV128" s="34" t="s">
        <v>1455</v>
      </c>
      <c r="AW128" s="34">
        <v>0</v>
      </c>
      <c r="AX128" s="34">
        <v>1477</v>
      </c>
      <c r="AY128" s="34" t="s">
        <v>1329</v>
      </c>
      <c r="AZ128" s="35">
        <v>45751</v>
      </c>
      <c r="BA128" s="35">
        <v>45751</v>
      </c>
      <c r="BB128" s="34" t="s">
        <v>123</v>
      </c>
      <c r="BC128" s="34" t="s">
        <v>123</v>
      </c>
      <c r="BD128" s="34" t="s">
        <v>123</v>
      </c>
      <c r="BE128" s="34" t="s">
        <v>139</v>
      </c>
      <c r="BF128" s="34">
        <v>243</v>
      </c>
      <c r="BG128" s="34">
        <v>0</v>
      </c>
      <c r="BH128" s="34">
        <v>5.500062E-2</v>
      </c>
      <c r="BI128" s="34" t="s">
        <v>528</v>
      </c>
      <c r="BJ128" s="34" t="s">
        <v>1340</v>
      </c>
      <c r="BK128" s="34">
        <v>2024</v>
      </c>
      <c r="BL128" s="34" t="s">
        <v>1456</v>
      </c>
      <c r="BM128" s="34"/>
      <c r="BN128" s="34">
        <v>0</v>
      </c>
      <c r="BO128" s="34" t="s">
        <v>1330</v>
      </c>
      <c r="BP128" s="34">
        <v>9.3200000000000005E-2</v>
      </c>
      <c r="BQ128" s="34" t="s">
        <v>1326</v>
      </c>
      <c r="BR128" s="35">
        <v>45751</v>
      </c>
      <c r="BS128" s="34">
        <v>0</v>
      </c>
      <c r="BT128" s="34" t="s">
        <v>123</v>
      </c>
      <c r="BU128" s="34">
        <v>0</v>
      </c>
      <c r="BV128" s="34">
        <v>250000</v>
      </c>
      <c r="BW128" s="34">
        <v>0</v>
      </c>
      <c r="BX128" s="34">
        <v>243</v>
      </c>
      <c r="BY128" s="34">
        <v>0</v>
      </c>
      <c r="BZ128" s="34">
        <v>1</v>
      </c>
      <c r="CA128" s="34" t="s">
        <v>123</v>
      </c>
      <c r="CB128" s="34" t="s">
        <v>123</v>
      </c>
      <c r="CC128" s="34" t="s">
        <v>123</v>
      </c>
    </row>
    <row r="129" spans="1:81" x14ac:dyDescent="0.3">
      <c r="A129" s="34" t="s">
        <v>1457</v>
      </c>
      <c r="B129" s="34" t="s">
        <v>625</v>
      </c>
      <c r="C129" s="34" t="s">
        <v>1341</v>
      </c>
      <c r="D129" s="34"/>
      <c r="E129" s="35">
        <v>45693</v>
      </c>
      <c r="F129" s="35">
        <v>46820</v>
      </c>
      <c r="G129" s="34"/>
      <c r="H129" s="34" t="s">
        <v>1325</v>
      </c>
      <c r="I129" s="34">
        <v>0</v>
      </c>
      <c r="J129" s="34">
        <v>300000000</v>
      </c>
      <c r="K129" s="34" t="s">
        <v>123</v>
      </c>
      <c r="L129" s="34" t="s">
        <v>123</v>
      </c>
      <c r="M129" s="34" t="s">
        <v>123</v>
      </c>
      <c r="N129" s="34" t="s">
        <v>123</v>
      </c>
      <c r="O129" s="34">
        <v>100.25</v>
      </c>
      <c r="P129" s="34">
        <v>8.3332999999999996E-4</v>
      </c>
      <c r="Q129" s="34" t="s">
        <v>123</v>
      </c>
      <c r="R129" s="34" t="s">
        <v>123</v>
      </c>
      <c r="S129" s="34" t="s">
        <v>123</v>
      </c>
      <c r="T129" s="34" t="s">
        <v>123</v>
      </c>
      <c r="U129" s="34" t="s">
        <v>123</v>
      </c>
      <c r="V129" s="34" t="s">
        <v>123</v>
      </c>
      <c r="W129" s="34" t="s">
        <v>123</v>
      </c>
      <c r="X129" s="34" t="s">
        <v>123</v>
      </c>
      <c r="Y129" s="34" t="s">
        <v>123</v>
      </c>
      <c r="Z129" s="34">
        <v>0</v>
      </c>
      <c r="AA129" s="34" t="s">
        <v>123</v>
      </c>
      <c r="AB129" s="34">
        <v>0</v>
      </c>
      <c r="AC129" s="34">
        <v>1</v>
      </c>
      <c r="AD129" s="34" t="s">
        <v>123</v>
      </c>
      <c r="AE129" s="34" t="s">
        <v>123</v>
      </c>
      <c r="AF129" s="34" t="s">
        <v>626</v>
      </c>
      <c r="AG129" s="34" t="s">
        <v>123</v>
      </c>
      <c r="AH129" s="34" t="s">
        <v>123</v>
      </c>
      <c r="AI129" s="34" t="s">
        <v>123</v>
      </c>
      <c r="AJ129" s="34" t="s">
        <v>123</v>
      </c>
      <c r="AK129" s="34" t="s">
        <v>123</v>
      </c>
      <c r="AL129" s="34" t="s">
        <v>123</v>
      </c>
      <c r="AM129" s="34" t="s">
        <v>123</v>
      </c>
      <c r="AN129" s="34" t="s">
        <v>123</v>
      </c>
      <c r="AO129" s="34" t="s">
        <v>123</v>
      </c>
      <c r="AP129" s="34">
        <v>0</v>
      </c>
      <c r="AQ129" s="34" t="s">
        <v>123</v>
      </c>
      <c r="AR129" s="34">
        <v>7.558753E-2</v>
      </c>
      <c r="AS129" s="34"/>
      <c r="AT129" s="34" t="s">
        <v>123</v>
      </c>
      <c r="AU129" s="34">
        <v>115</v>
      </c>
      <c r="AV129" s="34" t="s">
        <v>1458</v>
      </c>
      <c r="AW129" s="34">
        <v>0</v>
      </c>
      <c r="AX129" s="34">
        <v>1478</v>
      </c>
      <c r="AY129" s="34" t="s">
        <v>1333</v>
      </c>
      <c r="AZ129" s="35">
        <v>45755</v>
      </c>
      <c r="BA129" s="35">
        <v>45755</v>
      </c>
      <c r="BB129" s="34" t="s">
        <v>123</v>
      </c>
      <c r="BC129" s="34" t="s">
        <v>123</v>
      </c>
      <c r="BD129" s="34" t="s">
        <v>123</v>
      </c>
      <c r="BE129" s="34" t="s">
        <v>139</v>
      </c>
      <c r="BF129" s="34">
        <v>127</v>
      </c>
      <c r="BG129" s="34">
        <v>0</v>
      </c>
      <c r="BH129" s="34">
        <v>3.496664E-2</v>
      </c>
      <c r="BI129" s="34" t="s">
        <v>159</v>
      </c>
      <c r="BJ129" s="34" t="s">
        <v>1336</v>
      </c>
      <c r="BK129" s="34"/>
      <c r="BL129" s="34" t="s">
        <v>1456</v>
      </c>
      <c r="BM129" s="34"/>
      <c r="BN129" s="34">
        <v>0</v>
      </c>
      <c r="BO129" s="34" t="s">
        <v>1330</v>
      </c>
      <c r="BP129" s="34">
        <v>7.3507139999999999E-2</v>
      </c>
      <c r="BQ129" s="34" t="s">
        <v>1326</v>
      </c>
      <c r="BR129" s="35">
        <v>45755</v>
      </c>
      <c r="BS129" s="34">
        <v>0</v>
      </c>
      <c r="BT129" s="34" t="s">
        <v>123</v>
      </c>
      <c r="BU129" s="34">
        <v>0</v>
      </c>
      <c r="BV129" s="34">
        <v>250000</v>
      </c>
      <c r="BW129" s="34">
        <v>0</v>
      </c>
      <c r="BX129" s="34">
        <v>127</v>
      </c>
      <c r="BY129" s="34">
        <v>0</v>
      </c>
      <c r="BZ129" s="34">
        <v>1</v>
      </c>
      <c r="CA129" s="34" t="s">
        <v>123</v>
      </c>
      <c r="CB129" s="34" t="s">
        <v>123</v>
      </c>
      <c r="CC129" s="34" t="s">
        <v>123</v>
      </c>
    </row>
    <row r="130" spans="1:81" x14ac:dyDescent="0.3">
      <c r="A130" s="34" t="s">
        <v>1549</v>
      </c>
      <c r="B130" s="34" t="s">
        <v>1114</v>
      </c>
      <c r="C130" s="34" t="s">
        <v>1342</v>
      </c>
      <c r="D130" s="34"/>
      <c r="E130" s="35">
        <v>45649</v>
      </c>
      <c r="F130" s="35">
        <v>46849</v>
      </c>
      <c r="G130" s="34"/>
      <c r="H130" s="34" t="s">
        <v>1325</v>
      </c>
      <c r="I130" s="34">
        <v>0</v>
      </c>
      <c r="J130" s="34">
        <v>300000000</v>
      </c>
      <c r="K130" s="34" t="s">
        <v>123</v>
      </c>
      <c r="L130" s="34" t="s">
        <v>123</v>
      </c>
      <c r="M130" s="34" t="s">
        <v>123</v>
      </c>
      <c r="N130" s="34" t="s">
        <v>123</v>
      </c>
      <c r="O130" s="34">
        <v>100.65</v>
      </c>
      <c r="P130" s="34">
        <v>1.25E-3</v>
      </c>
      <c r="Q130" s="34" t="s">
        <v>123</v>
      </c>
      <c r="R130" s="34" t="s">
        <v>123</v>
      </c>
      <c r="S130" s="34" t="s">
        <v>123</v>
      </c>
      <c r="T130" s="34" t="s">
        <v>123</v>
      </c>
      <c r="U130" s="34" t="s">
        <v>123</v>
      </c>
      <c r="V130" s="34" t="s">
        <v>123</v>
      </c>
      <c r="W130" s="34" t="s">
        <v>123</v>
      </c>
      <c r="X130" s="34" t="s">
        <v>123</v>
      </c>
      <c r="Y130" s="34" t="s">
        <v>123</v>
      </c>
      <c r="Z130" s="34">
        <v>0</v>
      </c>
      <c r="AA130" s="34" t="s">
        <v>123</v>
      </c>
      <c r="AB130" s="34">
        <v>0</v>
      </c>
      <c r="AC130" s="34">
        <v>1</v>
      </c>
      <c r="AD130" s="34" t="s">
        <v>123</v>
      </c>
      <c r="AE130" s="34" t="s">
        <v>123</v>
      </c>
      <c r="AF130" s="34" t="s">
        <v>1117</v>
      </c>
      <c r="AG130" s="34" t="s">
        <v>123</v>
      </c>
      <c r="AH130" s="34" t="s">
        <v>123</v>
      </c>
      <c r="AI130" s="34" t="s">
        <v>123</v>
      </c>
      <c r="AJ130" s="34" t="s">
        <v>123</v>
      </c>
      <c r="AK130" s="34" t="s">
        <v>123</v>
      </c>
      <c r="AL130" s="34" t="s">
        <v>123</v>
      </c>
      <c r="AM130" s="34" t="s">
        <v>123</v>
      </c>
      <c r="AN130" s="34" t="s">
        <v>123</v>
      </c>
      <c r="AO130" s="34" t="s">
        <v>123</v>
      </c>
      <c r="AP130" s="34">
        <v>0</v>
      </c>
      <c r="AQ130" s="34" t="s">
        <v>123</v>
      </c>
      <c r="AR130" s="34">
        <v>9.0424110000000002E-2</v>
      </c>
      <c r="AS130" s="34"/>
      <c r="AT130" s="34" t="s">
        <v>123</v>
      </c>
      <c r="AU130" s="34">
        <v>115</v>
      </c>
      <c r="AV130" s="34" t="s">
        <v>1550</v>
      </c>
      <c r="AW130" s="34">
        <v>0</v>
      </c>
      <c r="AX130" s="34">
        <v>1479</v>
      </c>
      <c r="AY130" s="34" t="s">
        <v>1333</v>
      </c>
      <c r="AZ130" s="35">
        <v>45755</v>
      </c>
      <c r="BA130" s="35">
        <v>45755</v>
      </c>
      <c r="BB130" s="34" t="s">
        <v>123</v>
      </c>
      <c r="BC130" s="34" t="s">
        <v>123</v>
      </c>
      <c r="BD130" s="34" t="s">
        <v>123</v>
      </c>
      <c r="BE130" s="34" t="s">
        <v>139</v>
      </c>
      <c r="BF130" s="34">
        <v>266</v>
      </c>
      <c r="BG130" s="34">
        <v>0</v>
      </c>
      <c r="BH130" s="34">
        <v>5.1341879999999999E-2</v>
      </c>
      <c r="BI130" s="34" t="s">
        <v>150</v>
      </c>
      <c r="BJ130" s="34" t="s">
        <v>1336</v>
      </c>
      <c r="BK130" s="34">
        <v>2025</v>
      </c>
      <c r="BL130" s="34" t="s">
        <v>1456</v>
      </c>
      <c r="BM130" s="34"/>
      <c r="BN130" s="34">
        <v>0</v>
      </c>
      <c r="BO130" s="34" t="s">
        <v>1330</v>
      </c>
      <c r="BP130" s="34">
        <v>8.9599999999999999E-2</v>
      </c>
      <c r="BQ130" s="34" t="s">
        <v>1326</v>
      </c>
      <c r="BR130" s="35">
        <v>45755</v>
      </c>
      <c r="BS130" s="34">
        <v>0</v>
      </c>
      <c r="BT130" s="34" t="s">
        <v>123</v>
      </c>
      <c r="BU130" s="34">
        <v>0</v>
      </c>
      <c r="BV130" s="34">
        <v>250000</v>
      </c>
      <c r="BW130" s="34">
        <v>0</v>
      </c>
      <c r="BX130" s="34">
        <v>266</v>
      </c>
      <c r="BY130" s="34">
        <v>0</v>
      </c>
      <c r="BZ130" s="34">
        <v>1</v>
      </c>
      <c r="CA130" s="34" t="s">
        <v>123</v>
      </c>
      <c r="CB130" s="34" t="s">
        <v>123</v>
      </c>
      <c r="CC130" s="34" t="s">
        <v>123</v>
      </c>
    </row>
    <row r="131" spans="1:81" x14ac:dyDescent="0.3">
      <c r="A131" s="34" t="s">
        <v>1551</v>
      </c>
      <c r="B131" s="34" t="s">
        <v>963</v>
      </c>
      <c r="C131" s="34" t="s">
        <v>1343</v>
      </c>
      <c r="D131" s="34"/>
      <c r="E131" s="35">
        <v>45300</v>
      </c>
      <c r="F131" s="35">
        <v>46395</v>
      </c>
      <c r="G131" s="34"/>
      <c r="H131" s="34" t="s">
        <v>1325</v>
      </c>
      <c r="I131" s="34">
        <v>0</v>
      </c>
      <c r="J131" s="34">
        <v>400000000</v>
      </c>
      <c r="K131" s="34" t="s">
        <v>123</v>
      </c>
      <c r="L131" s="34" t="s">
        <v>123</v>
      </c>
      <c r="M131" s="34" t="s">
        <v>123</v>
      </c>
      <c r="N131" s="34" t="s">
        <v>123</v>
      </c>
      <c r="O131" s="34">
        <v>102.3</v>
      </c>
      <c r="P131" s="34">
        <v>9.8039000000000004E-4</v>
      </c>
      <c r="Q131" s="34" t="s">
        <v>123</v>
      </c>
      <c r="R131" s="34" t="s">
        <v>123</v>
      </c>
      <c r="S131" s="34" t="s">
        <v>123</v>
      </c>
      <c r="T131" s="34" t="s">
        <v>123</v>
      </c>
      <c r="U131" s="34" t="s">
        <v>123</v>
      </c>
      <c r="V131" s="34" t="s">
        <v>123</v>
      </c>
      <c r="W131" s="34" t="s">
        <v>123</v>
      </c>
      <c r="X131" s="34" t="s">
        <v>123</v>
      </c>
      <c r="Y131" s="34" t="s">
        <v>123</v>
      </c>
      <c r="Z131" s="34">
        <v>0</v>
      </c>
      <c r="AA131" s="34" t="s">
        <v>123</v>
      </c>
      <c r="AB131" s="34">
        <v>0</v>
      </c>
      <c r="AC131" s="34">
        <v>1</v>
      </c>
      <c r="AD131" s="34" t="s">
        <v>123</v>
      </c>
      <c r="AE131" s="34" t="s">
        <v>123</v>
      </c>
      <c r="AF131" s="34" t="s">
        <v>966</v>
      </c>
      <c r="AG131" s="34" t="s">
        <v>123</v>
      </c>
      <c r="AH131" s="34" t="s">
        <v>123</v>
      </c>
      <c r="AI131" s="34" t="s">
        <v>123</v>
      </c>
      <c r="AJ131" s="34" t="s">
        <v>123</v>
      </c>
      <c r="AK131" s="34" t="s">
        <v>123</v>
      </c>
      <c r="AL131" s="34" t="s">
        <v>123</v>
      </c>
      <c r="AM131" s="34" t="s">
        <v>123</v>
      </c>
      <c r="AN131" s="34" t="s">
        <v>123</v>
      </c>
      <c r="AO131" s="34" t="s">
        <v>123</v>
      </c>
      <c r="AP131" s="34">
        <v>0</v>
      </c>
      <c r="AQ131" s="34" t="s">
        <v>123</v>
      </c>
      <c r="AR131" s="34">
        <v>6.7969870000000002E-2</v>
      </c>
      <c r="AS131" s="34"/>
      <c r="AT131" s="34" t="s">
        <v>123</v>
      </c>
      <c r="AU131" s="34">
        <v>115</v>
      </c>
      <c r="AV131" s="34" t="s">
        <v>1552</v>
      </c>
      <c r="AW131" s="34">
        <v>0</v>
      </c>
      <c r="AX131" s="34">
        <v>1480</v>
      </c>
      <c r="AY131" s="34" t="s">
        <v>1333</v>
      </c>
      <c r="AZ131" s="35">
        <v>45756</v>
      </c>
      <c r="BA131" s="35">
        <v>45756</v>
      </c>
      <c r="BB131" s="34" t="s">
        <v>123</v>
      </c>
      <c r="BC131" s="34" t="s">
        <v>123</v>
      </c>
      <c r="BD131" s="34" t="s">
        <v>123</v>
      </c>
      <c r="BE131" s="34" t="s">
        <v>139</v>
      </c>
      <c r="BF131" s="34">
        <v>226</v>
      </c>
      <c r="BG131" s="34">
        <v>0</v>
      </c>
      <c r="BH131" s="34">
        <v>4.0195000000000002E-2</v>
      </c>
      <c r="BI131" s="34" t="s">
        <v>150</v>
      </c>
      <c r="BJ131" s="34" t="s">
        <v>1336</v>
      </c>
      <c r="BK131" s="34">
        <v>2025</v>
      </c>
      <c r="BL131" s="34" t="s">
        <v>1456</v>
      </c>
      <c r="BM131" s="34"/>
      <c r="BN131" s="34">
        <v>0</v>
      </c>
      <c r="BO131" s="34" t="s">
        <v>1330</v>
      </c>
      <c r="BP131" s="34">
        <v>7.85E-2</v>
      </c>
      <c r="BQ131" s="34" t="s">
        <v>1326</v>
      </c>
      <c r="BR131" s="35">
        <v>45756</v>
      </c>
      <c r="BS131" s="34">
        <v>0</v>
      </c>
      <c r="BT131" s="34" t="s">
        <v>123</v>
      </c>
      <c r="BU131" s="34">
        <v>0</v>
      </c>
      <c r="BV131" s="34">
        <v>250000</v>
      </c>
      <c r="BW131" s="34">
        <v>0</v>
      </c>
      <c r="BX131" s="34">
        <v>226</v>
      </c>
      <c r="BY131" s="34">
        <v>0</v>
      </c>
      <c r="BZ131" s="34">
        <v>1</v>
      </c>
      <c r="CA131" s="34" t="s">
        <v>123</v>
      </c>
      <c r="CB131" s="34" t="s">
        <v>123</v>
      </c>
      <c r="CC131" s="34" t="s">
        <v>123</v>
      </c>
    </row>
    <row r="132" spans="1:81" x14ac:dyDescent="0.3">
      <c r="A132" s="34" t="s">
        <v>1459</v>
      </c>
      <c r="B132" s="34" t="s">
        <v>418</v>
      </c>
      <c r="C132" s="34" t="s">
        <v>1344</v>
      </c>
      <c r="D132" s="34"/>
      <c r="E132" s="35">
        <v>45016</v>
      </c>
      <c r="F132" s="35">
        <v>46484</v>
      </c>
      <c r="G132" s="34"/>
      <c r="H132" s="34" t="s">
        <v>1325</v>
      </c>
      <c r="I132" s="34">
        <v>0</v>
      </c>
      <c r="J132" s="34">
        <v>750000000</v>
      </c>
      <c r="K132" s="34" t="s">
        <v>123</v>
      </c>
      <c r="L132" s="34" t="s">
        <v>123</v>
      </c>
      <c r="M132" s="34" t="s">
        <v>123</v>
      </c>
      <c r="N132" s="34" t="s">
        <v>123</v>
      </c>
      <c r="O132" s="34">
        <v>102.6</v>
      </c>
      <c r="P132" s="34">
        <v>2.5000000000000001E-3</v>
      </c>
      <c r="Q132" s="34" t="s">
        <v>123</v>
      </c>
      <c r="R132" s="34" t="s">
        <v>123</v>
      </c>
      <c r="S132" s="34" t="s">
        <v>123</v>
      </c>
      <c r="T132" s="34" t="s">
        <v>123</v>
      </c>
      <c r="U132" s="34" t="s">
        <v>123</v>
      </c>
      <c r="V132" s="34" t="s">
        <v>123</v>
      </c>
      <c r="W132" s="34" t="s">
        <v>123</v>
      </c>
      <c r="X132" s="34" t="s">
        <v>123</v>
      </c>
      <c r="Y132" s="34" t="s">
        <v>123</v>
      </c>
      <c r="Z132" s="34">
        <v>0</v>
      </c>
      <c r="AA132" s="34" t="s">
        <v>123</v>
      </c>
      <c r="AB132" s="34">
        <v>0</v>
      </c>
      <c r="AC132" s="34">
        <v>1</v>
      </c>
      <c r="AD132" s="34" t="s">
        <v>123</v>
      </c>
      <c r="AE132" s="34" t="s">
        <v>123</v>
      </c>
      <c r="AF132" s="34" t="s">
        <v>419</v>
      </c>
      <c r="AG132" s="34" t="s">
        <v>123</v>
      </c>
      <c r="AH132" s="34" t="s">
        <v>123</v>
      </c>
      <c r="AI132" s="34" t="s">
        <v>123</v>
      </c>
      <c r="AJ132" s="34" t="s">
        <v>123</v>
      </c>
      <c r="AK132" s="34" t="s">
        <v>123</v>
      </c>
      <c r="AL132" s="34" t="s">
        <v>123</v>
      </c>
      <c r="AM132" s="34" t="s">
        <v>123</v>
      </c>
      <c r="AN132" s="34" t="s">
        <v>123</v>
      </c>
      <c r="AO132" s="34" t="s">
        <v>123</v>
      </c>
      <c r="AP132" s="34">
        <v>0</v>
      </c>
      <c r="AQ132" s="34" t="s">
        <v>123</v>
      </c>
      <c r="AR132" s="34">
        <v>8.2214540000000003E-2</v>
      </c>
      <c r="AS132" s="34"/>
      <c r="AT132" s="34" t="s">
        <v>123</v>
      </c>
      <c r="AU132" s="34">
        <v>115</v>
      </c>
      <c r="AV132" s="34" t="s">
        <v>1460</v>
      </c>
      <c r="AW132" s="34">
        <v>0</v>
      </c>
      <c r="AX132" s="34">
        <v>1481</v>
      </c>
      <c r="AY132" s="34" t="s">
        <v>1333</v>
      </c>
      <c r="AZ132" s="35">
        <v>45756</v>
      </c>
      <c r="BA132" s="35">
        <v>45756</v>
      </c>
      <c r="BB132" s="34" t="s">
        <v>123</v>
      </c>
      <c r="BC132" s="34" t="s">
        <v>123</v>
      </c>
      <c r="BD132" s="34" t="s">
        <v>123</v>
      </c>
      <c r="BE132" s="34" t="s">
        <v>139</v>
      </c>
      <c r="BF132" s="34">
        <v>65</v>
      </c>
      <c r="BG132" s="34">
        <v>0</v>
      </c>
      <c r="BH132" s="34">
        <v>5.4591849999999997E-2</v>
      </c>
      <c r="BI132" s="34" t="s">
        <v>133</v>
      </c>
      <c r="BJ132" s="34" t="s">
        <v>1336</v>
      </c>
      <c r="BK132" s="34">
        <v>2025</v>
      </c>
      <c r="BL132" s="34" t="s">
        <v>1456</v>
      </c>
      <c r="BM132" s="34"/>
      <c r="BN132" s="34">
        <v>0</v>
      </c>
      <c r="BO132" s="34" t="s">
        <v>1330</v>
      </c>
      <c r="BP132" s="34">
        <v>9.2999999999999999E-2</v>
      </c>
      <c r="BQ132" s="34" t="s">
        <v>1326</v>
      </c>
      <c r="BR132" s="35">
        <v>45756</v>
      </c>
      <c r="BS132" s="34">
        <v>0</v>
      </c>
      <c r="BT132" s="34" t="s">
        <v>123</v>
      </c>
      <c r="BU132" s="34">
        <v>0</v>
      </c>
      <c r="BV132" s="34">
        <v>250000</v>
      </c>
      <c r="BW132" s="34">
        <v>0</v>
      </c>
      <c r="BX132" s="34">
        <v>65</v>
      </c>
      <c r="BY132" s="34">
        <v>0</v>
      </c>
      <c r="BZ132" s="34">
        <v>1</v>
      </c>
      <c r="CA132" s="34" t="s">
        <v>123</v>
      </c>
      <c r="CB132" s="34" t="s">
        <v>123</v>
      </c>
      <c r="CC132" s="34" t="s">
        <v>123</v>
      </c>
    </row>
    <row r="133" spans="1:81" x14ac:dyDescent="0.3">
      <c r="A133" s="34" t="s">
        <v>1461</v>
      </c>
      <c r="B133" s="34" t="s">
        <v>895</v>
      </c>
      <c r="C133" s="34" t="s">
        <v>1345</v>
      </c>
      <c r="D133" s="34"/>
      <c r="E133" s="35">
        <v>45630</v>
      </c>
      <c r="F133" s="35">
        <v>46762</v>
      </c>
      <c r="G133" s="34"/>
      <c r="H133" s="34" t="s">
        <v>1325</v>
      </c>
      <c r="I133" s="34">
        <v>0</v>
      </c>
      <c r="J133" s="34">
        <v>100000000</v>
      </c>
      <c r="K133" s="34" t="s">
        <v>123</v>
      </c>
      <c r="L133" s="34" t="s">
        <v>123</v>
      </c>
      <c r="M133" s="34" t="s">
        <v>123</v>
      </c>
      <c r="N133" s="34" t="s">
        <v>123</v>
      </c>
      <c r="O133" s="34">
        <v>101.6</v>
      </c>
      <c r="P133" s="34">
        <v>2.5000000000000001E-3</v>
      </c>
      <c r="Q133" s="34" t="s">
        <v>123</v>
      </c>
      <c r="R133" s="34" t="s">
        <v>123</v>
      </c>
      <c r="S133" s="34" t="s">
        <v>123</v>
      </c>
      <c r="T133" s="34" t="s">
        <v>123</v>
      </c>
      <c r="U133" s="34" t="s">
        <v>123</v>
      </c>
      <c r="V133" s="34" t="s">
        <v>123</v>
      </c>
      <c r="W133" s="34" t="s">
        <v>123</v>
      </c>
      <c r="X133" s="34" t="s">
        <v>123</v>
      </c>
      <c r="Y133" s="34" t="s">
        <v>123</v>
      </c>
      <c r="Z133" s="34">
        <v>0</v>
      </c>
      <c r="AA133" s="34" t="s">
        <v>123</v>
      </c>
      <c r="AB133" s="34">
        <v>0</v>
      </c>
      <c r="AC133" s="34">
        <v>1</v>
      </c>
      <c r="AD133" s="34" t="s">
        <v>123</v>
      </c>
      <c r="AE133" s="34" t="s">
        <v>123</v>
      </c>
      <c r="AF133" s="34" t="s">
        <v>898</v>
      </c>
      <c r="AG133" s="34" t="s">
        <v>123</v>
      </c>
      <c r="AH133" s="34" t="s">
        <v>123</v>
      </c>
      <c r="AI133" s="34" t="s">
        <v>123</v>
      </c>
      <c r="AJ133" s="34" t="s">
        <v>123</v>
      </c>
      <c r="AK133" s="34" t="s">
        <v>123</v>
      </c>
      <c r="AL133" s="34" t="s">
        <v>123</v>
      </c>
      <c r="AM133" s="34" t="s">
        <v>123</v>
      </c>
      <c r="AN133" s="34" t="s">
        <v>123</v>
      </c>
      <c r="AO133" s="34" t="s">
        <v>123</v>
      </c>
      <c r="AP133" s="34">
        <v>0</v>
      </c>
      <c r="AQ133" s="34" t="s">
        <v>123</v>
      </c>
      <c r="AR133" s="34">
        <v>6.9968119999999995E-2</v>
      </c>
      <c r="AS133" s="34"/>
      <c r="AT133" s="34" t="s">
        <v>123</v>
      </c>
      <c r="AU133" s="34">
        <v>115</v>
      </c>
      <c r="AV133" s="34" t="s">
        <v>1462</v>
      </c>
      <c r="AW133" s="34">
        <v>0</v>
      </c>
      <c r="AX133" s="34">
        <v>1482</v>
      </c>
      <c r="AY133" s="34" t="s">
        <v>1333</v>
      </c>
      <c r="AZ133" s="35">
        <v>45756</v>
      </c>
      <c r="BA133" s="35">
        <v>45756</v>
      </c>
      <c r="BB133" s="34" t="s">
        <v>123</v>
      </c>
      <c r="BC133" s="34" t="s">
        <v>123</v>
      </c>
      <c r="BD133" s="34" t="s">
        <v>123</v>
      </c>
      <c r="BE133" s="34" t="s">
        <v>1347</v>
      </c>
      <c r="BF133" s="34">
        <v>208</v>
      </c>
      <c r="BG133" s="34">
        <v>0</v>
      </c>
      <c r="BH133" s="34">
        <v>3.4997439999999998E-2</v>
      </c>
      <c r="BI133" s="34" t="s">
        <v>150</v>
      </c>
      <c r="BJ133" s="34" t="s">
        <v>1336</v>
      </c>
      <c r="BK133" s="34"/>
      <c r="BL133" s="34" t="s">
        <v>1456</v>
      </c>
      <c r="BM133" s="34"/>
      <c r="BN133" s="34">
        <v>0</v>
      </c>
      <c r="BO133" s="34" t="s">
        <v>1330</v>
      </c>
      <c r="BP133" s="34">
        <v>7.3099999999999998E-2</v>
      </c>
      <c r="BQ133" s="34" t="s">
        <v>1326</v>
      </c>
      <c r="BR133" s="35">
        <v>45756</v>
      </c>
      <c r="BS133" s="34">
        <v>0</v>
      </c>
      <c r="BT133" s="34" t="s">
        <v>123</v>
      </c>
      <c r="BU133" s="34">
        <v>0</v>
      </c>
      <c r="BV133" s="34">
        <v>250000</v>
      </c>
      <c r="BW133" s="34">
        <v>0</v>
      </c>
      <c r="BX133" s="34">
        <v>208</v>
      </c>
      <c r="BY133" s="34">
        <v>0</v>
      </c>
      <c r="BZ133" s="34">
        <v>1</v>
      </c>
      <c r="CA133" s="34" t="s">
        <v>123</v>
      </c>
      <c r="CB133" s="34" t="s">
        <v>123</v>
      </c>
      <c r="CC133" s="34" t="s">
        <v>123</v>
      </c>
    </row>
    <row r="134" spans="1:81" x14ac:dyDescent="0.3">
      <c r="A134" s="34" t="s">
        <v>1463</v>
      </c>
      <c r="B134" s="34" t="s">
        <v>373</v>
      </c>
      <c r="C134" s="34" t="s">
        <v>1348</v>
      </c>
      <c r="D134" s="34"/>
      <c r="E134" s="35">
        <v>45715</v>
      </c>
      <c r="F134" s="35">
        <v>46575</v>
      </c>
      <c r="G134" s="34"/>
      <c r="H134" s="34" t="s">
        <v>1325</v>
      </c>
      <c r="I134" s="34">
        <v>200000000</v>
      </c>
      <c r="J134" s="34">
        <v>200000000</v>
      </c>
      <c r="K134" s="34" t="s">
        <v>123</v>
      </c>
      <c r="L134" s="34" t="s">
        <v>123</v>
      </c>
      <c r="M134" s="34" t="s">
        <v>123</v>
      </c>
      <c r="N134" s="34" t="s">
        <v>123</v>
      </c>
      <c r="O134" s="34">
        <v>100.1</v>
      </c>
      <c r="P134" s="34">
        <v>1.6666700000000001E-3</v>
      </c>
      <c r="Q134" s="34" t="s">
        <v>123</v>
      </c>
      <c r="R134" s="34" t="s">
        <v>123</v>
      </c>
      <c r="S134" s="34" t="s">
        <v>123</v>
      </c>
      <c r="T134" s="34" t="s">
        <v>123</v>
      </c>
      <c r="U134" s="34" t="s">
        <v>123</v>
      </c>
      <c r="V134" s="34" t="s">
        <v>123</v>
      </c>
      <c r="W134" s="34" t="s">
        <v>123</v>
      </c>
      <c r="X134" s="34" t="s">
        <v>123</v>
      </c>
      <c r="Y134" s="34" t="s">
        <v>123</v>
      </c>
      <c r="Z134" s="34">
        <v>0</v>
      </c>
      <c r="AA134" s="34" t="s">
        <v>123</v>
      </c>
      <c r="AB134" s="34">
        <v>0</v>
      </c>
      <c r="AC134" s="34">
        <v>1</v>
      </c>
      <c r="AD134" s="34" t="s">
        <v>123</v>
      </c>
      <c r="AE134" s="34" t="s">
        <v>123</v>
      </c>
      <c r="AF134" s="34" t="s">
        <v>375</v>
      </c>
      <c r="AG134" s="34" t="s">
        <v>123</v>
      </c>
      <c r="AH134" s="34" t="s">
        <v>123</v>
      </c>
      <c r="AI134" s="34" t="s">
        <v>123</v>
      </c>
      <c r="AJ134" s="34" t="s">
        <v>123</v>
      </c>
      <c r="AK134" s="34" t="s">
        <v>123</v>
      </c>
      <c r="AL134" s="34" t="s">
        <v>123</v>
      </c>
      <c r="AM134" s="34" t="s">
        <v>123</v>
      </c>
      <c r="AN134" s="34" t="s">
        <v>123</v>
      </c>
      <c r="AO134" s="34" t="s">
        <v>123</v>
      </c>
      <c r="AP134" s="34">
        <v>0</v>
      </c>
      <c r="AQ134" s="34" t="s">
        <v>123</v>
      </c>
      <c r="AR134" s="34">
        <v>0.13305328999999999</v>
      </c>
      <c r="AS134" s="34"/>
      <c r="AT134" s="34" t="s">
        <v>123</v>
      </c>
      <c r="AU134" s="34">
        <v>115</v>
      </c>
      <c r="AV134" s="34" t="s">
        <v>1464</v>
      </c>
      <c r="AW134" s="34">
        <v>0</v>
      </c>
      <c r="AX134" s="34">
        <v>1483</v>
      </c>
      <c r="AY134" s="34" t="s">
        <v>1350</v>
      </c>
      <c r="AZ134" s="35">
        <v>45758</v>
      </c>
      <c r="BA134" s="35">
        <v>45758</v>
      </c>
      <c r="BB134" s="34" t="s">
        <v>123</v>
      </c>
      <c r="BC134" s="34" t="s">
        <v>123</v>
      </c>
      <c r="BD134" s="34" t="s">
        <v>123</v>
      </c>
      <c r="BE134" s="34" t="s">
        <v>139</v>
      </c>
      <c r="BF134" s="34">
        <v>58</v>
      </c>
      <c r="BG134" s="34">
        <v>0</v>
      </c>
      <c r="BH134" s="34">
        <v>9.4942250000000006E-2</v>
      </c>
      <c r="BI134" s="34" t="s">
        <v>159</v>
      </c>
      <c r="BJ134" s="34" t="s">
        <v>1349</v>
      </c>
      <c r="BK134" s="34"/>
      <c r="BL134" s="34" t="s">
        <v>1456</v>
      </c>
      <c r="BM134" s="34"/>
      <c r="BN134" s="34">
        <v>0</v>
      </c>
      <c r="BO134" s="34" t="s">
        <v>1330</v>
      </c>
      <c r="BP134" s="34">
        <v>0.13366479000000001</v>
      </c>
      <c r="BQ134" s="34" t="s">
        <v>1326</v>
      </c>
      <c r="BR134" s="35">
        <v>45758</v>
      </c>
      <c r="BS134" s="34">
        <v>0</v>
      </c>
      <c r="BT134" s="34" t="s">
        <v>123</v>
      </c>
      <c r="BU134" s="34">
        <v>0</v>
      </c>
      <c r="BV134" s="34">
        <v>250000</v>
      </c>
      <c r="BW134" s="34">
        <v>0</v>
      </c>
      <c r="BX134" s="34">
        <v>58</v>
      </c>
      <c r="BY134" s="34">
        <v>0</v>
      </c>
      <c r="BZ134" s="34">
        <v>1</v>
      </c>
      <c r="CA134" s="34" t="s">
        <v>123</v>
      </c>
      <c r="CB134" s="34" t="s">
        <v>123</v>
      </c>
      <c r="CC134" s="34" t="s">
        <v>123</v>
      </c>
    </row>
    <row r="135" spans="1:81" x14ac:dyDescent="0.3">
      <c r="A135" s="34" t="s">
        <v>1553</v>
      </c>
      <c r="B135" s="34" t="s">
        <v>695</v>
      </c>
      <c r="C135" s="34" t="s">
        <v>1351</v>
      </c>
      <c r="D135" s="34"/>
      <c r="E135" s="35">
        <v>45391</v>
      </c>
      <c r="F135" s="35">
        <v>46545</v>
      </c>
      <c r="G135" s="34"/>
      <c r="H135" s="34" t="s">
        <v>1325</v>
      </c>
      <c r="I135" s="34">
        <v>0</v>
      </c>
      <c r="J135" s="34">
        <v>300000000</v>
      </c>
      <c r="K135" s="34" t="s">
        <v>123</v>
      </c>
      <c r="L135" s="34" t="s">
        <v>123</v>
      </c>
      <c r="M135" s="34" t="s">
        <v>123</v>
      </c>
      <c r="N135" s="34" t="s">
        <v>123</v>
      </c>
      <c r="O135" s="34">
        <v>102.6</v>
      </c>
      <c r="P135" s="34">
        <v>1.1904800000000001E-3</v>
      </c>
      <c r="Q135" s="34" t="s">
        <v>123</v>
      </c>
      <c r="R135" s="34" t="s">
        <v>123</v>
      </c>
      <c r="S135" s="34" t="s">
        <v>123</v>
      </c>
      <c r="T135" s="34" t="s">
        <v>123</v>
      </c>
      <c r="U135" s="34" t="s">
        <v>123</v>
      </c>
      <c r="V135" s="34" t="s">
        <v>123</v>
      </c>
      <c r="W135" s="34" t="s">
        <v>123</v>
      </c>
      <c r="X135" s="34" t="s">
        <v>123</v>
      </c>
      <c r="Y135" s="34" t="s">
        <v>123</v>
      </c>
      <c r="Z135" s="34">
        <v>0</v>
      </c>
      <c r="AA135" s="34" t="s">
        <v>123</v>
      </c>
      <c r="AB135" s="34">
        <v>0</v>
      </c>
      <c r="AC135" s="34">
        <v>1</v>
      </c>
      <c r="AD135" s="34" t="s">
        <v>123</v>
      </c>
      <c r="AE135" s="34" t="s">
        <v>123</v>
      </c>
      <c r="AF135" s="34" t="s">
        <v>697</v>
      </c>
      <c r="AG135" s="34" t="s">
        <v>123</v>
      </c>
      <c r="AH135" s="34" t="s">
        <v>123</v>
      </c>
      <c r="AI135" s="34" t="s">
        <v>123</v>
      </c>
      <c r="AJ135" s="34" t="s">
        <v>123</v>
      </c>
      <c r="AK135" s="34" t="s">
        <v>123</v>
      </c>
      <c r="AL135" s="34" t="s">
        <v>123</v>
      </c>
      <c r="AM135" s="34" t="s">
        <v>123</v>
      </c>
      <c r="AN135" s="34" t="s">
        <v>123</v>
      </c>
      <c r="AO135" s="34" t="s">
        <v>123</v>
      </c>
      <c r="AP135" s="34">
        <v>0</v>
      </c>
      <c r="AQ135" s="34" t="s">
        <v>123</v>
      </c>
      <c r="AR135" s="34">
        <v>0.11921872999999999</v>
      </c>
      <c r="AS135" s="34"/>
      <c r="AT135" s="34" t="s">
        <v>123</v>
      </c>
      <c r="AU135" s="34">
        <v>115</v>
      </c>
      <c r="AV135" s="34" t="s">
        <v>1554</v>
      </c>
      <c r="AW135" s="34">
        <v>0</v>
      </c>
      <c r="AX135" s="34">
        <v>1484</v>
      </c>
      <c r="AY135" s="34" t="s">
        <v>1333</v>
      </c>
      <c r="AZ135" s="35">
        <v>45761</v>
      </c>
      <c r="BA135" s="35">
        <v>45761</v>
      </c>
      <c r="BB135" s="34" t="s">
        <v>123</v>
      </c>
      <c r="BC135" s="34" t="s">
        <v>123</v>
      </c>
      <c r="BD135" s="34" t="s">
        <v>123</v>
      </c>
      <c r="BE135" s="34" t="s">
        <v>139</v>
      </c>
      <c r="BF135" s="34">
        <v>146</v>
      </c>
      <c r="BG135" s="34">
        <v>0</v>
      </c>
      <c r="BH135" s="34">
        <v>9.1247229999999999E-2</v>
      </c>
      <c r="BI135" s="34" t="s">
        <v>150</v>
      </c>
      <c r="BJ135" s="34" t="s">
        <v>1336</v>
      </c>
      <c r="BK135" s="34">
        <v>2025</v>
      </c>
      <c r="BL135" s="34" t="s">
        <v>1456</v>
      </c>
      <c r="BM135" s="34"/>
      <c r="BN135" s="34">
        <v>0</v>
      </c>
      <c r="BO135" s="34" t="s">
        <v>1330</v>
      </c>
      <c r="BP135" s="34">
        <v>0.12966</v>
      </c>
      <c r="BQ135" s="34" t="s">
        <v>1326</v>
      </c>
      <c r="BR135" s="35">
        <v>45761</v>
      </c>
      <c r="BS135" s="34">
        <v>0</v>
      </c>
      <c r="BT135" s="34" t="s">
        <v>123</v>
      </c>
      <c r="BU135" s="34">
        <v>0</v>
      </c>
      <c r="BV135" s="34">
        <v>250000</v>
      </c>
      <c r="BW135" s="34">
        <v>0</v>
      </c>
      <c r="BX135" s="34">
        <v>146</v>
      </c>
      <c r="BY135" s="34">
        <v>0</v>
      </c>
      <c r="BZ135" s="34">
        <v>1</v>
      </c>
      <c r="CA135" s="34" t="s">
        <v>123</v>
      </c>
      <c r="CB135" s="34" t="s">
        <v>123</v>
      </c>
      <c r="CC135" s="34" t="s">
        <v>123</v>
      </c>
    </row>
    <row r="136" spans="1:81" x14ac:dyDescent="0.3">
      <c r="A136" s="34" t="s">
        <v>1465</v>
      </c>
      <c r="B136" s="34" t="s">
        <v>538</v>
      </c>
      <c r="C136" s="34" t="s">
        <v>1352</v>
      </c>
      <c r="D136" s="34"/>
      <c r="E136" s="35">
        <v>45379</v>
      </c>
      <c r="F136" s="35">
        <v>46484</v>
      </c>
      <c r="G136" s="34"/>
      <c r="H136" s="34" t="s">
        <v>1325</v>
      </c>
      <c r="I136" s="34">
        <v>0</v>
      </c>
      <c r="J136" s="34">
        <v>250000000</v>
      </c>
      <c r="K136" s="34" t="s">
        <v>123</v>
      </c>
      <c r="L136" s="34" t="s">
        <v>123</v>
      </c>
      <c r="M136" s="34" t="s">
        <v>123</v>
      </c>
      <c r="N136" s="34" t="s">
        <v>123</v>
      </c>
      <c r="O136" s="34">
        <v>103.85</v>
      </c>
      <c r="P136" s="34">
        <v>2.5000000000000001E-3</v>
      </c>
      <c r="Q136" s="34" t="s">
        <v>123</v>
      </c>
      <c r="R136" s="34" t="s">
        <v>123</v>
      </c>
      <c r="S136" s="34" t="s">
        <v>123</v>
      </c>
      <c r="T136" s="34" t="s">
        <v>123</v>
      </c>
      <c r="U136" s="34" t="s">
        <v>123</v>
      </c>
      <c r="V136" s="34" t="s">
        <v>123</v>
      </c>
      <c r="W136" s="34" t="s">
        <v>123</v>
      </c>
      <c r="X136" s="34" t="s">
        <v>123</v>
      </c>
      <c r="Y136" s="34" t="s">
        <v>123</v>
      </c>
      <c r="Z136" s="34">
        <v>0</v>
      </c>
      <c r="AA136" s="34" t="s">
        <v>123</v>
      </c>
      <c r="AB136" s="34">
        <v>0</v>
      </c>
      <c r="AC136" s="34">
        <v>1</v>
      </c>
      <c r="AD136" s="34" t="s">
        <v>123</v>
      </c>
      <c r="AE136" s="34" t="s">
        <v>123</v>
      </c>
      <c r="AF136" s="34" t="s">
        <v>541</v>
      </c>
      <c r="AG136" s="34" t="s">
        <v>123</v>
      </c>
      <c r="AH136" s="34" t="s">
        <v>123</v>
      </c>
      <c r="AI136" s="34" t="s">
        <v>123</v>
      </c>
      <c r="AJ136" s="34" t="s">
        <v>123</v>
      </c>
      <c r="AK136" s="34" t="s">
        <v>123</v>
      </c>
      <c r="AL136" s="34" t="s">
        <v>123</v>
      </c>
      <c r="AM136" s="34" t="s">
        <v>123</v>
      </c>
      <c r="AN136" s="34" t="s">
        <v>123</v>
      </c>
      <c r="AO136" s="34" t="s">
        <v>123</v>
      </c>
      <c r="AP136" s="34">
        <v>0</v>
      </c>
      <c r="AQ136" s="34" t="s">
        <v>123</v>
      </c>
      <c r="AR136" s="34">
        <v>7.5250440000000002E-2</v>
      </c>
      <c r="AS136" s="34"/>
      <c r="AT136" s="34" t="s">
        <v>123</v>
      </c>
      <c r="AU136" s="34">
        <v>115</v>
      </c>
      <c r="AV136" s="34" t="s">
        <v>1466</v>
      </c>
      <c r="AW136" s="34">
        <v>0</v>
      </c>
      <c r="AX136" s="34">
        <v>1485</v>
      </c>
      <c r="AY136" s="34" t="s">
        <v>1333</v>
      </c>
      <c r="AZ136" s="35">
        <v>45763</v>
      </c>
      <c r="BA136" s="35">
        <v>45763</v>
      </c>
      <c r="BB136" s="34" t="s">
        <v>123</v>
      </c>
      <c r="BC136" s="34" t="s">
        <v>123</v>
      </c>
      <c r="BD136" s="34" t="s">
        <v>123</v>
      </c>
      <c r="BE136" s="34" t="s">
        <v>139</v>
      </c>
      <c r="BF136" s="34">
        <v>104</v>
      </c>
      <c r="BG136" s="34">
        <v>0</v>
      </c>
      <c r="BH136" s="34">
        <v>5.4388600000000002E-2</v>
      </c>
      <c r="BI136" s="34" t="s">
        <v>150</v>
      </c>
      <c r="BJ136" s="34" t="s">
        <v>1336</v>
      </c>
      <c r="BK136" s="34">
        <v>2025</v>
      </c>
      <c r="BL136" s="34" t="s">
        <v>1456</v>
      </c>
      <c r="BM136" s="34"/>
      <c r="BN136" s="34">
        <v>0</v>
      </c>
      <c r="BO136" s="34" t="s">
        <v>1330</v>
      </c>
      <c r="BP136" s="34">
        <v>9.3007140000000002E-2</v>
      </c>
      <c r="BQ136" s="34" t="s">
        <v>1326</v>
      </c>
      <c r="BR136" s="35">
        <v>45763</v>
      </c>
      <c r="BS136" s="34">
        <v>0</v>
      </c>
      <c r="BT136" s="34" t="s">
        <v>123</v>
      </c>
      <c r="BU136" s="34">
        <v>0</v>
      </c>
      <c r="BV136" s="34">
        <v>250000</v>
      </c>
      <c r="BW136" s="34">
        <v>0</v>
      </c>
      <c r="BX136" s="34">
        <v>104</v>
      </c>
      <c r="BY136" s="34">
        <v>0</v>
      </c>
      <c r="BZ136" s="34">
        <v>1</v>
      </c>
      <c r="CA136" s="34" t="s">
        <v>123</v>
      </c>
      <c r="CB136" s="34" t="s">
        <v>123</v>
      </c>
      <c r="CC136" s="34" t="s">
        <v>123</v>
      </c>
    </row>
    <row r="137" spans="1:81" x14ac:dyDescent="0.3">
      <c r="A137" s="34" t="s">
        <v>1467</v>
      </c>
      <c r="B137" s="34" t="s">
        <v>1000</v>
      </c>
      <c r="C137" s="34" t="s">
        <v>1353</v>
      </c>
      <c r="D137" s="34"/>
      <c r="E137" s="35">
        <v>45287</v>
      </c>
      <c r="F137" s="35">
        <v>46030</v>
      </c>
      <c r="G137" s="34"/>
      <c r="H137" s="34" t="s">
        <v>1325</v>
      </c>
      <c r="I137" s="34">
        <v>0</v>
      </c>
      <c r="J137" s="34">
        <v>150000000</v>
      </c>
      <c r="K137" s="34" t="s">
        <v>123</v>
      </c>
      <c r="L137" s="34" t="s">
        <v>123</v>
      </c>
      <c r="M137" s="34" t="s">
        <v>123</v>
      </c>
      <c r="N137" s="34" t="s">
        <v>123</v>
      </c>
      <c r="O137" s="34">
        <v>102.4</v>
      </c>
      <c r="P137" s="34">
        <v>1.6666700000000001E-3</v>
      </c>
      <c r="Q137" s="34" t="s">
        <v>123</v>
      </c>
      <c r="R137" s="34" t="s">
        <v>123</v>
      </c>
      <c r="S137" s="34" t="s">
        <v>123</v>
      </c>
      <c r="T137" s="34" t="s">
        <v>123</v>
      </c>
      <c r="U137" s="34" t="s">
        <v>123</v>
      </c>
      <c r="V137" s="34" t="s">
        <v>123</v>
      </c>
      <c r="W137" s="34" t="s">
        <v>123</v>
      </c>
      <c r="X137" s="34" t="s">
        <v>123</v>
      </c>
      <c r="Y137" s="34" t="s">
        <v>123</v>
      </c>
      <c r="Z137" s="34">
        <v>0</v>
      </c>
      <c r="AA137" s="34" t="s">
        <v>123</v>
      </c>
      <c r="AB137" s="34">
        <v>0</v>
      </c>
      <c r="AC137" s="34">
        <v>1</v>
      </c>
      <c r="AD137" s="34" t="s">
        <v>123</v>
      </c>
      <c r="AE137" s="34" t="s">
        <v>123</v>
      </c>
      <c r="AF137" s="34" t="s">
        <v>1003</v>
      </c>
      <c r="AG137" s="34" t="s">
        <v>123</v>
      </c>
      <c r="AH137" s="34" t="s">
        <v>123</v>
      </c>
      <c r="AI137" s="34" t="s">
        <v>123</v>
      </c>
      <c r="AJ137" s="34" t="s">
        <v>123</v>
      </c>
      <c r="AK137" s="34" t="s">
        <v>123</v>
      </c>
      <c r="AL137" s="34" t="s">
        <v>123</v>
      </c>
      <c r="AM137" s="34" t="s">
        <v>123</v>
      </c>
      <c r="AN137" s="34" t="s">
        <v>123</v>
      </c>
      <c r="AO137" s="34" t="s">
        <v>123</v>
      </c>
      <c r="AP137" s="34">
        <v>0</v>
      </c>
      <c r="AQ137" s="34" t="s">
        <v>123</v>
      </c>
      <c r="AR137" s="34">
        <v>6.8990380000000004E-2</v>
      </c>
      <c r="AS137" s="34"/>
      <c r="AT137" s="34" t="s">
        <v>123</v>
      </c>
      <c r="AU137" s="34">
        <v>115</v>
      </c>
      <c r="AV137" s="34" t="s">
        <v>1468</v>
      </c>
      <c r="AW137" s="34">
        <v>0</v>
      </c>
      <c r="AX137" s="34">
        <v>1486</v>
      </c>
      <c r="AY137" s="34" t="s">
        <v>1333</v>
      </c>
      <c r="AZ137" s="35">
        <v>45763</v>
      </c>
      <c r="BA137" s="35">
        <v>45763</v>
      </c>
      <c r="BB137" s="34" t="s">
        <v>123</v>
      </c>
      <c r="BC137" s="34" t="s">
        <v>123</v>
      </c>
      <c r="BD137" s="34" t="s">
        <v>123</v>
      </c>
      <c r="BE137" s="34" t="s">
        <v>1347</v>
      </c>
      <c r="BF137" s="34">
        <v>236</v>
      </c>
      <c r="BG137" s="34">
        <v>0</v>
      </c>
      <c r="BH137" s="34">
        <v>4.3428769999999998E-2</v>
      </c>
      <c r="BI137" s="34" t="s">
        <v>133</v>
      </c>
      <c r="BJ137" s="34" t="s">
        <v>1336</v>
      </c>
      <c r="BK137" s="34"/>
      <c r="BL137" s="34" t="s">
        <v>1456</v>
      </c>
      <c r="BM137" s="34"/>
      <c r="BN137" s="34">
        <v>0</v>
      </c>
      <c r="BO137" s="34" t="s">
        <v>1330</v>
      </c>
      <c r="BP137" s="34">
        <v>8.1708199999999995E-2</v>
      </c>
      <c r="BQ137" s="34" t="s">
        <v>1326</v>
      </c>
      <c r="BR137" s="35">
        <v>45763</v>
      </c>
      <c r="BS137" s="34">
        <v>0</v>
      </c>
      <c r="BT137" s="34" t="s">
        <v>123</v>
      </c>
      <c r="BU137" s="34">
        <v>0</v>
      </c>
      <c r="BV137" s="34">
        <v>250000</v>
      </c>
      <c r="BW137" s="34">
        <v>0</v>
      </c>
      <c r="BX137" s="34">
        <v>236</v>
      </c>
      <c r="BY137" s="34">
        <v>0</v>
      </c>
      <c r="BZ137" s="34">
        <v>1</v>
      </c>
      <c r="CA137" s="34" t="s">
        <v>123</v>
      </c>
      <c r="CB137" s="34" t="s">
        <v>123</v>
      </c>
      <c r="CC137" s="34" t="s">
        <v>123</v>
      </c>
    </row>
    <row r="138" spans="1:81" x14ac:dyDescent="0.3">
      <c r="A138" s="34" t="s">
        <v>1469</v>
      </c>
      <c r="B138" s="34" t="s">
        <v>1061</v>
      </c>
      <c r="C138" s="34" t="s">
        <v>1354</v>
      </c>
      <c r="D138" s="34"/>
      <c r="E138" s="35">
        <v>45287</v>
      </c>
      <c r="F138" s="35">
        <v>46395</v>
      </c>
      <c r="G138" s="34"/>
      <c r="H138" s="34" t="s">
        <v>1325</v>
      </c>
      <c r="I138" s="34">
        <v>0</v>
      </c>
      <c r="J138" s="34">
        <v>301000000</v>
      </c>
      <c r="K138" s="34" t="s">
        <v>123</v>
      </c>
      <c r="L138" s="34" t="s">
        <v>123</v>
      </c>
      <c r="M138" s="34" t="s">
        <v>123</v>
      </c>
      <c r="N138" s="34" t="s">
        <v>123</v>
      </c>
      <c r="O138" s="34">
        <v>103.1</v>
      </c>
      <c r="P138" s="34">
        <v>1.25E-3</v>
      </c>
      <c r="Q138" s="34" t="s">
        <v>123</v>
      </c>
      <c r="R138" s="34" t="s">
        <v>123</v>
      </c>
      <c r="S138" s="34" t="s">
        <v>123</v>
      </c>
      <c r="T138" s="34" t="s">
        <v>123</v>
      </c>
      <c r="U138" s="34" t="s">
        <v>123</v>
      </c>
      <c r="V138" s="34" t="s">
        <v>123</v>
      </c>
      <c r="W138" s="34" t="s">
        <v>123</v>
      </c>
      <c r="X138" s="34" t="s">
        <v>123</v>
      </c>
      <c r="Y138" s="34" t="s">
        <v>123</v>
      </c>
      <c r="Z138" s="34">
        <v>0</v>
      </c>
      <c r="AA138" s="34" t="s">
        <v>123</v>
      </c>
      <c r="AB138" s="34">
        <v>0</v>
      </c>
      <c r="AC138" s="34">
        <v>1</v>
      </c>
      <c r="AD138" s="34" t="s">
        <v>123</v>
      </c>
      <c r="AE138" s="34" t="s">
        <v>123</v>
      </c>
      <c r="AF138" s="34" t="s">
        <v>1064</v>
      </c>
      <c r="AG138" s="34" t="s">
        <v>123</v>
      </c>
      <c r="AH138" s="34" t="s">
        <v>123</v>
      </c>
      <c r="AI138" s="34" t="s">
        <v>123</v>
      </c>
      <c r="AJ138" s="34" t="s">
        <v>123</v>
      </c>
      <c r="AK138" s="34" t="s">
        <v>123</v>
      </c>
      <c r="AL138" s="34" t="s">
        <v>123</v>
      </c>
      <c r="AM138" s="34" t="s">
        <v>123</v>
      </c>
      <c r="AN138" s="34" t="s">
        <v>123</v>
      </c>
      <c r="AO138" s="34" t="s">
        <v>123</v>
      </c>
      <c r="AP138" s="34">
        <v>0</v>
      </c>
      <c r="AQ138" s="34" t="s">
        <v>123</v>
      </c>
      <c r="AR138" s="34">
        <v>8.4681469999999995E-2</v>
      </c>
      <c r="AS138" s="34"/>
      <c r="AT138" s="34" t="s">
        <v>123</v>
      </c>
      <c r="AU138" s="34">
        <v>115</v>
      </c>
      <c r="AV138" s="34" t="s">
        <v>1470</v>
      </c>
      <c r="AW138" s="34">
        <v>0</v>
      </c>
      <c r="AX138" s="34">
        <v>1487</v>
      </c>
      <c r="AY138" s="34" t="s">
        <v>1333</v>
      </c>
      <c r="AZ138" s="35">
        <v>45770</v>
      </c>
      <c r="BA138" s="35">
        <v>45770</v>
      </c>
      <c r="BB138" s="34" t="s">
        <v>123</v>
      </c>
      <c r="BC138" s="34" t="s">
        <v>123</v>
      </c>
      <c r="BD138" s="34" t="s">
        <v>123</v>
      </c>
      <c r="BE138" s="34" t="s">
        <v>139</v>
      </c>
      <c r="BF138" s="34">
        <v>254</v>
      </c>
      <c r="BG138" s="34">
        <v>0</v>
      </c>
      <c r="BH138" s="34">
        <v>6.2344139999999999E-2</v>
      </c>
      <c r="BI138" s="34" t="s">
        <v>133</v>
      </c>
      <c r="BJ138" s="34" t="s">
        <v>1336</v>
      </c>
      <c r="BK138" s="34">
        <v>2025</v>
      </c>
      <c r="BL138" s="34" t="s">
        <v>1456</v>
      </c>
      <c r="BM138" s="34"/>
      <c r="BN138" s="34">
        <v>0</v>
      </c>
      <c r="BO138" s="34" t="s">
        <v>1330</v>
      </c>
      <c r="BP138" s="34">
        <v>0.1009</v>
      </c>
      <c r="BQ138" s="34" t="s">
        <v>1326</v>
      </c>
      <c r="BR138" s="35">
        <v>45770</v>
      </c>
      <c r="BS138" s="34">
        <v>0</v>
      </c>
      <c r="BT138" s="34" t="s">
        <v>123</v>
      </c>
      <c r="BU138" s="34">
        <v>0</v>
      </c>
      <c r="BV138" s="34">
        <v>250000</v>
      </c>
      <c r="BW138" s="34">
        <v>0</v>
      </c>
      <c r="BX138" s="34">
        <v>254</v>
      </c>
      <c r="BY138" s="34">
        <v>0</v>
      </c>
      <c r="BZ138" s="34">
        <v>1</v>
      </c>
      <c r="CA138" s="34" t="s">
        <v>123</v>
      </c>
      <c r="CB138" s="34" t="s">
        <v>123</v>
      </c>
      <c r="CC138" s="34" t="s">
        <v>123</v>
      </c>
    </row>
    <row r="139" spans="1:81" x14ac:dyDescent="0.3">
      <c r="A139" s="34" t="s">
        <v>1471</v>
      </c>
      <c r="B139" s="34" t="s">
        <v>1061</v>
      </c>
      <c r="C139" s="34" t="s">
        <v>1354</v>
      </c>
      <c r="D139" s="34"/>
      <c r="E139" s="35">
        <v>45287</v>
      </c>
      <c r="F139" s="35">
        <v>46395</v>
      </c>
      <c r="G139" s="34"/>
      <c r="H139" s="34" t="s">
        <v>1325</v>
      </c>
      <c r="I139" s="34">
        <v>0</v>
      </c>
      <c r="J139" s="34">
        <v>301000000</v>
      </c>
      <c r="K139" s="34" t="s">
        <v>123</v>
      </c>
      <c r="L139" s="34" t="s">
        <v>123</v>
      </c>
      <c r="M139" s="34" t="s">
        <v>123</v>
      </c>
      <c r="N139" s="34" t="s">
        <v>123</v>
      </c>
      <c r="O139" s="34">
        <v>103.6</v>
      </c>
      <c r="P139" s="34">
        <v>1.25E-3</v>
      </c>
      <c r="Q139" s="34" t="s">
        <v>123</v>
      </c>
      <c r="R139" s="34" t="s">
        <v>123</v>
      </c>
      <c r="S139" s="34" t="s">
        <v>123</v>
      </c>
      <c r="T139" s="34" t="s">
        <v>123</v>
      </c>
      <c r="U139" s="34" t="s">
        <v>123</v>
      </c>
      <c r="V139" s="34" t="s">
        <v>123</v>
      </c>
      <c r="W139" s="34" t="s">
        <v>123</v>
      </c>
      <c r="X139" s="34" t="s">
        <v>123</v>
      </c>
      <c r="Y139" s="34" t="s">
        <v>123</v>
      </c>
      <c r="Z139" s="34">
        <v>0</v>
      </c>
      <c r="AA139" s="34" t="s">
        <v>123</v>
      </c>
      <c r="AB139" s="34">
        <v>0</v>
      </c>
      <c r="AC139" s="34">
        <v>1</v>
      </c>
      <c r="AD139" s="34" t="s">
        <v>123</v>
      </c>
      <c r="AE139" s="34" t="s">
        <v>123</v>
      </c>
      <c r="AF139" s="34" t="s">
        <v>1064</v>
      </c>
      <c r="AG139" s="34" t="s">
        <v>123</v>
      </c>
      <c r="AH139" s="34" t="s">
        <v>123</v>
      </c>
      <c r="AI139" s="34" t="s">
        <v>123</v>
      </c>
      <c r="AJ139" s="34" t="s">
        <v>123</v>
      </c>
      <c r="AK139" s="34" t="s">
        <v>123</v>
      </c>
      <c r="AL139" s="34" t="s">
        <v>123</v>
      </c>
      <c r="AM139" s="34" t="s">
        <v>123</v>
      </c>
      <c r="AN139" s="34" t="s">
        <v>123</v>
      </c>
      <c r="AO139" s="34" t="s">
        <v>123</v>
      </c>
      <c r="AP139" s="34">
        <v>0</v>
      </c>
      <c r="AQ139" s="34" t="s">
        <v>123</v>
      </c>
      <c r="AR139" s="34">
        <v>7.6477260000000005E-2</v>
      </c>
      <c r="AS139" s="34"/>
      <c r="AT139" s="34" t="s">
        <v>123</v>
      </c>
      <c r="AU139" s="34">
        <v>115</v>
      </c>
      <c r="AV139" s="34" t="s">
        <v>1472</v>
      </c>
      <c r="AW139" s="34">
        <v>0</v>
      </c>
      <c r="AX139" s="34">
        <v>1488</v>
      </c>
      <c r="AY139" s="34" t="s">
        <v>1333</v>
      </c>
      <c r="AZ139" s="35">
        <v>45889</v>
      </c>
      <c r="BA139" s="35">
        <v>45889</v>
      </c>
      <c r="BB139" s="34" t="s">
        <v>123</v>
      </c>
      <c r="BC139" s="34" t="s">
        <v>123</v>
      </c>
      <c r="BD139" s="34" t="s">
        <v>123</v>
      </c>
      <c r="BE139" s="34" t="s">
        <v>139</v>
      </c>
      <c r="BF139" s="34">
        <v>254</v>
      </c>
      <c r="BG139" s="34">
        <v>0</v>
      </c>
      <c r="BH139" s="34">
        <v>6.2344139999999999E-2</v>
      </c>
      <c r="BI139" s="34" t="s">
        <v>133</v>
      </c>
      <c r="BJ139" s="34" t="s">
        <v>1336</v>
      </c>
      <c r="BK139" s="34">
        <v>2025</v>
      </c>
      <c r="BL139" s="34" t="s">
        <v>1456</v>
      </c>
      <c r="BM139" s="34"/>
      <c r="BN139" s="34">
        <v>0</v>
      </c>
      <c r="BO139" s="34" t="s">
        <v>1330</v>
      </c>
      <c r="BP139" s="34">
        <v>0.1009</v>
      </c>
      <c r="BQ139" s="34" t="s">
        <v>1326</v>
      </c>
      <c r="BR139" s="35">
        <v>45889</v>
      </c>
      <c r="BS139" s="34">
        <v>0</v>
      </c>
      <c r="BT139" s="34" t="s">
        <v>123</v>
      </c>
      <c r="BU139" s="34">
        <v>0</v>
      </c>
      <c r="BV139" s="34">
        <v>250000</v>
      </c>
      <c r="BW139" s="34">
        <v>0</v>
      </c>
      <c r="BX139" s="34">
        <v>254</v>
      </c>
      <c r="BY139" s="34">
        <v>0</v>
      </c>
      <c r="BZ139" s="34">
        <v>1</v>
      </c>
      <c r="CA139" s="34" t="s">
        <v>123</v>
      </c>
      <c r="CB139" s="34" t="s">
        <v>123</v>
      </c>
      <c r="CC139" s="34" t="s">
        <v>123</v>
      </c>
    </row>
    <row r="140" spans="1:81" x14ac:dyDescent="0.3">
      <c r="A140" s="34" t="s">
        <v>1473</v>
      </c>
      <c r="B140" s="34" t="s">
        <v>943</v>
      </c>
      <c r="C140" s="34" t="s">
        <v>1357</v>
      </c>
      <c r="D140" s="34"/>
      <c r="E140" s="35">
        <v>45098</v>
      </c>
      <c r="F140" s="35">
        <v>46211</v>
      </c>
      <c r="G140" s="34"/>
      <c r="H140" s="34" t="s">
        <v>1325</v>
      </c>
      <c r="I140" s="34">
        <v>0</v>
      </c>
      <c r="J140" s="34">
        <v>150000000</v>
      </c>
      <c r="K140" s="34" t="s">
        <v>123</v>
      </c>
      <c r="L140" s="34" t="s">
        <v>123</v>
      </c>
      <c r="M140" s="34" t="s">
        <v>123</v>
      </c>
      <c r="N140" s="34" t="s">
        <v>123</v>
      </c>
      <c r="O140" s="34">
        <v>101.15</v>
      </c>
      <c r="P140" s="34">
        <v>1.6666700000000001E-3</v>
      </c>
      <c r="Q140" s="34" t="s">
        <v>123</v>
      </c>
      <c r="R140" s="34" t="s">
        <v>123</v>
      </c>
      <c r="S140" s="34" t="s">
        <v>123</v>
      </c>
      <c r="T140" s="34" t="s">
        <v>123</v>
      </c>
      <c r="U140" s="34" t="s">
        <v>123</v>
      </c>
      <c r="V140" s="34" t="s">
        <v>123</v>
      </c>
      <c r="W140" s="34" t="s">
        <v>123</v>
      </c>
      <c r="X140" s="34" t="s">
        <v>123</v>
      </c>
      <c r="Y140" s="34" t="s">
        <v>123</v>
      </c>
      <c r="Z140" s="34">
        <v>0</v>
      </c>
      <c r="AA140" s="34" t="s">
        <v>123</v>
      </c>
      <c r="AB140" s="34">
        <v>0</v>
      </c>
      <c r="AC140" s="34">
        <v>1</v>
      </c>
      <c r="AD140" s="34" t="s">
        <v>123</v>
      </c>
      <c r="AE140" s="34" t="s">
        <v>123</v>
      </c>
      <c r="AF140" s="34" t="s">
        <v>946</v>
      </c>
      <c r="AG140" s="34" t="s">
        <v>123</v>
      </c>
      <c r="AH140" s="34" t="s">
        <v>123</v>
      </c>
      <c r="AI140" s="34" t="s">
        <v>123</v>
      </c>
      <c r="AJ140" s="34" t="s">
        <v>123</v>
      </c>
      <c r="AK140" s="34" t="s">
        <v>123</v>
      </c>
      <c r="AL140" s="34" t="s">
        <v>123</v>
      </c>
      <c r="AM140" s="34" t="s">
        <v>123</v>
      </c>
      <c r="AN140" s="34" t="s">
        <v>123</v>
      </c>
      <c r="AO140" s="34" t="s">
        <v>123</v>
      </c>
      <c r="AP140" s="34">
        <v>0</v>
      </c>
      <c r="AQ140" s="34" t="s">
        <v>123</v>
      </c>
      <c r="AR140" s="34">
        <v>6.9939169999999995E-2</v>
      </c>
      <c r="AS140" s="34"/>
      <c r="AT140" s="34" t="s">
        <v>123</v>
      </c>
      <c r="AU140" s="34">
        <v>115</v>
      </c>
      <c r="AV140" s="34" t="s">
        <v>1474</v>
      </c>
      <c r="AW140" s="34">
        <v>0</v>
      </c>
      <c r="AX140" s="34">
        <v>1489</v>
      </c>
      <c r="AY140" s="34" t="s">
        <v>1333</v>
      </c>
      <c r="AZ140" s="35">
        <v>45775</v>
      </c>
      <c r="BA140" s="35">
        <v>45775</v>
      </c>
      <c r="BB140" s="34" t="s">
        <v>123</v>
      </c>
      <c r="BC140" s="34" t="s">
        <v>123</v>
      </c>
      <c r="BD140" s="34" t="s">
        <v>123</v>
      </c>
      <c r="BE140" s="34" t="s">
        <v>139</v>
      </c>
      <c r="BF140" s="34">
        <v>218</v>
      </c>
      <c r="BG140" s="34">
        <v>0</v>
      </c>
      <c r="BH140" s="34">
        <v>3.8097329999999999E-2</v>
      </c>
      <c r="BI140" s="34" t="s">
        <v>133</v>
      </c>
      <c r="BJ140" s="34" t="s">
        <v>1336</v>
      </c>
      <c r="BK140" s="34">
        <v>2025</v>
      </c>
      <c r="BL140" s="34" t="s">
        <v>1456</v>
      </c>
      <c r="BM140" s="34"/>
      <c r="BN140" s="34">
        <v>0</v>
      </c>
      <c r="BO140" s="34" t="s">
        <v>1330</v>
      </c>
      <c r="BP140" s="34">
        <v>7.7850000000000003E-2</v>
      </c>
      <c r="BQ140" s="34" t="s">
        <v>1326</v>
      </c>
      <c r="BR140" s="35">
        <v>45775</v>
      </c>
      <c r="BS140" s="34">
        <v>0</v>
      </c>
      <c r="BT140" s="34" t="s">
        <v>123</v>
      </c>
      <c r="BU140" s="34">
        <v>0</v>
      </c>
      <c r="BV140" s="34">
        <v>250000</v>
      </c>
      <c r="BW140" s="34">
        <v>0</v>
      </c>
      <c r="BX140" s="34">
        <v>218</v>
      </c>
      <c r="BY140" s="34">
        <v>0</v>
      </c>
      <c r="BZ140" s="34">
        <v>1</v>
      </c>
      <c r="CA140" s="34" t="s">
        <v>123</v>
      </c>
      <c r="CB140" s="34" t="s">
        <v>123</v>
      </c>
      <c r="CC140" s="34" t="s">
        <v>123</v>
      </c>
    </row>
    <row r="141" spans="1:81" x14ac:dyDescent="0.3">
      <c r="A141" s="34" t="s">
        <v>1475</v>
      </c>
      <c r="B141" s="34" t="s">
        <v>1099</v>
      </c>
      <c r="C141" s="34" t="s">
        <v>1358</v>
      </c>
      <c r="D141" s="34"/>
      <c r="E141" s="35">
        <v>45126</v>
      </c>
      <c r="F141" s="35">
        <v>46241</v>
      </c>
      <c r="G141" s="34"/>
      <c r="H141" s="34" t="s">
        <v>1325</v>
      </c>
      <c r="I141" s="34">
        <v>0</v>
      </c>
      <c r="J141" s="34">
        <v>300000000</v>
      </c>
      <c r="K141" s="34" t="s">
        <v>123</v>
      </c>
      <c r="L141" s="34" t="s">
        <v>123</v>
      </c>
      <c r="M141" s="34" t="s">
        <v>123</v>
      </c>
      <c r="N141" s="34" t="s">
        <v>123</v>
      </c>
      <c r="O141" s="34">
        <v>101.95</v>
      </c>
      <c r="P141" s="34">
        <v>2.5000000000000001E-3</v>
      </c>
      <c r="Q141" s="34" t="s">
        <v>123</v>
      </c>
      <c r="R141" s="34" t="s">
        <v>123</v>
      </c>
      <c r="S141" s="34" t="s">
        <v>123</v>
      </c>
      <c r="T141" s="34" t="s">
        <v>123</v>
      </c>
      <c r="U141" s="34" t="s">
        <v>123</v>
      </c>
      <c r="V141" s="34" t="s">
        <v>123</v>
      </c>
      <c r="W141" s="34" t="s">
        <v>123</v>
      </c>
      <c r="X141" s="34" t="s">
        <v>123</v>
      </c>
      <c r="Y141" s="34" t="s">
        <v>123</v>
      </c>
      <c r="Z141" s="34">
        <v>0</v>
      </c>
      <c r="AA141" s="34" t="s">
        <v>123</v>
      </c>
      <c r="AB141" s="34">
        <v>0</v>
      </c>
      <c r="AC141" s="34">
        <v>1</v>
      </c>
      <c r="AD141" s="34" t="s">
        <v>123</v>
      </c>
      <c r="AE141" s="34" t="s">
        <v>123</v>
      </c>
      <c r="AF141" s="34" t="s">
        <v>1100</v>
      </c>
      <c r="AG141" s="34" t="s">
        <v>123</v>
      </c>
      <c r="AH141" s="34" t="s">
        <v>123</v>
      </c>
      <c r="AI141" s="34" t="s">
        <v>123</v>
      </c>
      <c r="AJ141" s="34" t="s">
        <v>123</v>
      </c>
      <c r="AK141" s="34" t="s">
        <v>123</v>
      </c>
      <c r="AL141" s="34" t="s">
        <v>123</v>
      </c>
      <c r="AM141" s="34" t="s">
        <v>123</v>
      </c>
      <c r="AN141" s="34" t="s">
        <v>123</v>
      </c>
      <c r="AO141" s="34" t="s">
        <v>123</v>
      </c>
      <c r="AP141" s="34">
        <v>0</v>
      </c>
      <c r="AQ141" s="34" t="s">
        <v>123</v>
      </c>
      <c r="AR141" s="34">
        <v>8.6950429999999995E-2</v>
      </c>
      <c r="AS141" s="34"/>
      <c r="AT141" s="34" t="s">
        <v>123</v>
      </c>
      <c r="AU141" s="34">
        <v>115</v>
      </c>
      <c r="AV141" s="34" t="s">
        <v>1476</v>
      </c>
      <c r="AW141" s="34">
        <v>0</v>
      </c>
      <c r="AX141" s="34">
        <v>1490</v>
      </c>
      <c r="AY141" s="34" t="s">
        <v>1333</v>
      </c>
      <c r="AZ141" s="35">
        <v>45777</v>
      </c>
      <c r="BA141" s="35">
        <v>45777</v>
      </c>
      <c r="BB141" s="34" t="s">
        <v>123</v>
      </c>
      <c r="BC141" s="34" t="s">
        <v>123</v>
      </c>
      <c r="BD141" s="34" t="s">
        <v>123</v>
      </c>
      <c r="BE141" s="34" t="s">
        <v>139</v>
      </c>
      <c r="BF141" s="34">
        <v>262</v>
      </c>
      <c r="BG141" s="34">
        <v>0</v>
      </c>
      <c r="BH141" s="34">
        <v>6.1561049999999999E-2</v>
      </c>
      <c r="BI141" s="34" t="s">
        <v>133</v>
      </c>
      <c r="BJ141" s="34" t="s">
        <v>1336</v>
      </c>
      <c r="BK141" s="34">
        <v>2025</v>
      </c>
      <c r="BL141" s="34" t="s">
        <v>1456</v>
      </c>
      <c r="BM141" s="34"/>
      <c r="BN141" s="34">
        <v>0</v>
      </c>
      <c r="BO141" s="34" t="s">
        <v>1330</v>
      </c>
      <c r="BP141" s="34">
        <v>0.1004</v>
      </c>
      <c r="BQ141" s="34" t="s">
        <v>1326</v>
      </c>
      <c r="BR141" s="35">
        <v>45777</v>
      </c>
      <c r="BS141" s="34">
        <v>0</v>
      </c>
      <c r="BT141" s="34" t="s">
        <v>123</v>
      </c>
      <c r="BU141" s="34">
        <v>0</v>
      </c>
      <c r="BV141" s="34">
        <v>250000</v>
      </c>
      <c r="BW141" s="34">
        <v>0</v>
      </c>
      <c r="BX141" s="34">
        <v>262</v>
      </c>
      <c r="BY141" s="34">
        <v>0</v>
      </c>
      <c r="BZ141" s="34">
        <v>1</v>
      </c>
      <c r="CA141" s="34" t="s">
        <v>123</v>
      </c>
      <c r="CB141" s="34" t="s">
        <v>123</v>
      </c>
      <c r="CC141" s="34" t="s">
        <v>123</v>
      </c>
    </row>
    <row r="142" spans="1:81" x14ac:dyDescent="0.3">
      <c r="A142" s="34" t="s">
        <v>1477</v>
      </c>
      <c r="B142" s="34" t="s">
        <v>876</v>
      </c>
      <c r="C142" s="34" t="s">
        <v>1359</v>
      </c>
      <c r="D142" s="34"/>
      <c r="E142" s="35">
        <v>45393</v>
      </c>
      <c r="F142" s="35">
        <v>46517</v>
      </c>
      <c r="G142" s="34"/>
      <c r="H142" s="34" t="s">
        <v>1325</v>
      </c>
      <c r="I142" s="34">
        <v>0</v>
      </c>
      <c r="J142" s="34">
        <v>125000000</v>
      </c>
      <c r="K142" s="34" t="s">
        <v>123</v>
      </c>
      <c r="L142" s="34" t="s">
        <v>123</v>
      </c>
      <c r="M142" s="34" t="s">
        <v>123</v>
      </c>
      <c r="N142" s="34" t="s">
        <v>123</v>
      </c>
      <c r="O142" s="34">
        <v>102</v>
      </c>
      <c r="P142" s="34">
        <v>2E-3</v>
      </c>
      <c r="Q142" s="34" t="s">
        <v>123</v>
      </c>
      <c r="R142" s="34" t="s">
        <v>123</v>
      </c>
      <c r="S142" s="34" t="s">
        <v>123</v>
      </c>
      <c r="T142" s="34" t="s">
        <v>123</v>
      </c>
      <c r="U142" s="34" t="s">
        <v>123</v>
      </c>
      <c r="V142" s="34" t="s">
        <v>123</v>
      </c>
      <c r="W142" s="34" t="s">
        <v>123</v>
      </c>
      <c r="X142" s="34" t="s">
        <v>123</v>
      </c>
      <c r="Y142" s="34" t="s">
        <v>123</v>
      </c>
      <c r="Z142" s="34">
        <v>0</v>
      </c>
      <c r="AA142" s="34" t="s">
        <v>123</v>
      </c>
      <c r="AB142" s="34">
        <v>0</v>
      </c>
      <c r="AC142" s="34">
        <v>1</v>
      </c>
      <c r="AD142" s="34" t="s">
        <v>123</v>
      </c>
      <c r="AE142" s="34" t="s">
        <v>123</v>
      </c>
      <c r="AF142" s="34" t="s">
        <v>879</v>
      </c>
      <c r="AG142" s="34" t="s">
        <v>123</v>
      </c>
      <c r="AH142" s="34" t="s">
        <v>123</v>
      </c>
      <c r="AI142" s="34" t="s">
        <v>123</v>
      </c>
      <c r="AJ142" s="34" t="s">
        <v>123</v>
      </c>
      <c r="AK142" s="34" t="s">
        <v>123</v>
      </c>
      <c r="AL142" s="34" t="s">
        <v>123</v>
      </c>
      <c r="AM142" s="34" t="s">
        <v>123</v>
      </c>
      <c r="AN142" s="34" t="s">
        <v>123</v>
      </c>
      <c r="AO142" s="34" t="s">
        <v>123</v>
      </c>
      <c r="AP142" s="34">
        <v>0</v>
      </c>
      <c r="AQ142" s="34" t="s">
        <v>123</v>
      </c>
      <c r="AR142" s="34">
        <v>0.106922</v>
      </c>
      <c r="AS142" s="34"/>
      <c r="AT142" s="34" t="s">
        <v>123</v>
      </c>
      <c r="AU142" s="34">
        <v>115</v>
      </c>
      <c r="AV142" s="34" t="s">
        <v>1478</v>
      </c>
      <c r="AW142" s="34">
        <v>0</v>
      </c>
      <c r="AX142" s="34">
        <v>1491</v>
      </c>
      <c r="AY142" s="34" t="s">
        <v>1333</v>
      </c>
      <c r="AZ142" s="35">
        <v>45777</v>
      </c>
      <c r="BA142" s="35">
        <v>45777</v>
      </c>
      <c r="BB142" s="34" t="s">
        <v>123</v>
      </c>
      <c r="BC142" s="34" t="s">
        <v>123</v>
      </c>
      <c r="BD142" s="34" t="s">
        <v>123</v>
      </c>
      <c r="BE142" s="34" t="s">
        <v>139</v>
      </c>
      <c r="BF142" s="34">
        <v>203</v>
      </c>
      <c r="BG142" s="34">
        <v>0</v>
      </c>
      <c r="BH142" s="34">
        <v>7.6309879999999997E-2</v>
      </c>
      <c r="BI142" s="34" t="s">
        <v>150</v>
      </c>
      <c r="BJ142" s="34" t="s">
        <v>1336</v>
      </c>
      <c r="BK142" s="34">
        <v>2025</v>
      </c>
      <c r="BL142" s="34" t="s">
        <v>1456</v>
      </c>
      <c r="BM142" s="34"/>
      <c r="BN142" s="34">
        <v>0</v>
      </c>
      <c r="BO142" s="34" t="s">
        <v>1330</v>
      </c>
      <c r="BP142" s="34">
        <v>0.11452</v>
      </c>
      <c r="BQ142" s="34" t="s">
        <v>1326</v>
      </c>
      <c r="BR142" s="35">
        <v>45777</v>
      </c>
      <c r="BS142" s="34">
        <v>0</v>
      </c>
      <c r="BT142" s="34" t="s">
        <v>123</v>
      </c>
      <c r="BU142" s="34">
        <v>0</v>
      </c>
      <c r="BV142" s="34">
        <v>250000</v>
      </c>
      <c r="BW142" s="34">
        <v>0</v>
      </c>
      <c r="BX142" s="34">
        <v>203</v>
      </c>
      <c r="BY142" s="34">
        <v>0</v>
      </c>
      <c r="BZ142" s="34">
        <v>1</v>
      </c>
      <c r="CA142" s="34" t="s">
        <v>123</v>
      </c>
      <c r="CB142" s="34" t="s">
        <v>123</v>
      </c>
      <c r="CC142" s="34" t="s">
        <v>123</v>
      </c>
    </row>
    <row r="143" spans="1:81" x14ac:dyDescent="0.3">
      <c r="A143" s="34" t="s">
        <v>1479</v>
      </c>
      <c r="B143" s="34" t="s">
        <v>995</v>
      </c>
      <c r="C143" s="34" t="s">
        <v>1360</v>
      </c>
      <c r="D143" s="34"/>
      <c r="E143" s="35">
        <v>45701</v>
      </c>
      <c r="F143" s="35">
        <v>46804</v>
      </c>
      <c r="G143" s="34"/>
      <c r="H143" s="34" t="s">
        <v>1325</v>
      </c>
      <c r="I143" s="34">
        <v>0</v>
      </c>
      <c r="J143" s="34">
        <v>200000000</v>
      </c>
      <c r="K143" s="34" t="s">
        <v>123</v>
      </c>
      <c r="L143" s="34" t="s">
        <v>123</v>
      </c>
      <c r="M143" s="34" t="s">
        <v>123</v>
      </c>
      <c r="N143" s="34" t="s">
        <v>123</v>
      </c>
      <c r="O143" s="34">
        <v>99.85</v>
      </c>
      <c r="P143" s="34">
        <v>1.4285700000000001E-3</v>
      </c>
      <c r="Q143" s="34" t="s">
        <v>123</v>
      </c>
      <c r="R143" s="34" t="s">
        <v>123</v>
      </c>
      <c r="S143" s="34" t="s">
        <v>123</v>
      </c>
      <c r="T143" s="34" t="s">
        <v>123</v>
      </c>
      <c r="U143" s="34" t="s">
        <v>123</v>
      </c>
      <c r="V143" s="34" t="s">
        <v>123</v>
      </c>
      <c r="W143" s="34" t="s">
        <v>123</v>
      </c>
      <c r="X143" s="34" t="s">
        <v>123</v>
      </c>
      <c r="Y143" s="34" t="s">
        <v>123</v>
      </c>
      <c r="Z143" s="34">
        <v>0</v>
      </c>
      <c r="AA143" s="34" t="s">
        <v>123</v>
      </c>
      <c r="AB143" s="34">
        <v>0</v>
      </c>
      <c r="AC143" s="34">
        <v>1</v>
      </c>
      <c r="AD143" s="34" t="s">
        <v>123</v>
      </c>
      <c r="AE143" s="34" t="s">
        <v>123</v>
      </c>
      <c r="AF143" s="34" t="s">
        <v>996</v>
      </c>
      <c r="AG143" s="34" t="s">
        <v>123</v>
      </c>
      <c r="AH143" s="34" t="s">
        <v>123</v>
      </c>
      <c r="AI143" s="34" t="s">
        <v>123</v>
      </c>
      <c r="AJ143" s="34" t="s">
        <v>123</v>
      </c>
      <c r="AK143" s="34" t="s">
        <v>123</v>
      </c>
      <c r="AL143" s="34" t="s">
        <v>123</v>
      </c>
      <c r="AM143" s="34" t="s">
        <v>123</v>
      </c>
      <c r="AN143" s="34" t="s">
        <v>123</v>
      </c>
      <c r="AO143" s="34" t="s">
        <v>123</v>
      </c>
      <c r="AP143" s="34">
        <v>0</v>
      </c>
      <c r="AQ143" s="34" t="s">
        <v>123</v>
      </c>
      <c r="AR143" s="34">
        <v>0.10708301000000001</v>
      </c>
      <c r="AS143" s="34"/>
      <c r="AT143" s="34" t="s">
        <v>123</v>
      </c>
      <c r="AU143" s="34">
        <v>115</v>
      </c>
      <c r="AV143" s="34" t="s">
        <v>1480</v>
      </c>
      <c r="AW143" s="34">
        <v>0</v>
      </c>
      <c r="AX143" s="34">
        <v>1492</v>
      </c>
      <c r="AY143" s="34" t="s">
        <v>1333</v>
      </c>
      <c r="AZ143" s="35">
        <v>45784</v>
      </c>
      <c r="BA143" s="35">
        <v>45784</v>
      </c>
      <c r="BB143" s="34" t="s">
        <v>123</v>
      </c>
      <c r="BC143" s="34" t="s">
        <v>123</v>
      </c>
      <c r="BD143" s="34" t="s">
        <v>123</v>
      </c>
      <c r="BE143" s="34" t="s">
        <v>139</v>
      </c>
      <c r="BF143" s="34">
        <v>234</v>
      </c>
      <c r="BG143" s="34">
        <v>0</v>
      </c>
      <c r="BH143" s="34">
        <v>6.497E-2</v>
      </c>
      <c r="BI143" s="34" t="s">
        <v>159</v>
      </c>
      <c r="BJ143" s="34" t="s">
        <v>1336</v>
      </c>
      <c r="BK143" s="34"/>
      <c r="BL143" s="34" t="s">
        <v>1456</v>
      </c>
      <c r="BM143" s="34"/>
      <c r="BN143" s="34">
        <v>0</v>
      </c>
      <c r="BO143" s="34" t="s">
        <v>1330</v>
      </c>
      <c r="BP143" s="34">
        <v>0.1032</v>
      </c>
      <c r="BQ143" s="34" t="s">
        <v>1326</v>
      </c>
      <c r="BR143" s="35">
        <v>45784</v>
      </c>
      <c r="BS143" s="34">
        <v>0</v>
      </c>
      <c r="BT143" s="34" t="s">
        <v>123</v>
      </c>
      <c r="BU143" s="34">
        <v>0</v>
      </c>
      <c r="BV143" s="34">
        <v>250000</v>
      </c>
      <c r="BW143" s="34">
        <v>0</v>
      </c>
      <c r="BX143" s="34">
        <v>234</v>
      </c>
      <c r="BY143" s="34">
        <v>0</v>
      </c>
      <c r="BZ143" s="34">
        <v>1</v>
      </c>
      <c r="CA143" s="34" t="s">
        <v>123</v>
      </c>
      <c r="CB143" s="34" t="s">
        <v>123</v>
      </c>
      <c r="CC143" s="34" t="s">
        <v>123</v>
      </c>
    </row>
    <row r="144" spans="1:81" x14ac:dyDescent="0.3">
      <c r="A144" s="34" t="s">
        <v>1481</v>
      </c>
      <c r="B144" s="34" t="s">
        <v>546</v>
      </c>
      <c r="C144" s="34" t="s">
        <v>1362</v>
      </c>
      <c r="D144" s="34"/>
      <c r="E144" s="35">
        <v>45071</v>
      </c>
      <c r="F144" s="35">
        <v>46178</v>
      </c>
      <c r="G144" s="34"/>
      <c r="H144" s="34" t="s">
        <v>1325</v>
      </c>
      <c r="I144" s="34">
        <v>0</v>
      </c>
      <c r="J144" s="34">
        <v>150000000</v>
      </c>
      <c r="K144" s="34" t="s">
        <v>123</v>
      </c>
      <c r="L144" s="34" t="s">
        <v>123</v>
      </c>
      <c r="M144" s="34" t="s">
        <v>123</v>
      </c>
      <c r="N144" s="34" t="s">
        <v>123</v>
      </c>
      <c r="O144" s="34">
        <v>101.95</v>
      </c>
      <c r="P144" s="34">
        <v>1.6666700000000001E-3</v>
      </c>
      <c r="Q144" s="34" t="s">
        <v>123</v>
      </c>
      <c r="R144" s="34" t="s">
        <v>123</v>
      </c>
      <c r="S144" s="34" t="s">
        <v>123</v>
      </c>
      <c r="T144" s="34" t="s">
        <v>123</v>
      </c>
      <c r="U144" s="34" t="s">
        <v>123</v>
      </c>
      <c r="V144" s="34" t="s">
        <v>123</v>
      </c>
      <c r="W144" s="34" t="s">
        <v>123</v>
      </c>
      <c r="X144" s="34" t="s">
        <v>123</v>
      </c>
      <c r="Y144" s="34" t="s">
        <v>123</v>
      </c>
      <c r="Z144" s="34">
        <v>0</v>
      </c>
      <c r="AA144" s="34" t="s">
        <v>123</v>
      </c>
      <c r="AB144" s="34">
        <v>0</v>
      </c>
      <c r="AC144" s="34">
        <v>1</v>
      </c>
      <c r="AD144" s="34" t="s">
        <v>123</v>
      </c>
      <c r="AE144" s="34" t="s">
        <v>123</v>
      </c>
      <c r="AF144" s="34" t="s">
        <v>549</v>
      </c>
      <c r="AG144" s="34" t="s">
        <v>123</v>
      </c>
      <c r="AH144" s="34" t="s">
        <v>123</v>
      </c>
      <c r="AI144" s="34" t="s">
        <v>123</v>
      </c>
      <c r="AJ144" s="34" t="s">
        <v>123</v>
      </c>
      <c r="AK144" s="34" t="s">
        <v>123</v>
      </c>
      <c r="AL144" s="34" t="s">
        <v>123</v>
      </c>
      <c r="AM144" s="34" t="s">
        <v>123</v>
      </c>
      <c r="AN144" s="34" t="s">
        <v>123</v>
      </c>
      <c r="AO144" s="34" t="s">
        <v>123</v>
      </c>
      <c r="AP144" s="34">
        <v>0</v>
      </c>
      <c r="AQ144" s="34" t="s">
        <v>123</v>
      </c>
      <c r="AR144" s="34">
        <v>7.5891169999999994E-2</v>
      </c>
      <c r="AS144" s="34"/>
      <c r="AT144" s="34" t="s">
        <v>123</v>
      </c>
      <c r="AU144" s="34">
        <v>115</v>
      </c>
      <c r="AV144" s="34" t="s">
        <v>1482</v>
      </c>
      <c r="AW144" s="34">
        <v>0</v>
      </c>
      <c r="AX144" s="34">
        <v>1493</v>
      </c>
      <c r="AY144" s="34" t="s">
        <v>1333</v>
      </c>
      <c r="AZ144" s="35">
        <v>45785</v>
      </c>
      <c r="BA144" s="35">
        <v>45785</v>
      </c>
      <c r="BB144" s="34" t="s">
        <v>123</v>
      </c>
      <c r="BC144" s="34" t="s">
        <v>123</v>
      </c>
      <c r="BD144" s="34" t="s">
        <v>123</v>
      </c>
      <c r="BE144" s="34" t="s">
        <v>139</v>
      </c>
      <c r="BF144" s="34">
        <v>106</v>
      </c>
      <c r="BG144" s="34">
        <v>0</v>
      </c>
      <c r="BH144" s="34">
        <v>5.2853369999999997E-2</v>
      </c>
      <c r="BI144" s="34" t="s">
        <v>133</v>
      </c>
      <c r="BJ144" s="34" t="s">
        <v>1336</v>
      </c>
      <c r="BK144" s="34">
        <v>2025</v>
      </c>
      <c r="BL144" s="34" t="s">
        <v>1456</v>
      </c>
      <c r="BM144" s="34"/>
      <c r="BN144" s="34">
        <v>0</v>
      </c>
      <c r="BO144" s="34" t="s">
        <v>1330</v>
      </c>
      <c r="BP144" s="34">
        <v>9.146E-2</v>
      </c>
      <c r="BQ144" s="34" t="s">
        <v>1326</v>
      </c>
      <c r="BR144" s="35">
        <v>45785</v>
      </c>
      <c r="BS144" s="34">
        <v>0</v>
      </c>
      <c r="BT144" s="34" t="s">
        <v>123</v>
      </c>
      <c r="BU144" s="34">
        <v>0</v>
      </c>
      <c r="BV144" s="34">
        <v>250000</v>
      </c>
      <c r="BW144" s="34">
        <v>0</v>
      </c>
      <c r="BX144" s="34">
        <v>106</v>
      </c>
      <c r="BY144" s="34">
        <v>0</v>
      </c>
      <c r="BZ144" s="34">
        <v>1</v>
      </c>
      <c r="CA144" s="34" t="s">
        <v>123</v>
      </c>
      <c r="CB144" s="34" t="s">
        <v>123</v>
      </c>
      <c r="CC144" s="34" t="s">
        <v>123</v>
      </c>
    </row>
    <row r="145" spans="1:81" x14ac:dyDescent="0.3">
      <c r="A145" s="34" t="s">
        <v>1483</v>
      </c>
      <c r="B145" s="34" t="s">
        <v>182</v>
      </c>
      <c r="C145" s="34" t="s">
        <v>1363</v>
      </c>
      <c r="D145" s="34"/>
      <c r="E145" s="35">
        <v>45009</v>
      </c>
      <c r="F145" s="35">
        <v>46112</v>
      </c>
      <c r="G145" s="34"/>
      <c r="H145" s="34" t="s">
        <v>1325</v>
      </c>
      <c r="I145" s="34">
        <v>0</v>
      </c>
      <c r="J145" s="34">
        <v>16626000000</v>
      </c>
      <c r="K145" s="34" t="s">
        <v>123</v>
      </c>
      <c r="L145" s="34" t="s">
        <v>123</v>
      </c>
      <c r="M145" s="34" t="s">
        <v>123</v>
      </c>
      <c r="N145" s="34" t="s">
        <v>123</v>
      </c>
      <c r="O145" s="34">
        <v>102.8</v>
      </c>
      <c r="P145" s="34">
        <v>5.0000000000000001E-4</v>
      </c>
      <c r="Q145" s="34" t="s">
        <v>123</v>
      </c>
      <c r="R145" s="34" t="s">
        <v>123</v>
      </c>
      <c r="S145" s="34" t="s">
        <v>123</v>
      </c>
      <c r="T145" s="34" t="s">
        <v>123</v>
      </c>
      <c r="U145" s="34" t="s">
        <v>123</v>
      </c>
      <c r="V145" s="34" t="s">
        <v>123</v>
      </c>
      <c r="W145" s="34" t="s">
        <v>123</v>
      </c>
      <c r="X145" s="34" t="s">
        <v>123</v>
      </c>
      <c r="Y145" s="34" t="s">
        <v>123</v>
      </c>
      <c r="Z145" s="34">
        <v>0</v>
      </c>
      <c r="AA145" s="34" t="s">
        <v>123</v>
      </c>
      <c r="AB145" s="34">
        <v>0</v>
      </c>
      <c r="AC145" s="34">
        <v>1</v>
      </c>
      <c r="AD145" s="34" t="s">
        <v>123</v>
      </c>
      <c r="AE145" s="34" t="s">
        <v>123</v>
      </c>
      <c r="AF145" s="34" t="s">
        <v>185</v>
      </c>
      <c r="AG145" s="34" t="s">
        <v>123</v>
      </c>
      <c r="AH145" s="34" t="s">
        <v>123</v>
      </c>
      <c r="AI145" s="34" t="s">
        <v>123</v>
      </c>
      <c r="AJ145" s="34" t="s">
        <v>123</v>
      </c>
      <c r="AK145" s="34" t="s">
        <v>123</v>
      </c>
      <c r="AL145" s="34" t="s">
        <v>123</v>
      </c>
      <c r="AM145" s="34" t="s">
        <v>123</v>
      </c>
      <c r="AN145" s="34" t="s">
        <v>123</v>
      </c>
      <c r="AO145" s="34" t="s">
        <v>123</v>
      </c>
      <c r="AP145" s="34">
        <v>0</v>
      </c>
      <c r="AQ145" s="34" t="s">
        <v>123</v>
      </c>
      <c r="AR145" s="34">
        <v>0.11713456</v>
      </c>
      <c r="AS145" s="34"/>
      <c r="AT145" s="34" t="s">
        <v>123</v>
      </c>
      <c r="AU145" s="34">
        <v>115</v>
      </c>
      <c r="AV145" s="34" t="s">
        <v>1484</v>
      </c>
      <c r="AW145" s="34">
        <v>0</v>
      </c>
      <c r="AX145" s="34">
        <v>1494</v>
      </c>
      <c r="AY145" s="34" t="s">
        <v>1329</v>
      </c>
      <c r="AZ145" s="35">
        <v>45789</v>
      </c>
      <c r="BA145" s="35">
        <v>45789</v>
      </c>
      <c r="BB145" s="34" t="s">
        <v>123</v>
      </c>
      <c r="BC145" s="34" t="s">
        <v>123</v>
      </c>
      <c r="BD145" s="34" t="s">
        <v>123</v>
      </c>
      <c r="BE145" s="34" t="s">
        <v>1334</v>
      </c>
      <c r="BF145" s="34">
        <v>10</v>
      </c>
      <c r="BG145" s="34">
        <v>0</v>
      </c>
      <c r="BH145" s="34">
        <v>0.1071459</v>
      </c>
      <c r="BI145" s="34" t="s">
        <v>133</v>
      </c>
      <c r="BJ145" s="34" t="s">
        <v>1336</v>
      </c>
      <c r="BK145" s="34">
        <v>2025</v>
      </c>
      <c r="BL145" s="34" t="s">
        <v>1456</v>
      </c>
      <c r="BM145" s="34"/>
      <c r="BN145" s="34">
        <v>0</v>
      </c>
      <c r="BO145" s="34" t="s">
        <v>1330</v>
      </c>
      <c r="BP145" s="34">
        <v>0.14850714000000001</v>
      </c>
      <c r="BQ145" s="34" t="s">
        <v>1326</v>
      </c>
      <c r="BR145" s="35">
        <v>45789</v>
      </c>
      <c r="BS145" s="34">
        <v>0</v>
      </c>
      <c r="BT145" s="34" t="s">
        <v>123</v>
      </c>
      <c r="BU145" s="34">
        <v>0</v>
      </c>
      <c r="BV145" s="34">
        <v>250000</v>
      </c>
      <c r="BW145" s="34">
        <v>0</v>
      </c>
      <c r="BX145" s="34">
        <v>10</v>
      </c>
      <c r="BY145" s="34">
        <v>0</v>
      </c>
      <c r="BZ145" s="34">
        <v>1</v>
      </c>
      <c r="CA145" s="34" t="s">
        <v>123</v>
      </c>
      <c r="CB145" s="34" t="s">
        <v>123</v>
      </c>
      <c r="CC145" s="34" t="s">
        <v>123</v>
      </c>
    </row>
    <row r="146" spans="1:81" x14ac:dyDescent="0.3">
      <c r="A146" s="34" t="s">
        <v>1485</v>
      </c>
      <c r="B146" s="34" t="s">
        <v>1129</v>
      </c>
      <c r="C146" s="34" t="s">
        <v>1364</v>
      </c>
      <c r="D146" s="34"/>
      <c r="E146" s="35">
        <v>45035</v>
      </c>
      <c r="F146" s="35">
        <v>46180</v>
      </c>
      <c r="G146" s="34"/>
      <c r="H146" s="34" t="s">
        <v>1325</v>
      </c>
      <c r="I146" s="34">
        <v>0</v>
      </c>
      <c r="J146" s="34">
        <v>1000000000</v>
      </c>
      <c r="K146" s="34" t="s">
        <v>123</v>
      </c>
      <c r="L146" s="34" t="s">
        <v>123</v>
      </c>
      <c r="M146" s="34" t="s">
        <v>123</v>
      </c>
      <c r="N146" s="34" t="s">
        <v>123</v>
      </c>
      <c r="O146" s="34">
        <v>102.5</v>
      </c>
      <c r="P146" s="34">
        <v>5.0000000000000001E-4</v>
      </c>
      <c r="Q146" s="34" t="s">
        <v>123</v>
      </c>
      <c r="R146" s="34" t="s">
        <v>123</v>
      </c>
      <c r="S146" s="34" t="s">
        <v>123</v>
      </c>
      <c r="T146" s="34" t="s">
        <v>123</v>
      </c>
      <c r="U146" s="34" t="s">
        <v>123</v>
      </c>
      <c r="V146" s="34" t="s">
        <v>123</v>
      </c>
      <c r="W146" s="34" t="s">
        <v>123</v>
      </c>
      <c r="X146" s="34" t="s">
        <v>123</v>
      </c>
      <c r="Y146" s="34" t="s">
        <v>123</v>
      </c>
      <c r="Z146" s="34">
        <v>0</v>
      </c>
      <c r="AA146" s="34" t="s">
        <v>123</v>
      </c>
      <c r="AB146" s="34">
        <v>0</v>
      </c>
      <c r="AC146" s="34">
        <v>1</v>
      </c>
      <c r="AD146" s="34" t="s">
        <v>123</v>
      </c>
      <c r="AE146" s="34" t="s">
        <v>123</v>
      </c>
      <c r="AF146" s="34" t="s">
        <v>1132</v>
      </c>
      <c r="AG146" s="34" t="s">
        <v>123</v>
      </c>
      <c r="AH146" s="34" t="s">
        <v>123</v>
      </c>
      <c r="AI146" s="34" t="s">
        <v>123</v>
      </c>
      <c r="AJ146" s="34" t="s">
        <v>123</v>
      </c>
      <c r="AK146" s="34" t="s">
        <v>123</v>
      </c>
      <c r="AL146" s="34" t="s">
        <v>123</v>
      </c>
      <c r="AM146" s="34" t="s">
        <v>123</v>
      </c>
      <c r="AN146" s="34" t="s">
        <v>123</v>
      </c>
      <c r="AO146" s="34" t="s">
        <v>123</v>
      </c>
      <c r="AP146" s="34">
        <v>0</v>
      </c>
      <c r="AQ146" s="34" t="s">
        <v>123</v>
      </c>
      <c r="AR146" s="34">
        <v>0.10738033</v>
      </c>
      <c r="AS146" s="34"/>
      <c r="AT146" s="34" t="s">
        <v>123</v>
      </c>
      <c r="AU146" s="34">
        <v>115</v>
      </c>
      <c r="AV146" s="34" t="s">
        <v>1486</v>
      </c>
      <c r="AW146" s="34">
        <v>0</v>
      </c>
      <c r="AX146" s="34">
        <v>1495</v>
      </c>
      <c r="AY146" s="34" t="s">
        <v>1329</v>
      </c>
      <c r="AZ146" s="35">
        <v>45789</v>
      </c>
      <c r="BA146" s="35">
        <v>45789</v>
      </c>
      <c r="BB146" s="34" t="s">
        <v>123</v>
      </c>
      <c r="BC146" s="34" t="s">
        <v>123</v>
      </c>
      <c r="BD146" s="34" t="s">
        <v>123</v>
      </c>
      <c r="BE146" s="34" t="s">
        <v>139</v>
      </c>
      <c r="BF146" s="34">
        <v>272</v>
      </c>
      <c r="BG146" s="34">
        <v>0</v>
      </c>
      <c r="BH146" s="34">
        <v>9.0592530000000004E-2</v>
      </c>
      <c r="BI146" s="34" t="s">
        <v>133</v>
      </c>
      <c r="BJ146" s="34" t="s">
        <v>1336</v>
      </c>
      <c r="BK146" s="34">
        <v>2025</v>
      </c>
      <c r="BL146" s="34" t="s">
        <v>1456</v>
      </c>
      <c r="BM146" s="34"/>
      <c r="BN146" s="34">
        <v>0</v>
      </c>
      <c r="BO146" s="34" t="s">
        <v>1330</v>
      </c>
      <c r="BP146" s="34">
        <v>0.12889999999999999</v>
      </c>
      <c r="BQ146" s="34" t="s">
        <v>1326</v>
      </c>
      <c r="BR146" s="35">
        <v>45789</v>
      </c>
      <c r="BS146" s="34">
        <v>0</v>
      </c>
      <c r="BT146" s="34" t="s">
        <v>123</v>
      </c>
      <c r="BU146" s="34">
        <v>0</v>
      </c>
      <c r="BV146" s="34">
        <v>250000</v>
      </c>
      <c r="BW146" s="34">
        <v>0</v>
      </c>
      <c r="BX146" s="34">
        <v>272</v>
      </c>
      <c r="BY146" s="34">
        <v>0</v>
      </c>
      <c r="BZ146" s="34">
        <v>1</v>
      </c>
      <c r="CA146" s="34" t="s">
        <v>123</v>
      </c>
      <c r="CB146" s="34" t="s">
        <v>123</v>
      </c>
      <c r="CC146" s="34" t="s">
        <v>123</v>
      </c>
    </row>
    <row r="147" spans="1:81" x14ac:dyDescent="0.3">
      <c r="A147" s="34" t="s">
        <v>1487</v>
      </c>
      <c r="B147" s="34" t="s">
        <v>679</v>
      </c>
      <c r="C147" s="34" t="s">
        <v>1365</v>
      </c>
      <c r="D147" s="34"/>
      <c r="E147" s="35">
        <v>45064</v>
      </c>
      <c r="F147" s="35">
        <v>46168</v>
      </c>
      <c r="G147" s="34"/>
      <c r="H147" s="34" t="s">
        <v>1325</v>
      </c>
      <c r="I147" s="34">
        <v>0</v>
      </c>
      <c r="J147" s="34">
        <v>250000000</v>
      </c>
      <c r="K147" s="34" t="s">
        <v>123</v>
      </c>
      <c r="L147" s="34" t="s">
        <v>123</v>
      </c>
      <c r="M147" s="34" t="s">
        <v>123</v>
      </c>
      <c r="N147" s="34" t="s">
        <v>123</v>
      </c>
      <c r="O147" s="34">
        <v>104.6</v>
      </c>
      <c r="P147" s="34">
        <v>2.08333E-3</v>
      </c>
      <c r="Q147" s="34" t="s">
        <v>123</v>
      </c>
      <c r="R147" s="34" t="s">
        <v>123</v>
      </c>
      <c r="S147" s="34" t="s">
        <v>123</v>
      </c>
      <c r="T147" s="34" t="s">
        <v>123</v>
      </c>
      <c r="U147" s="34" t="s">
        <v>123</v>
      </c>
      <c r="V147" s="34" t="s">
        <v>123</v>
      </c>
      <c r="W147" s="34" t="s">
        <v>123</v>
      </c>
      <c r="X147" s="34" t="s">
        <v>123</v>
      </c>
      <c r="Y147" s="34" t="s">
        <v>123</v>
      </c>
      <c r="Z147" s="34">
        <v>0</v>
      </c>
      <c r="AA147" s="34" t="s">
        <v>123</v>
      </c>
      <c r="AB147" s="34">
        <v>0</v>
      </c>
      <c r="AC147" s="34">
        <v>1</v>
      </c>
      <c r="AD147" s="34" t="s">
        <v>123</v>
      </c>
      <c r="AE147" s="34" t="s">
        <v>123</v>
      </c>
      <c r="AF147" s="34" t="s">
        <v>682</v>
      </c>
      <c r="AG147" s="34" t="s">
        <v>123</v>
      </c>
      <c r="AH147" s="34" t="s">
        <v>123</v>
      </c>
      <c r="AI147" s="34" t="s">
        <v>123</v>
      </c>
      <c r="AJ147" s="34" t="s">
        <v>123</v>
      </c>
      <c r="AK147" s="34" t="s">
        <v>123</v>
      </c>
      <c r="AL147" s="34" t="s">
        <v>123</v>
      </c>
      <c r="AM147" s="34" t="s">
        <v>123</v>
      </c>
      <c r="AN147" s="34" t="s">
        <v>123</v>
      </c>
      <c r="AO147" s="34" t="s">
        <v>123</v>
      </c>
      <c r="AP147" s="34">
        <v>0</v>
      </c>
      <c r="AQ147" s="34" t="s">
        <v>123</v>
      </c>
      <c r="AR147" s="34">
        <v>0.11846673000000001</v>
      </c>
      <c r="AS147" s="34"/>
      <c r="AT147" s="34" t="s">
        <v>123</v>
      </c>
      <c r="AU147" s="34">
        <v>115</v>
      </c>
      <c r="AV147" s="34" t="s">
        <v>1488</v>
      </c>
      <c r="AW147" s="34">
        <v>0</v>
      </c>
      <c r="AX147" s="34">
        <v>1496</v>
      </c>
      <c r="AY147" s="34" t="s">
        <v>1333</v>
      </c>
      <c r="AZ147" s="35">
        <v>45790</v>
      </c>
      <c r="BA147" s="35">
        <v>45790</v>
      </c>
      <c r="BB147" s="34" t="s">
        <v>123</v>
      </c>
      <c r="BC147" s="34" t="s">
        <v>123</v>
      </c>
      <c r="BD147" s="34" t="s">
        <v>123</v>
      </c>
      <c r="BE147" s="34" t="s">
        <v>139</v>
      </c>
      <c r="BF147" s="34">
        <v>142</v>
      </c>
      <c r="BG147" s="34">
        <v>0</v>
      </c>
      <c r="BH147" s="34">
        <v>0.12371485</v>
      </c>
      <c r="BI147" s="34" t="s">
        <v>133</v>
      </c>
      <c r="BJ147" s="34" t="s">
        <v>1336</v>
      </c>
      <c r="BK147" s="34">
        <v>2025</v>
      </c>
      <c r="BL147" s="34" t="s">
        <v>1456</v>
      </c>
      <c r="BM147" s="34"/>
      <c r="BN147" s="34">
        <v>0</v>
      </c>
      <c r="BO147" s="34" t="s">
        <v>1330</v>
      </c>
      <c r="BP147" s="34">
        <v>0.1623</v>
      </c>
      <c r="BQ147" s="34" t="s">
        <v>1326</v>
      </c>
      <c r="BR147" s="35">
        <v>45790</v>
      </c>
      <c r="BS147" s="34">
        <v>0</v>
      </c>
      <c r="BT147" s="34" t="s">
        <v>123</v>
      </c>
      <c r="BU147" s="34">
        <v>0</v>
      </c>
      <c r="BV147" s="34">
        <v>250000</v>
      </c>
      <c r="BW147" s="34">
        <v>0</v>
      </c>
      <c r="BX147" s="34">
        <v>142</v>
      </c>
      <c r="BY147" s="34">
        <v>0</v>
      </c>
      <c r="BZ147" s="34">
        <v>1</v>
      </c>
      <c r="CA147" s="34" t="s">
        <v>123</v>
      </c>
      <c r="CB147" s="34" t="s">
        <v>123</v>
      </c>
      <c r="CC147" s="34" t="s">
        <v>123</v>
      </c>
    </row>
    <row r="148" spans="1:81" x14ac:dyDescent="0.3">
      <c r="A148" s="34" t="s">
        <v>1489</v>
      </c>
      <c r="B148" s="34" t="s">
        <v>985</v>
      </c>
      <c r="C148" s="34" t="s">
        <v>1366</v>
      </c>
      <c r="D148" s="34"/>
      <c r="E148" s="35">
        <v>45393</v>
      </c>
      <c r="F148" s="35">
        <v>46545</v>
      </c>
      <c r="G148" s="34"/>
      <c r="H148" s="34" t="s">
        <v>1325</v>
      </c>
      <c r="I148" s="34">
        <v>0</v>
      </c>
      <c r="J148" s="34">
        <v>300000000</v>
      </c>
      <c r="K148" s="34" t="s">
        <v>123</v>
      </c>
      <c r="L148" s="34" t="s">
        <v>123</v>
      </c>
      <c r="M148" s="34" t="s">
        <v>123</v>
      </c>
      <c r="N148" s="34" t="s">
        <v>123</v>
      </c>
      <c r="O148" s="34">
        <v>102.85</v>
      </c>
      <c r="P148" s="34">
        <v>1.6666700000000001E-3</v>
      </c>
      <c r="Q148" s="34" t="s">
        <v>123</v>
      </c>
      <c r="R148" s="34" t="s">
        <v>123</v>
      </c>
      <c r="S148" s="34" t="s">
        <v>123</v>
      </c>
      <c r="T148" s="34" t="s">
        <v>123</v>
      </c>
      <c r="U148" s="34" t="s">
        <v>123</v>
      </c>
      <c r="V148" s="34" t="s">
        <v>123</v>
      </c>
      <c r="W148" s="34" t="s">
        <v>123</v>
      </c>
      <c r="X148" s="34" t="s">
        <v>123</v>
      </c>
      <c r="Y148" s="34" t="s">
        <v>123</v>
      </c>
      <c r="Z148" s="34">
        <v>0</v>
      </c>
      <c r="AA148" s="34" t="s">
        <v>123</v>
      </c>
      <c r="AB148" s="34">
        <v>0</v>
      </c>
      <c r="AC148" s="34">
        <v>1</v>
      </c>
      <c r="AD148" s="34" t="s">
        <v>123</v>
      </c>
      <c r="AE148" s="34" t="s">
        <v>123</v>
      </c>
      <c r="AF148" s="34" t="s">
        <v>988</v>
      </c>
      <c r="AG148" s="34" t="s">
        <v>123</v>
      </c>
      <c r="AH148" s="34" t="s">
        <v>123</v>
      </c>
      <c r="AI148" s="34" t="s">
        <v>123</v>
      </c>
      <c r="AJ148" s="34" t="s">
        <v>123</v>
      </c>
      <c r="AK148" s="34" t="s">
        <v>123</v>
      </c>
      <c r="AL148" s="34" t="s">
        <v>123</v>
      </c>
      <c r="AM148" s="34" t="s">
        <v>123</v>
      </c>
      <c r="AN148" s="34" t="s">
        <v>123</v>
      </c>
      <c r="AO148" s="34" t="s">
        <v>123</v>
      </c>
      <c r="AP148" s="34">
        <v>0</v>
      </c>
      <c r="AQ148" s="34" t="s">
        <v>123</v>
      </c>
      <c r="AR148" s="34">
        <v>0.11963621000000001</v>
      </c>
      <c r="AS148" s="34"/>
      <c r="AT148" s="34" t="s">
        <v>123</v>
      </c>
      <c r="AU148" s="34">
        <v>115</v>
      </c>
      <c r="AV148" s="34" t="s">
        <v>1490</v>
      </c>
      <c r="AW148" s="34">
        <v>0</v>
      </c>
      <c r="AX148" s="34">
        <v>1497</v>
      </c>
      <c r="AY148" s="34" t="s">
        <v>1333</v>
      </c>
      <c r="AZ148" s="35">
        <v>45791</v>
      </c>
      <c r="BA148" s="35">
        <v>45791</v>
      </c>
      <c r="BB148" s="34" t="s">
        <v>123</v>
      </c>
      <c r="BC148" s="34" t="s">
        <v>123</v>
      </c>
      <c r="BD148" s="34" t="s">
        <v>123</v>
      </c>
      <c r="BE148" s="34" t="s">
        <v>139</v>
      </c>
      <c r="BF148" s="34">
        <v>231</v>
      </c>
      <c r="BG148" s="34">
        <v>0</v>
      </c>
      <c r="BH148" s="34">
        <v>9.6978149999999999E-2</v>
      </c>
      <c r="BI148" s="34" t="s">
        <v>150</v>
      </c>
      <c r="BJ148" s="34" t="s">
        <v>1336</v>
      </c>
      <c r="BK148" s="34">
        <v>2025</v>
      </c>
      <c r="BL148" s="34" t="s">
        <v>1456</v>
      </c>
      <c r="BM148" s="34"/>
      <c r="BN148" s="34">
        <v>0</v>
      </c>
      <c r="BO148" s="34" t="s">
        <v>1330</v>
      </c>
      <c r="BP148" s="34">
        <v>0.13565251</v>
      </c>
      <c r="BQ148" s="34" t="s">
        <v>1326</v>
      </c>
      <c r="BR148" s="35">
        <v>45791</v>
      </c>
      <c r="BS148" s="34">
        <v>0</v>
      </c>
      <c r="BT148" s="34" t="s">
        <v>123</v>
      </c>
      <c r="BU148" s="34">
        <v>0</v>
      </c>
      <c r="BV148" s="34">
        <v>250000</v>
      </c>
      <c r="BW148" s="34">
        <v>0</v>
      </c>
      <c r="BX148" s="34">
        <v>231</v>
      </c>
      <c r="BY148" s="34">
        <v>0</v>
      </c>
      <c r="BZ148" s="34">
        <v>1</v>
      </c>
      <c r="CA148" s="34" t="s">
        <v>123</v>
      </c>
      <c r="CB148" s="34" t="s">
        <v>123</v>
      </c>
      <c r="CC148" s="34" t="s">
        <v>123</v>
      </c>
    </row>
    <row r="149" spans="1:81" x14ac:dyDescent="0.3">
      <c r="A149" s="34" t="s">
        <v>1497</v>
      </c>
      <c r="B149" s="34" t="s">
        <v>1209</v>
      </c>
      <c r="C149" s="34" t="s">
        <v>1367</v>
      </c>
      <c r="D149" s="34"/>
      <c r="E149" s="35">
        <v>44980</v>
      </c>
      <c r="F149" s="35">
        <v>46080</v>
      </c>
      <c r="G149" s="34"/>
      <c r="H149" s="34" t="s">
        <v>1325</v>
      </c>
      <c r="I149" s="34">
        <v>0</v>
      </c>
      <c r="J149" s="34">
        <v>250000000</v>
      </c>
      <c r="K149" s="34" t="s">
        <v>123</v>
      </c>
      <c r="L149" s="34" t="s">
        <v>123</v>
      </c>
      <c r="M149" s="34" t="s">
        <v>123</v>
      </c>
      <c r="N149" s="34" t="s">
        <v>123</v>
      </c>
      <c r="O149" s="34">
        <v>103.75</v>
      </c>
      <c r="P149" s="34">
        <v>3.3333299999999998E-3</v>
      </c>
      <c r="Q149" s="34" t="s">
        <v>123</v>
      </c>
      <c r="R149" s="34" t="s">
        <v>123</v>
      </c>
      <c r="S149" s="34" t="s">
        <v>123</v>
      </c>
      <c r="T149" s="34" t="s">
        <v>123</v>
      </c>
      <c r="U149" s="34" t="s">
        <v>123</v>
      </c>
      <c r="V149" s="34" t="s">
        <v>123</v>
      </c>
      <c r="W149" s="34" t="s">
        <v>123</v>
      </c>
      <c r="X149" s="34" t="s">
        <v>123</v>
      </c>
      <c r="Y149" s="34" t="s">
        <v>123</v>
      </c>
      <c r="Z149" s="34">
        <v>0</v>
      </c>
      <c r="AA149" s="34" t="s">
        <v>123</v>
      </c>
      <c r="AB149" s="34">
        <v>0</v>
      </c>
      <c r="AC149" s="34">
        <v>1</v>
      </c>
      <c r="AD149" s="34" t="s">
        <v>123</v>
      </c>
      <c r="AE149" s="34" t="s">
        <v>123</v>
      </c>
      <c r="AF149" s="34" t="s">
        <v>1212</v>
      </c>
      <c r="AG149" s="34" t="s">
        <v>123</v>
      </c>
      <c r="AH149" s="34" t="s">
        <v>123</v>
      </c>
      <c r="AI149" s="34" t="s">
        <v>123</v>
      </c>
      <c r="AJ149" s="34" t="s">
        <v>123</v>
      </c>
      <c r="AK149" s="34" t="s">
        <v>123</v>
      </c>
      <c r="AL149" s="34" t="s">
        <v>123</v>
      </c>
      <c r="AM149" s="34" t="s">
        <v>123</v>
      </c>
      <c r="AN149" s="34" t="s">
        <v>123</v>
      </c>
      <c r="AO149" s="34" t="s">
        <v>123</v>
      </c>
      <c r="AP149" s="34">
        <v>0</v>
      </c>
      <c r="AQ149" s="34" t="s">
        <v>123</v>
      </c>
      <c r="AR149" s="34">
        <v>0.12295012</v>
      </c>
      <c r="AS149" s="34"/>
      <c r="AT149" s="34" t="s">
        <v>123</v>
      </c>
      <c r="AU149" s="34">
        <v>115</v>
      </c>
      <c r="AV149" s="34" t="s">
        <v>1498</v>
      </c>
      <c r="AW149" s="34">
        <v>0</v>
      </c>
      <c r="AX149" s="34">
        <v>1498</v>
      </c>
      <c r="AY149" s="34" t="s">
        <v>1329</v>
      </c>
      <c r="AZ149" s="35">
        <v>45793</v>
      </c>
      <c r="BA149" s="35">
        <v>45793</v>
      </c>
      <c r="BB149" s="34" t="s">
        <v>123</v>
      </c>
      <c r="BC149" s="34" t="s">
        <v>123</v>
      </c>
      <c r="BD149" s="34" t="s">
        <v>123</v>
      </c>
      <c r="BE149" s="34" t="s">
        <v>1334</v>
      </c>
      <c r="BF149" s="34">
        <v>297</v>
      </c>
      <c r="BG149" s="34">
        <v>0</v>
      </c>
      <c r="BH149" s="34">
        <v>0.13251341999999999</v>
      </c>
      <c r="BI149" s="34" t="s">
        <v>133</v>
      </c>
      <c r="BJ149" s="34" t="s">
        <v>1336</v>
      </c>
      <c r="BK149" s="34">
        <v>2025</v>
      </c>
      <c r="BL149" s="34" t="s">
        <v>1456</v>
      </c>
      <c r="BM149" s="34"/>
      <c r="BN149" s="34">
        <v>0</v>
      </c>
      <c r="BO149" s="34" t="s">
        <v>1330</v>
      </c>
      <c r="BP149" s="34">
        <v>0.1696</v>
      </c>
      <c r="BQ149" s="34" t="s">
        <v>1326</v>
      </c>
      <c r="BR149" s="35">
        <v>45793</v>
      </c>
      <c r="BS149" s="34">
        <v>0</v>
      </c>
      <c r="BT149" s="34" t="s">
        <v>123</v>
      </c>
      <c r="BU149" s="34">
        <v>0</v>
      </c>
      <c r="BV149" s="34">
        <v>250000</v>
      </c>
      <c r="BW149" s="34">
        <v>0</v>
      </c>
      <c r="BX149" s="34">
        <v>297</v>
      </c>
      <c r="BY149" s="34">
        <v>0</v>
      </c>
      <c r="BZ149" s="34">
        <v>1</v>
      </c>
      <c r="CA149" s="34" t="s">
        <v>123</v>
      </c>
      <c r="CB149" s="34" t="s">
        <v>123</v>
      </c>
      <c r="CC149" s="34" t="s">
        <v>123</v>
      </c>
    </row>
    <row r="150" spans="1:81" x14ac:dyDescent="0.3">
      <c r="A150" s="34" t="s">
        <v>1499</v>
      </c>
      <c r="B150" s="34" t="s">
        <v>815</v>
      </c>
      <c r="C150" s="34" t="s">
        <v>1368</v>
      </c>
      <c r="D150" s="34"/>
      <c r="E150" s="35">
        <v>45593</v>
      </c>
      <c r="F150" s="35">
        <v>46742</v>
      </c>
      <c r="G150" s="34"/>
      <c r="H150" s="34" t="s">
        <v>1325</v>
      </c>
      <c r="I150" s="34">
        <v>0</v>
      </c>
      <c r="J150" s="34">
        <v>95000000</v>
      </c>
      <c r="K150" s="34" t="s">
        <v>123</v>
      </c>
      <c r="L150" s="34" t="s">
        <v>123</v>
      </c>
      <c r="M150" s="34" t="s">
        <v>123</v>
      </c>
      <c r="N150" s="34" t="s">
        <v>123</v>
      </c>
      <c r="O150" s="34">
        <v>101.85</v>
      </c>
      <c r="P150" s="34">
        <v>2.6315800000000001E-3</v>
      </c>
      <c r="Q150" s="34" t="s">
        <v>123</v>
      </c>
      <c r="R150" s="34" t="s">
        <v>123</v>
      </c>
      <c r="S150" s="34" t="s">
        <v>123</v>
      </c>
      <c r="T150" s="34" t="s">
        <v>123</v>
      </c>
      <c r="U150" s="34" t="s">
        <v>123</v>
      </c>
      <c r="V150" s="34" t="s">
        <v>123</v>
      </c>
      <c r="W150" s="34" t="s">
        <v>123</v>
      </c>
      <c r="X150" s="34" t="s">
        <v>123</v>
      </c>
      <c r="Y150" s="34" t="s">
        <v>123</v>
      </c>
      <c r="Z150" s="34">
        <v>0</v>
      </c>
      <c r="AA150" s="34" t="s">
        <v>123</v>
      </c>
      <c r="AB150" s="34">
        <v>0</v>
      </c>
      <c r="AC150" s="34">
        <v>1</v>
      </c>
      <c r="AD150" s="34" t="s">
        <v>123</v>
      </c>
      <c r="AE150" s="34" t="s">
        <v>123</v>
      </c>
      <c r="AF150" s="34" t="s">
        <v>818</v>
      </c>
      <c r="AG150" s="34" t="s">
        <v>123</v>
      </c>
      <c r="AH150" s="34" t="s">
        <v>123</v>
      </c>
      <c r="AI150" s="34" t="s">
        <v>123</v>
      </c>
      <c r="AJ150" s="34" t="s">
        <v>123</v>
      </c>
      <c r="AK150" s="34" t="s">
        <v>123</v>
      </c>
      <c r="AL150" s="34" t="s">
        <v>123</v>
      </c>
      <c r="AM150" s="34" t="s">
        <v>123</v>
      </c>
      <c r="AN150" s="34" t="s">
        <v>123</v>
      </c>
      <c r="AO150" s="34" t="s">
        <v>123</v>
      </c>
      <c r="AP150" s="34">
        <v>0</v>
      </c>
      <c r="AQ150" s="34" t="s">
        <v>123</v>
      </c>
      <c r="AR150" s="34">
        <v>9.311324E-2</v>
      </c>
      <c r="AS150" s="34"/>
      <c r="AT150" s="34" t="s">
        <v>123</v>
      </c>
      <c r="AU150" s="34">
        <v>115</v>
      </c>
      <c r="AV150" s="34" t="s">
        <v>1500</v>
      </c>
      <c r="AW150" s="34">
        <v>0</v>
      </c>
      <c r="AX150" s="34">
        <v>1499</v>
      </c>
      <c r="AY150" s="34" t="s">
        <v>1333</v>
      </c>
      <c r="AZ150" s="35">
        <v>45797</v>
      </c>
      <c r="BA150" s="35">
        <v>45797</v>
      </c>
      <c r="BB150" s="34" t="s">
        <v>123</v>
      </c>
      <c r="BC150" s="34" t="s">
        <v>123</v>
      </c>
      <c r="BD150" s="34" t="s">
        <v>123</v>
      </c>
      <c r="BE150" s="34" t="s">
        <v>139</v>
      </c>
      <c r="BF150" s="34">
        <v>185</v>
      </c>
      <c r="BG150" s="34">
        <v>0</v>
      </c>
      <c r="BH150" s="34">
        <v>5.9943969999999999E-2</v>
      </c>
      <c r="BI150" s="34" t="s">
        <v>150</v>
      </c>
      <c r="BJ150" s="34" t="s">
        <v>1336</v>
      </c>
      <c r="BK150" s="34"/>
      <c r="BL150" s="34" t="s">
        <v>1456</v>
      </c>
      <c r="BM150" s="34"/>
      <c r="BN150" s="34">
        <v>0</v>
      </c>
      <c r="BO150" s="34" t="s">
        <v>1330</v>
      </c>
      <c r="BP150" s="34">
        <v>9.8100000000000007E-2</v>
      </c>
      <c r="BQ150" s="34" t="s">
        <v>1326</v>
      </c>
      <c r="BR150" s="35">
        <v>45797</v>
      </c>
      <c r="BS150" s="34">
        <v>0</v>
      </c>
      <c r="BT150" s="34" t="s">
        <v>123</v>
      </c>
      <c r="BU150" s="34">
        <v>0</v>
      </c>
      <c r="BV150" s="34">
        <v>250000</v>
      </c>
      <c r="BW150" s="34">
        <v>0</v>
      </c>
      <c r="BX150" s="34">
        <v>185</v>
      </c>
      <c r="BY150" s="34">
        <v>0</v>
      </c>
      <c r="BZ150" s="34">
        <v>1</v>
      </c>
      <c r="CA150" s="34" t="s">
        <v>123</v>
      </c>
      <c r="CB150" s="34" t="s">
        <v>123</v>
      </c>
      <c r="CC150" s="34" t="s">
        <v>123</v>
      </c>
    </row>
    <row r="151" spans="1:81" x14ac:dyDescent="0.3">
      <c r="A151" s="34" t="s">
        <v>1501</v>
      </c>
      <c r="B151" s="34" t="s">
        <v>466</v>
      </c>
      <c r="C151" s="34" t="s">
        <v>1369</v>
      </c>
      <c r="D151" s="34"/>
      <c r="E151" s="35">
        <v>45274</v>
      </c>
      <c r="F151" s="35">
        <v>46394</v>
      </c>
      <c r="G151" s="34"/>
      <c r="H151" s="34" t="s">
        <v>1325</v>
      </c>
      <c r="I151" s="34">
        <v>0</v>
      </c>
      <c r="J151" s="34">
        <v>600000000</v>
      </c>
      <c r="K151" s="34" t="s">
        <v>123</v>
      </c>
      <c r="L151" s="34" t="s">
        <v>123</v>
      </c>
      <c r="M151" s="34" t="s">
        <v>123</v>
      </c>
      <c r="N151" s="34" t="s">
        <v>123</v>
      </c>
      <c r="O151" s="34">
        <v>101.6</v>
      </c>
      <c r="P151" s="34">
        <v>5.0000000000000001E-3</v>
      </c>
      <c r="Q151" s="34" t="s">
        <v>123</v>
      </c>
      <c r="R151" s="34" t="s">
        <v>123</v>
      </c>
      <c r="S151" s="34" t="s">
        <v>123</v>
      </c>
      <c r="T151" s="34" t="s">
        <v>123</v>
      </c>
      <c r="U151" s="34" t="s">
        <v>123</v>
      </c>
      <c r="V151" s="34" t="s">
        <v>123</v>
      </c>
      <c r="W151" s="34" t="s">
        <v>123</v>
      </c>
      <c r="X151" s="34" t="s">
        <v>123</v>
      </c>
      <c r="Y151" s="34" t="s">
        <v>123</v>
      </c>
      <c r="Z151" s="34">
        <v>0</v>
      </c>
      <c r="AA151" s="34" t="s">
        <v>123</v>
      </c>
      <c r="AB151" s="34">
        <v>0</v>
      </c>
      <c r="AC151" s="34">
        <v>1</v>
      </c>
      <c r="AD151" s="34" t="s">
        <v>123</v>
      </c>
      <c r="AE151" s="34" t="s">
        <v>123</v>
      </c>
      <c r="AF151" s="34" t="s">
        <v>467</v>
      </c>
      <c r="AG151" s="34" t="s">
        <v>123</v>
      </c>
      <c r="AH151" s="34" t="s">
        <v>123</v>
      </c>
      <c r="AI151" s="34" t="s">
        <v>123</v>
      </c>
      <c r="AJ151" s="34" t="s">
        <v>123</v>
      </c>
      <c r="AK151" s="34" t="s">
        <v>123</v>
      </c>
      <c r="AL151" s="34" t="s">
        <v>123</v>
      </c>
      <c r="AM151" s="34" t="s">
        <v>123</v>
      </c>
      <c r="AN151" s="34" t="s">
        <v>123</v>
      </c>
      <c r="AO151" s="34" t="s">
        <v>123</v>
      </c>
      <c r="AP151" s="34">
        <v>0</v>
      </c>
      <c r="AQ151" s="34" t="s">
        <v>123</v>
      </c>
      <c r="AR151" s="34">
        <v>0.11989807</v>
      </c>
      <c r="AS151" s="34"/>
      <c r="AT151" s="34" t="s">
        <v>123</v>
      </c>
      <c r="AU151" s="34">
        <v>115</v>
      </c>
      <c r="AV151" s="34" t="s">
        <v>1502</v>
      </c>
      <c r="AW151" s="34">
        <v>0</v>
      </c>
      <c r="AX151" s="34">
        <v>1500</v>
      </c>
      <c r="AY151" s="34" t="s">
        <v>1333</v>
      </c>
      <c r="AZ151" s="35">
        <v>45805</v>
      </c>
      <c r="BA151" s="35">
        <v>45805</v>
      </c>
      <c r="BB151" s="34" t="s">
        <v>123</v>
      </c>
      <c r="BC151" s="34" t="s">
        <v>123</v>
      </c>
      <c r="BD151" s="34" t="s">
        <v>123</v>
      </c>
      <c r="BE151" s="34" t="s">
        <v>139</v>
      </c>
      <c r="BF151" s="34">
        <v>82</v>
      </c>
      <c r="BG151" s="34">
        <v>0</v>
      </c>
      <c r="BH151" s="34">
        <v>8.895815E-2</v>
      </c>
      <c r="BI151" s="34" t="s">
        <v>133</v>
      </c>
      <c r="BJ151" s="34" t="s">
        <v>1332</v>
      </c>
      <c r="BK151" s="34">
        <v>2025</v>
      </c>
      <c r="BL151" s="34" t="s">
        <v>1456</v>
      </c>
      <c r="BM151" s="34"/>
      <c r="BN151" s="34">
        <v>0</v>
      </c>
      <c r="BO151" s="34" t="s">
        <v>1330</v>
      </c>
      <c r="BP151" s="34">
        <v>0.1275</v>
      </c>
      <c r="BQ151" s="34" t="s">
        <v>1326</v>
      </c>
      <c r="BR151" s="35">
        <v>45805</v>
      </c>
      <c r="BS151" s="34">
        <v>0</v>
      </c>
      <c r="BT151" s="34" t="s">
        <v>123</v>
      </c>
      <c r="BU151" s="34">
        <v>0</v>
      </c>
      <c r="BV151" s="34">
        <v>250000</v>
      </c>
      <c r="BW151" s="34">
        <v>0</v>
      </c>
      <c r="BX151" s="34">
        <v>82</v>
      </c>
      <c r="BY151" s="34">
        <v>0</v>
      </c>
      <c r="BZ151" s="34">
        <v>1</v>
      </c>
      <c r="CA151" s="34" t="s">
        <v>123</v>
      </c>
      <c r="CB151" s="34" t="s">
        <v>123</v>
      </c>
      <c r="CC151" s="34" t="s">
        <v>123</v>
      </c>
    </row>
    <row r="152" spans="1:81" x14ac:dyDescent="0.3">
      <c r="A152" s="34" t="s">
        <v>1503</v>
      </c>
      <c r="B152" s="34" t="s">
        <v>1057</v>
      </c>
      <c r="C152" s="34" t="s">
        <v>1370</v>
      </c>
      <c r="D152" s="34"/>
      <c r="E152" s="35">
        <v>45358</v>
      </c>
      <c r="F152" s="35">
        <v>46458</v>
      </c>
      <c r="G152" s="34"/>
      <c r="H152" s="34" t="s">
        <v>1325</v>
      </c>
      <c r="I152" s="34">
        <v>0</v>
      </c>
      <c r="J152" s="34">
        <v>2000000000</v>
      </c>
      <c r="K152" s="34" t="s">
        <v>123</v>
      </c>
      <c r="L152" s="34" t="s">
        <v>123</v>
      </c>
      <c r="M152" s="34" t="s">
        <v>123</v>
      </c>
      <c r="N152" s="34" t="s">
        <v>123</v>
      </c>
      <c r="O152" s="34">
        <v>102.8</v>
      </c>
      <c r="P152" s="34">
        <v>5.2632000000000004E-4</v>
      </c>
      <c r="Q152" s="34" t="s">
        <v>123</v>
      </c>
      <c r="R152" s="34" t="s">
        <v>123</v>
      </c>
      <c r="S152" s="34" t="s">
        <v>123</v>
      </c>
      <c r="T152" s="34" t="s">
        <v>123</v>
      </c>
      <c r="U152" s="34" t="s">
        <v>123</v>
      </c>
      <c r="V152" s="34" t="s">
        <v>123</v>
      </c>
      <c r="W152" s="34" t="s">
        <v>123</v>
      </c>
      <c r="X152" s="34" t="s">
        <v>123</v>
      </c>
      <c r="Y152" s="34" t="s">
        <v>123</v>
      </c>
      <c r="Z152" s="34">
        <v>0</v>
      </c>
      <c r="AA152" s="34" t="s">
        <v>123</v>
      </c>
      <c r="AB152" s="34">
        <v>0</v>
      </c>
      <c r="AC152" s="34">
        <v>1</v>
      </c>
      <c r="AD152" s="34" t="s">
        <v>123</v>
      </c>
      <c r="AE152" s="34" t="s">
        <v>123</v>
      </c>
      <c r="AF152" s="34" t="s">
        <v>1058</v>
      </c>
      <c r="AG152" s="34" t="s">
        <v>123</v>
      </c>
      <c r="AH152" s="34" t="s">
        <v>123</v>
      </c>
      <c r="AI152" s="34" t="s">
        <v>123</v>
      </c>
      <c r="AJ152" s="34" t="s">
        <v>123</v>
      </c>
      <c r="AK152" s="34" t="s">
        <v>123</v>
      </c>
      <c r="AL152" s="34" t="s">
        <v>123</v>
      </c>
      <c r="AM152" s="34" t="s">
        <v>123</v>
      </c>
      <c r="AN152" s="34" t="s">
        <v>123</v>
      </c>
      <c r="AO152" s="34" t="s">
        <v>123</v>
      </c>
      <c r="AP152" s="34">
        <v>0</v>
      </c>
      <c r="AQ152" s="34" t="s">
        <v>123</v>
      </c>
      <c r="AR152" s="34">
        <v>0.16562574999999999</v>
      </c>
      <c r="AS152" s="34"/>
      <c r="AT152" s="34" t="s">
        <v>123</v>
      </c>
      <c r="AU152" s="34">
        <v>115</v>
      </c>
      <c r="AV152" s="34" t="s">
        <v>1504</v>
      </c>
      <c r="AW152" s="34">
        <v>0</v>
      </c>
      <c r="AX152" s="34">
        <v>1501</v>
      </c>
      <c r="AY152" s="34" t="s">
        <v>1333</v>
      </c>
      <c r="AZ152" s="35">
        <v>45834</v>
      </c>
      <c r="BA152" s="35">
        <v>45834</v>
      </c>
      <c r="BB152" s="34" t="s">
        <v>123</v>
      </c>
      <c r="BC152" s="34" t="s">
        <v>123</v>
      </c>
      <c r="BD152" s="34" t="s">
        <v>123</v>
      </c>
      <c r="BE152" s="34" t="s">
        <v>139</v>
      </c>
      <c r="BF152" s="34">
        <v>252</v>
      </c>
      <c r="BG152" s="34">
        <v>0</v>
      </c>
      <c r="BH152" s="34">
        <v>0.14337499000000001</v>
      </c>
      <c r="BI152" s="34" t="s">
        <v>150</v>
      </c>
      <c r="BJ152" s="34" t="s">
        <v>1336</v>
      </c>
      <c r="BK152" s="34">
        <v>2025</v>
      </c>
      <c r="BL152" s="34" t="s">
        <v>1456</v>
      </c>
      <c r="BM152" s="34"/>
      <c r="BN152" s="34">
        <v>0</v>
      </c>
      <c r="BO152" s="34" t="s">
        <v>1330</v>
      </c>
      <c r="BP152" s="34">
        <v>0.1817</v>
      </c>
      <c r="BQ152" s="34" t="s">
        <v>1326</v>
      </c>
      <c r="BR152" s="35">
        <v>45834</v>
      </c>
      <c r="BS152" s="34">
        <v>0</v>
      </c>
      <c r="BT152" s="34" t="s">
        <v>123</v>
      </c>
      <c r="BU152" s="34">
        <v>0</v>
      </c>
      <c r="BV152" s="34">
        <v>250000</v>
      </c>
      <c r="BW152" s="34">
        <v>0</v>
      </c>
      <c r="BX152" s="34">
        <v>252</v>
      </c>
      <c r="BY152" s="34">
        <v>0</v>
      </c>
      <c r="BZ152" s="34">
        <v>1</v>
      </c>
      <c r="CA152" s="34" t="s">
        <v>123</v>
      </c>
      <c r="CB152" s="34" t="s">
        <v>123</v>
      </c>
      <c r="CC152" s="34" t="s">
        <v>123</v>
      </c>
    </row>
    <row r="153" spans="1:81" x14ac:dyDescent="0.3">
      <c r="A153" s="34" t="s">
        <v>1505</v>
      </c>
      <c r="B153" s="34" t="s">
        <v>470</v>
      </c>
      <c r="C153" s="34" t="s">
        <v>1369</v>
      </c>
      <c r="D153" s="34"/>
      <c r="E153" s="35">
        <v>45644</v>
      </c>
      <c r="F153" s="35">
        <v>46759</v>
      </c>
      <c r="G153" s="34"/>
      <c r="H153" s="34" t="s">
        <v>1325</v>
      </c>
      <c r="I153" s="34">
        <v>0</v>
      </c>
      <c r="J153" s="34">
        <v>600000000</v>
      </c>
      <c r="K153" s="34" t="s">
        <v>123</v>
      </c>
      <c r="L153" s="34" t="s">
        <v>123</v>
      </c>
      <c r="M153" s="34" t="s">
        <v>123</v>
      </c>
      <c r="N153" s="34" t="s">
        <v>123</v>
      </c>
      <c r="O153" s="34">
        <v>99.3</v>
      </c>
      <c r="P153" s="34">
        <v>3.3333299999999998E-3</v>
      </c>
      <c r="Q153" s="34" t="s">
        <v>123</v>
      </c>
      <c r="R153" s="34" t="s">
        <v>123</v>
      </c>
      <c r="S153" s="34" t="s">
        <v>123</v>
      </c>
      <c r="T153" s="34" t="s">
        <v>123</v>
      </c>
      <c r="U153" s="34" t="s">
        <v>123</v>
      </c>
      <c r="V153" s="34" t="s">
        <v>123</v>
      </c>
      <c r="W153" s="34" t="s">
        <v>123</v>
      </c>
      <c r="X153" s="34" t="s">
        <v>123</v>
      </c>
      <c r="Y153" s="34" t="s">
        <v>123</v>
      </c>
      <c r="Z153" s="34">
        <v>0</v>
      </c>
      <c r="AA153" s="34" t="s">
        <v>123</v>
      </c>
      <c r="AB153" s="34">
        <v>0</v>
      </c>
      <c r="AC153" s="34">
        <v>1</v>
      </c>
      <c r="AD153" s="34" t="s">
        <v>123</v>
      </c>
      <c r="AE153" s="34" t="s">
        <v>123</v>
      </c>
      <c r="AF153" s="34" t="s">
        <v>471</v>
      </c>
      <c r="AG153" s="34" t="s">
        <v>123</v>
      </c>
      <c r="AH153" s="34" t="s">
        <v>123</v>
      </c>
      <c r="AI153" s="34" t="s">
        <v>123</v>
      </c>
      <c r="AJ153" s="34" t="s">
        <v>123</v>
      </c>
      <c r="AK153" s="34" t="s">
        <v>123</v>
      </c>
      <c r="AL153" s="34" t="s">
        <v>123</v>
      </c>
      <c r="AM153" s="34" t="s">
        <v>123</v>
      </c>
      <c r="AN153" s="34" t="s">
        <v>123</v>
      </c>
      <c r="AO153" s="34" t="s">
        <v>123</v>
      </c>
      <c r="AP153" s="34">
        <v>0</v>
      </c>
      <c r="AQ153" s="34" t="s">
        <v>123</v>
      </c>
      <c r="AR153" s="34">
        <v>0.12753048</v>
      </c>
      <c r="AS153" s="34"/>
      <c r="AT153" s="34" t="s">
        <v>123</v>
      </c>
      <c r="AU153" s="34">
        <v>115</v>
      </c>
      <c r="AV153" s="34" t="s">
        <v>1506</v>
      </c>
      <c r="AW153" s="34">
        <v>0</v>
      </c>
      <c r="AX153" s="34">
        <v>1502</v>
      </c>
      <c r="AY153" s="34" t="s">
        <v>1333</v>
      </c>
      <c r="AZ153" s="35">
        <v>45859</v>
      </c>
      <c r="BA153" s="35">
        <v>45859</v>
      </c>
      <c r="BB153" s="34" t="s">
        <v>123</v>
      </c>
      <c r="BC153" s="34" t="s">
        <v>123</v>
      </c>
      <c r="BD153" s="34" t="s">
        <v>123</v>
      </c>
      <c r="BE153" s="34" t="s">
        <v>139</v>
      </c>
      <c r="BF153" s="34">
        <v>84</v>
      </c>
      <c r="BG153" s="34">
        <v>0</v>
      </c>
      <c r="BH153" s="34">
        <v>8.2377060000000002E-2</v>
      </c>
      <c r="BI153" s="34" t="s">
        <v>150</v>
      </c>
      <c r="BJ153" s="34" t="s">
        <v>1332</v>
      </c>
      <c r="BK153" s="34"/>
      <c r="BL153" s="34" t="s">
        <v>1456</v>
      </c>
      <c r="BM153" s="34"/>
      <c r="BN153" s="34">
        <v>0</v>
      </c>
      <c r="BO153" s="34" t="s">
        <v>1330</v>
      </c>
      <c r="BP153" s="34">
        <v>0.1208</v>
      </c>
      <c r="BQ153" s="34" t="s">
        <v>1326</v>
      </c>
      <c r="BR153" s="35">
        <v>45859</v>
      </c>
      <c r="BS153" s="34">
        <v>0</v>
      </c>
      <c r="BT153" s="34" t="s">
        <v>123</v>
      </c>
      <c r="BU153" s="34">
        <v>0</v>
      </c>
      <c r="BV153" s="34">
        <v>250000</v>
      </c>
      <c r="BW153" s="34">
        <v>0</v>
      </c>
      <c r="BX153" s="34">
        <v>84</v>
      </c>
      <c r="BY153" s="34">
        <v>0</v>
      </c>
      <c r="BZ153" s="34">
        <v>1</v>
      </c>
      <c r="CA153" s="34" t="s">
        <v>123</v>
      </c>
      <c r="CB153" s="34" t="s">
        <v>123</v>
      </c>
      <c r="CC153" s="34" t="s">
        <v>123</v>
      </c>
    </row>
    <row r="154" spans="1:81" x14ac:dyDescent="0.3">
      <c r="A154" s="34" t="s">
        <v>1491</v>
      </c>
      <c r="B154" s="34" t="s">
        <v>968</v>
      </c>
      <c r="C154" s="34" t="s">
        <v>1371</v>
      </c>
      <c r="D154" s="34"/>
      <c r="E154" s="35">
        <v>45077</v>
      </c>
      <c r="F154" s="35">
        <v>46178</v>
      </c>
      <c r="G154" s="34"/>
      <c r="H154" s="34" t="s">
        <v>1325</v>
      </c>
      <c r="I154" s="34">
        <v>0</v>
      </c>
      <c r="J154" s="34">
        <v>110000000</v>
      </c>
      <c r="K154" s="34" t="s">
        <v>123</v>
      </c>
      <c r="L154" s="34" t="s">
        <v>123</v>
      </c>
      <c r="M154" s="34" t="s">
        <v>123</v>
      </c>
      <c r="N154" s="34" t="s">
        <v>123</v>
      </c>
      <c r="O154" s="34">
        <v>103.1</v>
      </c>
      <c r="P154" s="34">
        <v>2.2727300000000001E-3</v>
      </c>
      <c r="Q154" s="34" t="s">
        <v>123</v>
      </c>
      <c r="R154" s="34" t="s">
        <v>123</v>
      </c>
      <c r="S154" s="34" t="s">
        <v>123</v>
      </c>
      <c r="T154" s="34" t="s">
        <v>123</v>
      </c>
      <c r="U154" s="34" t="s">
        <v>123</v>
      </c>
      <c r="V154" s="34" t="s">
        <v>123</v>
      </c>
      <c r="W154" s="34" t="s">
        <v>123</v>
      </c>
      <c r="X154" s="34" t="s">
        <v>123</v>
      </c>
      <c r="Y154" s="34" t="s">
        <v>123</v>
      </c>
      <c r="Z154" s="34">
        <v>0</v>
      </c>
      <c r="AA154" s="34" t="s">
        <v>123</v>
      </c>
      <c r="AB154" s="34">
        <v>0</v>
      </c>
      <c r="AC154" s="34">
        <v>1</v>
      </c>
      <c r="AD154" s="34" t="s">
        <v>123</v>
      </c>
      <c r="AE154" s="34" t="s">
        <v>123</v>
      </c>
      <c r="AF154" s="34" t="s">
        <v>971</v>
      </c>
      <c r="AG154" s="34" t="s">
        <v>123</v>
      </c>
      <c r="AH154" s="34" t="s">
        <v>123</v>
      </c>
      <c r="AI154" s="34" t="s">
        <v>123</v>
      </c>
      <c r="AJ154" s="34" t="s">
        <v>123</v>
      </c>
      <c r="AK154" s="34" t="s">
        <v>123</v>
      </c>
      <c r="AL154" s="34" t="s">
        <v>123</v>
      </c>
      <c r="AM154" s="34" t="s">
        <v>123</v>
      </c>
      <c r="AN154" s="34" t="s">
        <v>123</v>
      </c>
      <c r="AO154" s="34" t="s">
        <v>123</v>
      </c>
      <c r="AP154" s="34">
        <v>0</v>
      </c>
      <c r="AQ154" s="34" t="s">
        <v>123</v>
      </c>
      <c r="AR154" s="34">
        <v>7.1632760000000004E-2</v>
      </c>
      <c r="AS154" s="34"/>
      <c r="AT154" s="34" t="s">
        <v>123</v>
      </c>
      <c r="AU154" s="34">
        <v>115</v>
      </c>
      <c r="AV154" s="34" t="s">
        <v>1492</v>
      </c>
      <c r="AW154" s="34">
        <v>0</v>
      </c>
      <c r="AX154" s="34">
        <v>1503</v>
      </c>
      <c r="AY154" s="34" t="s">
        <v>1333</v>
      </c>
      <c r="AZ154" s="35">
        <v>45866</v>
      </c>
      <c r="BA154" s="35">
        <v>45866</v>
      </c>
      <c r="BB154" s="34" t="s">
        <v>123</v>
      </c>
      <c r="BC154" s="34" t="s">
        <v>123</v>
      </c>
      <c r="BD154" s="34" t="s">
        <v>123</v>
      </c>
      <c r="BE154" s="34" t="s">
        <v>139</v>
      </c>
      <c r="BF154" s="34">
        <v>227</v>
      </c>
      <c r="BG154" s="34">
        <v>0</v>
      </c>
      <c r="BH154" s="34">
        <v>6.736876E-2</v>
      </c>
      <c r="BI154" s="34" t="s">
        <v>133</v>
      </c>
      <c r="BJ154" s="34" t="s">
        <v>1336</v>
      </c>
      <c r="BK154" s="34">
        <v>2025</v>
      </c>
      <c r="BL154" s="34" t="s">
        <v>1456</v>
      </c>
      <c r="BM154" s="34"/>
      <c r="BN154" s="34">
        <v>0</v>
      </c>
      <c r="BO154" s="34" t="s">
        <v>1330</v>
      </c>
      <c r="BP154" s="34">
        <v>0.1056</v>
      </c>
      <c r="BQ154" s="34" t="s">
        <v>1326</v>
      </c>
      <c r="BR154" s="35">
        <v>45866</v>
      </c>
      <c r="BS154" s="34">
        <v>0</v>
      </c>
      <c r="BT154" s="34" t="s">
        <v>123</v>
      </c>
      <c r="BU154" s="34">
        <v>0</v>
      </c>
      <c r="BV154" s="34">
        <v>250000</v>
      </c>
      <c r="BW154" s="34">
        <v>0</v>
      </c>
      <c r="BX154" s="34">
        <v>227</v>
      </c>
      <c r="BY154" s="34">
        <v>0</v>
      </c>
      <c r="BZ154" s="34">
        <v>1</v>
      </c>
      <c r="CA154" s="34" t="s">
        <v>123</v>
      </c>
      <c r="CB154" s="34" t="s">
        <v>123</v>
      </c>
      <c r="CC154" s="34" t="s">
        <v>123</v>
      </c>
    </row>
    <row r="155" spans="1:81" x14ac:dyDescent="0.3">
      <c r="A155" s="34" t="s">
        <v>1493</v>
      </c>
      <c r="B155" s="34" t="s">
        <v>617</v>
      </c>
      <c r="C155" s="34" t="s">
        <v>1341</v>
      </c>
      <c r="D155" s="34"/>
      <c r="E155" s="35">
        <v>44915</v>
      </c>
      <c r="F155" s="35">
        <v>46090</v>
      </c>
      <c r="G155" s="34"/>
      <c r="H155" s="34" t="s">
        <v>1325</v>
      </c>
      <c r="I155" s="34">
        <v>0</v>
      </c>
      <c r="J155" s="34">
        <v>100000000</v>
      </c>
      <c r="K155" s="34" t="s">
        <v>123</v>
      </c>
      <c r="L155" s="34" t="s">
        <v>123</v>
      </c>
      <c r="M155" s="34" t="s">
        <v>123</v>
      </c>
      <c r="N155" s="34" t="s">
        <v>123</v>
      </c>
      <c r="O155" s="34">
        <v>102.925</v>
      </c>
      <c r="P155" s="34">
        <v>3.3333299999999998E-3</v>
      </c>
      <c r="Q155" s="34" t="s">
        <v>123</v>
      </c>
      <c r="R155" s="34" t="s">
        <v>123</v>
      </c>
      <c r="S155" s="34" t="s">
        <v>123</v>
      </c>
      <c r="T155" s="34" t="s">
        <v>123</v>
      </c>
      <c r="U155" s="34" t="s">
        <v>123</v>
      </c>
      <c r="V155" s="34" t="s">
        <v>123</v>
      </c>
      <c r="W155" s="34" t="s">
        <v>123</v>
      </c>
      <c r="X155" s="34" t="s">
        <v>123</v>
      </c>
      <c r="Y155" s="34" t="s">
        <v>123</v>
      </c>
      <c r="Z155" s="34">
        <v>0</v>
      </c>
      <c r="AA155" s="34" t="s">
        <v>123</v>
      </c>
      <c r="AB155" s="34">
        <v>0</v>
      </c>
      <c r="AC155" s="34">
        <v>1</v>
      </c>
      <c r="AD155" s="34" t="s">
        <v>123</v>
      </c>
      <c r="AE155" s="34" t="s">
        <v>123</v>
      </c>
      <c r="AF155" s="34" t="s">
        <v>619</v>
      </c>
      <c r="AG155" s="34" t="s">
        <v>123</v>
      </c>
      <c r="AH155" s="34" t="s">
        <v>123</v>
      </c>
      <c r="AI155" s="34" t="s">
        <v>123</v>
      </c>
      <c r="AJ155" s="34" t="s">
        <v>123</v>
      </c>
      <c r="AK155" s="34" t="s">
        <v>123</v>
      </c>
      <c r="AL155" s="34" t="s">
        <v>123</v>
      </c>
      <c r="AM155" s="34" t="s">
        <v>123</v>
      </c>
      <c r="AN155" s="34" t="s">
        <v>123</v>
      </c>
      <c r="AO155" s="34" t="s">
        <v>123</v>
      </c>
      <c r="AP155" s="34">
        <v>0</v>
      </c>
      <c r="AQ155" s="34" t="s">
        <v>123</v>
      </c>
      <c r="AR155" s="34">
        <v>5.5554729999999997E-2</v>
      </c>
      <c r="AS155" s="34"/>
      <c r="AT155" s="34" t="s">
        <v>123</v>
      </c>
      <c r="AU155" s="34">
        <v>115</v>
      </c>
      <c r="AV155" s="34" t="s">
        <v>1494</v>
      </c>
      <c r="AW155" s="34">
        <v>0</v>
      </c>
      <c r="AX155" s="34">
        <v>1504</v>
      </c>
      <c r="AY155" s="34" t="s">
        <v>1333</v>
      </c>
      <c r="AZ155" s="35">
        <v>45889</v>
      </c>
      <c r="BA155" s="35">
        <v>45889</v>
      </c>
      <c r="BB155" s="34" t="s">
        <v>123</v>
      </c>
      <c r="BC155" s="34" t="s">
        <v>123</v>
      </c>
      <c r="BD155" s="34" t="s">
        <v>123</v>
      </c>
      <c r="BE155" s="34" t="s">
        <v>139</v>
      </c>
      <c r="BF155" s="34">
        <v>124</v>
      </c>
      <c r="BG155" s="34">
        <v>0</v>
      </c>
      <c r="BH155" s="34">
        <v>6.7481550000000001E-2</v>
      </c>
      <c r="BI155" s="34" t="s">
        <v>133</v>
      </c>
      <c r="BJ155" s="34" t="s">
        <v>1336</v>
      </c>
      <c r="BK155" s="34">
        <v>2025</v>
      </c>
      <c r="BL155" s="34" t="s">
        <v>1456</v>
      </c>
      <c r="BM155" s="34"/>
      <c r="BN155" s="34">
        <v>0</v>
      </c>
      <c r="BO155" s="34" t="s">
        <v>1330</v>
      </c>
      <c r="BP155" s="34">
        <v>0.10618</v>
      </c>
      <c r="BQ155" s="34" t="s">
        <v>1326</v>
      </c>
      <c r="BR155" s="35">
        <v>45889</v>
      </c>
      <c r="BS155" s="34">
        <v>0</v>
      </c>
      <c r="BT155" s="34" t="s">
        <v>123</v>
      </c>
      <c r="BU155" s="34">
        <v>0</v>
      </c>
      <c r="BV155" s="34">
        <v>250000</v>
      </c>
      <c r="BW155" s="34">
        <v>0</v>
      </c>
      <c r="BX155" s="34">
        <v>124</v>
      </c>
      <c r="BY155" s="34">
        <v>0</v>
      </c>
      <c r="BZ155" s="34">
        <v>1</v>
      </c>
      <c r="CA155" s="34" t="s">
        <v>123</v>
      </c>
      <c r="CB155" s="34" t="s">
        <v>123</v>
      </c>
      <c r="CC155" s="34" t="s">
        <v>123</v>
      </c>
    </row>
    <row r="156" spans="1:81" x14ac:dyDescent="0.3">
      <c r="A156" s="34" t="s">
        <v>1495</v>
      </c>
      <c r="B156" s="34" t="s">
        <v>552</v>
      </c>
      <c r="C156" s="34" t="s">
        <v>1362</v>
      </c>
      <c r="D156" s="34"/>
      <c r="E156" s="35">
        <v>45071</v>
      </c>
      <c r="F156" s="35">
        <v>46178</v>
      </c>
      <c r="G156" s="34"/>
      <c r="H156" s="34" t="s">
        <v>1325</v>
      </c>
      <c r="I156" s="34">
        <v>0</v>
      </c>
      <c r="J156" s="34">
        <v>125000000</v>
      </c>
      <c r="K156" s="34" t="s">
        <v>123</v>
      </c>
      <c r="L156" s="34" t="s">
        <v>123</v>
      </c>
      <c r="M156" s="34" t="s">
        <v>123</v>
      </c>
      <c r="N156" s="34" t="s">
        <v>123</v>
      </c>
      <c r="O156" s="34">
        <v>102.75</v>
      </c>
      <c r="P156" s="34">
        <v>5.0000000000000001E-3</v>
      </c>
      <c r="Q156" s="34" t="s">
        <v>123</v>
      </c>
      <c r="R156" s="34" t="s">
        <v>123</v>
      </c>
      <c r="S156" s="34" t="s">
        <v>123</v>
      </c>
      <c r="T156" s="34" t="s">
        <v>123</v>
      </c>
      <c r="U156" s="34" t="s">
        <v>123</v>
      </c>
      <c r="V156" s="34" t="s">
        <v>123</v>
      </c>
      <c r="W156" s="34" t="s">
        <v>123</v>
      </c>
      <c r="X156" s="34" t="s">
        <v>123</v>
      </c>
      <c r="Y156" s="34" t="s">
        <v>123</v>
      </c>
      <c r="Z156" s="34">
        <v>0</v>
      </c>
      <c r="AA156" s="34" t="s">
        <v>123</v>
      </c>
      <c r="AB156" s="34">
        <v>0</v>
      </c>
      <c r="AC156" s="34">
        <v>1</v>
      </c>
      <c r="AD156" s="34" t="s">
        <v>123</v>
      </c>
      <c r="AE156" s="34" t="s">
        <v>123</v>
      </c>
      <c r="AF156" s="34" t="s">
        <v>553</v>
      </c>
      <c r="AG156" s="34" t="s">
        <v>123</v>
      </c>
      <c r="AH156" s="34" t="s">
        <v>123</v>
      </c>
      <c r="AI156" s="34" t="s">
        <v>123</v>
      </c>
      <c r="AJ156" s="34" t="s">
        <v>123</v>
      </c>
      <c r="AK156" s="34" t="s">
        <v>123</v>
      </c>
      <c r="AL156" s="34" t="s">
        <v>123</v>
      </c>
      <c r="AM156" s="34" t="s">
        <v>123</v>
      </c>
      <c r="AN156" s="34" t="s">
        <v>123</v>
      </c>
      <c r="AO156" s="34" t="s">
        <v>123</v>
      </c>
      <c r="AP156" s="34">
        <v>0</v>
      </c>
      <c r="AQ156" s="34" t="s">
        <v>123</v>
      </c>
      <c r="AR156" s="34">
        <v>8.5412299999999997E-2</v>
      </c>
      <c r="AS156" s="34"/>
      <c r="AT156" s="34" t="s">
        <v>123</v>
      </c>
      <c r="AU156" s="34">
        <v>115</v>
      </c>
      <c r="AV156" s="34" t="s">
        <v>1496</v>
      </c>
      <c r="AW156" s="34">
        <v>0</v>
      </c>
      <c r="AX156" s="34">
        <v>1505</v>
      </c>
      <c r="AY156" s="34" t="s">
        <v>1333</v>
      </c>
      <c r="AZ156" s="35">
        <v>45908</v>
      </c>
      <c r="BA156" s="35">
        <v>45908</v>
      </c>
      <c r="BB156" s="34" t="s">
        <v>123</v>
      </c>
      <c r="BC156" s="34" t="s">
        <v>123</v>
      </c>
      <c r="BD156" s="34" t="s">
        <v>123</v>
      </c>
      <c r="BE156" s="34" t="s">
        <v>139</v>
      </c>
      <c r="BF156" s="34">
        <v>107</v>
      </c>
      <c r="BG156" s="34">
        <v>0</v>
      </c>
      <c r="BH156" s="34">
        <v>8.2161079999999997E-2</v>
      </c>
      <c r="BI156" s="34" t="s">
        <v>133</v>
      </c>
      <c r="BJ156" s="34" t="s">
        <v>1332</v>
      </c>
      <c r="BK156" s="34">
        <v>2025</v>
      </c>
      <c r="BL156" s="34" t="s">
        <v>1456</v>
      </c>
      <c r="BM156" s="34"/>
      <c r="BN156" s="34">
        <v>0</v>
      </c>
      <c r="BO156" s="34" t="s">
        <v>1330</v>
      </c>
      <c r="BP156" s="34">
        <v>0.1206</v>
      </c>
      <c r="BQ156" s="34" t="s">
        <v>1326</v>
      </c>
      <c r="BR156" s="35">
        <v>45908</v>
      </c>
      <c r="BS156" s="34">
        <v>0</v>
      </c>
      <c r="BT156" s="34" t="s">
        <v>123</v>
      </c>
      <c r="BU156" s="34">
        <v>0</v>
      </c>
      <c r="BV156" s="34">
        <v>250000</v>
      </c>
      <c r="BW156" s="34">
        <v>0</v>
      </c>
      <c r="BX156" s="34">
        <v>107</v>
      </c>
      <c r="BY156" s="34">
        <v>0</v>
      </c>
      <c r="BZ156" s="34">
        <v>1</v>
      </c>
      <c r="CA156" s="34" t="s">
        <v>123</v>
      </c>
      <c r="CB156" s="34" t="s">
        <v>123</v>
      </c>
      <c r="CC156" s="34" t="s">
        <v>123</v>
      </c>
    </row>
    <row r="157" spans="1:81" x14ac:dyDescent="0.3">
      <c r="A157" s="34" t="s">
        <v>1513</v>
      </c>
      <c r="B157" s="34" t="s">
        <v>662</v>
      </c>
      <c r="C157" s="34" t="s">
        <v>1372</v>
      </c>
      <c r="D157" s="34"/>
      <c r="E157" s="35">
        <v>45057</v>
      </c>
      <c r="F157" s="35">
        <v>46180</v>
      </c>
      <c r="G157" s="34"/>
      <c r="H157" s="34" t="s">
        <v>1325</v>
      </c>
      <c r="I157" s="34">
        <v>0</v>
      </c>
      <c r="J157" s="34">
        <v>115000000</v>
      </c>
      <c r="K157" s="34" t="s">
        <v>123</v>
      </c>
      <c r="L157" s="34" t="s">
        <v>123</v>
      </c>
      <c r="M157" s="34" t="s">
        <v>123</v>
      </c>
      <c r="N157" s="34" t="s">
        <v>123</v>
      </c>
      <c r="O157" s="34">
        <v>103.85</v>
      </c>
      <c r="P157" s="34">
        <v>2.1739099999999998E-3</v>
      </c>
      <c r="Q157" s="34" t="s">
        <v>123</v>
      </c>
      <c r="R157" s="34" t="s">
        <v>123</v>
      </c>
      <c r="S157" s="34" t="s">
        <v>123</v>
      </c>
      <c r="T157" s="34" t="s">
        <v>123</v>
      </c>
      <c r="U157" s="34" t="s">
        <v>123</v>
      </c>
      <c r="V157" s="34" t="s">
        <v>123</v>
      </c>
      <c r="W157" s="34" t="s">
        <v>123</v>
      </c>
      <c r="X157" s="34" t="s">
        <v>123</v>
      </c>
      <c r="Y157" s="34" t="s">
        <v>123</v>
      </c>
      <c r="Z157" s="34">
        <v>0</v>
      </c>
      <c r="AA157" s="34" t="s">
        <v>123</v>
      </c>
      <c r="AB157" s="34">
        <v>0</v>
      </c>
      <c r="AC157" s="34">
        <v>1</v>
      </c>
      <c r="AD157" s="34" t="s">
        <v>123</v>
      </c>
      <c r="AE157" s="34" t="s">
        <v>123</v>
      </c>
      <c r="AF157" s="34" t="s">
        <v>663</v>
      </c>
      <c r="AG157" s="34" t="s">
        <v>123</v>
      </c>
      <c r="AH157" s="34" t="s">
        <v>123</v>
      </c>
      <c r="AI157" s="34" t="s">
        <v>123</v>
      </c>
      <c r="AJ157" s="34" t="s">
        <v>123</v>
      </c>
      <c r="AK157" s="34" t="s">
        <v>123</v>
      </c>
      <c r="AL157" s="34" t="s">
        <v>123</v>
      </c>
      <c r="AM157" s="34" t="s">
        <v>123</v>
      </c>
      <c r="AN157" s="34" t="s">
        <v>123</v>
      </c>
      <c r="AO157" s="34" t="s">
        <v>123</v>
      </c>
      <c r="AP157" s="34">
        <v>0</v>
      </c>
      <c r="AQ157" s="34" t="s">
        <v>123</v>
      </c>
      <c r="AR157" s="34">
        <v>6.7369299999999993E-2</v>
      </c>
      <c r="AS157" s="34"/>
      <c r="AT157" s="34" t="s">
        <v>123</v>
      </c>
      <c r="AU157" s="34">
        <v>115</v>
      </c>
      <c r="AV157" s="34" t="s">
        <v>1514</v>
      </c>
      <c r="AW157" s="34">
        <v>0</v>
      </c>
      <c r="AX157" s="34">
        <v>1506</v>
      </c>
      <c r="AY157" s="34" t="s">
        <v>1333</v>
      </c>
      <c r="AZ157" s="35">
        <v>45908</v>
      </c>
      <c r="BA157" s="35">
        <v>45908</v>
      </c>
      <c r="BB157" s="34" t="s">
        <v>123</v>
      </c>
      <c r="BC157" s="34" t="s">
        <v>123</v>
      </c>
      <c r="BD157" s="34" t="s">
        <v>123</v>
      </c>
      <c r="BE157" s="34" t="s">
        <v>139</v>
      </c>
      <c r="BF157" s="34">
        <v>135</v>
      </c>
      <c r="BG157" s="34">
        <v>0</v>
      </c>
      <c r="BH157" s="34">
        <v>8.6567909999999998E-2</v>
      </c>
      <c r="BI157" s="34" t="s">
        <v>133</v>
      </c>
      <c r="BJ157" s="34" t="s">
        <v>1332</v>
      </c>
      <c r="BK157" s="34">
        <v>2025</v>
      </c>
      <c r="BL157" s="34" t="s">
        <v>1456</v>
      </c>
      <c r="BM157" s="34"/>
      <c r="BN157" s="34">
        <v>0</v>
      </c>
      <c r="BO157" s="34" t="s">
        <v>1330</v>
      </c>
      <c r="BP157" s="34">
        <v>0.12576478999999999</v>
      </c>
      <c r="BQ157" s="34" t="s">
        <v>1326</v>
      </c>
      <c r="BR157" s="35">
        <v>45908</v>
      </c>
      <c r="BS157" s="34">
        <v>0</v>
      </c>
      <c r="BT157" s="34" t="s">
        <v>123</v>
      </c>
      <c r="BU157" s="34">
        <v>0</v>
      </c>
      <c r="BV157" s="34">
        <v>250000</v>
      </c>
      <c r="BW157" s="34">
        <v>0</v>
      </c>
      <c r="BX157" s="34">
        <v>135</v>
      </c>
      <c r="BY157" s="34">
        <v>0</v>
      </c>
      <c r="BZ157" s="34">
        <v>1</v>
      </c>
      <c r="CA157" s="34" t="s">
        <v>123</v>
      </c>
      <c r="CB157" s="34" t="s">
        <v>123</v>
      </c>
      <c r="CC157" s="34" t="s">
        <v>123</v>
      </c>
    </row>
    <row r="158" spans="1:81" x14ac:dyDescent="0.3">
      <c r="A158" s="34" t="s">
        <v>1515</v>
      </c>
      <c r="B158" s="34" t="s">
        <v>698</v>
      </c>
      <c r="C158" s="34" t="s">
        <v>1351</v>
      </c>
      <c r="D158" s="34"/>
      <c r="E158" s="35">
        <v>45112</v>
      </c>
      <c r="F158" s="35">
        <v>46178</v>
      </c>
      <c r="G158" s="34"/>
      <c r="H158" s="34" t="s">
        <v>1325</v>
      </c>
      <c r="I158" s="34">
        <v>0</v>
      </c>
      <c r="J158" s="34">
        <v>100000000</v>
      </c>
      <c r="K158" s="34" t="s">
        <v>123</v>
      </c>
      <c r="L158" s="34" t="s">
        <v>123</v>
      </c>
      <c r="M158" s="34" t="s">
        <v>123</v>
      </c>
      <c r="N158" s="34" t="s">
        <v>123</v>
      </c>
      <c r="O158" s="34">
        <v>102.9</v>
      </c>
      <c r="P158" s="34">
        <v>2.5000000000000001E-3</v>
      </c>
      <c r="Q158" s="34" t="s">
        <v>123</v>
      </c>
      <c r="R158" s="34" t="s">
        <v>123</v>
      </c>
      <c r="S158" s="34" t="s">
        <v>123</v>
      </c>
      <c r="T158" s="34" t="s">
        <v>123</v>
      </c>
      <c r="U158" s="34" t="s">
        <v>123</v>
      </c>
      <c r="V158" s="34" t="s">
        <v>123</v>
      </c>
      <c r="W158" s="34" t="s">
        <v>123</v>
      </c>
      <c r="X158" s="34" t="s">
        <v>123</v>
      </c>
      <c r="Y158" s="34" t="s">
        <v>123</v>
      </c>
      <c r="Z158" s="34">
        <v>0</v>
      </c>
      <c r="AA158" s="34" t="s">
        <v>123</v>
      </c>
      <c r="AB158" s="34">
        <v>0</v>
      </c>
      <c r="AC158" s="34">
        <v>1</v>
      </c>
      <c r="AD158" s="34" t="s">
        <v>123</v>
      </c>
      <c r="AE158" s="34" t="s">
        <v>123</v>
      </c>
      <c r="AF158" s="34" t="s">
        <v>700</v>
      </c>
      <c r="AG158" s="34" t="s">
        <v>123</v>
      </c>
      <c r="AH158" s="34" t="s">
        <v>123</v>
      </c>
      <c r="AI158" s="34" t="s">
        <v>123</v>
      </c>
      <c r="AJ158" s="34" t="s">
        <v>123</v>
      </c>
      <c r="AK158" s="34" t="s">
        <v>123</v>
      </c>
      <c r="AL158" s="34" t="s">
        <v>123</v>
      </c>
      <c r="AM158" s="34" t="s">
        <v>123</v>
      </c>
      <c r="AN158" s="34" t="s">
        <v>123</v>
      </c>
      <c r="AO158" s="34" t="s">
        <v>123</v>
      </c>
      <c r="AP158" s="34">
        <v>0</v>
      </c>
      <c r="AQ158" s="34" t="s">
        <v>123</v>
      </c>
      <c r="AR158" s="34">
        <v>0.10023182999999999</v>
      </c>
      <c r="AS158" s="34"/>
      <c r="AT158" s="34" t="s">
        <v>123</v>
      </c>
      <c r="AU158" s="34">
        <v>115</v>
      </c>
      <c r="AV158" s="34" t="s">
        <v>1516</v>
      </c>
      <c r="AW158" s="34">
        <v>0</v>
      </c>
      <c r="AX158" s="34">
        <v>1507</v>
      </c>
      <c r="AY158" s="34" t="s">
        <v>1333</v>
      </c>
      <c r="AZ158" s="35">
        <v>45908</v>
      </c>
      <c r="BA158" s="35">
        <v>45908</v>
      </c>
      <c r="BB158" s="34" t="s">
        <v>123</v>
      </c>
      <c r="BC158" s="34" t="s">
        <v>123</v>
      </c>
      <c r="BD158" s="34" t="s">
        <v>123</v>
      </c>
      <c r="BE158" s="34" t="s">
        <v>139</v>
      </c>
      <c r="BF158" s="34">
        <v>147</v>
      </c>
      <c r="BG158" s="34">
        <v>0</v>
      </c>
      <c r="BH158" s="34">
        <v>0.10575252</v>
      </c>
      <c r="BI158" s="34" t="s">
        <v>699</v>
      </c>
      <c r="BJ158" s="34" t="s">
        <v>1336</v>
      </c>
      <c r="BK158" s="34">
        <v>2025</v>
      </c>
      <c r="BL158" s="34" t="s">
        <v>1456</v>
      </c>
      <c r="BM158" s="34"/>
      <c r="BN158" s="34">
        <v>0</v>
      </c>
      <c r="BO158" s="34" t="s">
        <v>1330</v>
      </c>
      <c r="BP158" s="34">
        <v>0.1444648</v>
      </c>
      <c r="BQ158" s="34" t="s">
        <v>1326</v>
      </c>
      <c r="BR158" s="35">
        <v>45908</v>
      </c>
      <c r="BS158" s="34">
        <v>0</v>
      </c>
      <c r="BT158" s="34" t="s">
        <v>123</v>
      </c>
      <c r="BU158" s="34">
        <v>0</v>
      </c>
      <c r="BV158" s="34">
        <v>250000</v>
      </c>
      <c r="BW158" s="34">
        <v>0</v>
      </c>
      <c r="BX158" s="34">
        <v>147</v>
      </c>
      <c r="BY158" s="34">
        <v>0</v>
      </c>
      <c r="BZ158" s="34">
        <v>1</v>
      </c>
      <c r="CA158" s="34" t="s">
        <v>123</v>
      </c>
      <c r="CB158" s="34" t="s">
        <v>123</v>
      </c>
      <c r="CC158" s="34" t="s">
        <v>123</v>
      </c>
    </row>
    <row r="159" spans="1:81" x14ac:dyDescent="0.3">
      <c r="A159" s="34" t="s">
        <v>1517</v>
      </c>
      <c r="B159" s="34" t="s">
        <v>440</v>
      </c>
      <c r="C159" s="34" t="s">
        <v>1373</v>
      </c>
      <c r="D159" s="34"/>
      <c r="E159" s="35">
        <v>45917</v>
      </c>
      <c r="F159" s="35">
        <v>47013</v>
      </c>
      <c r="G159" s="34"/>
      <c r="H159" s="34" t="s">
        <v>1325</v>
      </c>
      <c r="I159" s="34">
        <v>0</v>
      </c>
      <c r="J159" s="34">
        <v>65000000000</v>
      </c>
      <c r="K159" s="34" t="s">
        <v>123</v>
      </c>
      <c r="L159" s="34" t="s">
        <v>123</v>
      </c>
      <c r="M159" s="34" t="s">
        <v>123</v>
      </c>
      <c r="N159" s="34" t="s">
        <v>123</v>
      </c>
      <c r="O159" s="34">
        <v>100</v>
      </c>
      <c r="P159" s="34">
        <v>4.1666699999999999E-3</v>
      </c>
      <c r="Q159" s="34" t="s">
        <v>123</v>
      </c>
      <c r="R159" s="34" t="s">
        <v>123</v>
      </c>
      <c r="S159" s="34" t="s">
        <v>123</v>
      </c>
      <c r="T159" s="34" t="s">
        <v>123</v>
      </c>
      <c r="U159" s="34" t="s">
        <v>123</v>
      </c>
      <c r="V159" s="34" t="s">
        <v>123</v>
      </c>
      <c r="W159" s="34" t="s">
        <v>123</v>
      </c>
      <c r="X159" s="34" t="s">
        <v>123</v>
      </c>
      <c r="Y159" s="34" t="s">
        <v>123</v>
      </c>
      <c r="Z159" s="34">
        <v>0</v>
      </c>
      <c r="AA159" s="34" t="s">
        <v>123</v>
      </c>
      <c r="AB159" s="34">
        <v>0</v>
      </c>
      <c r="AC159" s="34">
        <v>1</v>
      </c>
      <c r="AD159" s="34" t="s">
        <v>123</v>
      </c>
      <c r="AE159" s="34" t="s">
        <v>123</v>
      </c>
      <c r="AF159" s="34" t="s">
        <v>444</v>
      </c>
      <c r="AG159" s="34" t="s">
        <v>123</v>
      </c>
      <c r="AH159" s="34" t="s">
        <v>123</v>
      </c>
      <c r="AI159" s="34" t="s">
        <v>123</v>
      </c>
      <c r="AJ159" s="34" t="s">
        <v>123</v>
      </c>
      <c r="AK159" s="34" t="s">
        <v>123</v>
      </c>
      <c r="AL159" s="34" t="s">
        <v>123</v>
      </c>
      <c r="AM159" s="34" t="s">
        <v>123</v>
      </c>
      <c r="AN159" s="34" t="s">
        <v>123</v>
      </c>
      <c r="AO159" s="34" t="s">
        <v>123</v>
      </c>
      <c r="AP159" s="34">
        <v>0</v>
      </c>
      <c r="AQ159" s="34" t="s">
        <v>123</v>
      </c>
      <c r="AR159" s="34">
        <v>6.3665340000000001E-2</v>
      </c>
      <c r="AS159" s="34"/>
      <c r="AT159" s="34" t="s">
        <v>123</v>
      </c>
      <c r="AU159" s="34">
        <v>115</v>
      </c>
      <c r="AV159" s="34" t="s">
        <v>1518</v>
      </c>
      <c r="AW159" s="34">
        <v>0</v>
      </c>
      <c r="AX159" s="34">
        <v>1508</v>
      </c>
      <c r="AY159" s="34" t="s">
        <v>1329</v>
      </c>
      <c r="AZ159" s="35">
        <v>45912</v>
      </c>
      <c r="BA159" s="35">
        <v>45912</v>
      </c>
      <c r="BB159" s="34" t="s">
        <v>123</v>
      </c>
      <c r="BC159" s="34" t="s">
        <v>123</v>
      </c>
      <c r="BD159" s="34" t="s">
        <v>123</v>
      </c>
      <c r="BE159" s="34" t="s">
        <v>1334</v>
      </c>
      <c r="BF159" s="34">
        <v>75</v>
      </c>
      <c r="BG159" s="34">
        <v>0</v>
      </c>
      <c r="BH159" s="34">
        <v>2.49891E-2</v>
      </c>
      <c r="BI159" s="34" t="s">
        <v>443</v>
      </c>
      <c r="BJ159" s="34" t="s">
        <v>1336</v>
      </c>
      <c r="BK159" s="34"/>
      <c r="BL159" s="34" t="s">
        <v>1456</v>
      </c>
      <c r="BM159" s="34"/>
      <c r="BN159" s="34">
        <v>0</v>
      </c>
      <c r="BO159" s="34" t="s">
        <v>1330</v>
      </c>
      <c r="BP159" s="34">
        <v>6.3716460000000003E-2</v>
      </c>
      <c r="BQ159" s="34" t="s">
        <v>1326</v>
      </c>
      <c r="BR159" s="35">
        <v>45912</v>
      </c>
      <c r="BS159" s="34">
        <v>0</v>
      </c>
      <c r="BT159" s="34" t="s">
        <v>123</v>
      </c>
      <c r="BU159" s="34">
        <v>0</v>
      </c>
      <c r="BV159" s="34">
        <v>250000</v>
      </c>
      <c r="BW159" s="34">
        <v>0</v>
      </c>
      <c r="BX159" s="34">
        <v>75</v>
      </c>
      <c r="BY159" s="34">
        <v>0</v>
      </c>
      <c r="BZ159" s="34">
        <v>1</v>
      </c>
      <c r="CA159" s="34" t="s">
        <v>123</v>
      </c>
      <c r="CB159" s="34" t="s">
        <v>123</v>
      </c>
      <c r="CC159" s="34" t="s">
        <v>123</v>
      </c>
    </row>
    <row r="160" spans="1:81" x14ac:dyDescent="0.3">
      <c r="A160" s="34" t="s">
        <v>1519</v>
      </c>
      <c r="B160" s="34" t="s">
        <v>709</v>
      </c>
      <c r="C160" s="34" t="s">
        <v>1327</v>
      </c>
      <c r="D160" s="34"/>
      <c r="E160" s="35">
        <v>45040</v>
      </c>
      <c r="F160" s="35">
        <v>46882</v>
      </c>
      <c r="G160" s="34"/>
      <c r="H160" s="34" t="s">
        <v>1325</v>
      </c>
      <c r="I160" s="34">
        <v>0</v>
      </c>
      <c r="J160" s="34">
        <v>150000000</v>
      </c>
      <c r="K160" s="34" t="s">
        <v>123</v>
      </c>
      <c r="L160" s="34" t="s">
        <v>123</v>
      </c>
      <c r="M160" s="34" t="s">
        <v>123</v>
      </c>
      <c r="N160" s="34" t="s">
        <v>123</v>
      </c>
      <c r="O160" s="34">
        <v>104.5</v>
      </c>
      <c r="P160" s="34">
        <v>1.6666700000000001E-3</v>
      </c>
      <c r="Q160" s="34" t="s">
        <v>123</v>
      </c>
      <c r="R160" s="34" t="s">
        <v>123</v>
      </c>
      <c r="S160" s="34" t="s">
        <v>123</v>
      </c>
      <c r="T160" s="34" t="s">
        <v>123</v>
      </c>
      <c r="U160" s="34" t="s">
        <v>123</v>
      </c>
      <c r="V160" s="34" t="s">
        <v>123</v>
      </c>
      <c r="W160" s="34" t="s">
        <v>123</v>
      </c>
      <c r="X160" s="34" t="s">
        <v>123</v>
      </c>
      <c r="Y160" s="34" t="s">
        <v>123</v>
      </c>
      <c r="Z160" s="34">
        <v>0</v>
      </c>
      <c r="AA160" s="34" t="s">
        <v>123</v>
      </c>
      <c r="AB160" s="34">
        <v>0</v>
      </c>
      <c r="AC160" s="34">
        <v>1</v>
      </c>
      <c r="AD160" s="34" t="s">
        <v>123</v>
      </c>
      <c r="AE160" s="34" t="s">
        <v>123</v>
      </c>
      <c r="AF160" s="34" t="s">
        <v>710</v>
      </c>
      <c r="AG160" s="34" t="s">
        <v>123</v>
      </c>
      <c r="AH160" s="34" t="s">
        <v>123</v>
      </c>
      <c r="AI160" s="34" t="s">
        <v>123</v>
      </c>
      <c r="AJ160" s="34" t="s">
        <v>123</v>
      </c>
      <c r="AK160" s="34" t="s">
        <v>123</v>
      </c>
      <c r="AL160" s="34" t="s">
        <v>123</v>
      </c>
      <c r="AM160" s="34" t="s">
        <v>123</v>
      </c>
      <c r="AN160" s="34" t="s">
        <v>123</v>
      </c>
      <c r="AO160" s="34" t="s">
        <v>123</v>
      </c>
      <c r="AP160" s="34">
        <v>0</v>
      </c>
      <c r="AQ160" s="34" t="s">
        <v>123</v>
      </c>
      <c r="AR160" s="34">
        <v>6.1684509999999998E-2</v>
      </c>
      <c r="AS160" s="34"/>
      <c r="AT160" s="34" t="s">
        <v>123</v>
      </c>
      <c r="AU160" s="34">
        <v>115</v>
      </c>
      <c r="AV160" s="34" t="s">
        <v>1520</v>
      </c>
      <c r="AW160" s="34">
        <v>0</v>
      </c>
      <c r="AX160" s="34">
        <v>1509</v>
      </c>
      <c r="AY160" s="34" t="s">
        <v>1329</v>
      </c>
      <c r="AZ160" s="35">
        <v>45917</v>
      </c>
      <c r="BA160" s="35">
        <v>45917</v>
      </c>
      <c r="BB160" s="34" t="s">
        <v>123</v>
      </c>
      <c r="BC160" s="34" t="s">
        <v>123</v>
      </c>
      <c r="BD160" s="34" t="s">
        <v>123</v>
      </c>
      <c r="BE160" s="34" t="s">
        <v>139</v>
      </c>
      <c r="BF160" s="34">
        <v>150</v>
      </c>
      <c r="BG160" s="34">
        <v>0</v>
      </c>
      <c r="BH160" s="34">
        <v>3.9735449999999999E-2</v>
      </c>
      <c r="BI160" s="34" t="s">
        <v>133</v>
      </c>
      <c r="BJ160" s="34" t="s">
        <v>1374</v>
      </c>
      <c r="BK160" s="34">
        <v>2025</v>
      </c>
      <c r="BL160" s="34" t="s">
        <v>1456</v>
      </c>
      <c r="BM160" s="34"/>
      <c r="BN160" s="34">
        <v>0</v>
      </c>
      <c r="BO160" s="34" t="s">
        <v>1330</v>
      </c>
      <c r="BP160" s="34">
        <v>7.7952499999999994E-2</v>
      </c>
      <c r="BQ160" s="34" t="s">
        <v>1326</v>
      </c>
      <c r="BR160" s="35">
        <v>45917</v>
      </c>
      <c r="BS160" s="34">
        <v>0</v>
      </c>
      <c r="BT160" s="34" t="s">
        <v>123</v>
      </c>
      <c r="BU160" s="34">
        <v>0</v>
      </c>
      <c r="BV160" s="34">
        <v>250000</v>
      </c>
      <c r="BW160" s="34">
        <v>0</v>
      </c>
      <c r="BX160" s="34">
        <v>150</v>
      </c>
      <c r="BY160" s="34">
        <v>0</v>
      </c>
      <c r="BZ160" s="34">
        <v>1</v>
      </c>
      <c r="CA160" s="34" t="s">
        <v>123</v>
      </c>
      <c r="CB160" s="34" t="s">
        <v>123</v>
      </c>
      <c r="CC160" s="34" t="s">
        <v>123</v>
      </c>
    </row>
    <row r="161" spans="1:81" x14ac:dyDescent="0.3">
      <c r="A161" s="34" t="s">
        <v>1521</v>
      </c>
      <c r="B161" s="34" t="s">
        <v>643</v>
      </c>
      <c r="C161" s="34" t="s">
        <v>1375</v>
      </c>
      <c r="D161" s="34"/>
      <c r="E161" s="35">
        <v>45776</v>
      </c>
      <c r="F161" s="35">
        <v>46881</v>
      </c>
      <c r="G161" s="34"/>
      <c r="H161" s="34" t="s">
        <v>1325</v>
      </c>
      <c r="I161" s="34">
        <v>0</v>
      </c>
      <c r="J161" s="34">
        <v>50000000</v>
      </c>
      <c r="K161" s="34" t="s">
        <v>123</v>
      </c>
      <c r="L161" s="34" t="s">
        <v>123</v>
      </c>
      <c r="M161" s="34" t="s">
        <v>123</v>
      </c>
      <c r="N161" s="34" t="s">
        <v>123</v>
      </c>
      <c r="O161" s="34">
        <v>104.65</v>
      </c>
      <c r="P161" s="34">
        <v>5.0000000000000001E-3</v>
      </c>
      <c r="Q161" s="34" t="s">
        <v>123</v>
      </c>
      <c r="R161" s="34" t="s">
        <v>123</v>
      </c>
      <c r="S161" s="34" t="s">
        <v>123</v>
      </c>
      <c r="T161" s="34" t="s">
        <v>123</v>
      </c>
      <c r="U161" s="34" t="s">
        <v>123</v>
      </c>
      <c r="V161" s="34" t="s">
        <v>123</v>
      </c>
      <c r="W161" s="34" t="s">
        <v>123</v>
      </c>
      <c r="X161" s="34" t="s">
        <v>123</v>
      </c>
      <c r="Y161" s="34" t="s">
        <v>123</v>
      </c>
      <c r="Z161" s="34">
        <v>0</v>
      </c>
      <c r="AA161" s="34" t="s">
        <v>123</v>
      </c>
      <c r="AB161" s="34">
        <v>0</v>
      </c>
      <c r="AC161" s="34">
        <v>1</v>
      </c>
      <c r="AD161" s="34" t="s">
        <v>123</v>
      </c>
      <c r="AE161" s="34" t="s">
        <v>123</v>
      </c>
      <c r="AF161" s="34" t="s">
        <v>646</v>
      </c>
      <c r="AG161" s="34" t="s">
        <v>123</v>
      </c>
      <c r="AH161" s="34" t="s">
        <v>123</v>
      </c>
      <c r="AI161" s="34" t="s">
        <v>123</v>
      </c>
      <c r="AJ161" s="34" t="s">
        <v>123</v>
      </c>
      <c r="AK161" s="34" t="s">
        <v>123</v>
      </c>
      <c r="AL161" s="34" t="s">
        <v>123</v>
      </c>
      <c r="AM161" s="34" t="s">
        <v>123</v>
      </c>
      <c r="AN161" s="34" t="s">
        <v>123</v>
      </c>
      <c r="AO161" s="34" t="s">
        <v>123</v>
      </c>
      <c r="AP161" s="34">
        <v>0</v>
      </c>
      <c r="AQ161" s="34" t="s">
        <v>123</v>
      </c>
      <c r="AR161" s="34">
        <v>9.9497470000000005E-2</v>
      </c>
      <c r="AS161" s="34"/>
      <c r="AT161" s="34" t="s">
        <v>123</v>
      </c>
      <c r="AU161" s="34">
        <v>115</v>
      </c>
      <c r="AV161" s="34" t="s">
        <v>1522</v>
      </c>
      <c r="AW161" s="34">
        <v>0</v>
      </c>
      <c r="AX161" s="34">
        <v>1510</v>
      </c>
      <c r="AY161" s="34" t="s">
        <v>1333</v>
      </c>
      <c r="AZ161" s="35">
        <v>45918</v>
      </c>
      <c r="BA161" s="35">
        <v>45918</v>
      </c>
      <c r="BB161" s="34" t="s">
        <v>123</v>
      </c>
      <c r="BC161" s="34" t="s">
        <v>123</v>
      </c>
      <c r="BD161" s="34" t="s">
        <v>123</v>
      </c>
      <c r="BE161" s="34" t="s">
        <v>1334</v>
      </c>
      <c r="BF161" s="34">
        <v>131</v>
      </c>
      <c r="BG161" s="34">
        <v>0</v>
      </c>
      <c r="BH161" s="34">
        <v>7.9825590000000002E-2</v>
      </c>
      <c r="BI161" s="34" t="s">
        <v>159</v>
      </c>
      <c r="BJ161" s="34" t="s">
        <v>1336</v>
      </c>
      <c r="BK161" s="34"/>
      <c r="BL161" s="34" t="s">
        <v>1456</v>
      </c>
      <c r="BM161" s="34"/>
      <c r="BN161" s="34">
        <v>0</v>
      </c>
      <c r="BO161" s="34" t="s">
        <v>1330</v>
      </c>
      <c r="BP161" s="34">
        <v>0.1183</v>
      </c>
      <c r="BQ161" s="34" t="s">
        <v>1326</v>
      </c>
      <c r="BR161" s="35">
        <v>45918</v>
      </c>
      <c r="BS161" s="34">
        <v>0</v>
      </c>
      <c r="BT161" s="34" t="s">
        <v>123</v>
      </c>
      <c r="BU161" s="34">
        <v>0</v>
      </c>
      <c r="BV161" s="34">
        <v>250000</v>
      </c>
      <c r="BW161" s="34">
        <v>0</v>
      </c>
      <c r="BX161" s="34">
        <v>131</v>
      </c>
      <c r="BY161" s="34">
        <v>0</v>
      </c>
      <c r="BZ161" s="34">
        <v>1</v>
      </c>
      <c r="CA161" s="34" t="s">
        <v>123</v>
      </c>
      <c r="CB161" s="34" t="s">
        <v>123</v>
      </c>
      <c r="CC161" s="34" t="s">
        <v>123</v>
      </c>
    </row>
    <row r="162" spans="1:81" x14ac:dyDescent="0.3">
      <c r="A162" s="34" t="s">
        <v>1523</v>
      </c>
      <c r="B162" s="34" t="s">
        <v>1137</v>
      </c>
      <c r="C162" s="34" t="s">
        <v>1364</v>
      </c>
      <c r="D162" s="34"/>
      <c r="E162" s="35">
        <v>45393</v>
      </c>
      <c r="F162" s="35">
        <v>46180</v>
      </c>
      <c r="G162" s="34"/>
      <c r="H162" s="34" t="s">
        <v>1325</v>
      </c>
      <c r="I162" s="34">
        <v>0</v>
      </c>
      <c r="J162" s="34">
        <v>1800000000</v>
      </c>
      <c r="K162" s="34" t="s">
        <v>123</v>
      </c>
      <c r="L162" s="34" t="s">
        <v>123</v>
      </c>
      <c r="M162" s="34" t="s">
        <v>123</v>
      </c>
      <c r="N162" s="34" t="s">
        <v>123</v>
      </c>
      <c r="O162" s="34">
        <v>105.2</v>
      </c>
      <c r="P162" s="34">
        <v>6.2500000000000001E-4</v>
      </c>
      <c r="Q162" s="34" t="s">
        <v>123</v>
      </c>
      <c r="R162" s="34" t="s">
        <v>123</v>
      </c>
      <c r="S162" s="34" t="s">
        <v>123</v>
      </c>
      <c r="T162" s="34" t="s">
        <v>123</v>
      </c>
      <c r="U162" s="34" t="s">
        <v>123</v>
      </c>
      <c r="V162" s="34" t="s">
        <v>123</v>
      </c>
      <c r="W162" s="34" t="s">
        <v>123</v>
      </c>
      <c r="X162" s="34" t="s">
        <v>123</v>
      </c>
      <c r="Y162" s="34" t="s">
        <v>123</v>
      </c>
      <c r="Z162" s="34">
        <v>0</v>
      </c>
      <c r="AA162" s="34" t="s">
        <v>123</v>
      </c>
      <c r="AB162" s="34">
        <v>0</v>
      </c>
      <c r="AC162" s="34">
        <v>1</v>
      </c>
      <c r="AD162" s="34" t="s">
        <v>123</v>
      </c>
      <c r="AE162" s="34" t="s">
        <v>123</v>
      </c>
      <c r="AF162" s="34" t="s">
        <v>1138</v>
      </c>
      <c r="AG162" s="34" t="s">
        <v>123</v>
      </c>
      <c r="AH162" s="34" t="s">
        <v>123</v>
      </c>
      <c r="AI162" s="34" t="s">
        <v>123</v>
      </c>
      <c r="AJ162" s="34" t="s">
        <v>123</v>
      </c>
      <c r="AK162" s="34" t="s">
        <v>123</v>
      </c>
      <c r="AL162" s="34" t="s">
        <v>123</v>
      </c>
      <c r="AM162" s="34" t="s">
        <v>123</v>
      </c>
      <c r="AN162" s="34" t="s">
        <v>123</v>
      </c>
      <c r="AO162" s="34" t="s">
        <v>123</v>
      </c>
      <c r="AP162" s="34">
        <v>0</v>
      </c>
      <c r="AQ162" s="34" t="s">
        <v>123</v>
      </c>
      <c r="AR162" s="34">
        <v>8.1617250000000002E-2</v>
      </c>
      <c r="AS162" s="34"/>
      <c r="AT162" s="34" t="s">
        <v>123</v>
      </c>
      <c r="AU162" s="34">
        <v>115</v>
      </c>
      <c r="AV162" s="34" t="s">
        <v>1524</v>
      </c>
      <c r="AW162" s="34">
        <v>0</v>
      </c>
      <c r="AX162" s="34">
        <v>1511</v>
      </c>
      <c r="AY162" s="34" t="s">
        <v>1329</v>
      </c>
      <c r="AZ162" s="35">
        <v>45929</v>
      </c>
      <c r="BA162" s="35">
        <v>45929</v>
      </c>
      <c r="BB162" s="34" t="s">
        <v>123</v>
      </c>
      <c r="BC162" s="34" t="s">
        <v>123</v>
      </c>
      <c r="BD162" s="34" t="s">
        <v>123</v>
      </c>
      <c r="BE162" s="34" t="s">
        <v>139</v>
      </c>
      <c r="BF162" s="34">
        <v>275</v>
      </c>
      <c r="BG162" s="34">
        <v>0</v>
      </c>
      <c r="BH162" s="34">
        <v>0.11854834</v>
      </c>
      <c r="BI162" s="34" t="s">
        <v>150</v>
      </c>
      <c r="BJ162" s="34" t="s">
        <v>1376</v>
      </c>
      <c r="BK162" s="34">
        <v>2025</v>
      </c>
      <c r="BL162" s="34" t="s">
        <v>1456</v>
      </c>
      <c r="BM162" s="34"/>
      <c r="BN162" s="34">
        <v>0</v>
      </c>
      <c r="BO162" s="34" t="s">
        <v>1330</v>
      </c>
      <c r="BP162" s="34">
        <v>0.15690000000000001</v>
      </c>
      <c r="BQ162" s="34" t="s">
        <v>1326</v>
      </c>
      <c r="BR162" s="35">
        <v>45929</v>
      </c>
      <c r="BS162" s="34">
        <v>0</v>
      </c>
      <c r="BT162" s="34" t="s">
        <v>123</v>
      </c>
      <c r="BU162" s="34">
        <v>0</v>
      </c>
      <c r="BV162" s="34">
        <v>250000</v>
      </c>
      <c r="BW162" s="34">
        <v>0</v>
      </c>
      <c r="BX162" s="34">
        <v>275</v>
      </c>
      <c r="BY162" s="34">
        <v>0</v>
      </c>
      <c r="BZ162" s="34">
        <v>1</v>
      </c>
      <c r="CA162" s="34" t="s">
        <v>123</v>
      </c>
      <c r="CB162" s="34" t="s">
        <v>123</v>
      </c>
      <c r="CC162" s="34" t="s">
        <v>123</v>
      </c>
    </row>
    <row r="163" spans="1:81" x14ac:dyDescent="0.3">
      <c r="A163" s="34" t="s">
        <v>1525</v>
      </c>
      <c r="B163" s="34" t="s">
        <v>414</v>
      </c>
      <c r="C163" s="34" t="s">
        <v>1344</v>
      </c>
      <c r="D163" s="34"/>
      <c r="E163" s="35">
        <v>45314</v>
      </c>
      <c r="F163" s="35">
        <v>46850</v>
      </c>
      <c r="G163" s="34"/>
      <c r="H163" s="34" t="s">
        <v>1325</v>
      </c>
      <c r="I163" s="34">
        <v>0</v>
      </c>
      <c r="J163" s="34">
        <v>1000000000</v>
      </c>
      <c r="K163" s="34" t="s">
        <v>123</v>
      </c>
      <c r="L163" s="34" t="s">
        <v>123</v>
      </c>
      <c r="M163" s="34" t="s">
        <v>123</v>
      </c>
      <c r="N163" s="34" t="s">
        <v>123</v>
      </c>
      <c r="O163" s="34">
        <v>105.4</v>
      </c>
      <c r="P163" s="34">
        <v>1.6875E-3</v>
      </c>
      <c r="Q163" s="34" t="s">
        <v>123</v>
      </c>
      <c r="R163" s="34" t="s">
        <v>123</v>
      </c>
      <c r="S163" s="34" t="s">
        <v>123</v>
      </c>
      <c r="T163" s="34" t="s">
        <v>123</v>
      </c>
      <c r="U163" s="34" t="s">
        <v>123</v>
      </c>
      <c r="V163" s="34" t="s">
        <v>123</v>
      </c>
      <c r="W163" s="34" t="s">
        <v>123</v>
      </c>
      <c r="X163" s="34" t="s">
        <v>123</v>
      </c>
      <c r="Y163" s="34" t="s">
        <v>123</v>
      </c>
      <c r="Z163" s="34">
        <v>0</v>
      </c>
      <c r="AA163" s="34" t="s">
        <v>123</v>
      </c>
      <c r="AB163" s="34">
        <v>0</v>
      </c>
      <c r="AC163" s="34">
        <v>1</v>
      </c>
      <c r="AD163" s="34" t="s">
        <v>123</v>
      </c>
      <c r="AE163" s="34" t="s">
        <v>123</v>
      </c>
      <c r="AF163" s="34" t="s">
        <v>417</v>
      </c>
      <c r="AG163" s="34" t="s">
        <v>123</v>
      </c>
      <c r="AH163" s="34" t="s">
        <v>123</v>
      </c>
      <c r="AI163" s="34" t="s">
        <v>123</v>
      </c>
      <c r="AJ163" s="34" t="s">
        <v>123</v>
      </c>
      <c r="AK163" s="34" t="s">
        <v>123</v>
      </c>
      <c r="AL163" s="34" t="s">
        <v>123</v>
      </c>
      <c r="AM163" s="34" t="s">
        <v>123</v>
      </c>
      <c r="AN163" s="34" t="s">
        <v>123</v>
      </c>
      <c r="AO163" s="34" t="s">
        <v>123</v>
      </c>
      <c r="AP163" s="34">
        <v>0</v>
      </c>
      <c r="AQ163" s="34" t="s">
        <v>123</v>
      </c>
      <c r="AR163" s="34">
        <v>7.1962929999999994E-2</v>
      </c>
      <c r="AS163" s="34"/>
      <c r="AT163" s="34" t="s">
        <v>123</v>
      </c>
      <c r="AU163" s="34">
        <v>115</v>
      </c>
      <c r="AV163" s="34" t="s">
        <v>1526</v>
      </c>
      <c r="AW163" s="34">
        <v>0</v>
      </c>
      <c r="AX163" s="34">
        <v>1512</v>
      </c>
      <c r="AY163" s="34" t="s">
        <v>1333</v>
      </c>
      <c r="AZ163" s="35">
        <v>45931</v>
      </c>
      <c r="BA163" s="35">
        <v>45931</v>
      </c>
      <c r="BB163" s="34" t="s">
        <v>123</v>
      </c>
      <c r="BC163" s="34" t="s">
        <v>123</v>
      </c>
      <c r="BD163" s="34" t="s">
        <v>123</v>
      </c>
      <c r="BE163" s="34" t="s">
        <v>139</v>
      </c>
      <c r="BF163" s="34">
        <v>64</v>
      </c>
      <c r="BG163" s="34">
        <v>0</v>
      </c>
      <c r="BH163" s="34">
        <v>5.5532829999999998E-2</v>
      </c>
      <c r="BI163" s="34" t="s">
        <v>150</v>
      </c>
      <c r="BJ163" s="34" t="s">
        <v>1336</v>
      </c>
      <c r="BK163" s="34">
        <v>2025</v>
      </c>
      <c r="BL163" s="34" t="s">
        <v>1456</v>
      </c>
      <c r="BM163" s="34"/>
      <c r="BN163" s="34">
        <v>0</v>
      </c>
      <c r="BO163" s="34" t="s">
        <v>1330</v>
      </c>
      <c r="BP163" s="34">
        <v>9.3899999999999997E-2</v>
      </c>
      <c r="BQ163" s="34" t="s">
        <v>1326</v>
      </c>
      <c r="BR163" s="35">
        <v>45931</v>
      </c>
      <c r="BS163" s="34">
        <v>0</v>
      </c>
      <c r="BT163" s="34" t="s">
        <v>123</v>
      </c>
      <c r="BU163" s="34">
        <v>0</v>
      </c>
      <c r="BV163" s="34">
        <v>675000</v>
      </c>
      <c r="BW163" s="34">
        <v>0</v>
      </c>
      <c r="BX163" s="34">
        <v>64</v>
      </c>
      <c r="BY163" s="34">
        <v>0</v>
      </c>
      <c r="BZ163" s="34">
        <v>1</v>
      </c>
      <c r="CA163" s="34" t="s">
        <v>123</v>
      </c>
      <c r="CB163" s="34" t="s">
        <v>123</v>
      </c>
      <c r="CC163" s="34" t="s">
        <v>123</v>
      </c>
    </row>
    <row r="164" spans="1:81" x14ac:dyDescent="0.3">
      <c r="A164" s="34" t="s">
        <v>1527</v>
      </c>
      <c r="B164" s="34" t="s">
        <v>989</v>
      </c>
      <c r="C164" s="34" t="s">
        <v>1360</v>
      </c>
      <c r="D164" s="34"/>
      <c r="E164" s="35">
        <v>45343</v>
      </c>
      <c r="F164" s="35">
        <v>46444</v>
      </c>
      <c r="G164" s="34"/>
      <c r="H164" s="34" t="s">
        <v>1325</v>
      </c>
      <c r="I164" s="34">
        <v>0</v>
      </c>
      <c r="J164" s="34">
        <v>250000000</v>
      </c>
      <c r="K164" s="34" t="s">
        <v>123</v>
      </c>
      <c r="L164" s="34" t="s">
        <v>123</v>
      </c>
      <c r="M164" s="34" t="s">
        <v>123</v>
      </c>
      <c r="N164" s="34" t="s">
        <v>123</v>
      </c>
      <c r="O164" s="34">
        <v>107.85</v>
      </c>
      <c r="P164" s="34">
        <v>1E-3</v>
      </c>
      <c r="Q164" s="34" t="s">
        <v>123</v>
      </c>
      <c r="R164" s="34" t="s">
        <v>123</v>
      </c>
      <c r="S164" s="34" t="s">
        <v>123</v>
      </c>
      <c r="T164" s="34" t="s">
        <v>123</v>
      </c>
      <c r="U164" s="34" t="s">
        <v>123</v>
      </c>
      <c r="V164" s="34" t="s">
        <v>123</v>
      </c>
      <c r="W164" s="34" t="s">
        <v>123</v>
      </c>
      <c r="X164" s="34" t="s">
        <v>123</v>
      </c>
      <c r="Y164" s="34" t="s">
        <v>123</v>
      </c>
      <c r="Z164" s="34">
        <v>0</v>
      </c>
      <c r="AA164" s="34" t="s">
        <v>123</v>
      </c>
      <c r="AB164" s="34">
        <v>0</v>
      </c>
      <c r="AC164" s="34">
        <v>1</v>
      </c>
      <c r="AD164" s="34" t="s">
        <v>123</v>
      </c>
      <c r="AE164" s="34" t="s">
        <v>123</v>
      </c>
      <c r="AF164" s="34" t="s">
        <v>992</v>
      </c>
      <c r="AG164" s="34" t="s">
        <v>123</v>
      </c>
      <c r="AH164" s="34" t="s">
        <v>123</v>
      </c>
      <c r="AI164" s="34" t="s">
        <v>123</v>
      </c>
      <c r="AJ164" s="34" t="s">
        <v>123</v>
      </c>
      <c r="AK164" s="34" t="s">
        <v>123</v>
      </c>
      <c r="AL164" s="34" t="s">
        <v>123</v>
      </c>
      <c r="AM164" s="34" t="s">
        <v>123</v>
      </c>
      <c r="AN164" s="34" t="s">
        <v>123</v>
      </c>
      <c r="AO164" s="34" t="s">
        <v>123</v>
      </c>
      <c r="AP164" s="34">
        <v>0</v>
      </c>
      <c r="AQ164" s="34" t="s">
        <v>123</v>
      </c>
      <c r="AR164" s="34">
        <v>8.1237019999999993E-2</v>
      </c>
      <c r="AS164" s="34"/>
      <c r="AT164" s="34" t="s">
        <v>123</v>
      </c>
      <c r="AU164" s="34">
        <v>115</v>
      </c>
      <c r="AV164" s="34" t="s">
        <v>1528</v>
      </c>
      <c r="AW164" s="34">
        <v>0</v>
      </c>
      <c r="AX164" s="34">
        <v>1513</v>
      </c>
      <c r="AY164" s="34" t="s">
        <v>1333</v>
      </c>
      <c r="AZ164" s="35">
        <v>45939</v>
      </c>
      <c r="BA164" s="35">
        <v>45939</v>
      </c>
      <c r="BB164" s="34" t="s">
        <v>123</v>
      </c>
      <c r="BC164" s="34" t="s">
        <v>123</v>
      </c>
      <c r="BD164" s="34" t="s">
        <v>123</v>
      </c>
      <c r="BE164" s="34" t="s">
        <v>139</v>
      </c>
      <c r="BF164" s="34">
        <v>232</v>
      </c>
      <c r="BG164" s="34">
        <v>0</v>
      </c>
      <c r="BH164" s="34">
        <v>0.10162388999999999</v>
      </c>
      <c r="BI164" s="34" t="s">
        <v>150</v>
      </c>
      <c r="BJ164" s="34" t="s">
        <v>1336</v>
      </c>
      <c r="BK164" s="34">
        <v>2025</v>
      </c>
      <c r="BL164" s="34" t="s">
        <v>1456</v>
      </c>
      <c r="BM164" s="34"/>
      <c r="BN164" s="34">
        <v>0</v>
      </c>
      <c r="BO164" s="34" t="s">
        <v>1330</v>
      </c>
      <c r="BP164" s="34">
        <v>0.14030000000000001</v>
      </c>
      <c r="BQ164" s="34" t="s">
        <v>1326</v>
      </c>
      <c r="BR164" s="35">
        <v>45939</v>
      </c>
      <c r="BS164" s="34">
        <v>0</v>
      </c>
      <c r="BT164" s="34" t="s">
        <v>123</v>
      </c>
      <c r="BU164" s="34">
        <v>0</v>
      </c>
      <c r="BV164" s="34">
        <v>250000</v>
      </c>
      <c r="BW164" s="34">
        <v>0</v>
      </c>
      <c r="BX164" s="34">
        <v>232</v>
      </c>
      <c r="BY164" s="34">
        <v>0</v>
      </c>
      <c r="BZ164" s="34">
        <v>1</v>
      </c>
      <c r="CA164" s="34" t="s">
        <v>123</v>
      </c>
      <c r="CB164" s="34" t="s">
        <v>123</v>
      </c>
      <c r="CC164" s="34" t="s">
        <v>123</v>
      </c>
    </row>
    <row r="165" spans="1:81" x14ac:dyDescent="0.3">
      <c r="A165" s="34" t="s">
        <v>1529</v>
      </c>
      <c r="B165" s="34" t="s">
        <v>993</v>
      </c>
      <c r="C165" s="34" t="s">
        <v>1360</v>
      </c>
      <c r="D165" s="34"/>
      <c r="E165" s="35">
        <v>45343</v>
      </c>
      <c r="F165" s="35">
        <v>46444</v>
      </c>
      <c r="G165" s="34"/>
      <c r="H165" s="34" t="s">
        <v>1325</v>
      </c>
      <c r="I165" s="34">
        <v>0</v>
      </c>
      <c r="J165" s="34">
        <v>200000000</v>
      </c>
      <c r="K165" s="34" t="s">
        <v>123</v>
      </c>
      <c r="L165" s="34" t="s">
        <v>123</v>
      </c>
      <c r="M165" s="34" t="s">
        <v>123</v>
      </c>
      <c r="N165" s="34" t="s">
        <v>123</v>
      </c>
      <c r="O165" s="34">
        <v>108.35</v>
      </c>
      <c r="P165" s="34">
        <v>1.6666700000000001E-3</v>
      </c>
      <c r="Q165" s="34" t="s">
        <v>123</v>
      </c>
      <c r="R165" s="34" t="s">
        <v>123</v>
      </c>
      <c r="S165" s="34" t="s">
        <v>123</v>
      </c>
      <c r="T165" s="34" t="s">
        <v>123</v>
      </c>
      <c r="U165" s="34" t="s">
        <v>123</v>
      </c>
      <c r="V165" s="34" t="s">
        <v>123</v>
      </c>
      <c r="W165" s="34" t="s">
        <v>123</v>
      </c>
      <c r="X165" s="34" t="s">
        <v>123</v>
      </c>
      <c r="Y165" s="34" t="s">
        <v>123</v>
      </c>
      <c r="Z165" s="34">
        <v>0</v>
      </c>
      <c r="AA165" s="34" t="s">
        <v>123</v>
      </c>
      <c r="AB165" s="34">
        <v>0</v>
      </c>
      <c r="AC165" s="34">
        <v>1</v>
      </c>
      <c r="AD165" s="34" t="s">
        <v>123</v>
      </c>
      <c r="AE165" s="34" t="s">
        <v>123</v>
      </c>
      <c r="AF165" s="34" t="s">
        <v>994</v>
      </c>
      <c r="AG165" s="34" t="s">
        <v>123</v>
      </c>
      <c r="AH165" s="34" t="s">
        <v>123</v>
      </c>
      <c r="AI165" s="34" t="s">
        <v>123</v>
      </c>
      <c r="AJ165" s="34" t="s">
        <v>123</v>
      </c>
      <c r="AK165" s="34" t="s">
        <v>123</v>
      </c>
      <c r="AL165" s="34" t="s">
        <v>123</v>
      </c>
      <c r="AM165" s="34" t="s">
        <v>123</v>
      </c>
      <c r="AN165" s="34" t="s">
        <v>123</v>
      </c>
      <c r="AO165" s="34" t="s">
        <v>123</v>
      </c>
      <c r="AP165" s="34">
        <v>0</v>
      </c>
      <c r="AQ165" s="34" t="s">
        <v>123</v>
      </c>
      <c r="AR165" s="34">
        <v>9.1780929999999997E-2</v>
      </c>
      <c r="AS165" s="34"/>
      <c r="AT165" s="34" t="s">
        <v>123</v>
      </c>
      <c r="AU165" s="34">
        <v>115</v>
      </c>
      <c r="AV165" s="34" t="s">
        <v>1530</v>
      </c>
      <c r="AW165" s="34">
        <v>0</v>
      </c>
      <c r="AX165" s="34">
        <v>1514</v>
      </c>
      <c r="AY165" s="34" t="s">
        <v>1333</v>
      </c>
      <c r="AZ165" s="35">
        <v>45939</v>
      </c>
      <c r="BA165" s="35">
        <v>45939</v>
      </c>
      <c r="BB165" s="34" t="s">
        <v>123</v>
      </c>
      <c r="BC165" s="34" t="s">
        <v>123</v>
      </c>
      <c r="BD165" s="34" t="s">
        <v>123</v>
      </c>
      <c r="BE165" s="34" t="s">
        <v>139</v>
      </c>
      <c r="BF165" s="34">
        <v>233</v>
      </c>
      <c r="BG165" s="34">
        <v>0</v>
      </c>
      <c r="BH165" s="34">
        <v>0.11673172</v>
      </c>
      <c r="BI165" s="34" t="s">
        <v>150</v>
      </c>
      <c r="BJ165" s="34" t="s">
        <v>1332</v>
      </c>
      <c r="BK165" s="34">
        <v>2025</v>
      </c>
      <c r="BL165" s="34" t="s">
        <v>1456</v>
      </c>
      <c r="BM165" s="34"/>
      <c r="BN165" s="34">
        <v>0</v>
      </c>
      <c r="BO165" s="34" t="s">
        <v>1330</v>
      </c>
      <c r="BP165" s="34">
        <v>0.15509999999999999</v>
      </c>
      <c r="BQ165" s="34" t="s">
        <v>1326</v>
      </c>
      <c r="BR165" s="35">
        <v>45939</v>
      </c>
      <c r="BS165" s="34">
        <v>0</v>
      </c>
      <c r="BT165" s="34" t="s">
        <v>123</v>
      </c>
      <c r="BU165" s="34">
        <v>0</v>
      </c>
      <c r="BV165" s="34">
        <v>250000</v>
      </c>
      <c r="BW165" s="34">
        <v>0</v>
      </c>
      <c r="BX165" s="34">
        <v>233</v>
      </c>
      <c r="BY165" s="34">
        <v>0</v>
      </c>
      <c r="BZ165" s="34">
        <v>1</v>
      </c>
      <c r="CA165" s="34" t="s">
        <v>123</v>
      </c>
      <c r="CB165" s="34" t="s">
        <v>123</v>
      </c>
      <c r="CC165" s="34" t="s">
        <v>123</v>
      </c>
    </row>
    <row r="166" spans="1:81" x14ac:dyDescent="0.3">
      <c r="A166" s="34" t="s">
        <v>1531</v>
      </c>
      <c r="B166" s="34" t="s">
        <v>947</v>
      </c>
      <c r="C166" s="34" t="s">
        <v>1363</v>
      </c>
      <c r="D166" s="34"/>
      <c r="E166" s="35">
        <v>45434</v>
      </c>
      <c r="F166" s="35">
        <v>46520</v>
      </c>
      <c r="G166" s="34"/>
      <c r="H166" s="34" t="s">
        <v>1325</v>
      </c>
      <c r="I166" s="34">
        <v>0</v>
      </c>
      <c r="J166" s="34">
        <v>1454000000</v>
      </c>
      <c r="K166" s="34" t="s">
        <v>123</v>
      </c>
      <c r="L166" s="34" t="s">
        <v>123</v>
      </c>
      <c r="M166" s="34" t="s">
        <v>123</v>
      </c>
      <c r="N166" s="34" t="s">
        <v>123</v>
      </c>
      <c r="O166" s="34">
        <v>107.75</v>
      </c>
      <c r="P166" s="34">
        <v>1.11111E-3</v>
      </c>
      <c r="Q166" s="34" t="s">
        <v>123</v>
      </c>
      <c r="R166" s="34" t="s">
        <v>123</v>
      </c>
      <c r="S166" s="34" t="s">
        <v>123</v>
      </c>
      <c r="T166" s="34" t="s">
        <v>123</v>
      </c>
      <c r="U166" s="34" t="s">
        <v>123</v>
      </c>
      <c r="V166" s="34" t="s">
        <v>123</v>
      </c>
      <c r="W166" s="34" t="s">
        <v>123</v>
      </c>
      <c r="X166" s="34" t="s">
        <v>123</v>
      </c>
      <c r="Y166" s="34" t="s">
        <v>123</v>
      </c>
      <c r="Z166" s="34">
        <v>0</v>
      </c>
      <c r="AA166" s="34" t="s">
        <v>123</v>
      </c>
      <c r="AB166" s="34">
        <v>0</v>
      </c>
      <c r="AC166" s="34">
        <v>1</v>
      </c>
      <c r="AD166" s="34" t="s">
        <v>123</v>
      </c>
      <c r="AE166" s="34" t="s">
        <v>123</v>
      </c>
      <c r="AF166" s="34" t="s">
        <v>950</v>
      </c>
      <c r="AG166" s="34" t="s">
        <v>123</v>
      </c>
      <c r="AH166" s="34" t="s">
        <v>123</v>
      </c>
      <c r="AI166" s="34" t="s">
        <v>123</v>
      </c>
      <c r="AJ166" s="34" t="s">
        <v>123</v>
      </c>
      <c r="AK166" s="34" t="s">
        <v>123</v>
      </c>
      <c r="AL166" s="34" t="s">
        <v>123</v>
      </c>
      <c r="AM166" s="34" t="s">
        <v>123</v>
      </c>
      <c r="AN166" s="34" t="s">
        <v>123</v>
      </c>
      <c r="AO166" s="34" t="s">
        <v>123</v>
      </c>
      <c r="AP166" s="34">
        <v>0</v>
      </c>
      <c r="AQ166" s="34" t="s">
        <v>123</v>
      </c>
      <c r="AR166" s="34">
        <v>9.2212089999999997E-2</v>
      </c>
      <c r="AS166" s="34"/>
      <c r="AT166" s="34" t="s">
        <v>123</v>
      </c>
      <c r="AU166" s="34">
        <v>115</v>
      </c>
      <c r="AV166" s="34" t="s">
        <v>1532</v>
      </c>
      <c r="AW166" s="34">
        <v>0</v>
      </c>
      <c r="AX166" s="34">
        <v>1515</v>
      </c>
      <c r="AY166" s="34" t="s">
        <v>1329</v>
      </c>
      <c r="AZ166" s="35">
        <v>45944</v>
      </c>
      <c r="BA166" s="35">
        <v>45944</v>
      </c>
      <c r="BB166" s="34" t="s">
        <v>123</v>
      </c>
      <c r="BC166" s="34" t="s">
        <v>123</v>
      </c>
      <c r="BD166" s="34" t="s">
        <v>123</v>
      </c>
      <c r="BE166" s="34" t="s">
        <v>139</v>
      </c>
      <c r="BF166" s="34">
        <v>219</v>
      </c>
      <c r="BG166" s="34">
        <v>0</v>
      </c>
      <c r="BH166" s="34">
        <v>0.10489572</v>
      </c>
      <c r="BI166" s="34" t="s">
        <v>150</v>
      </c>
      <c r="BJ166" s="34" t="s">
        <v>1336</v>
      </c>
      <c r="BK166" s="34">
        <v>2025</v>
      </c>
      <c r="BL166" s="34" t="s">
        <v>1456</v>
      </c>
      <c r="BM166" s="34"/>
      <c r="BN166" s="34">
        <v>0</v>
      </c>
      <c r="BO166" s="34" t="s">
        <v>1330</v>
      </c>
      <c r="BP166" s="34">
        <v>0.14350714000000001</v>
      </c>
      <c r="BQ166" s="34" t="s">
        <v>1326</v>
      </c>
      <c r="BR166" s="35">
        <v>45944</v>
      </c>
      <c r="BS166" s="34">
        <v>0</v>
      </c>
      <c r="BT166" s="34" t="s">
        <v>123</v>
      </c>
      <c r="BU166" s="34">
        <v>0</v>
      </c>
      <c r="BV166" s="34">
        <v>500000</v>
      </c>
      <c r="BW166" s="34">
        <v>0</v>
      </c>
      <c r="BX166" s="34">
        <v>219</v>
      </c>
      <c r="BY166" s="34">
        <v>0</v>
      </c>
      <c r="BZ166" s="34">
        <v>1</v>
      </c>
      <c r="CA166" s="34" t="s">
        <v>123</v>
      </c>
      <c r="CB166" s="34" t="s">
        <v>123</v>
      </c>
      <c r="CC166" s="34" t="s">
        <v>123</v>
      </c>
    </row>
    <row r="167" spans="1:81" x14ac:dyDescent="0.3">
      <c r="A167" s="34" t="s">
        <v>1533</v>
      </c>
      <c r="B167" s="34" t="s">
        <v>1286</v>
      </c>
      <c r="C167" s="34" t="s">
        <v>1378</v>
      </c>
      <c r="D167" s="34"/>
      <c r="E167" s="35">
        <v>45807</v>
      </c>
      <c r="F167" s="35">
        <v>46545</v>
      </c>
      <c r="G167" s="34"/>
      <c r="H167" s="34" t="s">
        <v>1325</v>
      </c>
      <c r="I167" s="34">
        <v>0</v>
      </c>
      <c r="J167" s="34">
        <v>30000000000</v>
      </c>
      <c r="K167" s="34" t="s">
        <v>123</v>
      </c>
      <c r="L167" s="34" t="s">
        <v>123</v>
      </c>
      <c r="M167" s="34" t="s">
        <v>123</v>
      </c>
      <c r="N167" s="34" t="s">
        <v>123</v>
      </c>
      <c r="O167" s="34">
        <v>116</v>
      </c>
      <c r="P167" s="34">
        <v>5.5555600000000002E-3</v>
      </c>
      <c r="Q167" s="34" t="s">
        <v>123</v>
      </c>
      <c r="R167" s="34" t="s">
        <v>123</v>
      </c>
      <c r="S167" s="34" t="s">
        <v>123</v>
      </c>
      <c r="T167" s="34" t="s">
        <v>123</v>
      </c>
      <c r="U167" s="34" t="s">
        <v>123</v>
      </c>
      <c r="V167" s="34" t="s">
        <v>123</v>
      </c>
      <c r="W167" s="34" t="s">
        <v>123</v>
      </c>
      <c r="X167" s="34" t="s">
        <v>123</v>
      </c>
      <c r="Y167" s="34" t="s">
        <v>123</v>
      </c>
      <c r="Z167" s="34">
        <v>0</v>
      </c>
      <c r="AA167" s="34" t="s">
        <v>123</v>
      </c>
      <c r="AB167" s="34">
        <v>0</v>
      </c>
      <c r="AC167" s="34">
        <v>1</v>
      </c>
      <c r="AD167" s="34" t="s">
        <v>123</v>
      </c>
      <c r="AE167" s="34" t="s">
        <v>123</v>
      </c>
      <c r="AF167" s="34" t="s">
        <v>1287</v>
      </c>
      <c r="AG167" s="34" t="s">
        <v>123</v>
      </c>
      <c r="AH167" s="34" t="s">
        <v>123</v>
      </c>
      <c r="AI167" s="34" t="s">
        <v>123</v>
      </c>
      <c r="AJ167" s="34" t="s">
        <v>123</v>
      </c>
      <c r="AK167" s="34" t="s">
        <v>123</v>
      </c>
      <c r="AL167" s="34" t="s">
        <v>123</v>
      </c>
      <c r="AM167" s="34" t="s">
        <v>123</v>
      </c>
      <c r="AN167" s="34" t="s">
        <v>123</v>
      </c>
      <c r="AO167" s="34" t="s">
        <v>123</v>
      </c>
      <c r="AP167" s="34">
        <v>0</v>
      </c>
      <c r="AQ167" s="34" t="s">
        <v>123</v>
      </c>
      <c r="AR167" s="34">
        <v>0.22882463</v>
      </c>
      <c r="AS167" s="34"/>
      <c r="AT167" s="34" t="s">
        <v>123</v>
      </c>
      <c r="AU167" s="34">
        <v>115</v>
      </c>
      <c r="AV167" s="34" t="s">
        <v>1534</v>
      </c>
      <c r="AW167" s="34">
        <v>0</v>
      </c>
      <c r="AX167" s="34">
        <v>1516</v>
      </c>
      <c r="AY167" s="34" t="s">
        <v>1329</v>
      </c>
      <c r="AZ167" s="35">
        <v>45951</v>
      </c>
      <c r="BA167" s="35">
        <v>45951</v>
      </c>
      <c r="BB167" s="34" t="s">
        <v>123</v>
      </c>
      <c r="BC167" s="34" t="s">
        <v>123</v>
      </c>
      <c r="BD167" s="34" t="s">
        <v>123</v>
      </c>
      <c r="BE167" s="34" t="s">
        <v>1334</v>
      </c>
      <c r="BF167" s="34">
        <v>319</v>
      </c>
      <c r="BG167" s="34">
        <v>0</v>
      </c>
      <c r="BH167" s="34">
        <v>0.3093301</v>
      </c>
      <c r="BI167" s="34" t="s">
        <v>159</v>
      </c>
      <c r="BJ167" s="34" t="s">
        <v>1336</v>
      </c>
      <c r="BK167" s="34"/>
      <c r="BL167" s="34" t="s">
        <v>1456</v>
      </c>
      <c r="BM167" s="34"/>
      <c r="BN167" s="34">
        <v>0</v>
      </c>
      <c r="BO167" s="34" t="s">
        <v>1330</v>
      </c>
      <c r="BP167" s="34">
        <v>0.34866479</v>
      </c>
      <c r="BQ167" s="34" t="s">
        <v>1326</v>
      </c>
      <c r="BR167" s="35">
        <v>45951</v>
      </c>
      <c r="BS167" s="34">
        <v>0</v>
      </c>
      <c r="BT167" s="34" t="s">
        <v>123</v>
      </c>
      <c r="BU167" s="34">
        <v>0</v>
      </c>
      <c r="BV167" s="34">
        <v>500000</v>
      </c>
      <c r="BW167" s="34">
        <v>0</v>
      </c>
      <c r="BX167" s="34">
        <v>319</v>
      </c>
      <c r="BY167" s="34">
        <v>0</v>
      </c>
      <c r="BZ167" s="34">
        <v>1</v>
      </c>
      <c r="CA167" s="34" t="s">
        <v>123</v>
      </c>
      <c r="CB167" s="34" t="s">
        <v>123</v>
      </c>
      <c r="CC167" s="34" t="s">
        <v>123</v>
      </c>
    </row>
    <row r="168" spans="1:81" x14ac:dyDescent="0.3">
      <c r="A168" s="34" t="s">
        <v>1535</v>
      </c>
      <c r="B168" s="34" t="s">
        <v>895</v>
      </c>
      <c r="C168" s="34" t="s">
        <v>1345</v>
      </c>
      <c r="D168" s="34"/>
      <c r="E168" s="35">
        <v>45630</v>
      </c>
      <c r="F168" s="35">
        <v>46762</v>
      </c>
      <c r="G168" s="34"/>
      <c r="H168" s="34" t="s">
        <v>1325</v>
      </c>
      <c r="I168" s="34">
        <v>0</v>
      </c>
      <c r="J168" s="34">
        <v>100000000</v>
      </c>
      <c r="K168" s="34" t="s">
        <v>123</v>
      </c>
      <c r="L168" s="34" t="s">
        <v>123</v>
      </c>
      <c r="M168" s="34" t="s">
        <v>123</v>
      </c>
      <c r="N168" s="34" t="s">
        <v>123</v>
      </c>
      <c r="O168" s="34">
        <v>103.1</v>
      </c>
      <c r="P168" s="34">
        <v>2.5000000000000001E-3</v>
      </c>
      <c r="Q168" s="34" t="s">
        <v>123</v>
      </c>
      <c r="R168" s="34" t="s">
        <v>123</v>
      </c>
      <c r="S168" s="34" t="s">
        <v>123</v>
      </c>
      <c r="T168" s="34" t="s">
        <v>123</v>
      </c>
      <c r="U168" s="34" t="s">
        <v>123</v>
      </c>
      <c r="V168" s="34" t="s">
        <v>123</v>
      </c>
      <c r="W168" s="34" t="s">
        <v>123</v>
      </c>
      <c r="X168" s="34" t="s">
        <v>123</v>
      </c>
      <c r="Y168" s="34" t="s">
        <v>123</v>
      </c>
      <c r="Z168" s="34">
        <v>0</v>
      </c>
      <c r="AA168" s="34" t="s">
        <v>123</v>
      </c>
      <c r="AB168" s="34">
        <v>0</v>
      </c>
      <c r="AC168" s="34">
        <v>1</v>
      </c>
      <c r="AD168" s="34" t="s">
        <v>123</v>
      </c>
      <c r="AE168" s="34" t="s">
        <v>123</v>
      </c>
      <c r="AF168" s="34" t="s">
        <v>898</v>
      </c>
      <c r="AG168" s="34" t="s">
        <v>123</v>
      </c>
      <c r="AH168" s="34" t="s">
        <v>123</v>
      </c>
      <c r="AI168" s="34" t="s">
        <v>123</v>
      </c>
      <c r="AJ168" s="34" t="s">
        <v>123</v>
      </c>
      <c r="AK168" s="34" t="s">
        <v>123</v>
      </c>
      <c r="AL168" s="34" t="s">
        <v>123</v>
      </c>
      <c r="AM168" s="34" t="s">
        <v>123</v>
      </c>
      <c r="AN168" s="34" t="s">
        <v>123</v>
      </c>
      <c r="AO168" s="34" t="s">
        <v>123</v>
      </c>
      <c r="AP168" s="34">
        <v>0</v>
      </c>
      <c r="AQ168" s="34" t="s">
        <v>123</v>
      </c>
      <c r="AR168" s="34">
        <v>5.9052420000000001E-2</v>
      </c>
      <c r="AS168" s="34"/>
      <c r="AT168" s="34" t="s">
        <v>123</v>
      </c>
      <c r="AU168" s="34">
        <v>115</v>
      </c>
      <c r="AV168" s="34" t="s">
        <v>1536</v>
      </c>
      <c r="AW168" s="34">
        <v>0</v>
      </c>
      <c r="AX168" s="34">
        <v>1517</v>
      </c>
      <c r="AY168" s="34" t="s">
        <v>1333</v>
      </c>
      <c r="AZ168" s="35">
        <v>45957</v>
      </c>
      <c r="BA168" s="35">
        <v>45957</v>
      </c>
      <c r="BB168" s="34" t="s">
        <v>123</v>
      </c>
      <c r="BC168" s="34" t="s">
        <v>123</v>
      </c>
      <c r="BD168" s="34" t="s">
        <v>123</v>
      </c>
      <c r="BE168" s="34" t="s">
        <v>1347</v>
      </c>
      <c r="BF168" s="34">
        <v>208</v>
      </c>
      <c r="BG168" s="34">
        <v>0</v>
      </c>
      <c r="BH168" s="34">
        <v>3.4997439999999998E-2</v>
      </c>
      <c r="BI168" s="34" t="s">
        <v>150</v>
      </c>
      <c r="BJ168" s="34" t="s">
        <v>1336</v>
      </c>
      <c r="BK168" s="34"/>
      <c r="BL168" s="34" t="s">
        <v>1456</v>
      </c>
      <c r="BM168" s="34"/>
      <c r="BN168" s="34">
        <v>0</v>
      </c>
      <c r="BO168" s="34" t="s">
        <v>1330</v>
      </c>
      <c r="BP168" s="34">
        <v>7.3099999999999998E-2</v>
      </c>
      <c r="BQ168" s="34" t="s">
        <v>1326</v>
      </c>
      <c r="BR168" s="35">
        <v>45957</v>
      </c>
      <c r="BS168" s="34">
        <v>0</v>
      </c>
      <c r="BT168" s="34" t="s">
        <v>123</v>
      </c>
      <c r="BU168" s="34">
        <v>0</v>
      </c>
      <c r="BV168" s="34">
        <v>250000</v>
      </c>
      <c r="BW168" s="34">
        <v>0</v>
      </c>
      <c r="BX168" s="34">
        <v>208</v>
      </c>
      <c r="BY168" s="34">
        <v>0</v>
      </c>
      <c r="BZ168" s="34">
        <v>1</v>
      </c>
      <c r="CA168" s="34" t="s">
        <v>123</v>
      </c>
      <c r="CB168" s="34" t="s">
        <v>123</v>
      </c>
      <c r="CC168" s="34" t="s">
        <v>123</v>
      </c>
    </row>
    <row r="169" spans="1:81" x14ac:dyDescent="0.3">
      <c r="A169" s="34" t="s">
        <v>1537</v>
      </c>
      <c r="B169" s="34" t="s">
        <v>627</v>
      </c>
      <c r="C169" s="34" t="s">
        <v>1341</v>
      </c>
      <c r="D169" s="34"/>
      <c r="E169" s="35">
        <v>45693</v>
      </c>
      <c r="F169" s="35">
        <v>46820</v>
      </c>
      <c r="G169" s="34"/>
      <c r="H169" s="34" t="s">
        <v>1325</v>
      </c>
      <c r="I169" s="34">
        <v>0</v>
      </c>
      <c r="J169" s="34">
        <v>150000000</v>
      </c>
      <c r="K169" s="34" t="s">
        <v>123</v>
      </c>
      <c r="L169" s="34" t="s">
        <v>123</v>
      </c>
      <c r="M169" s="34" t="s">
        <v>123</v>
      </c>
      <c r="N169" s="34" t="s">
        <v>123</v>
      </c>
      <c r="O169" s="34">
        <v>101.25</v>
      </c>
      <c r="P169" s="34">
        <v>1.6666700000000001E-3</v>
      </c>
      <c r="Q169" s="34" t="s">
        <v>123</v>
      </c>
      <c r="R169" s="34" t="s">
        <v>123</v>
      </c>
      <c r="S169" s="34" t="s">
        <v>123</v>
      </c>
      <c r="T169" s="34" t="s">
        <v>123</v>
      </c>
      <c r="U169" s="34" t="s">
        <v>123</v>
      </c>
      <c r="V169" s="34" t="s">
        <v>123</v>
      </c>
      <c r="W169" s="34" t="s">
        <v>123</v>
      </c>
      <c r="X169" s="34" t="s">
        <v>123</v>
      </c>
      <c r="Y169" s="34" t="s">
        <v>123</v>
      </c>
      <c r="Z169" s="34">
        <v>0</v>
      </c>
      <c r="AA169" s="34" t="s">
        <v>123</v>
      </c>
      <c r="AB169" s="34">
        <v>0</v>
      </c>
      <c r="AC169" s="34">
        <v>1</v>
      </c>
      <c r="AD169" s="34" t="s">
        <v>123</v>
      </c>
      <c r="AE169" s="34" t="s">
        <v>123</v>
      </c>
      <c r="AF169" s="34" t="s">
        <v>628</v>
      </c>
      <c r="AG169" s="34" t="s">
        <v>123</v>
      </c>
      <c r="AH169" s="34" t="s">
        <v>123</v>
      </c>
      <c r="AI169" s="34" t="s">
        <v>123</v>
      </c>
      <c r="AJ169" s="34" t="s">
        <v>123</v>
      </c>
      <c r="AK169" s="34" t="s">
        <v>123</v>
      </c>
      <c r="AL169" s="34" t="s">
        <v>123</v>
      </c>
      <c r="AM169" s="34" t="s">
        <v>123</v>
      </c>
      <c r="AN169" s="34" t="s">
        <v>123</v>
      </c>
      <c r="AO169" s="34" t="s">
        <v>123</v>
      </c>
      <c r="AP169" s="34">
        <v>0</v>
      </c>
      <c r="AQ169" s="34" t="s">
        <v>123</v>
      </c>
      <c r="AR169" s="34">
        <v>8.3334779999999997E-2</v>
      </c>
      <c r="AS169" s="34"/>
      <c r="AT169" s="34" t="s">
        <v>123</v>
      </c>
      <c r="AU169" s="34">
        <v>115</v>
      </c>
      <c r="AV169" s="34" t="s">
        <v>1538</v>
      </c>
      <c r="AW169" s="34">
        <v>0</v>
      </c>
      <c r="AX169" s="34">
        <v>1518</v>
      </c>
      <c r="AY169" s="34" t="s">
        <v>1333</v>
      </c>
      <c r="AZ169" s="35">
        <v>45957</v>
      </c>
      <c r="BA169" s="35">
        <v>45957</v>
      </c>
      <c r="BB169" s="34" t="s">
        <v>123</v>
      </c>
      <c r="BC169" s="34" t="s">
        <v>123</v>
      </c>
      <c r="BD169" s="34" t="s">
        <v>123</v>
      </c>
      <c r="BE169" s="34" t="s">
        <v>139</v>
      </c>
      <c r="BF169" s="34">
        <v>128</v>
      </c>
      <c r="BG169" s="34">
        <v>0</v>
      </c>
      <c r="BH169" s="34">
        <v>4.995981E-2</v>
      </c>
      <c r="BI169" s="34" t="s">
        <v>159</v>
      </c>
      <c r="BJ169" s="34" t="s">
        <v>1332</v>
      </c>
      <c r="BK169" s="34"/>
      <c r="BL169" s="34" t="s">
        <v>1456</v>
      </c>
      <c r="BM169" s="34"/>
      <c r="BN169" s="34">
        <v>0</v>
      </c>
      <c r="BO169" s="34" t="s">
        <v>1330</v>
      </c>
      <c r="BP169" s="34">
        <v>8.8507139999999998E-2</v>
      </c>
      <c r="BQ169" s="34" t="s">
        <v>1326</v>
      </c>
      <c r="BR169" s="35">
        <v>45957</v>
      </c>
      <c r="BS169" s="34">
        <v>0</v>
      </c>
      <c r="BT169" s="34" t="s">
        <v>123</v>
      </c>
      <c r="BU169" s="34">
        <v>0</v>
      </c>
      <c r="BV169" s="34">
        <v>250000</v>
      </c>
      <c r="BW169" s="34">
        <v>0</v>
      </c>
      <c r="BX169" s="34">
        <v>128</v>
      </c>
      <c r="BY169" s="34">
        <v>0</v>
      </c>
      <c r="BZ169" s="34">
        <v>1</v>
      </c>
      <c r="CA169" s="34" t="s">
        <v>123</v>
      </c>
      <c r="CB169" s="34" t="s">
        <v>123</v>
      </c>
      <c r="CC169" s="34" t="s">
        <v>123</v>
      </c>
    </row>
    <row r="170" spans="1:81" x14ac:dyDescent="0.3">
      <c r="A170" s="34" t="s">
        <v>1539</v>
      </c>
      <c r="B170" s="34" t="s">
        <v>995</v>
      </c>
      <c r="C170" s="34" t="s">
        <v>1360</v>
      </c>
      <c r="D170" s="34"/>
      <c r="E170" s="35">
        <v>45701</v>
      </c>
      <c r="F170" s="35">
        <v>46804</v>
      </c>
      <c r="G170" s="34"/>
      <c r="H170" s="34" t="s">
        <v>1325</v>
      </c>
      <c r="I170" s="34">
        <v>0</v>
      </c>
      <c r="J170" s="34">
        <v>200000000</v>
      </c>
      <c r="K170" s="34" t="s">
        <v>123</v>
      </c>
      <c r="L170" s="34" t="s">
        <v>123</v>
      </c>
      <c r="M170" s="34" t="s">
        <v>123</v>
      </c>
      <c r="N170" s="34" t="s">
        <v>123</v>
      </c>
      <c r="O170" s="34">
        <v>104.2</v>
      </c>
      <c r="P170" s="34">
        <v>1.4285700000000001E-3</v>
      </c>
      <c r="Q170" s="34" t="s">
        <v>123</v>
      </c>
      <c r="R170" s="34" t="s">
        <v>123</v>
      </c>
      <c r="S170" s="34" t="s">
        <v>123</v>
      </c>
      <c r="T170" s="34" t="s">
        <v>123</v>
      </c>
      <c r="U170" s="34" t="s">
        <v>123</v>
      </c>
      <c r="V170" s="34" t="s">
        <v>123</v>
      </c>
      <c r="W170" s="34" t="s">
        <v>123</v>
      </c>
      <c r="X170" s="34" t="s">
        <v>123</v>
      </c>
      <c r="Y170" s="34" t="s">
        <v>123</v>
      </c>
      <c r="Z170" s="34">
        <v>0</v>
      </c>
      <c r="AA170" s="34" t="s">
        <v>123</v>
      </c>
      <c r="AB170" s="34">
        <v>0</v>
      </c>
      <c r="AC170" s="34">
        <v>1</v>
      </c>
      <c r="AD170" s="34" t="s">
        <v>123</v>
      </c>
      <c r="AE170" s="34" t="s">
        <v>123</v>
      </c>
      <c r="AF170" s="34" t="s">
        <v>996</v>
      </c>
      <c r="AG170" s="34" t="s">
        <v>123</v>
      </c>
      <c r="AH170" s="34" t="s">
        <v>123</v>
      </c>
      <c r="AI170" s="34" t="s">
        <v>123</v>
      </c>
      <c r="AJ170" s="34" t="s">
        <v>123</v>
      </c>
      <c r="AK170" s="34" t="s">
        <v>123</v>
      </c>
      <c r="AL170" s="34" t="s">
        <v>123</v>
      </c>
      <c r="AM170" s="34" t="s">
        <v>123</v>
      </c>
      <c r="AN170" s="34" t="s">
        <v>123</v>
      </c>
      <c r="AO170" s="34" t="s">
        <v>123</v>
      </c>
      <c r="AP170" s="34">
        <v>0</v>
      </c>
      <c r="AQ170" s="34" t="s">
        <v>123</v>
      </c>
      <c r="AR170" s="34">
        <v>8.3603849999999993E-2</v>
      </c>
      <c r="AS170" s="34"/>
      <c r="AT170" s="34" t="s">
        <v>123</v>
      </c>
      <c r="AU170" s="34">
        <v>115</v>
      </c>
      <c r="AV170" s="34" t="s">
        <v>1540</v>
      </c>
      <c r="AW170" s="34">
        <v>0</v>
      </c>
      <c r="AX170" s="34">
        <v>1519</v>
      </c>
      <c r="AY170" s="34" t="s">
        <v>1333</v>
      </c>
      <c r="AZ170" s="35">
        <v>45957</v>
      </c>
      <c r="BA170" s="35">
        <v>45957</v>
      </c>
      <c r="BB170" s="34" t="s">
        <v>123</v>
      </c>
      <c r="BC170" s="34" t="s">
        <v>123</v>
      </c>
      <c r="BD170" s="34" t="s">
        <v>123</v>
      </c>
      <c r="BE170" s="34" t="s">
        <v>139</v>
      </c>
      <c r="BF170" s="34">
        <v>234</v>
      </c>
      <c r="BG170" s="34">
        <v>0</v>
      </c>
      <c r="BH170" s="34">
        <v>6.497E-2</v>
      </c>
      <c r="BI170" s="34" t="s">
        <v>159</v>
      </c>
      <c r="BJ170" s="34" t="s">
        <v>1336</v>
      </c>
      <c r="BK170" s="34"/>
      <c r="BL170" s="34" t="s">
        <v>1456</v>
      </c>
      <c r="BM170" s="34"/>
      <c r="BN170" s="34">
        <v>0</v>
      </c>
      <c r="BO170" s="34" t="s">
        <v>1330</v>
      </c>
      <c r="BP170" s="34">
        <v>0.1032</v>
      </c>
      <c r="BQ170" s="34" t="s">
        <v>1326</v>
      </c>
      <c r="BR170" s="35">
        <v>45957</v>
      </c>
      <c r="BS170" s="34">
        <v>0</v>
      </c>
      <c r="BT170" s="34" t="s">
        <v>123</v>
      </c>
      <c r="BU170" s="34">
        <v>0</v>
      </c>
      <c r="BV170" s="34">
        <v>250000</v>
      </c>
      <c r="BW170" s="34">
        <v>0</v>
      </c>
      <c r="BX170" s="34">
        <v>234</v>
      </c>
      <c r="BY170" s="34">
        <v>0</v>
      </c>
      <c r="BZ170" s="34">
        <v>1</v>
      </c>
      <c r="CA170" s="34" t="s">
        <v>123</v>
      </c>
      <c r="CB170" s="34" t="s">
        <v>123</v>
      </c>
      <c r="CC170" s="34" t="s">
        <v>123</v>
      </c>
    </row>
    <row r="171" spans="1:81" x14ac:dyDescent="0.3">
      <c r="A171" s="34" t="s">
        <v>1541</v>
      </c>
      <c r="B171" s="34" t="s">
        <v>1095</v>
      </c>
      <c r="C171" s="34" t="s">
        <v>1358</v>
      </c>
      <c r="D171" s="34"/>
      <c r="E171" s="35">
        <v>45126</v>
      </c>
      <c r="F171" s="35">
        <v>46241</v>
      </c>
      <c r="G171" s="34"/>
      <c r="H171" s="34" t="s">
        <v>1325</v>
      </c>
      <c r="I171" s="34">
        <v>0</v>
      </c>
      <c r="J171" s="34">
        <v>150000000</v>
      </c>
      <c r="K171" s="34" t="s">
        <v>123</v>
      </c>
      <c r="L171" s="34" t="s">
        <v>123</v>
      </c>
      <c r="M171" s="34" t="s">
        <v>123</v>
      </c>
      <c r="N171" s="34" t="s">
        <v>123</v>
      </c>
      <c r="O171" s="34">
        <v>103.15</v>
      </c>
      <c r="P171" s="34">
        <v>1.6666700000000001E-3</v>
      </c>
      <c r="Q171" s="34" t="s">
        <v>123</v>
      </c>
      <c r="R171" s="34" t="s">
        <v>123</v>
      </c>
      <c r="S171" s="34" t="s">
        <v>123</v>
      </c>
      <c r="T171" s="34" t="s">
        <v>123</v>
      </c>
      <c r="U171" s="34" t="s">
        <v>123</v>
      </c>
      <c r="V171" s="34" t="s">
        <v>123</v>
      </c>
      <c r="W171" s="34" t="s">
        <v>123</v>
      </c>
      <c r="X171" s="34" t="s">
        <v>123</v>
      </c>
      <c r="Y171" s="34" t="s">
        <v>123</v>
      </c>
      <c r="Z171" s="34">
        <v>0</v>
      </c>
      <c r="AA171" s="34" t="s">
        <v>123</v>
      </c>
      <c r="AB171" s="34">
        <v>0</v>
      </c>
      <c r="AC171" s="34">
        <v>1</v>
      </c>
      <c r="AD171" s="34" t="s">
        <v>123</v>
      </c>
      <c r="AE171" s="34" t="s">
        <v>123</v>
      </c>
      <c r="AF171" s="34" t="s">
        <v>1098</v>
      </c>
      <c r="AG171" s="34" t="s">
        <v>123</v>
      </c>
      <c r="AH171" s="34" t="s">
        <v>123</v>
      </c>
      <c r="AI171" s="34" t="s">
        <v>123</v>
      </c>
      <c r="AJ171" s="34" t="s">
        <v>123</v>
      </c>
      <c r="AK171" s="34" t="s">
        <v>123</v>
      </c>
      <c r="AL171" s="34" t="s">
        <v>123</v>
      </c>
      <c r="AM171" s="34" t="s">
        <v>123</v>
      </c>
      <c r="AN171" s="34" t="s">
        <v>123</v>
      </c>
      <c r="AO171" s="34" t="s">
        <v>123</v>
      </c>
      <c r="AP171" s="34">
        <v>0</v>
      </c>
      <c r="AQ171" s="34" t="s">
        <v>123</v>
      </c>
      <c r="AR171" s="34">
        <v>6.3872529999999997E-2</v>
      </c>
      <c r="AS171" s="34"/>
      <c r="AT171" s="34" t="s">
        <v>123</v>
      </c>
      <c r="AU171" s="34">
        <v>115</v>
      </c>
      <c r="AV171" s="34" t="s">
        <v>1542</v>
      </c>
      <c r="AW171" s="34">
        <v>0</v>
      </c>
      <c r="AX171" s="34">
        <v>1520</v>
      </c>
      <c r="AY171" s="34" t="s">
        <v>1329</v>
      </c>
      <c r="AZ171" s="35">
        <v>45960</v>
      </c>
      <c r="BA171" s="35">
        <v>45960</v>
      </c>
      <c r="BB171" s="34" t="s">
        <v>123</v>
      </c>
      <c r="BC171" s="34" t="s">
        <v>123</v>
      </c>
      <c r="BD171" s="34" t="s">
        <v>123</v>
      </c>
      <c r="BE171" s="34" t="s">
        <v>139</v>
      </c>
      <c r="BF171" s="34">
        <v>261</v>
      </c>
      <c r="BG171" s="34">
        <v>0</v>
      </c>
      <c r="BH171" s="34">
        <v>6.6826479999999994E-2</v>
      </c>
      <c r="BI171" s="34" t="s">
        <v>133</v>
      </c>
      <c r="BJ171" s="34" t="s">
        <v>1332</v>
      </c>
      <c r="BK171" s="34">
        <v>2025</v>
      </c>
      <c r="BL171" s="34" t="s">
        <v>1456</v>
      </c>
      <c r="BM171" s="34"/>
      <c r="BN171" s="34">
        <v>0</v>
      </c>
      <c r="BO171" s="34" t="s">
        <v>1330</v>
      </c>
      <c r="BP171" s="34">
        <v>0.1051</v>
      </c>
      <c r="BQ171" s="34" t="s">
        <v>1326</v>
      </c>
      <c r="BR171" s="35">
        <v>45960</v>
      </c>
      <c r="BS171" s="34">
        <v>0</v>
      </c>
      <c r="BT171" s="34" t="s">
        <v>123</v>
      </c>
      <c r="BU171" s="34">
        <v>0</v>
      </c>
      <c r="BV171" s="34">
        <v>250000</v>
      </c>
      <c r="BW171" s="34">
        <v>0</v>
      </c>
      <c r="BX171" s="34">
        <v>261</v>
      </c>
      <c r="BY171" s="34">
        <v>0</v>
      </c>
      <c r="BZ171" s="34">
        <v>1</v>
      </c>
      <c r="CA171" s="34" t="s">
        <v>123</v>
      </c>
      <c r="CB171" s="34" t="s">
        <v>123</v>
      </c>
      <c r="CC171" s="34" t="s">
        <v>123</v>
      </c>
    </row>
    <row r="172" spans="1:81" x14ac:dyDescent="0.3">
      <c r="A172" s="34" t="s">
        <v>1543</v>
      </c>
      <c r="B172" s="34" t="s">
        <v>1197</v>
      </c>
      <c r="C172" s="34" t="s">
        <v>1339</v>
      </c>
      <c r="D172" s="34"/>
      <c r="E172" s="35">
        <v>45090</v>
      </c>
      <c r="F172" s="35">
        <v>45096</v>
      </c>
      <c r="G172" s="34"/>
      <c r="H172" s="34" t="s">
        <v>1325</v>
      </c>
      <c r="I172" s="34">
        <v>0</v>
      </c>
      <c r="J172" s="34">
        <v>500000000</v>
      </c>
      <c r="K172" s="34" t="s">
        <v>123</v>
      </c>
      <c r="L172" s="34" t="s">
        <v>123</v>
      </c>
      <c r="M172" s="34" t="s">
        <v>123</v>
      </c>
      <c r="N172" s="34" t="s">
        <v>123</v>
      </c>
      <c r="O172" s="34">
        <v>102.35</v>
      </c>
      <c r="P172" s="34">
        <v>1.11111E-3</v>
      </c>
      <c r="Q172" s="34" t="s">
        <v>123</v>
      </c>
      <c r="R172" s="34" t="s">
        <v>123</v>
      </c>
      <c r="S172" s="34" t="s">
        <v>123</v>
      </c>
      <c r="T172" s="34" t="s">
        <v>123</v>
      </c>
      <c r="U172" s="34" t="s">
        <v>123</v>
      </c>
      <c r="V172" s="34" t="s">
        <v>123</v>
      </c>
      <c r="W172" s="34" t="s">
        <v>123</v>
      </c>
      <c r="X172" s="34" t="s">
        <v>123</v>
      </c>
      <c r="Y172" s="34" t="s">
        <v>123</v>
      </c>
      <c r="Z172" s="34">
        <v>0</v>
      </c>
      <c r="AA172" s="34" t="s">
        <v>123</v>
      </c>
      <c r="AB172" s="34">
        <v>0</v>
      </c>
      <c r="AC172" s="34">
        <v>1</v>
      </c>
      <c r="AD172" s="34" t="s">
        <v>123</v>
      </c>
      <c r="AE172" s="34" t="s">
        <v>123</v>
      </c>
      <c r="AF172" s="34" t="s">
        <v>1200</v>
      </c>
      <c r="AG172" s="34" t="s">
        <v>123</v>
      </c>
      <c r="AH172" s="34" t="s">
        <v>123</v>
      </c>
      <c r="AI172" s="34" t="s">
        <v>123</v>
      </c>
      <c r="AJ172" s="34" t="s">
        <v>123</v>
      </c>
      <c r="AK172" s="34" t="s">
        <v>123</v>
      </c>
      <c r="AL172" s="34" t="s">
        <v>123</v>
      </c>
      <c r="AM172" s="34" t="s">
        <v>123</v>
      </c>
      <c r="AN172" s="34" t="s">
        <v>123</v>
      </c>
      <c r="AO172" s="34" t="s">
        <v>123</v>
      </c>
      <c r="AP172" s="34">
        <v>0</v>
      </c>
      <c r="AQ172" s="34" t="s">
        <v>123</v>
      </c>
      <c r="AR172" s="34">
        <v>6.7771029999999996E-2</v>
      </c>
      <c r="AS172" s="34"/>
      <c r="AT172" s="34" t="s">
        <v>123</v>
      </c>
      <c r="AU172" s="34">
        <v>115</v>
      </c>
      <c r="AV172" s="34" t="s">
        <v>1544</v>
      </c>
      <c r="AW172" s="34">
        <v>0</v>
      </c>
      <c r="AX172" s="34">
        <v>1521</v>
      </c>
      <c r="AY172" s="34" t="s">
        <v>1329</v>
      </c>
      <c r="AZ172" s="35">
        <v>45960</v>
      </c>
      <c r="BA172" s="35">
        <v>45960</v>
      </c>
      <c r="BB172" s="34" t="s">
        <v>123</v>
      </c>
      <c r="BC172" s="34" t="s">
        <v>123</v>
      </c>
      <c r="BD172" s="34" t="s">
        <v>123</v>
      </c>
      <c r="BE172" s="34" t="s">
        <v>139</v>
      </c>
      <c r="BF172" s="34">
        <v>294</v>
      </c>
      <c r="BG172" s="34">
        <v>0</v>
      </c>
      <c r="BH172" s="34">
        <v>6.7427589999999996E-2</v>
      </c>
      <c r="BI172" s="34" t="s">
        <v>133</v>
      </c>
      <c r="BJ172" s="34" t="s">
        <v>1332</v>
      </c>
      <c r="BK172" s="34">
        <v>2025</v>
      </c>
      <c r="BL172" s="34" t="s">
        <v>1456</v>
      </c>
      <c r="BM172" s="34"/>
      <c r="BN172" s="34">
        <v>0</v>
      </c>
      <c r="BO172" s="34" t="s">
        <v>1330</v>
      </c>
      <c r="BP172" s="34">
        <v>0.1056</v>
      </c>
      <c r="BQ172" s="34" t="s">
        <v>1326</v>
      </c>
      <c r="BR172" s="35">
        <v>45960</v>
      </c>
      <c r="BS172" s="34">
        <v>0</v>
      </c>
      <c r="BT172" s="34" t="s">
        <v>123</v>
      </c>
      <c r="BU172" s="34">
        <v>0</v>
      </c>
      <c r="BV172" s="34">
        <v>250000</v>
      </c>
      <c r="BW172" s="34">
        <v>0</v>
      </c>
      <c r="BX172" s="34">
        <v>294</v>
      </c>
      <c r="BY172" s="34">
        <v>0</v>
      </c>
      <c r="BZ172" s="34">
        <v>1</v>
      </c>
      <c r="CA172" s="34" t="s">
        <v>123</v>
      </c>
      <c r="CB172" s="34" t="s">
        <v>123</v>
      </c>
      <c r="CC172" s="34" t="s">
        <v>123</v>
      </c>
    </row>
    <row r="173" spans="1:81" x14ac:dyDescent="0.3">
      <c r="A173" s="34" t="s">
        <v>1545</v>
      </c>
      <c r="B173" s="34" t="s">
        <v>744</v>
      </c>
      <c r="C173" s="34" t="s">
        <v>1364</v>
      </c>
      <c r="D173" s="34"/>
      <c r="E173" s="35">
        <v>45791</v>
      </c>
      <c r="F173" s="35">
        <v>46911</v>
      </c>
      <c r="G173" s="34"/>
      <c r="H173" s="34" t="s">
        <v>1325</v>
      </c>
      <c r="I173" s="34">
        <v>0</v>
      </c>
      <c r="J173" s="34">
        <v>1427000000</v>
      </c>
      <c r="K173" s="34" t="s">
        <v>123</v>
      </c>
      <c r="L173" s="34" t="s">
        <v>123</v>
      </c>
      <c r="M173" s="34" t="s">
        <v>123</v>
      </c>
      <c r="N173" s="34" t="s">
        <v>123</v>
      </c>
      <c r="O173" s="34">
        <v>105.6</v>
      </c>
      <c r="P173" s="34">
        <v>1E-3</v>
      </c>
      <c r="Q173" s="34" t="s">
        <v>123</v>
      </c>
      <c r="R173" s="34" t="s">
        <v>123</v>
      </c>
      <c r="S173" s="34" t="s">
        <v>123</v>
      </c>
      <c r="T173" s="34" t="s">
        <v>123</v>
      </c>
      <c r="U173" s="34" t="s">
        <v>123</v>
      </c>
      <c r="V173" s="34" t="s">
        <v>123</v>
      </c>
      <c r="W173" s="34" t="s">
        <v>123</v>
      </c>
      <c r="X173" s="34" t="s">
        <v>123</v>
      </c>
      <c r="Y173" s="34" t="s">
        <v>123</v>
      </c>
      <c r="Z173" s="34">
        <v>0</v>
      </c>
      <c r="AA173" s="34" t="s">
        <v>123</v>
      </c>
      <c r="AB173" s="34">
        <v>0</v>
      </c>
      <c r="AC173" s="34">
        <v>1</v>
      </c>
      <c r="AD173" s="34" t="s">
        <v>123</v>
      </c>
      <c r="AE173" s="34" t="s">
        <v>123</v>
      </c>
      <c r="AF173" s="34" t="s">
        <v>747</v>
      </c>
      <c r="AG173" s="34" t="s">
        <v>123</v>
      </c>
      <c r="AH173" s="34" t="s">
        <v>123</v>
      </c>
      <c r="AI173" s="34" t="s">
        <v>123</v>
      </c>
      <c r="AJ173" s="34" t="s">
        <v>123</v>
      </c>
      <c r="AK173" s="34" t="s">
        <v>123</v>
      </c>
      <c r="AL173" s="34" t="s">
        <v>123</v>
      </c>
      <c r="AM173" s="34" t="s">
        <v>123</v>
      </c>
      <c r="AN173" s="34" t="s">
        <v>123</v>
      </c>
      <c r="AO173" s="34" t="s">
        <v>123</v>
      </c>
      <c r="AP173" s="34">
        <v>0</v>
      </c>
      <c r="AQ173" s="34" t="s">
        <v>123</v>
      </c>
      <c r="AR173" s="34">
        <v>7.2376590000000005E-2</v>
      </c>
      <c r="AS173" s="34"/>
      <c r="AT173" s="34" t="s">
        <v>123</v>
      </c>
      <c r="AU173" s="34">
        <v>115</v>
      </c>
      <c r="AV173" s="34" t="s">
        <v>1546</v>
      </c>
      <c r="AW173" s="34">
        <v>0</v>
      </c>
      <c r="AX173" s="34">
        <v>1522</v>
      </c>
      <c r="AY173" s="34" t="s">
        <v>1329</v>
      </c>
      <c r="AZ173" s="35">
        <v>45964</v>
      </c>
      <c r="BA173" s="35">
        <v>45964</v>
      </c>
      <c r="BB173" s="34" t="s">
        <v>123</v>
      </c>
      <c r="BC173" s="34" t="s">
        <v>123</v>
      </c>
      <c r="BD173" s="34" t="s">
        <v>123</v>
      </c>
      <c r="BE173" s="34" t="s">
        <v>139</v>
      </c>
      <c r="BF173" s="34">
        <v>160</v>
      </c>
      <c r="BG173" s="34">
        <v>0</v>
      </c>
      <c r="BH173" s="34">
        <v>5.7469029999999997E-2</v>
      </c>
      <c r="BI173" s="34" t="s">
        <v>159</v>
      </c>
      <c r="BJ173" s="34" t="s">
        <v>1336</v>
      </c>
      <c r="BK173" s="34"/>
      <c r="BL173" s="34" t="s">
        <v>1456</v>
      </c>
      <c r="BM173" s="34"/>
      <c r="BN173" s="34">
        <v>0</v>
      </c>
      <c r="BO173" s="34" t="s">
        <v>1330</v>
      </c>
      <c r="BP173" s="34">
        <v>9.5600000000000004E-2</v>
      </c>
      <c r="BQ173" s="34" t="s">
        <v>1326</v>
      </c>
      <c r="BR173" s="35">
        <v>45964</v>
      </c>
      <c r="BS173" s="34">
        <v>0</v>
      </c>
      <c r="BT173" s="34" t="s">
        <v>123</v>
      </c>
      <c r="BU173" s="34">
        <v>0</v>
      </c>
      <c r="BV173" s="34">
        <v>250000</v>
      </c>
      <c r="BW173" s="34">
        <v>0</v>
      </c>
      <c r="BX173" s="34">
        <v>160</v>
      </c>
      <c r="BY173" s="34">
        <v>0</v>
      </c>
      <c r="BZ173" s="34">
        <v>1</v>
      </c>
      <c r="CA173" s="34" t="s">
        <v>123</v>
      </c>
      <c r="CB173" s="34" t="s">
        <v>123</v>
      </c>
      <c r="CC173" s="34" t="s">
        <v>123</v>
      </c>
    </row>
    <row r="174" spans="1:81" x14ac:dyDescent="0.3">
      <c r="A174" s="34" t="s">
        <v>1547</v>
      </c>
      <c r="B174" s="34" t="s">
        <v>563</v>
      </c>
      <c r="C174" s="34" t="s">
        <v>1362</v>
      </c>
      <c r="D174" s="34"/>
      <c r="E174" s="35">
        <v>45777</v>
      </c>
      <c r="F174" s="35">
        <v>46911</v>
      </c>
      <c r="G174" s="34"/>
      <c r="H174" s="34" t="s">
        <v>1325</v>
      </c>
      <c r="I174" s="34">
        <v>0</v>
      </c>
      <c r="J174" s="34">
        <v>650000000</v>
      </c>
      <c r="K174" s="34" t="s">
        <v>123</v>
      </c>
      <c r="L174" s="34" t="s">
        <v>123</v>
      </c>
      <c r="M174" s="34" t="s">
        <v>123</v>
      </c>
      <c r="N174" s="34" t="s">
        <v>123</v>
      </c>
      <c r="O174" s="34">
        <v>103</v>
      </c>
      <c r="P174" s="34">
        <v>1.25E-3</v>
      </c>
      <c r="Q174" s="34" t="s">
        <v>123</v>
      </c>
      <c r="R174" s="34" t="s">
        <v>123</v>
      </c>
      <c r="S174" s="34" t="s">
        <v>123</v>
      </c>
      <c r="T174" s="34" t="s">
        <v>123</v>
      </c>
      <c r="U174" s="34" t="s">
        <v>123</v>
      </c>
      <c r="V174" s="34" t="s">
        <v>123</v>
      </c>
      <c r="W174" s="34" t="s">
        <v>123</v>
      </c>
      <c r="X174" s="34" t="s">
        <v>123</v>
      </c>
      <c r="Y174" s="34" t="s">
        <v>123</v>
      </c>
      <c r="Z174" s="34">
        <v>0</v>
      </c>
      <c r="AA174" s="34" t="s">
        <v>123</v>
      </c>
      <c r="AB174" s="34">
        <v>0</v>
      </c>
      <c r="AC174" s="34">
        <v>1</v>
      </c>
      <c r="AD174" s="34" t="s">
        <v>123</v>
      </c>
      <c r="AE174" s="34" t="s">
        <v>123</v>
      </c>
      <c r="AF174" s="34" t="s">
        <v>564</v>
      </c>
      <c r="AG174" s="34" t="s">
        <v>123</v>
      </c>
      <c r="AH174" s="34" t="s">
        <v>123</v>
      </c>
      <c r="AI174" s="34" t="s">
        <v>123</v>
      </c>
      <c r="AJ174" s="34" t="s">
        <v>123</v>
      </c>
      <c r="AK174" s="34" t="s">
        <v>123</v>
      </c>
      <c r="AL174" s="34" t="s">
        <v>123</v>
      </c>
      <c r="AM174" s="34" t="s">
        <v>123</v>
      </c>
      <c r="AN174" s="34" t="s">
        <v>123</v>
      </c>
      <c r="AO174" s="34" t="s">
        <v>123</v>
      </c>
      <c r="AP174" s="34">
        <v>0</v>
      </c>
      <c r="AQ174" s="34" t="s">
        <v>123</v>
      </c>
      <c r="AR174" s="34">
        <v>7.1044220000000005E-2</v>
      </c>
      <c r="AS174" s="34"/>
      <c r="AT174" s="34" t="s">
        <v>123</v>
      </c>
      <c r="AU174" s="34">
        <v>115</v>
      </c>
      <c r="AV174" s="34" t="s">
        <v>1548</v>
      </c>
      <c r="AW174" s="34">
        <v>0</v>
      </c>
      <c r="AX174" s="34">
        <v>1523</v>
      </c>
      <c r="AY174" s="34" t="s">
        <v>1333</v>
      </c>
      <c r="AZ174" s="35">
        <v>45965</v>
      </c>
      <c r="BA174" s="35">
        <v>45965</v>
      </c>
      <c r="BB174" s="34" t="s">
        <v>123</v>
      </c>
      <c r="BC174" s="34" t="s">
        <v>123</v>
      </c>
      <c r="BD174" s="34" t="s">
        <v>123</v>
      </c>
      <c r="BE174" s="34" t="s">
        <v>139</v>
      </c>
      <c r="BF174" s="34">
        <v>112</v>
      </c>
      <c r="BG174" s="34">
        <v>0</v>
      </c>
      <c r="BH174" s="34">
        <v>4.4995849999999997E-2</v>
      </c>
      <c r="BI174" s="34" t="s">
        <v>159</v>
      </c>
      <c r="BJ174" s="34" t="s">
        <v>1332</v>
      </c>
      <c r="BK174" s="34"/>
      <c r="BL174" s="34" t="s">
        <v>1456</v>
      </c>
      <c r="BM174" s="34"/>
      <c r="BN174" s="34">
        <v>0</v>
      </c>
      <c r="BO174" s="34" t="s">
        <v>1330</v>
      </c>
      <c r="BP174" s="34">
        <v>8.3299999999999999E-2</v>
      </c>
      <c r="BQ174" s="34" t="s">
        <v>1326</v>
      </c>
      <c r="BR174" s="35">
        <v>45965</v>
      </c>
      <c r="BS174" s="34">
        <v>0</v>
      </c>
      <c r="BT174" s="34" t="s">
        <v>123</v>
      </c>
      <c r="BU174" s="34">
        <v>0</v>
      </c>
      <c r="BV174" s="34">
        <v>250000</v>
      </c>
      <c r="BW174" s="34">
        <v>0</v>
      </c>
      <c r="BX174" s="34">
        <v>112</v>
      </c>
      <c r="BY174" s="34">
        <v>0</v>
      </c>
      <c r="BZ174" s="34">
        <v>1</v>
      </c>
      <c r="CA174" s="34" t="s">
        <v>123</v>
      </c>
      <c r="CB174" s="34" t="s">
        <v>123</v>
      </c>
      <c r="CC174" s="34" t="s">
        <v>123</v>
      </c>
    </row>
    <row r="175" spans="1:81" x14ac:dyDescent="0.3">
      <c r="A175" s="34" t="s">
        <v>1507</v>
      </c>
      <c r="B175" s="34" t="s">
        <v>247</v>
      </c>
      <c r="C175" s="34" t="s">
        <v>1381</v>
      </c>
      <c r="D175" s="34"/>
      <c r="E175" s="35">
        <v>45645</v>
      </c>
      <c r="F175" s="35">
        <v>46740</v>
      </c>
      <c r="G175" s="34"/>
      <c r="H175" s="34" t="s">
        <v>1325</v>
      </c>
      <c r="I175" s="34">
        <v>0</v>
      </c>
      <c r="J175" s="34">
        <v>200000000</v>
      </c>
      <c r="K175" s="34" t="s">
        <v>123</v>
      </c>
      <c r="L175" s="34" t="s">
        <v>123</v>
      </c>
      <c r="M175" s="34" t="s">
        <v>123</v>
      </c>
      <c r="N175" s="34" t="s">
        <v>123</v>
      </c>
      <c r="O175" s="34">
        <v>102.9</v>
      </c>
      <c r="P175" s="34">
        <v>2.5000000000000001E-3</v>
      </c>
      <c r="Q175" s="34" t="s">
        <v>123</v>
      </c>
      <c r="R175" s="34" t="s">
        <v>123</v>
      </c>
      <c r="S175" s="34" t="s">
        <v>123</v>
      </c>
      <c r="T175" s="34" t="s">
        <v>123</v>
      </c>
      <c r="U175" s="34" t="s">
        <v>123</v>
      </c>
      <c r="V175" s="34" t="s">
        <v>123</v>
      </c>
      <c r="W175" s="34" t="s">
        <v>123</v>
      </c>
      <c r="X175" s="34" t="s">
        <v>123</v>
      </c>
      <c r="Y175" s="34" t="s">
        <v>123</v>
      </c>
      <c r="Z175" s="34">
        <v>0</v>
      </c>
      <c r="AA175" s="34" t="s">
        <v>123</v>
      </c>
      <c r="AB175" s="34">
        <v>0</v>
      </c>
      <c r="AC175" s="34">
        <v>1</v>
      </c>
      <c r="AD175" s="34" t="s">
        <v>123</v>
      </c>
      <c r="AE175" s="34" t="s">
        <v>123</v>
      </c>
      <c r="AF175" s="34" t="s">
        <v>249</v>
      </c>
      <c r="AG175" s="34" t="s">
        <v>123</v>
      </c>
      <c r="AH175" s="34" t="s">
        <v>123</v>
      </c>
      <c r="AI175" s="34" t="s">
        <v>123</v>
      </c>
      <c r="AJ175" s="34" t="s">
        <v>123</v>
      </c>
      <c r="AK175" s="34" t="s">
        <v>123</v>
      </c>
      <c r="AL175" s="34" t="s">
        <v>123</v>
      </c>
      <c r="AM175" s="34" t="s">
        <v>123</v>
      </c>
      <c r="AN175" s="34" t="s">
        <v>123</v>
      </c>
      <c r="AO175" s="34" t="s">
        <v>123</v>
      </c>
      <c r="AP175" s="34">
        <v>0</v>
      </c>
      <c r="AQ175" s="34" t="s">
        <v>123</v>
      </c>
      <c r="AR175" s="34">
        <v>7.9424850000000005E-2</v>
      </c>
      <c r="AS175" s="34"/>
      <c r="AT175" s="34" t="s">
        <v>123</v>
      </c>
      <c r="AU175" s="34">
        <v>115</v>
      </c>
      <c r="AV175" s="34" t="s">
        <v>1508</v>
      </c>
      <c r="AW175" s="34">
        <v>0</v>
      </c>
      <c r="AX175" s="34">
        <v>1524</v>
      </c>
      <c r="AY175" s="34" t="s">
        <v>1333</v>
      </c>
      <c r="AZ175" s="35">
        <v>45966</v>
      </c>
      <c r="BA175" s="35">
        <v>45966</v>
      </c>
      <c r="BB175" s="34" t="s">
        <v>123</v>
      </c>
      <c r="BC175" s="34" t="s">
        <v>123</v>
      </c>
      <c r="BD175" s="34" t="s">
        <v>123</v>
      </c>
      <c r="BE175" s="34" t="s">
        <v>139</v>
      </c>
      <c r="BF175" s="34">
        <v>22</v>
      </c>
      <c r="BG175" s="34">
        <v>0</v>
      </c>
      <c r="BH175" s="34">
        <v>5.6146500000000002E-2</v>
      </c>
      <c r="BI175" s="34" t="s">
        <v>150</v>
      </c>
      <c r="BJ175" s="34" t="s">
        <v>1376</v>
      </c>
      <c r="BK175" s="34"/>
      <c r="BL175" s="34" t="s">
        <v>1456</v>
      </c>
      <c r="BM175" s="34"/>
      <c r="BN175" s="34">
        <v>0</v>
      </c>
      <c r="BO175" s="34" t="s">
        <v>1330</v>
      </c>
      <c r="BP175" s="34">
        <v>9.2999999999999999E-2</v>
      </c>
      <c r="BQ175" s="34" t="s">
        <v>1326</v>
      </c>
      <c r="BR175" s="35">
        <v>45966</v>
      </c>
      <c r="BS175" s="34">
        <v>0</v>
      </c>
      <c r="BT175" s="34" t="s">
        <v>123</v>
      </c>
      <c r="BU175" s="34">
        <v>0</v>
      </c>
      <c r="BV175" s="34">
        <v>500000</v>
      </c>
      <c r="BW175" s="34">
        <v>0</v>
      </c>
      <c r="BX175" s="34">
        <v>22</v>
      </c>
      <c r="BY175" s="34">
        <v>0</v>
      </c>
      <c r="BZ175" s="34">
        <v>1</v>
      </c>
      <c r="CA175" s="34" t="s">
        <v>123</v>
      </c>
      <c r="CB175" s="34" t="s">
        <v>123</v>
      </c>
      <c r="CC175" s="34" t="s">
        <v>123</v>
      </c>
    </row>
    <row r="176" spans="1:81" x14ac:dyDescent="0.3">
      <c r="A176" s="34" t="s">
        <v>1511</v>
      </c>
      <c r="B176" s="34" t="s">
        <v>674</v>
      </c>
      <c r="C176" s="34" t="s">
        <v>1382</v>
      </c>
      <c r="D176" s="34"/>
      <c r="E176" s="35">
        <v>45646</v>
      </c>
      <c r="F176" s="35">
        <v>46759</v>
      </c>
      <c r="G176" s="34"/>
      <c r="H176" s="34" t="s">
        <v>1325</v>
      </c>
      <c r="I176" s="34">
        <v>0</v>
      </c>
      <c r="J176" s="34">
        <v>200000000</v>
      </c>
      <c r="K176" s="34" t="s">
        <v>123</v>
      </c>
      <c r="L176" s="34" t="s">
        <v>123</v>
      </c>
      <c r="M176" s="34" t="s">
        <v>123</v>
      </c>
      <c r="N176" s="34" t="s">
        <v>123</v>
      </c>
      <c r="O176" s="34">
        <v>107.2</v>
      </c>
      <c r="P176" s="34">
        <v>1.25E-3</v>
      </c>
      <c r="Q176" s="34" t="s">
        <v>123</v>
      </c>
      <c r="R176" s="34" t="s">
        <v>123</v>
      </c>
      <c r="S176" s="34" t="s">
        <v>123</v>
      </c>
      <c r="T176" s="34" t="s">
        <v>123</v>
      </c>
      <c r="U176" s="34" t="s">
        <v>123</v>
      </c>
      <c r="V176" s="34" t="s">
        <v>123</v>
      </c>
      <c r="W176" s="34" t="s">
        <v>123</v>
      </c>
      <c r="X176" s="34" t="s">
        <v>123</v>
      </c>
      <c r="Y176" s="34" t="s">
        <v>123</v>
      </c>
      <c r="Z176" s="34">
        <v>0</v>
      </c>
      <c r="AA176" s="34" t="s">
        <v>123</v>
      </c>
      <c r="AB176" s="34">
        <v>0</v>
      </c>
      <c r="AC176" s="34">
        <v>1</v>
      </c>
      <c r="AD176" s="34" t="s">
        <v>123</v>
      </c>
      <c r="AE176" s="34" t="s">
        <v>123</v>
      </c>
      <c r="AF176" s="34" t="s">
        <v>676</v>
      </c>
      <c r="AG176" s="34" t="s">
        <v>123</v>
      </c>
      <c r="AH176" s="34" t="s">
        <v>123</v>
      </c>
      <c r="AI176" s="34" t="s">
        <v>123</v>
      </c>
      <c r="AJ176" s="34" t="s">
        <v>123</v>
      </c>
      <c r="AK176" s="34" t="s">
        <v>123</v>
      </c>
      <c r="AL176" s="34" t="s">
        <v>123</v>
      </c>
      <c r="AM176" s="34" t="s">
        <v>123</v>
      </c>
      <c r="AN176" s="34" t="s">
        <v>123</v>
      </c>
      <c r="AO176" s="34" t="s">
        <v>123</v>
      </c>
      <c r="AP176" s="34">
        <v>0</v>
      </c>
      <c r="AQ176" s="34" t="s">
        <v>123</v>
      </c>
      <c r="AR176" s="34">
        <v>8.7041720000000003E-2</v>
      </c>
      <c r="AS176" s="34"/>
      <c r="AT176" s="34" t="s">
        <v>123</v>
      </c>
      <c r="AU176" s="34">
        <v>115</v>
      </c>
      <c r="AV176" s="34" t="s">
        <v>1512</v>
      </c>
      <c r="AW176" s="34">
        <v>0</v>
      </c>
      <c r="AX176" s="34">
        <v>1525</v>
      </c>
      <c r="AY176" s="34" t="s">
        <v>1333</v>
      </c>
      <c r="AZ176" s="35">
        <v>45967</v>
      </c>
      <c r="BA176" s="35">
        <v>45967</v>
      </c>
      <c r="BB176" s="34" t="s">
        <v>123</v>
      </c>
      <c r="BC176" s="34" t="s">
        <v>123</v>
      </c>
      <c r="BD176" s="34" t="s">
        <v>123</v>
      </c>
      <c r="BE176" s="34" t="s">
        <v>139</v>
      </c>
      <c r="BF176" s="34">
        <v>140</v>
      </c>
      <c r="BG176" s="34">
        <v>0</v>
      </c>
      <c r="BH176" s="34">
        <v>8.4869249999999993E-2</v>
      </c>
      <c r="BI176" s="34" t="s">
        <v>675</v>
      </c>
      <c r="BJ176" s="34" t="s">
        <v>1336</v>
      </c>
      <c r="BK176" s="34"/>
      <c r="BL176" s="34" t="s">
        <v>1456</v>
      </c>
      <c r="BM176" s="34"/>
      <c r="BN176" s="34">
        <v>0</v>
      </c>
      <c r="BO176" s="34" t="s">
        <v>1330</v>
      </c>
      <c r="BP176" s="34">
        <v>0.12330000000000001</v>
      </c>
      <c r="BQ176" s="34" t="s">
        <v>1326</v>
      </c>
      <c r="BR176" s="35">
        <v>45967</v>
      </c>
      <c r="BS176" s="34">
        <v>0</v>
      </c>
      <c r="BT176" s="34" t="s">
        <v>123</v>
      </c>
      <c r="BU176" s="34">
        <v>0</v>
      </c>
      <c r="BV176" s="34">
        <v>250000</v>
      </c>
      <c r="BW176" s="34">
        <v>0</v>
      </c>
      <c r="BX176" s="34">
        <v>140</v>
      </c>
      <c r="BY176" s="34">
        <v>0</v>
      </c>
      <c r="BZ176" s="34">
        <v>1</v>
      </c>
      <c r="CA176" s="34" t="s">
        <v>123</v>
      </c>
      <c r="CB176" s="34" t="s">
        <v>123</v>
      </c>
      <c r="CC176" s="34" t="s">
        <v>123</v>
      </c>
    </row>
    <row r="177" spans="1:81" x14ac:dyDescent="0.3">
      <c r="A177" s="34" t="s">
        <v>1509</v>
      </c>
      <c r="B177" s="34" t="s">
        <v>1220</v>
      </c>
      <c r="C177" s="34" t="s">
        <v>1384</v>
      </c>
      <c r="D177" s="34"/>
      <c r="E177" s="35">
        <v>45839</v>
      </c>
      <c r="F177" s="35">
        <v>46212</v>
      </c>
      <c r="G177" s="34"/>
      <c r="H177" s="34" t="s">
        <v>1325</v>
      </c>
      <c r="I177" s="34">
        <v>0</v>
      </c>
      <c r="J177" s="34">
        <v>300000000</v>
      </c>
      <c r="K177" s="34" t="s">
        <v>123</v>
      </c>
      <c r="L177" s="34" t="s">
        <v>123</v>
      </c>
      <c r="M177" s="34" t="s">
        <v>123</v>
      </c>
      <c r="N177" s="34" t="s">
        <v>123</v>
      </c>
      <c r="O177" s="34">
        <v>104.75</v>
      </c>
      <c r="P177" s="34">
        <v>6.6666700000000004E-3</v>
      </c>
      <c r="Q177" s="34" t="s">
        <v>123</v>
      </c>
      <c r="R177" s="34" t="s">
        <v>123</v>
      </c>
      <c r="S177" s="34" t="s">
        <v>123</v>
      </c>
      <c r="T177" s="34" t="s">
        <v>123</v>
      </c>
      <c r="U177" s="34" t="s">
        <v>123</v>
      </c>
      <c r="V177" s="34" t="s">
        <v>123</v>
      </c>
      <c r="W177" s="34" t="s">
        <v>123</v>
      </c>
      <c r="X177" s="34" t="s">
        <v>123</v>
      </c>
      <c r="Y177" s="34" t="s">
        <v>123</v>
      </c>
      <c r="Z177" s="34">
        <v>0</v>
      </c>
      <c r="AA177" s="34" t="s">
        <v>123</v>
      </c>
      <c r="AB177" s="34">
        <v>0</v>
      </c>
      <c r="AC177" s="34">
        <v>1</v>
      </c>
      <c r="AD177" s="34" t="s">
        <v>123</v>
      </c>
      <c r="AE177" s="34" t="s">
        <v>123</v>
      </c>
      <c r="AF177" s="34" t="s">
        <v>1221</v>
      </c>
      <c r="AG177" s="34" t="s">
        <v>123</v>
      </c>
      <c r="AH177" s="34" t="s">
        <v>123</v>
      </c>
      <c r="AI177" s="34" t="s">
        <v>123</v>
      </c>
      <c r="AJ177" s="34" t="s">
        <v>123</v>
      </c>
      <c r="AK177" s="34" t="s">
        <v>123</v>
      </c>
      <c r="AL177" s="34" t="s">
        <v>123</v>
      </c>
      <c r="AM177" s="34" t="s">
        <v>123</v>
      </c>
      <c r="AN177" s="34" t="s">
        <v>123</v>
      </c>
      <c r="AO177" s="34" t="s">
        <v>123</v>
      </c>
      <c r="AP177" s="34">
        <v>0</v>
      </c>
      <c r="AQ177" s="34" t="s">
        <v>123</v>
      </c>
      <c r="AR177" s="34">
        <v>8.5719829999999997E-2</v>
      </c>
      <c r="AS177" s="34"/>
      <c r="AT177" s="34" t="s">
        <v>123</v>
      </c>
      <c r="AU177" s="34">
        <v>115</v>
      </c>
      <c r="AV177" s="34" t="s">
        <v>1510</v>
      </c>
      <c r="AW177" s="34">
        <v>0</v>
      </c>
      <c r="AX177" s="34">
        <v>1526</v>
      </c>
      <c r="AY177" s="34" t="s">
        <v>1329</v>
      </c>
      <c r="AZ177" s="35">
        <v>45974</v>
      </c>
      <c r="BA177" s="35">
        <v>45974</v>
      </c>
      <c r="BB177" s="34" t="s">
        <v>123</v>
      </c>
      <c r="BC177" s="34" t="s">
        <v>123</v>
      </c>
      <c r="BD177" s="34" t="s">
        <v>123</v>
      </c>
      <c r="BE177" s="34" t="s">
        <v>1334</v>
      </c>
      <c r="BF177" s="34">
        <v>301</v>
      </c>
      <c r="BG177" s="34">
        <v>0</v>
      </c>
      <c r="BH177" s="34">
        <v>6.2334960000000002E-2</v>
      </c>
      <c r="BI177" s="34" t="s">
        <v>159</v>
      </c>
      <c r="BJ177" s="34" t="s">
        <v>1336</v>
      </c>
      <c r="BK177" s="34"/>
      <c r="BL177" s="34" t="s">
        <v>1456</v>
      </c>
      <c r="BM177" s="34"/>
      <c r="BN177" s="34">
        <v>0</v>
      </c>
      <c r="BO177" s="34" t="s">
        <v>1330</v>
      </c>
      <c r="BP177" s="34">
        <v>0.10100714</v>
      </c>
      <c r="BQ177" s="34" t="s">
        <v>1326</v>
      </c>
      <c r="BR177" s="35">
        <v>45974</v>
      </c>
      <c r="BS177" s="34">
        <v>0</v>
      </c>
      <c r="BT177" s="34" t="s">
        <v>123</v>
      </c>
      <c r="BU177" s="34">
        <v>0</v>
      </c>
      <c r="BV177" s="34">
        <v>500000</v>
      </c>
      <c r="BW177" s="34">
        <v>0</v>
      </c>
      <c r="BX177" s="34">
        <v>301</v>
      </c>
      <c r="BY177" s="34">
        <v>0</v>
      </c>
      <c r="BZ177" s="34">
        <v>1</v>
      </c>
      <c r="CA177" s="34" t="s">
        <v>123</v>
      </c>
      <c r="CB177" s="34" t="s">
        <v>123</v>
      </c>
      <c r="CC177" s="34" t="s">
        <v>123</v>
      </c>
    </row>
    <row r="178" spans="1:81" x14ac:dyDescent="0.3">
      <c r="A178" s="34" t="s">
        <v>1555</v>
      </c>
      <c r="B178" s="34" t="s">
        <v>674</v>
      </c>
      <c r="C178" s="34" t="s">
        <v>1382</v>
      </c>
      <c r="D178" s="34"/>
      <c r="E178" s="35">
        <v>45646</v>
      </c>
      <c r="F178" s="35">
        <v>46759</v>
      </c>
      <c r="G178" s="34"/>
      <c r="H178" s="34" t="s">
        <v>1325</v>
      </c>
      <c r="I178" s="34">
        <v>0</v>
      </c>
      <c r="J178" s="34">
        <v>200000000</v>
      </c>
      <c r="K178" s="34" t="s">
        <v>123</v>
      </c>
      <c r="L178" s="34" t="s">
        <v>123</v>
      </c>
      <c r="M178" s="34" t="s">
        <v>123</v>
      </c>
      <c r="N178" s="34" t="s">
        <v>123</v>
      </c>
      <c r="O178" s="34">
        <v>107.15</v>
      </c>
      <c r="P178" s="34">
        <v>1.25E-3</v>
      </c>
      <c r="Q178" s="34" t="s">
        <v>123</v>
      </c>
      <c r="R178" s="34" t="s">
        <v>123</v>
      </c>
      <c r="S178" s="34" t="s">
        <v>123</v>
      </c>
      <c r="T178" s="34" t="s">
        <v>123</v>
      </c>
      <c r="U178" s="34" t="s">
        <v>123</v>
      </c>
      <c r="V178" s="34" t="s">
        <v>123</v>
      </c>
      <c r="W178" s="34" t="s">
        <v>123</v>
      </c>
      <c r="X178" s="34" t="s">
        <v>123</v>
      </c>
      <c r="Y178" s="34" t="s">
        <v>123</v>
      </c>
      <c r="Z178" s="34">
        <v>0</v>
      </c>
      <c r="AA178" s="34" t="s">
        <v>123</v>
      </c>
      <c r="AB178" s="34">
        <v>0</v>
      </c>
      <c r="AC178" s="34">
        <v>1</v>
      </c>
      <c r="AD178" s="34" t="s">
        <v>123</v>
      </c>
      <c r="AE178" s="34" t="s">
        <v>123</v>
      </c>
      <c r="AF178" s="34" t="s">
        <v>676</v>
      </c>
      <c r="AG178" s="34" t="s">
        <v>123</v>
      </c>
      <c r="AH178" s="34" t="s">
        <v>123</v>
      </c>
      <c r="AI178" s="34" t="s">
        <v>123</v>
      </c>
      <c r="AJ178" s="34" t="s">
        <v>123</v>
      </c>
      <c r="AK178" s="34" t="s">
        <v>123</v>
      </c>
      <c r="AL178" s="34" t="s">
        <v>123</v>
      </c>
      <c r="AM178" s="34" t="s">
        <v>123</v>
      </c>
      <c r="AN178" s="34" t="s">
        <v>123</v>
      </c>
      <c r="AO178" s="34" t="s">
        <v>123</v>
      </c>
      <c r="AP178" s="34">
        <v>0</v>
      </c>
      <c r="AQ178" s="34" t="s">
        <v>123</v>
      </c>
      <c r="AR178" s="34">
        <v>8.6807519999999999E-2</v>
      </c>
      <c r="AS178" s="34"/>
      <c r="AT178" s="34" t="s">
        <v>123</v>
      </c>
      <c r="AU178" s="34">
        <v>115</v>
      </c>
      <c r="AV178" s="34" t="s">
        <v>1556</v>
      </c>
      <c r="AW178" s="34">
        <v>0</v>
      </c>
      <c r="AX178" s="34">
        <v>1527</v>
      </c>
      <c r="AY178" s="34" t="s">
        <v>1333</v>
      </c>
      <c r="AZ178" s="35">
        <v>45974</v>
      </c>
      <c r="BA178" s="35">
        <v>45974</v>
      </c>
      <c r="BB178" s="34" t="s">
        <v>123</v>
      </c>
      <c r="BC178" s="34" t="s">
        <v>123</v>
      </c>
      <c r="BD178" s="34" t="s">
        <v>123</v>
      </c>
      <c r="BE178" s="34" t="s">
        <v>139</v>
      </c>
      <c r="BF178" s="34">
        <v>140</v>
      </c>
      <c r="BG178" s="34">
        <v>0</v>
      </c>
      <c r="BH178" s="34">
        <v>8.4869249999999993E-2</v>
      </c>
      <c r="BI178" s="34" t="s">
        <v>675</v>
      </c>
      <c r="BJ178" s="34" t="s">
        <v>1336</v>
      </c>
      <c r="BK178" s="34"/>
      <c r="BL178" s="34" t="s">
        <v>1456</v>
      </c>
      <c r="BM178" s="34"/>
      <c r="BN178" s="34">
        <v>0</v>
      </c>
      <c r="BO178" s="34" t="s">
        <v>1330</v>
      </c>
      <c r="BP178" s="34">
        <v>0.12330000000000001</v>
      </c>
      <c r="BQ178" s="34" t="s">
        <v>1326</v>
      </c>
      <c r="BR178" s="35">
        <v>45974</v>
      </c>
      <c r="BS178" s="34">
        <v>0</v>
      </c>
      <c r="BT178" s="34" t="s">
        <v>123</v>
      </c>
      <c r="BU178" s="34">
        <v>0</v>
      </c>
      <c r="BV178" s="34">
        <v>250000</v>
      </c>
      <c r="BW178" s="34">
        <v>0</v>
      </c>
      <c r="BX178" s="34">
        <v>140</v>
      </c>
      <c r="BY178" s="34">
        <v>0</v>
      </c>
      <c r="BZ178" s="34">
        <v>1</v>
      </c>
      <c r="CA178" s="34" t="s">
        <v>123</v>
      </c>
      <c r="CB178" s="34" t="s">
        <v>123</v>
      </c>
      <c r="CC178" s="34" t="s">
        <v>123</v>
      </c>
    </row>
    <row r="179" spans="1:81" x14ac:dyDescent="0.3">
      <c r="A179" s="34" t="s">
        <v>1557</v>
      </c>
      <c r="B179" s="34" t="s">
        <v>677</v>
      </c>
      <c r="C179" s="34" t="s">
        <v>1386</v>
      </c>
      <c r="D179" s="34"/>
      <c r="E179" s="35">
        <v>45722</v>
      </c>
      <c r="F179" s="35">
        <v>46459</v>
      </c>
      <c r="G179" s="34"/>
      <c r="H179" s="34" t="s">
        <v>1325</v>
      </c>
      <c r="I179" s="34">
        <v>0</v>
      </c>
      <c r="J179" s="34">
        <v>600000000</v>
      </c>
      <c r="K179" s="34" t="s">
        <v>123</v>
      </c>
      <c r="L179" s="34" t="s">
        <v>123</v>
      </c>
      <c r="M179" s="34" t="s">
        <v>123</v>
      </c>
      <c r="N179" s="34" t="s">
        <v>123</v>
      </c>
      <c r="O179" s="34">
        <v>105.25</v>
      </c>
      <c r="P179" s="34">
        <v>4.1667000000000001E-4</v>
      </c>
      <c r="Q179" s="34" t="s">
        <v>123</v>
      </c>
      <c r="R179" s="34" t="s">
        <v>123</v>
      </c>
      <c r="S179" s="34" t="s">
        <v>123</v>
      </c>
      <c r="T179" s="34" t="s">
        <v>123</v>
      </c>
      <c r="U179" s="34" t="s">
        <v>123</v>
      </c>
      <c r="V179" s="34" t="s">
        <v>123</v>
      </c>
      <c r="W179" s="34" t="s">
        <v>123</v>
      </c>
      <c r="X179" s="34" t="s">
        <v>123</v>
      </c>
      <c r="Y179" s="34" t="s">
        <v>123</v>
      </c>
      <c r="Z179" s="34">
        <v>0</v>
      </c>
      <c r="AA179" s="34" t="s">
        <v>123</v>
      </c>
      <c r="AB179" s="34">
        <v>0</v>
      </c>
      <c r="AC179" s="34">
        <v>1</v>
      </c>
      <c r="AD179" s="34" t="s">
        <v>123</v>
      </c>
      <c r="AE179" s="34" t="s">
        <v>123</v>
      </c>
      <c r="AF179" s="34" t="s">
        <v>678</v>
      </c>
      <c r="AG179" s="34" t="s">
        <v>123</v>
      </c>
      <c r="AH179" s="34" t="s">
        <v>123</v>
      </c>
      <c r="AI179" s="34" t="s">
        <v>123</v>
      </c>
      <c r="AJ179" s="34" t="s">
        <v>123</v>
      </c>
      <c r="AK179" s="34" t="s">
        <v>123</v>
      </c>
      <c r="AL179" s="34" t="s">
        <v>123</v>
      </c>
      <c r="AM179" s="34" t="s">
        <v>123</v>
      </c>
      <c r="AN179" s="34" t="s">
        <v>123</v>
      </c>
      <c r="AO179" s="34" t="s">
        <v>123</v>
      </c>
      <c r="AP179" s="34">
        <v>0</v>
      </c>
      <c r="AQ179" s="34" t="s">
        <v>123</v>
      </c>
      <c r="AR179" s="34">
        <v>8.2521460000000005E-2</v>
      </c>
      <c r="AS179" s="34"/>
      <c r="AT179" s="34" t="s">
        <v>123</v>
      </c>
      <c r="AU179" s="34">
        <v>115</v>
      </c>
      <c r="AV179" s="34" t="s">
        <v>1558</v>
      </c>
      <c r="AW179" s="34">
        <v>0</v>
      </c>
      <c r="AX179" s="34">
        <v>1528</v>
      </c>
      <c r="AY179" s="34" t="s">
        <v>1329</v>
      </c>
      <c r="AZ179" s="35">
        <v>45974</v>
      </c>
      <c r="BA179" s="35">
        <v>45974</v>
      </c>
      <c r="BB179" s="34" t="s">
        <v>123</v>
      </c>
      <c r="BC179" s="34" t="s">
        <v>123</v>
      </c>
      <c r="BD179" s="34" t="s">
        <v>123</v>
      </c>
      <c r="BE179" s="34" t="s">
        <v>139</v>
      </c>
      <c r="BF179" s="34">
        <v>141</v>
      </c>
      <c r="BG179" s="34">
        <v>0</v>
      </c>
      <c r="BH179" s="34">
        <v>6.8969240000000001E-2</v>
      </c>
      <c r="BI179" s="34" t="s">
        <v>159</v>
      </c>
      <c r="BJ179" s="34" t="s">
        <v>1336</v>
      </c>
      <c r="BK179" s="34"/>
      <c r="BL179" s="34" t="s">
        <v>1456</v>
      </c>
      <c r="BM179" s="34"/>
      <c r="BN179" s="34">
        <v>0</v>
      </c>
      <c r="BO179" s="34" t="s">
        <v>1330</v>
      </c>
      <c r="BP179" s="34">
        <v>0.1071</v>
      </c>
      <c r="BQ179" s="34" t="s">
        <v>1326</v>
      </c>
      <c r="BR179" s="35">
        <v>45974</v>
      </c>
      <c r="BS179" s="34">
        <v>0</v>
      </c>
      <c r="BT179" s="34" t="s">
        <v>123</v>
      </c>
      <c r="BU179" s="34">
        <v>0</v>
      </c>
      <c r="BV179" s="34">
        <v>250000</v>
      </c>
      <c r="BW179" s="34">
        <v>0</v>
      </c>
      <c r="BX179" s="34">
        <v>141</v>
      </c>
      <c r="BY179" s="34">
        <v>0</v>
      </c>
      <c r="BZ179" s="34">
        <v>1</v>
      </c>
      <c r="CA179" s="34" t="s">
        <v>123</v>
      </c>
      <c r="CB179" s="34" t="s">
        <v>123</v>
      </c>
      <c r="CC179" s="34" t="s">
        <v>123</v>
      </c>
    </row>
    <row r="180" spans="1:81" x14ac:dyDescent="0.3">
      <c r="A180" s="34" t="s">
        <v>1559</v>
      </c>
      <c r="B180" s="34" t="s">
        <v>947</v>
      </c>
      <c r="C180" s="34" t="s">
        <v>1363</v>
      </c>
      <c r="D180" s="34"/>
      <c r="E180" s="35">
        <v>45434</v>
      </c>
      <c r="F180" s="35">
        <v>39215</v>
      </c>
      <c r="G180" s="34"/>
      <c r="H180" s="34" t="s">
        <v>1325</v>
      </c>
      <c r="I180" s="34">
        <v>0</v>
      </c>
      <c r="J180" s="34">
        <v>1454000000</v>
      </c>
      <c r="K180" s="34" t="s">
        <v>123</v>
      </c>
      <c r="L180" s="34" t="s">
        <v>123</v>
      </c>
      <c r="M180" s="34" t="s">
        <v>123</v>
      </c>
      <c r="N180" s="34" t="s">
        <v>123</v>
      </c>
      <c r="O180" s="34">
        <v>107.75</v>
      </c>
      <c r="P180" s="34">
        <v>5.5555999999999997E-4</v>
      </c>
      <c r="Q180" s="34" t="s">
        <v>123</v>
      </c>
      <c r="R180" s="34" t="s">
        <v>123</v>
      </c>
      <c r="S180" s="34" t="s">
        <v>123</v>
      </c>
      <c r="T180" s="34" t="s">
        <v>123</v>
      </c>
      <c r="U180" s="34" t="s">
        <v>123</v>
      </c>
      <c r="V180" s="34" t="s">
        <v>123</v>
      </c>
      <c r="W180" s="34" t="s">
        <v>123</v>
      </c>
      <c r="X180" s="34" t="s">
        <v>123</v>
      </c>
      <c r="Y180" s="34" t="s">
        <v>123</v>
      </c>
      <c r="Z180" s="34">
        <v>0</v>
      </c>
      <c r="AA180" s="34" t="s">
        <v>123</v>
      </c>
      <c r="AB180" s="34">
        <v>0</v>
      </c>
      <c r="AC180" s="34">
        <v>1</v>
      </c>
      <c r="AD180" s="34" t="s">
        <v>123</v>
      </c>
      <c r="AE180" s="34" t="s">
        <v>123</v>
      </c>
      <c r="AF180" s="34" t="s">
        <v>950</v>
      </c>
      <c r="AG180" s="34" t="s">
        <v>123</v>
      </c>
      <c r="AH180" s="34" t="s">
        <v>123</v>
      </c>
      <c r="AI180" s="34" t="s">
        <v>123</v>
      </c>
      <c r="AJ180" s="34" t="s">
        <v>123</v>
      </c>
      <c r="AK180" s="34" t="s">
        <v>123</v>
      </c>
      <c r="AL180" s="34" t="s">
        <v>123</v>
      </c>
      <c r="AM180" s="34" t="s">
        <v>123</v>
      </c>
      <c r="AN180" s="34" t="s">
        <v>123</v>
      </c>
      <c r="AO180" s="34" t="s">
        <v>123</v>
      </c>
      <c r="AP180" s="34">
        <v>0</v>
      </c>
      <c r="AQ180" s="34" t="s">
        <v>123</v>
      </c>
      <c r="AR180" s="34">
        <v>8.8858129999999994E-2</v>
      </c>
      <c r="AS180" s="34"/>
      <c r="AT180" s="34" t="s">
        <v>123</v>
      </c>
      <c r="AU180" s="34">
        <v>115</v>
      </c>
      <c r="AV180" s="34" t="s">
        <v>1560</v>
      </c>
      <c r="AW180" s="34">
        <v>0</v>
      </c>
      <c r="AX180" s="34">
        <v>1529</v>
      </c>
      <c r="AY180" s="34" t="s">
        <v>1329</v>
      </c>
      <c r="AZ180" s="35">
        <v>45974</v>
      </c>
      <c r="BA180" s="35">
        <v>45974</v>
      </c>
      <c r="BB180" s="34" t="s">
        <v>123</v>
      </c>
      <c r="BC180" s="34" t="s">
        <v>123</v>
      </c>
      <c r="BD180" s="34" t="s">
        <v>123</v>
      </c>
      <c r="BE180" s="34" t="s">
        <v>139</v>
      </c>
      <c r="BF180" s="34">
        <v>219</v>
      </c>
      <c r="BG180" s="34">
        <v>0</v>
      </c>
      <c r="BH180" s="34">
        <v>0.10489572</v>
      </c>
      <c r="BI180" s="34" t="s">
        <v>150</v>
      </c>
      <c r="BJ180" s="34" t="s">
        <v>1336</v>
      </c>
      <c r="BK180" s="34"/>
      <c r="BL180" s="34" t="s">
        <v>1456</v>
      </c>
      <c r="BM180" s="34"/>
      <c r="BN180" s="34">
        <v>0</v>
      </c>
      <c r="BO180" s="34" t="s">
        <v>1330</v>
      </c>
      <c r="BP180" s="34">
        <v>0.14350714000000001</v>
      </c>
      <c r="BQ180" s="34" t="s">
        <v>1326</v>
      </c>
      <c r="BR180" s="35">
        <v>45974</v>
      </c>
      <c r="BS180" s="34">
        <v>0</v>
      </c>
      <c r="BT180" s="34" t="s">
        <v>123</v>
      </c>
      <c r="BU180" s="34">
        <v>0</v>
      </c>
      <c r="BV180" s="34">
        <v>250000</v>
      </c>
      <c r="BW180" s="34">
        <v>0</v>
      </c>
      <c r="BX180" s="34">
        <v>219</v>
      </c>
      <c r="BY180" s="34">
        <v>0</v>
      </c>
      <c r="BZ180" s="34">
        <v>1</v>
      </c>
      <c r="CA180" s="34" t="s">
        <v>123</v>
      </c>
      <c r="CB180" s="34" t="s">
        <v>123</v>
      </c>
      <c r="CC180" s="34" t="s">
        <v>123</v>
      </c>
    </row>
    <row r="181" spans="1:81" x14ac:dyDescent="0.3">
      <c r="A181" s="34" t="s">
        <v>1561</v>
      </c>
      <c r="B181" s="34" t="s">
        <v>637</v>
      </c>
      <c r="C181" s="34" t="s">
        <v>1388</v>
      </c>
      <c r="D181" s="34"/>
      <c r="E181" s="35">
        <v>45463</v>
      </c>
      <c r="F181" s="35">
        <v>46545</v>
      </c>
      <c r="G181" s="34"/>
      <c r="H181" s="34" t="s">
        <v>1325</v>
      </c>
      <c r="I181" s="34">
        <v>0</v>
      </c>
      <c r="J181" s="34">
        <v>85000000</v>
      </c>
      <c r="K181" s="34" t="s">
        <v>123</v>
      </c>
      <c r="L181" s="34" t="s">
        <v>123</v>
      </c>
      <c r="M181" s="34" t="s">
        <v>123</v>
      </c>
      <c r="N181" s="34" t="s">
        <v>123</v>
      </c>
      <c r="O181" s="34">
        <v>107.35</v>
      </c>
      <c r="P181" s="34">
        <v>2.9411799999999998E-3</v>
      </c>
      <c r="Q181" s="34" t="s">
        <v>123</v>
      </c>
      <c r="R181" s="34" t="s">
        <v>123</v>
      </c>
      <c r="S181" s="34" t="s">
        <v>123</v>
      </c>
      <c r="T181" s="34" t="s">
        <v>123</v>
      </c>
      <c r="U181" s="34" t="s">
        <v>123</v>
      </c>
      <c r="V181" s="34" t="s">
        <v>123</v>
      </c>
      <c r="W181" s="34" t="s">
        <v>123</v>
      </c>
      <c r="X181" s="34" t="s">
        <v>123</v>
      </c>
      <c r="Y181" s="34" t="s">
        <v>123</v>
      </c>
      <c r="Z181" s="34">
        <v>0</v>
      </c>
      <c r="AA181" s="34" t="s">
        <v>123</v>
      </c>
      <c r="AB181" s="34">
        <v>0</v>
      </c>
      <c r="AC181" s="34">
        <v>1</v>
      </c>
      <c r="AD181" s="34" t="s">
        <v>123</v>
      </c>
      <c r="AE181" s="34" t="s">
        <v>123</v>
      </c>
      <c r="AF181" s="34" t="s">
        <v>640</v>
      </c>
      <c r="AG181" s="34" t="s">
        <v>123</v>
      </c>
      <c r="AH181" s="34" t="s">
        <v>123</v>
      </c>
      <c r="AI181" s="34" t="s">
        <v>123</v>
      </c>
      <c r="AJ181" s="34" t="s">
        <v>123</v>
      </c>
      <c r="AK181" s="34" t="s">
        <v>123</v>
      </c>
      <c r="AL181" s="34" t="s">
        <v>123</v>
      </c>
      <c r="AM181" s="34" t="s">
        <v>123</v>
      </c>
      <c r="AN181" s="34" t="s">
        <v>123</v>
      </c>
      <c r="AO181" s="34" t="s">
        <v>123</v>
      </c>
      <c r="AP181" s="34">
        <v>0</v>
      </c>
      <c r="AQ181" s="34" t="s">
        <v>123</v>
      </c>
      <c r="AR181" s="34">
        <v>7.9067299999999993E-2</v>
      </c>
      <c r="AS181" s="34"/>
      <c r="AT181" s="34" t="s">
        <v>123</v>
      </c>
      <c r="AU181" s="34">
        <v>115</v>
      </c>
      <c r="AV181" s="34" t="s">
        <v>1562</v>
      </c>
      <c r="AW181" s="34">
        <v>0</v>
      </c>
      <c r="AX181" s="34">
        <v>1530</v>
      </c>
      <c r="AY181" s="34" t="s">
        <v>1333</v>
      </c>
      <c r="AZ181" s="35">
        <v>45974</v>
      </c>
      <c r="BA181" s="35">
        <v>45974</v>
      </c>
      <c r="BB181" s="34" t="s">
        <v>123</v>
      </c>
      <c r="BC181" s="34" t="s">
        <v>123</v>
      </c>
      <c r="BD181" s="34" t="s">
        <v>123</v>
      </c>
      <c r="BE181" s="34" t="s">
        <v>1347</v>
      </c>
      <c r="BF181" s="34">
        <v>130</v>
      </c>
      <c r="BG181" s="34">
        <v>0</v>
      </c>
      <c r="BH181" s="34">
        <v>8.9871699999999999E-2</v>
      </c>
      <c r="BI181" s="34" t="s">
        <v>150</v>
      </c>
      <c r="BJ181" s="34" t="s">
        <v>1336</v>
      </c>
      <c r="BK181" s="34"/>
      <c r="BL181" s="34" t="s">
        <v>1456</v>
      </c>
      <c r="BM181" s="34"/>
      <c r="BN181" s="34">
        <v>0</v>
      </c>
      <c r="BO181" s="34" t="s">
        <v>1330</v>
      </c>
      <c r="BP181" s="34">
        <v>0.12866479</v>
      </c>
      <c r="BQ181" s="34" t="s">
        <v>1326</v>
      </c>
      <c r="BR181" s="35">
        <v>45974</v>
      </c>
      <c r="BS181" s="34">
        <v>0</v>
      </c>
      <c r="BT181" s="34" t="s">
        <v>123</v>
      </c>
      <c r="BU181" s="34">
        <v>0</v>
      </c>
      <c r="BV181" s="34">
        <v>250000</v>
      </c>
      <c r="BW181" s="34">
        <v>0</v>
      </c>
      <c r="BX181" s="34">
        <v>130</v>
      </c>
      <c r="BY181" s="34">
        <v>0</v>
      </c>
      <c r="BZ181" s="34">
        <v>1</v>
      </c>
      <c r="CA181" s="34" t="s">
        <v>123</v>
      </c>
      <c r="CB181" s="34" t="s">
        <v>123</v>
      </c>
      <c r="CC181" s="34" t="s">
        <v>123</v>
      </c>
    </row>
    <row r="184" spans="1:81" ht="33.6" x14ac:dyDescent="0.3">
      <c r="A184" s="36" t="s">
        <v>1664</v>
      </c>
      <c r="B184" s="37" t="s">
        <v>1665</v>
      </c>
      <c r="C184" s="34">
        <v>16648900</v>
      </c>
    </row>
    <row r="185" spans="1:81" ht="16.8" x14ac:dyDescent="0.3">
      <c r="A185" s="40"/>
      <c r="B185" s="37" t="s">
        <v>1666</v>
      </c>
      <c r="C185" s="34">
        <v>17000000</v>
      </c>
    </row>
    <row r="187" spans="1:81" ht="15" thickBot="1" x14ac:dyDescent="0.35"/>
    <row r="188" spans="1:81" ht="16.8" x14ac:dyDescent="0.3">
      <c r="A188" s="189" t="s">
        <v>1667</v>
      </c>
      <c r="B188" s="191" t="s">
        <v>1668</v>
      </c>
      <c r="C188" s="46">
        <v>0.1</v>
      </c>
      <c r="D188" s="46">
        <v>0.5</v>
      </c>
      <c r="E188" s="46">
        <v>0.8</v>
      </c>
      <c r="F188" s="46">
        <v>0.9</v>
      </c>
      <c r="G188" s="46">
        <v>0.96</v>
      </c>
      <c r="H188" s="47">
        <v>0.98</v>
      </c>
      <c r="I188" s="46">
        <v>0.99</v>
      </c>
      <c r="J188" s="48">
        <v>0.996</v>
      </c>
      <c r="K188" s="49">
        <v>0.998</v>
      </c>
      <c r="L188" s="49">
        <v>0.999</v>
      </c>
    </row>
    <row r="189" spans="1:81" ht="17.399999999999999" thickBot="1" x14ac:dyDescent="0.35">
      <c r="A189" s="190"/>
      <c r="B189" s="192"/>
      <c r="C189" s="50" t="s">
        <v>1669</v>
      </c>
      <c r="D189" s="51" t="s">
        <v>1670</v>
      </c>
      <c r="E189" s="51" t="s">
        <v>1671</v>
      </c>
      <c r="F189" s="51" t="s">
        <v>1672</v>
      </c>
      <c r="G189" s="51" t="s">
        <v>1673</v>
      </c>
      <c r="H189" s="51" t="s">
        <v>1674</v>
      </c>
      <c r="I189" s="51" t="s">
        <v>1675</v>
      </c>
      <c r="J189" s="51" t="s">
        <v>1676</v>
      </c>
      <c r="K189" s="51" t="s">
        <v>1677</v>
      </c>
      <c r="L189" s="51" t="s">
        <v>1678</v>
      </c>
    </row>
    <row r="190" spans="1:81" ht="16.8" x14ac:dyDescent="0.45">
      <c r="A190" s="52" t="s">
        <v>1679</v>
      </c>
      <c r="B190" s="53">
        <v>1861600</v>
      </c>
      <c r="C190" s="53">
        <v>1861600</v>
      </c>
      <c r="D190" s="53">
        <v>1861600</v>
      </c>
      <c r="E190" s="53">
        <v>1861600</v>
      </c>
      <c r="F190" s="53">
        <v>1861600</v>
      </c>
      <c r="G190" s="53">
        <v>1861600</v>
      </c>
      <c r="H190" s="53">
        <v>1861600</v>
      </c>
      <c r="I190" s="53">
        <v>1861600</v>
      </c>
      <c r="J190" s="53">
        <v>1861600</v>
      </c>
      <c r="K190" s="54">
        <v>1861600</v>
      </c>
      <c r="L190" s="54">
        <v>1861600</v>
      </c>
    </row>
    <row r="191" spans="1:81" ht="16.8" x14ac:dyDescent="0.45">
      <c r="A191" s="52" t="s">
        <v>1680</v>
      </c>
      <c r="B191" s="55">
        <v>0</v>
      </c>
      <c r="C191" s="55">
        <v>0</v>
      </c>
      <c r="D191" s="55">
        <v>0</v>
      </c>
      <c r="E191" s="55">
        <v>0</v>
      </c>
      <c r="F191" s="55">
        <v>0</v>
      </c>
      <c r="G191" s="55">
        <v>0</v>
      </c>
      <c r="H191" s="55">
        <v>0</v>
      </c>
      <c r="I191" s="55">
        <v>0</v>
      </c>
      <c r="J191" s="55">
        <v>0</v>
      </c>
      <c r="K191" s="56">
        <v>0</v>
      </c>
      <c r="L191" s="56">
        <v>0</v>
      </c>
    </row>
    <row r="192" spans="1:81" ht="16.8" x14ac:dyDescent="0.45">
      <c r="A192" s="57" t="s">
        <v>1681</v>
      </c>
      <c r="B192" s="55">
        <v>0</v>
      </c>
      <c r="C192" s="55">
        <v>0</v>
      </c>
      <c r="D192" s="55">
        <v>0</v>
      </c>
      <c r="E192" s="55">
        <v>0</v>
      </c>
      <c r="F192" s="55">
        <v>0</v>
      </c>
      <c r="G192" s="55">
        <v>0</v>
      </c>
      <c r="H192" s="55">
        <v>0</v>
      </c>
      <c r="I192" s="55">
        <v>0</v>
      </c>
      <c r="J192" s="55">
        <v>0</v>
      </c>
      <c r="K192" s="56">
        <v>0</v>
      </c>
      <c r="L192" s="56">
        <v>0</v>
      </c>
    </row>
    <row r="193" spans="1:12" ht="16.8" x14ac:dyDescent="0.45">
      <c r="A193" s="58" t="s">
        <v>1682</v>
      </c>
      <c r="B193" s="59">
        <v>1861600</v>
      </c>
      <c r="C193" s="59">
        <v>1861600</v>
      </c>
      <c r="D193" s="59">
        <v>1861600</v>
      </c>
      <c r="E193" s="59">
        <v>1861600</v>
      </c>
      <c r="F193" s="59">
        <v>1861600</v>
      </c>
      <c r="G193" s="59">
        <v>1861600</v>
      </c>
      <c r="H193" s="59">
        <v>1861600</v>
      </c>
      <c r="I193" s="59">
        <v>1861600</v>
      </c>
      <c r="J193" s="59">
        <v>1861600</v>
      </c>
      <c r="K193" s="60">
        <v>1861600</v>
      </c>
      <c r="L193" s="60">
        <v>1861600</v>
      </c>
    </row>
    <row r="194" spans="1:12" ht="16.8" x14ac:dyDescent="0.45">
      <c r="A194" s="52" t="s">
        <v>1683</v>
      </c>
      <c r="B194" s="61">
        <v>385599</v>
      </c>
      <c r="C194" s="61">
        <v>0</v>
      </c>
      <c r="D194" s="61">
        <v>0</v>
      </c>
      <c r="E194" s="61">
        <v>500000.4</v>
      </c>
      <c r="F194" s="61">
        <v>1017875.9691466715</v>
      </c>
      <c r="G194" s="61">
        <v>2403782.3069864297</v>
      </c>
      <c r="H194" s="61">
        <v>3836609.622575514</v>
      </c>
      <c r="I194" s="61">
        <v>4566395.7471612059</v>
      </c>
      <c r="J194" s="61">
        <v>5277615.3256975869</v>
      </c>
      <c r="K194" s="62">
        <v>5781044.3900307827</v>
      </c>
      <c r="L194" s="62">
        <v>6555906.5133083407</v>
      </c>
    </row>
    <row r="195" spans="1:12" ht="16.8" x14ac:dyDescent="0.45">
      <c r="A195" s="57" t="s">
        <v>1684</v>
      </c>
      <c r="B195" s="55">
        <v>0</v>
      </c>
      <c r="C195" s="55">
        <v>0</v>
      </c>
      <c r="D195" s="55">
        <v>0</v>
      </c>
      <c r="E195" s="55">
        <v>0</v>
      </c>
      <c r="F195" s="55">
        <v>0</v>
      </c>
      <c r="G195" s="55">
        <v>0</v>
      </c>
      <c r="H195" s="55">
        <v>0</v>
      </c>
      <c r="I195" s="55">
        <v>0</v>
      </c>
      <c r="J195" s="55">
        <v>0</v>
      </c>
      <c r="K195" s="56">
        <v>0</v>
      </c>
      <c r="L195" s="56">
        <v>0</v>
      </c>
    </row>
    <row r="196" spans="1:12" ht="16.8" x14ac:dyDescent="0.45">
      <c r="A196" s="57" t="s">
        <v>1685</v>
      </c>
      <c r="B196" s="55">
        <v>0</v>
      </c>
      <c r="C196" s="55">
        <v>0</v>
      </c>
      <c r="D196" s="55">
        <v>0</v>
      </c>
      <c r="E196" s="55">
        <v>0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  <c r="K196" s="56">
        <v>0</v>
      </c>
      <c r="L196" s="56">
        <v>0</v>
      </c>
    </row>
    <row r="197" spans="1:12" ht="16.8" x14ac:dyDescent="0.45">
      <c r="A197" s="57" t="s">
        <v>1686</v>
      </c>
      <c r="B197" s="55">
        <v>0</v>
      </c>
      <c r="C197" s="55">
        <v>0</v>
      </c>
      <c r="D197" s="55">
        <v>0</v>
      </c>
      <c r="E197" s="55">
        <v>0</v>
      </c>
      <c r="F197" s="55">
        <v>0</v>
      </c>
      <c r="G197" s="55">
        <v>0</v>
      </c>
      <c r="H197" s="55">
        <v>0</v>
      </c>
      <c r="I197" s="55">
        <v>0</v>
      </c>
      <c r="J197" s="55">
        <v>0</v>
      </c>
      <c r="K197" s="56">
        <v>0</v>
      </c>
      <c r="L197" s="56">
        <v>0</v>
      </c>
    </row>
    <row r="198" spans="1:12" ht="16.8" x14ac:dyDescent="0.45">
      <c r="A198" s="58" t="s">
        <v>1687</v>
      </c>
      <c r="B198" s="59">
        <v>1476001</v>
      </c>
      <c r="C198" s="59">
        <v>1861600</v>
      </c>
      <c r="D198" s="59">
        <v>1861600</v>
      </c>
      <c r="E198" s="59">
        <v>1361599.6</v>
      </c>
      <c r="F198" s="59">
        <v>843724.03085332853</v>
      </c>
      <c r="G198" s="59">
        <v>-542182.30698642973</v>
      </c>
      <c r="H198" s="59">
        <v>-1975009.622575514</v>
      </c>
      <c r="I198" s="59">
        <v>-2704795.7471612059</v>
      </c>
      <c r="J198" s="59">
        <v>-3416015.3256975869</v>
      </c>
      <c r="K198" s="60">
        <v>-3919444.3900307827</v>
      </c>
      <c r="L198" s="60">
        <v>-4694306.5133083407</v>
      </c>
    </row>
    <row r="199" spans="1:12" ht="16.8" x14ac:dyDescent="0.45">
      <c r="A199" s="52" t="s">
        <v>1688</v>
      </c>
      <c r="B199" s="63">
        <v>8.6823588235294111E-2</v>
      </c>
      <c r="C199" s="63">
        <v>0.10950588235294118</v>
      </c>
      <c r="D199" s="63">
        <v>0.10950588235294118</v>
      </c>
      <c r="E199" s="63">
        <v>8.0094094117647063E-2</v>
      </c>
      <c r="F199" s="63">
        <v>4.9630825344313442E-2</v>
      </c>
      <c r="G199" s="63">
        <v>-3.189307688155469E-2</v>
      </c>
      <c r="H199" s="63">
        <v>-0.11617703662208906</v>
      </c>
      <c r="I199" s="63">
        <v>-0.15910563218595328</v>
      </c>
      <c r="J199" s="63">
        <v>-0.200942077982211</v>
      </c>
      <c r="K199" s="64">
        <v>-0.23055555235475192</v>
      </c>
      <c r="L199" s="64">
        <v>-0.2761356772534318</v>
      </c>
    </row>
    <row r="200" spans="1:12" ht="16.8" x14ac:dyDescent="0.45">
      <c r="A200" s="52" t="s">
        <v>1689</v>
      </c>
      <c r="B200" s="65">
        <v>13585.7</v>
      </c>
      <c r="C200" s="65">
        <v>13585.7</v>
      </c>
      <c r="D200" s="65">
        <v>13585.7</v>
      </c>
      <c r="E200" s="65">
        <v>13585.7</v>
      </c>
      <c r="F200" s="65">
        <v>13585.7</v>
      </c>
      <c r="G200" s="65">
        <v>13585.7</v>
      </c>
      <c r="H200" s="65">
        <v>13585.7</v>
      </c>
      <c r="I200" s="65">
        <v>13585.7</v>
      </c>
      <c r="J200" s="65">
        <v>13585.7</v>
      </c>
      <c r="K200" s="66">
        <v>13585.7</v>
      </c>
      <c r="L200" s="66">
        <v>13585.7</v>
      </c>
    </row>
    <row r="201" spans="1:12" ht="17.399999999999999" thickBot="1" x14ac:dyDescent="0.5">
      <c r="A201" s="67" t="s">
        <v>1690</v>
      </c>
      <c r="B201" s="68">
        <v>64600</v>
      </c>
      <c r="C201" s="68">
        <v>64600</v>
      </c>
      <c r="D201" s="68">
        <v>64600</v>
      </c>
      <c r="E201" s="68">
        <v>64600</v>
      </c>
      <c r="F201" s="68">
        <v>64600</v>
      </c>
      <c r="G201" s="68">
        <v>64600</v>
      </c>
      <c r="H201" s="68">
        <v>64600</v>
      </c>
      <c r="I201" s="68">
        <v>64600</v>
      </c>
      <c r="J201" s="68">
        <v>64600</v>
      </c>
      <c r="K201" s="69">
        <v>64600</v>
      </c>
      <c r="L201" s="69">
        <v>64600</v>
      </c>
    </row>
    <row r="202" spans="1:12" ht="17.399999999999999" thickTop="1" x14ac:dyDescent="0.45">
      <c r="A202" s="70" t="s">
        <v>1691</v>
      </c>
      <c r="B202" s="59">
        <v>204000</v>
      </c>
      <c r="C202" s="59">
        <v>204000</v>
      </c>
      <c r="D202" s="59">
        <v>204000</v>
      </c>
      <c r="E202" s="59">
        <v>204000</v>
      </c>
      <c r="F202" s="59">
        <v>204000</v>
      </c>
      <c r="G202" s="59">
        <v>204000</v>
      </c>
      <c r="H202" s="59">
        <v>204000</v>
      </c>
      <c r="I202" s="59">
        <v>204000</v>
      </c>
      <c r="J202" s="59">
        <v>204000</v>
      </c>
      <c r="K202" s="60">
        <v>204000</v>
      </c>
      <c r="L202" s="60">
        <v>204000</v>
      </c>
    </row>
    <row r="203" spans="1:12" ht="16.8" x14ac:dyDescent="0.45">
      <c r="A203" s="57" t="s">
        <v>1604</v>
      </c>
      <c r="B203" s="55">
        <v>0</v>
      </c>
      <c r="C203" s="55">
        <v>0</v>
      </c>
      <c r="D203" s="55">
        <v>0</v>
      </c>
      <c r="E203" s="55">
        <v>0</v>
      </c>
      <c r="F203" s="55">
        <v>0</v>
      </c>
      <c r="G203" s="55">
        <v>0</v>
      </c>
      <c r="H203" s="55">
        <v>0</v>
      </c>
      <c r="I203" s="55">
        <v>0</v>
      </c>
      <c r="J203" s="55">
        <v>0</v>
      </c>
      <c r="K203" s="56">
        <v>0</v>
      </c>
      <c r="L203" s="56">
        <v>0</v>
      </c>
    </row>
    <row r="204" spans="1:12" ht="16.8" x14ac:dyDescent="0.45">
      <c r="A204" s="52" t="s">
        <v>1692</v>
      </c>
      <c r="B204" s="61">
        <v>1220986.7</v>
      </c>
      <c r="C204" s="61">
        <v>1606585.7</v>
      </c>
      <c r="D204" s="61">
        <v>1606585.7</v>
      </c>
      <c r="E204" s="61">
        <v>1106585.3</v>
      </c>
      <c r="F204" s="61">
        <v>588709.73085332848</v>
      </c>
      <c r="G204" s="61">
        <v>-797196.60698642978</v>
      </c>
      <c r="H204" s="61">
        <v>-2230023.9225755138</v>
      </c>
      <c r="I204" s="61">
        <v>-2959810.0471612057</v>
      </c>
      <c r="J204" s="61">
        <v>-3671029.6256975867</v>
      </c>
      <c r="K204" s="62">
        <v>-4174458.6900307825</v>
      </c>
      <c r="L204" s="62">
        <v>-4949320.8133083405</v>
      </c>
    </row>
    <row r="205" spans="1:12" ht="17.399999999999999" thickBot="1" x14ac:dyDescent="0.5">
      <c r="A205" s="71" t="s">
        <v>1693</v>
      </c>
      <c r="B205" s="72">
        <v>7.1822747058823522E-2</v>
      </c>
      <c r="C205" s="72">
        <v>9.4505041176470586E-2</v>
      </c>
      <c r="D205" s="72">
        <v>9.4505041176470586E-2</v>
      </c>
      <c r="E205" s="72">
        <v>6.5093252941176474E-2</v>
      </c>
      <c r="F205" s="72">
        <v>3.4629984167842853E-2</v>
      </c>
      <c r="G205" s="72">
        <v>-4.6893918058025279E-2</v>
      </c>
      <c r="H205" s="72">
        <v>-0.13117787779855963</v>
      </c>
      <c r="I205" s="72">
        <v>-0.17410647336242385</v>
      </c>
      <c r="J205" s="72">
        <v>-0.21594291915868158</v>
      </c>
      <c r="K205" s="73">
        <v>-0.24555639353122249</v>
      </c>
      <c r="L205" s="73">
        <v>-0.2911365184299024</v>
      </c>
    </row>
    <row r="206" spans="1:12" ht="15" thickTop="1" x14ac:dyDescent="0.3"/>
    <row r="207" spans="1:12" ht="15" thickBot="1" x14ac:dyDescent="0.35"/>
    <row r="208" spans="1:12" ht="15" thickBot="1" x14ac:dyDescent="0.35">
      <c r="A208" s="76" t="s">
        <v>1695</v>
      </c>
      <c r="B208" s="77" t="s">
        <v>1330</v>
      </c>
      <c r="C208" s="78" t="s">
        <v>1696</v>
      </c>
    </row>
    <row r="209" spans="1:3" x14ac:dyDescent="0.3">
      <c r="A209" s="79" t="s">
        <v>1697</v>
      </c>
      <c r="B209" s="80">
        <v>1476001</v>
      </c>
      <c r="C209" s="81">
        <v>8.6823588235294111E-2</v>
      </c>
    </row>
    <row r="210" spans="1:3" x14ac:dyDescent="0.3">
      <c r="A210" s="82" t="s">
        <v>1698</v>
      </c>
      <c r="B210" s="83">
        <v>1220986.7</v>
      </c>
      <c r="C210" s="84">
        <v>7.1822747058823522E-2</v>
      </c>
    </row>
    <row r="211" spans="1:3" x14ac:dyDescent="0.3">
      <c r="A211" s="82" t="s">
        <v>1699</v>
      </c>
      <c r="B211" s="85">
        <v>857646</v>
      </c>
      <c r="C211" s="84">
        <v>5.0449764705882354E-2</v>
      </c>
    </row>
    <row r="212" spans="1:3" x14ac:dyDescent="0.3">
      <c r="A212" s="82" t="s">
        <v>1700</v>
      </c>
      <c r="B212" s="86">
        <v>1.4236488014868605</v>
      </c>
      <c r="C212" s="87">
        <v>1.4236488014868605</v>
      </c>
    </row>
    <row r="213" spans="1:3" x14ac:dyDescent="0.3">
      <c r="A213" s="88" t="s">
        <v>1701</v>
      </c>
      <c r="B213" s="89">
        <v>0.70242042767542023</v>
      </c>
      <c r="C213" s="90"/>
    </row>
    <row r="214" spans="1:3" x14ac:dyDescent="0.3">
      <c r="A214" s="88" t="s">
        <v>1702</v>
      </c>
      <c r="B214" s="91">
        <v>1606585.7</v>
      </c>
      <c r="C214" s="92">
        <v>9.4505041176470586E-2</v>
      </c>
    </row>
    <row r="215" spans="1:3" x14ac:dyDescent="0.3">
      <c r="A215" s="93" t="s">
        <v>1703</v>
      </c>
      <c r="B215" s="94">
        <v>5.2299999999999999E-2</v>
      </c>
      <c r="C215" s="95"/>
    </row>
    <row r="216" spans="1:3" x14ac:dyDescent="0.3">
      <c r="A216" s="82" t="s">
        <v>1704</v>
      </c>
      <c r="B216" s="96">
        <v>-2959810.0471612057</v>
      </c>
      <c r="C216" s="97">
        <v>-0.17410647336242385</v>
      </c>
    </row>
    <row r="217" spans="1:3" x14ac:dyDescent="0.3">
      <c r="A217" s="82" t="s">
        <v>1705</v>
      </c>
      <c r="B217" s="96">
        <v>-3671029.6256975867</v>
      </c>
      <c r="C217" s="98">
        <v>-0.21594291915868158</v>
      </c>
    </row>
    <row r="218" spans="1:3" x14ac:dyDescent="0.3">
      <c r="A218" s="82" t="s">
        <v>1706</v>
      </c>
      <c r="B218" s="85">
        <v>-3728481.6838067276</v>
      </c>
      <c r="C218" s="92">
        <v>-0.21932245198863104</v>
      </c>
    </row>
    <row r="219" spans="1:3" x14ac:dyDescent="0.3">
      <c r="A219" s="82" t="s">
        <v>1707</v>
      </c>
      <c r="B219" s="99">
        <v>0.41252197963550569</v>
      </c>
      <c r="C219" s="84"/>
    </row>
    <row r="220" spans="1:3" x14ac:dyDescent="0.3">
      <c r="A220" s="82" t="s">
        <v>1708</v>
      </c>
      <c r="B220" s="85">
        <v>15925000</v>
      </c>
      <c r="C220" s="84"/>
    </row>
    <row r="221" spans="1:3" x14ac:dyDescent="0.3">
      <c r="A221" s="82" t="s">
        <v>1709</v>
      </c>
      <c r="B221" s="85">
        <v>15925000</v>
      </c>
      <c r="C221" s="84"/>
    </row>
    <row r="222" spans="1:3" x14ac:dyDescent="0.3">
      <c r="A222" s="82" t="s">
        <v>1710</v>
      </c>
      <c r="B222" s="34"/>
      <c r="C222" s="100">
        <v>0.93676470588235294</v>
      </c>
    </row>
    <row r="223" spans="1:3" ht="15" thickBot="1" x14ac:dyDescent="0.35">
      <c r="A223" s="101" t="s">
        <v>1426</v>
      </c>
      <c r="B223" s="102"/>
      <c r="C223" s="103">
        <v>0.11689795918367347</v>
      </c>
    </row>
    <row r="224" spans="1:3" x14ac:dyDescent="0.3">
      <c r="A224" s="104" t="s">
        <v>1665</v>
      </c>
      <c r="B224" s="105">
        <v>16648900</v>
      </c>
      <c r="C224" s="106"/>
    </row>
    <row r="225" spans="1:14" ht="15" thickBot="1" x14ac:dyDescent="0.35">
      <c r="A225" s="107" t="s">
        <v>1666</v>
      </c>
      <c r="B225" s="108">
        <v>17000000</v>
      </c>
      <c r="C225" s="109"/>
    </row>
    <row r="228" spans="1:14" ht="24" customHeight="1" thickBot="1" x14ac:dyDescent="0.35">
      <c r="A228" s="181" t="s">
        <v>1814</v>
      </c>
      <c r="B228" s="75"/>
      <c r="C228" s="75"/>
      <c r="D228" s="75"/>
      <c r="E228" s="75"/>
      <c r="F228" s="75"/>
      <c r="G228" s="75"/>
      <c r="H228" s="75"/>
      <c r="I228" s="182"/>
      <c r="J228" s="182"/>
      <c r="K228" s="182"/>
      <c r="L228" s="182"/>
      <c r="M228" s="182"/>
      <c r="N228" s="182"/>
    </row>
    <row r="229" spans="1:14" x14ac:dyDescent="0.3">
      <c r="A229" s="115" t="s">
        <v>1393</v>
      </c>
      <c r="B229" s="110" t="s">
        <v>1717</v>
      </c>
      <c r="C229" s="110" t="s">
        <v>1718</v>
      </c>
      <c r="D229" s="110" t="s">
        <v>1711</v>
      </c>
      <c r="E229" s="110" t="s">
        <v>1712</v>
      </c>
      <c r="F229" s="110" t="s">
        <v>1713</v>
      </c>
      <c r="G229" s="110" t="s">
        <v>1714</v>
      </c>
      <c r="H229" s="110" t="s">
        <v>1715</v>
      </c>
      <c r="I229" s="111" t="s">
        <v>1716</v>
      </c>
      <c r="J229" s="186"/>
    </row>
    <row r="230" spans="1:14" x14ac:dyDescent="0.3">
      <c r="A230" s="88" t="s">
        <v>1325</v>
      </c>
      <c r="B230" s="116">
        <v>16529520.468962496</v>
      </c>
      <c r="C230" s="117">
        <v>0.97232473346838211</v>
      </c>
      <c r="D230" s="112">
        <v>0.05</v>
      </c>
      <c r="E230" s="112" t="s">
        <v>1663</v>
      </c>
      <c r="F230" s="113">
        <v>0.99999878112227769</v>
      </c>
      <c r="G230" s="113">
        <v>0.99282958447479985</v>
      </c>
      <c r="H230" s="113">
        <v>1.0000022524375882</v>
      </c>
      <c r="I230" s="114">
        <v>1861604.1931378141</v>
      </c>
      <c r="J230" s="182"/>
    </row>
    <row r="232" spans="1:14" ht="15" thickBot="1" x14ac:dyDescent="0.35"/>
    <row r="233" spans="1:14" x14ac:dyDescent="0.3">
      <c r="A233" s="118" t="s">
        <v>1632</v>
      </c>
      <c r="B233" s="118" t="s">
        <v>1719</v>
      </c>
      <c r="C233" s="118" t="s">
        <v>1720</v>
      </c>
      <c r="D233" s="118" t="s">
        <v>1721</v>
      </c>
      <c r="E233" s="118" t="s">
        <v>1722</v>
      </c>
      <c r="F233" s="118" t="s">
        <v>1723</v>
      </c>
      <c r="G233" s="118" t="s">
        <v>1724</v>
      </c>
      <c r="H233" s="118" t="s">
        <v>1725</v>
      </c>
      <c r="I233" s="118" t="s">
        <v>1725</v>
      </c>
    </row>
    <row r="234" spans="1:14" x14ac:dyDescent="0.3">
      <c r="A234" s="119" t="s">
        <v>1633</v>
      </c>
      <c r="B234" s="120">
        <v>4176292.9934230978</v>
      </c>
      <c r="C234" s="120">
        <v>5669793.1290748864</v>
      </c>
      <c r="D234" s="117">
        <v>0.24566429373077045</v>
      </c>
      <c r="E234" s="117">
        <v>0.33351724288675805</v>
      </c>
      <c r="F234" s="117">
        <v>0.35</v>
      </c>
      <c r="G234" s="117">
        <v>0.2</v>
      </c>
      <c r="H234" s="112" t="s">
        <v>1571</v>
      </c>
      <c r="I234" s="121" t="s">
        <v>1663</v>
      </c>
    </row>
    <row r="235" spans="1:14" x14ac:dyDescent="0.3">
      <c r="A235" s="119" t="s">
        <v>1635</v>
      </c>
      <c r="B235" s="120">
        <v>3759869.9441274805</v>
      </c>
      <c r="C235" s="120">
        <v>5391621.9626652161</v>
      </c>
      <c r="D235" s="117">
        <v>0.22116882024279297</v>
      </c>
      <c r="E235" s="117">
        <v>0.31715423309795387</v>
      </c>
      <c r="F235" s="117">
        <v>0.15</v>
      </c>
      <c r="G235" s="117">
        <v>0.2</v>
      </c>
      <c r="H235" s="112" t="s">
        <v>1663</v>
      </c>
      <c r="I235" s="121" t="s">
        <v>1663</v>
      </c>
    </row>
    <row r="236" spans="1:14" x14ac:dyDescent="0.3">
      <c r="A236" s="119" t="s">
        <v>1639</v>
      </c>
      <c r="B236" s="120">
        <v>1000001.9946700002</v>
      </c>
      <c r="C236" s="120">
        <v>3647088.1125140167</v>
      </c>
      <c r="D236" s="117">
        <v>5.8823646745294125E-2</v>
      </c>
      <c r="E236" s="117">
        <v>0.21453459485376569</v>
      </c>
      <c r="F236" s="117">
        <v>0.15</v>
      </c>
      <c r="G236" s="117">
        <v>0.2</v>
      </c>
      <c r="H236" s="112" t="s">
        <v>1571</v>
      </c>
      <c r="I236" s="121" t="s">
        <v>1663</v>
      </c>
    </row>
    <row r="237" spans="1:14" x14ac:dyDescent="0.3">
      <c r="A237" s="122" t="s">
        <v>1651</v>
      </c>
      <c r="B237" s="120">
        <v>500001.60000000009</v>
      </c>
      <c r="C237" s="120">
        <v>1228682.1132668555</v>
      </c>
      <c r="D237" s="117">
        <v>2.9411858823529417E-2</v>
      </c>
      <c r="E237" s="117">
        <v>7.2275418427462088E-2</v>
      </c>
      <c r="F237" s="117">
        <v>0.4</v>
      </c>
      <c r="G237" s="117">
        <v>0.65</v>
      </c>
      <c r="H237" s="112" t="s">
        <v>1571</v>
      </c>
      <c r="I237" s="121" t="s">
        <v>1571</v>
      </c>
    </row>
    <row r="238" spans="1:14" x14ac:dyDescent="0.3">
      <c r="A238" s="119" t="s">
        <v>1649</v>
      </c>
      <c r="B238" s="120">
        <v>250002</v>
      </c>
      <c r="C238" s="120">
        <v>1310821.2349523732</v>
      </c>
      <c r="D238" s="117">
        <v>1.4706E-2</v>
      </c>
      <c r="E238" s="117">
        <v>7.7107131467786652E-2</v>
      </c>
      <c r="F238" s="117">
        <v>0.4</v>
      </c>
      <c r="G238" s="117">
        <v>0.65</v>
      </c>
      <c r="H238" s="112" t="s">
        <v>1571</v>
      </c>
      <c r="I238" s="121" t="s">
        <v>1571</v>
      </c>
    </row>
    <row r="239" spans="1:14" x14ac:dyDescent="0.3">
      <c r="A239" s="119" t="s">
        <v>1650</v>
      </c>
      <c r="B239" s="120">
        <v>687059.38017570868</v>
      </c>
      <c r="C239" s="120">
        <v>1537399.6231940445</v>
      </c>
      <c r="D239" s="117">
        <v>4.0415257657394628E-2</v>
      </c>
      <c r="E239" s="117">
        <v>9.0435271952590851E-2</v>
      </c>
      <c r="F239" s="117">
        <v>0.4</v>
      </c>
      <c r="G239" s="117">
        <v>0.65</v>
      </c>
      <c r="H239" s="112" t="s">
        <v>1571</v>
      </c>
      <c r="I239" s="121" t="s">
        <v>1571</v>
      </c>
    </row>
    <row r="240" spans="1:14" x14ac:dyDescent="0.3">
      <c r="A240" s="119" t="s">
        <v>1636</v>
      </c>
      <c r="B240" s="120">
        <v>557788.78993259172</v>
      </c>
      <c r="C240" s="120">
        <v>1255484.8307121443</v>
      </c>
      <c r="D240" s="117">
        <v>3.2811105290152458E-2</v>
      </c>
      <c r="E240" s="117">
        <v>7.3852048865420253E-2</v>
      </c>
      <c r="F240" s="117">
        <v>0.15</v>
      </c>
      <c r="G240" s="117">
        <v>0.2</v>
      </c>
      <c r="H240" s="112" t="s">
        <v>1571</v>
      </c>
      <c r="I240" s="121" t="s">
        <v>1571</v>
      </c>
    </row>
    <row r="241" spans="1:9" x14ac:dyDescent="0.3">
      <c r="A241" s="119" t="s">
        <v>1640</v>
      </c>
      <c r="B241" s="120">
        <v>1638582.8876603008</v>
      </c>
      <c r="C241" s="120">
        <v>3666092.1542438213</v>
      </c>
      <c r="D241" s="117">
        <v>9.638722868590005E-2</v>
      </c>
      <c r="E241" s="117">
        <v>0.21565247966140125</v>
      </c>
      <c r="F241" s="117">
        <v>0.15</v>
      </c>
      <c r="G241" s="117">
        <v>0.2</v>
      </c>
      <c r="H241" s="112" t="s">
        <v>1571</v>
      </c>
      <c r="I241" s="121" t="s">
        <v>1663</v>
      </c>
    </row>
    <row r="242" spans="1:9" x14ac:dyDescent="0.3">
      <c r="A242" s="119" t="s">
        <v>1653</v>
      </c>
      <c r="B242" s="120">
        <v>0</v>
      </c>
      <c r="C242" s="120">
        <v>933413.38705071562</v>
      </c>
      <c r="D242" s="117">
        <v>0</v>
      </c>
      <c r="E242" s="117">
        <v>5.4906669826512683E-2</v>
      </c>
      <c r="F242" s="117">
        <v>0.3</v>
      </c>
      <c r="G242" s="117">
        <v>0.45</v>
      </c>
      <c r="H242" s="112" t="s">
        <v>1571</v>
      </c>
      <c r="I242" s="121" t="s">
        <v>1571</v>
      </c>
    </row>
    <row r="243" spans="1:9" x14ac:dyDescent="0.3">
      <c r="A243" s="119" t="s">
        <v>1660</v>
      </c>
      <c r="B243" s="120">
        <v>0</v>
      </c>
      <c r="C243" s="120">
        <v>0</v>
      </c>
      <c r="D243" s="117">
        <v>0</v>
      </c>
      <c r="E243" s="117">
        <v>0</v>
      </c>
      <c r="F243" s="117">
        <v>0.2</v>
      </c>
      <c r="G243" s="117">
        <v>0.35</v>
      </c>
      <c r="H243" s="112" t="s">
        <v>1571</v>
      </c>
      <c r="I243" s="121" t="s">
        <v>1571</v>
      </c>
    </row>
    <row r="244" spans="1:9" x14ac:dyDescent="0.3">
      <c r="A244" s="119" t="s">
        <v>1638</v>
      </c>
      <c r="B244" s="120">
        <v>171501.59713310236</v>
      </c>
      <c r="C244" s="120">
        <v>403118.8540405567</v>
      </c>
      <c r="D244" s="117">
        <v>1.0088329243123669E-2</v>
      </c>
      <c r="E244" s="117">
        <v>2.371287376709157E-2</v>
      </c>
      <c r="F244" s="117">
        <v>0.15</v>
      </c>
      <c r="G244" s="117">
        <v>0.2</v>
      </c>
      <c r="H244" s="112" t="s">
        <v>1571</v>
      </c>
      <c r="I244" s="121" t="s">
        <v>1571</v>
      </c>
    </row>
    <row r="245" spans="1:9" x14ac:dyDescent="0.3">
      <c r="A245" s="119" t="s">
        <v>1656</v>
      </c>
      <c r="B245" s="120">
        <v>0</v>
      </c>
      <c r="C245" s="120">
        <v>267240.54142333055</v>
      </c>
      <c r="D245" s="117">
        <v>0</v>
      </c>
      <c r="E245" s="117">
        <v>1.572003184843121E-2</v>
      </c>
      <c r="F245" s="117">
        <v>0.3</v>
      </c>
      <c r="G245" s="117">
        <v>0.45</v>
      </c>
      <c r="H245" s="112" t="s">
        <v>1571</v>
      </c>
      <c r="I245" s="121" t="s">
        <v>1571</v>
      </c>
    </row>
    <row r="246" spans="1:9" x14ac:dyDescent="0.3">
      <c r="A246" s="119" t="s">
        <v>1641</v>
      </c>
      <c r="B246" s="120">
        <v>500000.5</v>
      </c>
      <c r="C246" s="120">
        <v>1142988.2902887578</v>
      </c>
      <c r="D246" s="117">
        <v>2.941179411764706E-2</v>
      </c>
      <c r="E246" s="117">
        <v>6.7234605311103396E-2</v>
      </c>
      <c r="F246" s="117">
        <v>0.15</v>
      </c>
      <c r="G246" s="117">
        <v>0.2</v>
      </c>
      <c r="H246" s="112" t="s">
        <v>1571</v>
      </c>
      <c r="I246" s="121" t="s">
        <v>1571</v>
      </c>
    </row>
    <row r="247" spans="1:9" x14ac:dyDescent="0.3">
      <c r="A247" s="119" t="s">
        <v>1637</v>
      </c>
      <c r="B247" s="120">
        <v>423444.0824492246</v>
      </c>
      <c r="C247" s="120">
        <v>788200.27443548513</v>
      </c>
      <c r="D247" s="117">
        <v>2.4908475438189682E-2</v>
      </c>
      <c r="E247" s="117">
        <v>4.636472202561677E-2</v>
      </c>
      <c r="F247" s="117">
        <v>0.15</v>
      </c>
      <c r="G247" s="117">
        <v>0.2</v>
      </c>
      <c r="H247" s="112" t="s">
        <v>1571</v>
      </c>
      <c r="I247" s="121" t="s">
        <v>1571</v>
      </c>
    </row>
    <row r="248" spans="1:9" x14ac:dyDescent="0.3">
      <c r="A248" s="119" t="s">
        <v>1659</v>
      </c>
      <c r="B248" s="120">
        <v>256259.14240724852</v>
      </c>
      <c r="C248" s="120">
        <v>500000.39999999979</v>
      </c>
      <c r="D248" s="117">
        <v>1.5074067200426384E-2</v>
      </c>
      <c r="E248" s="117">
        <v>2.9411788235294105E-2</v>
      </c>
      <c r="F248" s="117">
        <v>0.2</v>
      </c>
      <c r="G248" s="117">
        <v>0.35</v>
      </c>
      <c r="H248" s="112" t="s">
        <v>1571</v>
      </c>
      <c r="I248" s="121" t="s">
        <v>1571</v>
      </c>
    </row>
    <row r="249" spans="1:9" x14ac:dyDescent="0.3">
      <c r="A249" s="119" t="s">
        <v>1657</v>
      </c>
      <c r="B249" s="116">
        <v>0</v>
      </c>
      <c r="C249" s="116">
        <v>136502.96332452208</v>
      </c>
      <c r="D249" s="117">
        <v>0</v>
      </c>
      <c r="E249" s="117">
        <v>8.0295860779130632E-3</v>
      </c>
      <c r="F249" s="117">
        <v>0.2</v>
      </c>
      <c r="G249" s="117">
        <v>0.35</v>
      </c>
      <c r="H249" s="123" t="s">
        <v>1571</v>
      </c>
      <c r="I249" s="124" t="s">
        <v>1571</v>
      </c>
    </row>
    <row r="250" spans="1:9" x14ac:dyDescent="0.3">
      <c r="A250" s="119" t="s">
        <v>1658</v>
      </c>
      <c r="B250" s="116">
        <v>268273.82868992898</v>
      </c>
      <c r="C250" s="116">
        <v>672056.52622406755</v>
      </c>
      <c r="D250" s="117">
        <v>1.5780813452348764E-2</v>
      </c>
      <c r="E250" s="117">
        <v>3.9532736836709853E-2</v>
      </c>
      <c r="F250" s="117">
        <v>0.2</v>
      </c>
      <c r="G250" s="117">
        <v>0.35</v>
      </c>
      <c r="H250" s="112" t="s">
        <v>1571</v>
      </c>
      <c r="I250" s="124" t="s">
        <v>1571</v>
      </c>
    </row>
    <row r="251" spans="1:9" x14ac:dyDescent="0.3">
      <c r="A251" s="125" t="s">
        <v>1652</v>
      </c>
      <c r="B251" s="126">
        <v>0</v>
      </c>
      <c r="C251" s="126">
        <v>0</v>
      </c>
      <c r="D251" s="117">
        <v>0</v>
      </c>
      <c r="E251" s="117">
        <v>0</v>
      </c>
      <c r="F251" s="117">
        <v>0.4</v>
      </c>
      <c r="G251" s="117">
        <v>0.65</v>
      </c>
      <c r="H251" s="38" t="s">
        <v>1571</v>
      </c>
      <c r="I251" s="121" t="s">
        <v>1571</v>
      </c>
    </row>
    <row r="252" spans="1:9" x14ac:dyDescent="0.3">
      <c r="A252" s="125" t="s">
        <v>1654</v>
      </c>
      <c r="B252" s="116">
        <v>0</v>
      </c>
      <c r="C252" s="116">
        <v>0</v>
      </c>
      <c r="D252" s="117">
        <v>0</v>
      </c>
      <c r="E252" s="117">
        <v>0</v>
      </c>
      <c r="F252" s="117">
        <v>0.3</v>
      </c>
      <c r="G252" s="117">
        <v>0.45</v>
      </c>
      <c r="H252" s="42" t="s">
        <v>1571</v>
      </c>
      <c r="I252" s="124" t="s">
        <v>1571</v>
      </c>
    </row>
    <row r="253" spans="1:9" x14ac:dyDescent="0.3">
      <c r="A253" s="125" t="s">
        <v>1655</v>
      </c>
      <c r="B253" s="116">
        <v>125000</v>
      </c>
      <c r="C253" s="116">
        <v>500000</v>
      </c>
      <c r="D253" s="117">
        <v>7.3529411764705881E-3</v>
      </c>
      <c r="E253" s="117">
        <v>2.9411764705882353E-2</v>
      </c>
      <c r="F253" s="117">
        <v>0.3</v>
      </c>
      <c r="G253" s="117">
        <v>0.45</v>
      </c>
      <c r="H253" s="42" t="s">
        <v>1571</v>
      </c>
      <c r="I253" s="124" t="s">
        <v>1571</v>
      </c>
    </row>
    <row r="254" spans="1:9" x14ac:dyDescent="0.3">
      <c r="A254" s="125" t="s">
        <v>1647</v>
      </c>
      <c r="B254" s="116">
        <v>0</v>
      </c>
      <c r="C254" s="116">
        <v>0</v>
      </c>
      <c r="D254" s="117">
        <v>0</v>
      </c>
      <c r="E254" s="117">
        <v>0</v>
      </c>
      <c r="F254" s="117">
        <v>0.15</v>
      </c>
      <c r="G254" s="117">
        <v>0.2</v>
      </c>
      <c r="H254" s="42" t="s">
        <v>1571</v>
      </c>
      <c r="I254" s="124" t="s">
        <v>1571</v>
      </c>
    </row>
    <row r="255" spans="1:9" x14ac:dyDescent="0.3">
      <c r="A255" s="125" t="s">
        <v>1642</v>
      </c>
      <c r="B255" s="116">
        <v>140189.99593783222</v>
      </c>
      <c r="C255" s="116">
        <v>462125.19613937614</v>
      </c>
      <c r="D255" s="117">
        <v>8.2464703492842479E-3</v>
      </c>
      <c r="E255" s="117">
        <v>2.7183835067022127E-2</v>
      </c>
      <c r="F255" s="117">
        <v>0.15</v>
      </c>
      <c r="G255" s="117">
        <v>0.2</v>
      </c>
      <c r="H255" s="42" t="s">
        <v>1571</v>
      </c>
      <c r="I255" s="124" t="s">
        <v>1571</v>
      </c>
    </row>
    <row r="256" spans="1:9" ht="15" thickBot="1" x14ac:dyDescent="0.35">
      <c r="A256" s="127" t="s">
        <v>1643</v>
      </c>
      <c r="B256" s="128">
        <v>250000</v>
      </c>
      <c r="C256" s="128">
        <v>500000.4</v>
      </c>
      <c r="D256" s="129">
        <v>1.4705882352941176E-2</v>
      </c>
      <c r="E256" s="129">
        <v>2.9411788235294119E-2</v>
      </c>
      <c r="F256" s="129">
        <v>0.15</v>
      </c>
      <c r="G256" s="129">
        <v>0.2</v>
      </c>
      <c r="H256" s="130" t="s">
        <v>1571</v>
      </c>
      <c r="I256" s="131" t="s">
        <v>1571</v>
      </c>
    </row>
    <row r="259" spans="1:5" x14ac:dyDescent="0.3">
      <c r="A259" s="132" t="s">
        <v>1315</v>
      </c>
      <c r="B259" s="132" t="s">
        <v>1717</v>
      </c>
      <c r="C259" s="132" t="s">
        <v>1718</v>
      </c>
      <c r="D259" s="132" t="s">
        <v>1711</v>
      </c>
      <c r="E259" s="132" t="s">
        <v>1712</v>
      </c>
    </row>
    <row r="260" spans="1:5" x14ac:dyDescent="0.3">
      <c r="A260" s="112" t="s">
        <v>1344</v>
      </c>
      <c r="B260" s="116">
        <v>925000</v>
      </c>
      <c r="C260" s="133">
        <v>5.4411764705882354E-2</v>
      </c>
      <c r="D260" s="187">
        <v>0.3</v>
      </c>
      <c r="E260" s="112" t="s">
        <v>1726</v>
      </c>
    </row>
    <row r="261" spans="1:5" x14ac:dyDescent="0.3">
      <c r="A261" s="112" t="s">
        <v>1382</v>
      </c>
      <c r="B261" s="116">
        <v>500000</v>
      </c>
      <c r="C261" s="133">
        <v>2.9411764705882353E-2</v>
      </c>
      <c r="D261" s="187">
        <v>0.3</v>
      </c>
      <c r="E261" s="112" t="s">
        <v>1726</v>
      </c>
    </row>
    <row r="262" spans="1:5" x14ac:dyDescent="0.3">
      <c r="A262" s="112" t="s">
        <v>1359</v>
      </c>
      <c r="B262" s="116">
        <v>250000</v>
      </c>
      <c r="C262" s="133">
        <v>1.4705882352941176E-2</v>
      </c>
      <c r="D262" s="187">
        <v>0.3</v>
      </c>
      <c r="E262" s="112" t="s">
        <v>1726</v>
      </c>
    </row>
    <row r="263" spans="1:5" x14ac:dyDescent="0.3">
      <c r="A263" s="112" t="s">
        <v>1369</v>
      </c>
      <c r="B263" s="116">
        <v>499999.75</v>
      </c>
      <c r="C263" s="133">
        <v>2.941175E-2</v>
      </c>
      <c r="D263" s="187">
        <v>0.3</v>
      </c>
      <c r="E263" s="112" t="s">
        <v>1726</v>
      </c>
    </row>
    <row r="264" spans="1:5" x14ac:dyDescent="0.3">
      <c r="A264" s="112" t="s">
        <v>1367</v>
      </c>
      <c r="B264" s="116">
        <v>249999.74999999997</v>
      </c>
      <c r="C264" s="133">
        <v>1.4705867647058822E-2</v>
      </c>
      <c r="D264" s="187">
        <v>0.3</v>
      </c>
      <c r="E264" s="112" t="s">
        <v>1726</v>
      </c>
    </row>
    <row r="265" spans="1:5" x14ac:dyDescent="0.3">
      <c r="A265" s="112" t="s">
        <v>1342</v>
      </c>
      <c r="B265" s="116">
        <v>250000</v>
      </c>
      <c r="C265" s="133">
        <v>1.4705882352941176E-2</v>
      </c>
      <c r="D265" s="187">
        <v>0.3</v>
      </c>
      <c r="E265" s="112" t="s">
        <v>1726</v>
      </c>
    </row>
    <row r="266" spans="1:5" x14ac:dyDescent="0.3">
      <c r="A266" s="112" t="s">
        <v>1352</v>
      </c>
      <c r="B266" s="116">
        <v>250000</v>
      </c>
      <c r="C266" s="133">
        <v>1.4705882352941176E-2</v>
      </c>
      <c r="D266" s="187">
        <v>0.3</v>
      </c>
      <c r="E266" s="112" t="s">
        <v>1726</v>
      </c>
    </row>
    <row r="267" spans="1:5" x14ac:dyDescent="0.3">
      <c r="A267" s="112" t="s">
        <v>1339</v>
      </c>
      <c r="B267" s="116">
        <v>499998.75</v>
      </c>
      <c r="C267" s="133">
        <v>2.9411691176470588E-2</v>
      </c>
      <c r="D267" s="187">
        <v>0.3</v>
      </c>
      <c r="E267" s="112" t="s">
        <v>1726</v>
      </c>
    </row>
    <row r="268" spans="1:5" x14ac:dyDescent="0.3">
      <c r="A268" s="112" t="s">
        <v>1378</v>
      </c>
      <c r="B268" s="116">
        <v>500000.4</v>
      </c>
      <c r="C268" s="133">
        <v>2.9411788235294119E-2</v>
      </c>
      <c r="D268" s="187">
        <v>0.3</v>
      </c>
      <c r="E268" s="112" t="s">
        <v>1726</v>
      </c>
    </row>
    <row r="269" spans="1:5" x14ac:dyDescent="0.3">
      <c r="A269" s="112" t="s">
        <v>1363</v>
      </c>
      <c r="B269" s="116">
        <v>1000001.5</v>
      </c>
      <c r="C269" s="133">
        <v>5.8823617647058825E-2</v>
      </c>
      <c r="D269" s="187">
        <v>0.3</v>
      </c>
      <c r="E269" s="112" t="s">
        <v>1726</v>
      </c>
    </row>
    <row r="270" spans="1:5" x14ac:dyDescent="0.3">
      <c r="A270" s="112" t="s">
        <v>1366</v>
      </c>
      <c r="B270" s="116">
        <v>250000.5</v>
      </c>
      <c r="C270" s="133">
        <v>1.4705911764705882E-2</v>
      </c>
      <c r="D270" s="187">
        <v>0.3</v>
      </c>
      <c r="E270" s="112" t="s">
        <v>1726</v>
      </c>
    </row>
    <row r="271" spans="1:5" x14ac:dyDescent="0.3">
      <c r="A271" s="112" t="s">
        <v>1341</v>
      </c>
      <c r="B271" s="116">
        <v>749999.25</v>
      </c>
      <c r="C271" s="133">
        <v>4.4117602941176469E-2</v>
      </c>
      <c r="D271" s="187">
        <v>0.3</v>
      </c>
      <c r="E271" s="112" t="s">
        <v>1726</v>
      </c>
    </row>
    <row r="272" spans="1:5" x14ac:dyDescent="0.3">
      <c r="A272" s="112" t="s">
        <v>1358</v>
      </c>
      <c r="B272" s="116">
        <v>500000.49999999994</v>
      </c>
      <c r="C272" s="133">
        <v>2.9411794117647057E-2</v>
      </c>
      <c r="D272" s="187">
        <v>0.3</v>
      </c>
      <c r="E272" s="112" t="s">
        <v>1726</v>
      </c>
    </row>
    <row r="273" spans="1:5" x14ac:dyDescent="0.3">
      <c r="A273" s="112" t="s">
        <v>1357</v>
      </c>
      <c r="B273" s="116">
        <v>250000.5</v>
      </c>
      <c r="C273" s="133">
        <v>1.4705911764705882E-2</v>
      </c>
      <c r="D273" s="187">
        <v>0.3</v>
      </c>
      <c r="E273" s="112" t="s">
        <v>1726</v>
      </c>
    </row>
    <row r="274" spans="1:5" x14ac:dyDescent="0.3">
      <c r="A274" s="112" t="s">
        <v>1354</v>
      </c>
      <c r="B274" s="116">
        <v>500000</v>
      </c>
      <c r="C274" s="133">
        <v>2.9411764705882353E-2</v>
      </c>
      <c r="D274" s="187">
        <v>0.3</v>
      </c>
      <c r="E274" s="112" t="s">
        <v>1726</v>
      </c>
    </row>
    <row r="275" spans="1:5" x14ac:dyDescent="0.3">
      <c r="A275" s="112" t="s">
        <v>1372</v>
      </c>
      <c r="B275" s="116">
        <v>249999.64999999997</v>
      </c>
      <c r="C275" s="133">
        <v>1.4705861764705881E-2</v>
      </c>
      <c r="D275" s="187">
        <v>0.3</v>
      </c>
      <c r="E275" s="112" t="s">
        <v>1726</v>
      </c>
    </row>
    <row r="276" spans="1:5" x14ac:dyDescent="0.3">
      <c r="A276" s="112" t="s">
        <v>1331</v>
      </c>
      <c r="B276" s="116">
        <v>249999.9</v>
      </c>
      <c r="C276" s="133">
        <v>1.4705876470588235E-2</v>
      </c>
      <c r="D276" s="187">
        <v>0.3</v>
      </c>
      <c r="E276" s="112" t="s">
        <v>1726</v>
      </c>
    </row>
    <row r="277" spans="1:5" x14ac:dyDescent="0.3">
      <c r="A277" s="112" t="s">
        <v>1365</v>
      </c>
      <c r="B277" s="116">
        <v>249999.6</v>
      </c>
      <c r="C277" s="133">
        <v>1.4705858823529412E-2</v>
      </c>
      <c r="D277" s="187">
        <v>0.3</v>
      </c>
      <c r="E277" s="112" t="s">
        <v>1726</v>
      </c>
    </row>
    <row r="278" spans="1:5" x14ac:dyDescent="0.3">
      <c r="A278" s="112" t="s">
        <v>1337</v>
      </c>
      <c r="B278" s="116">
        <v>249999.60000000003</v>
      </c>
      <c r="C278" s="133">
        <v>1.4705858823529414E-2</v>
      </c>
      <c r="D278" s="187">
        <v>0.3</v>
      </c>
      <c r="E278" s="112" t="s">
        <v>1726</v>
      </c>
    </row>
    <row r="279" spans="1:5" x14ac:dyDescent="0.3">
      <c r="A279" s="112" t="s">
        <v>1335</v>
      </c>
      <c r="B279" s="116">
        <v>250000</v>
      </c>
      <c r="C279" s="133">
        <v>1.4705882352941176E-2</v>
      </c>
      <c r="D279" s="187">
        <v>0.3</v>
      </c>
      <c r="E279" s="112" t="s">
        <v>1726</v>
      </c>
    </row>
    <row r="280" spans="1:5" x14ac:dyDescent="0.3">
      <c r="A280" s="112" t="s">
        <v>1386</v>
      </c>
      <c r="B280" s="116">
        <v>250002</v>
      </c>
      <c r="C280" s="133">
        <v>1.4706E-2</v>
      </c>
      <c r="D280" s="187">
        <v>0.3</v>
      </c>
      <c r="E280" s="112" t="s">
        <v>1726</v>
      </c>
    </row>
    <row r="281" spans="1:5" x14ac:dyDescent="0.3">
      <c r="A281" s="112" t="s">
        <v>1370</v>
      </c>
      <c r="B281" s="116">
        <v>250002.00000000003</v>
      </c>
      <c r="C281" s="133">
        <v>1.4706000000000002E-2</v>
      </c>
      <c r="D281" s="187">
        <v>0.3</v>
      </c>
      <c r="E281" s="112" t="s">
        <v>1726</v>
      </c>
    </row>
    <row r="282" spans="1:5" x14ac:dyDescent="0.3">
      <c r="A282" s="112" t="s">
        <v>1353</v>
      </c>
      <c r="B282" s="116">
        <v>250000.5</v>
      </c>
      <c r="C282" s="133">
        <v>1.4705911764705882E-2</v>
      </c>
      <c r="D282" s="187">
        <v>0.3</v>
      </c>
      <c r="E282" s="112" t="s">
        <v>1726</v>
      </c>
    </row>
    <row r="283" spans="1:5" x14ac:dyDescent="0.3">
      <c r="A283" s="112" t="s">
        <v>1362</v>
      </c>
      <c r="B283" s="116">
        <v>750000.49999999988</v>
      </c>
      <c r="C283" s="133">
        <v>4.411767647058823E-2</v>
      </c>
      <c r="D283" s="187">
        <v>0.3</v>
      </c>
      <c r="E283" s="112" t="s">
        <v>1726</v>
      </c>
    </row>
    <row r="284" spans="1:5" x14ac:dyDescent="0.3">
      <c r="A284" s="112" t="s">
        <v>1375</v>
      </c>
      <c r="B284" s="116">
        <v>250000</v>
      </c>
      <c r="C284" s="133">
        <v>1.4705882352941176E-2</v>
      </c>
      <c r="D284" s="187">
        <v>0.3</v>
      </c>
      <c r="E284" s="112" t="s">
        <v>1726</v>
      </c>
    </row>
    <row r="285" spans="1:5" x14ac:dyDescent="0.3">
      <c r="A285" s="112" t="s">
        <v>1381</v>
      </c>
      <c r="B285" s="116">
        <v>500000</v>
      </c>
      <c r="C285" s="133">
        <v>2.9411764705882353E-2</v>
      </c>
      <c r="D285" s="187">
        <v>0.3</v>
      </c>
      <c r="E285" s="112" t="s">
        <v>1726</v>
      </c>
    </row>
    <row r="286" spans="1:5" x14ac:dyDescent="0.3">
      <c r="A286" s="112" t="s">
        <v>1368</v>
      </c>
      <c r="B286" s="116">
        <v>250000.1</v>
      </c>
      <c r="C286" s="133">
        <v>1.4705888235294118E-2</v>
      </c>
      <c r="D286" s="187">
        <v>0.3</v>
      </c>
      <c r="E286" s="112" t="s">
        <v>1726</v>
      </c>
    </row>
    <row r="287" spans="1:5" x14ac:dyDescent="0.3">
      <c r="A287" s="112" t="s">
        <v>1388</v>
      </c>
      <c r="B287" s="116">
        <v>250000.3</v>
      </c>
      <c r="C287" s="133">
        <v>1.4705899999999999E-2</v>
      </c>
      <c r="D287" s="187">
        <v>0.3</v>
      </c>
      <c r="E287" s="112" t="s">
        <v>1726</v>
      </c>
    </row>
    <row r="288" spans="1:5" x14ac:dyDescent="0.3">
      <c r="A288" s="112" t="s">
        <v>1348</v>
      </c>
      <c r="B288" s="116">
        <v>250000.5</v>
      </c>
      <c r="C288" s="133">
        <v>1.4705911764705882E-2</v>
      </c>
      <c r="D288" s="187">
        <v>0.3</v>
      </c>
      <c r="E288" s="112" t="s">
        <v>1726</v>
      </c>
    </row>
    <row r="289" spans="1:9" x14ac:dyDescent="0.3">
      <c r="A289" s="112" t="s">
        <v>1351</v>
      </c>
      <c r="B289" s="116">
        <v>500000.80000000005</v>
      </c>
      <c r="C289" s="133">
        <v>2.9411811764705885E-2</v>
      </c>
      <c r="D289" s="187">
        <v>0.3</v>
      </c>
      <c r="E289" s="112" t="s">
        <v>1726</v>
      </c>
    </row>
    <row r="290" spans="1:9" x14ac:dyDescent="0.3">
      <c r="A290" s="112" t="s">
        <v>1371</v>
      </c>
      <c r="B290" s="116">
        <v>250000.30000000002</v>
      </c>
      <c r="C290" s="133">
        <v>1.4705900000000001E-2</v>
      </c>
      <c r="D290" s="187">
        <v>0.3</v>
      </c>
      <c r="E290" s="112" t="s">
        <v>1726</v>
      </c>
    </row>
    <row r="291" spans="1:9" x14ac:dyDescent="0.3">
      <c r="A291" s="112" t="s">
        <v>1373</v>
      </c>
      <c r="B291" s="116">
        <v>250000.19999999998</v>
      </c>
      <c r="C291" s="133">
        <v>1.4705894117647058E-2</v>
      </c>
      <c r="D291" s="187">
        <v>0.3</v>
      </c>
      <c r="E291" s="112" t="s">
        <v>1726</v>
      </c>
    </row>
    <row r="292" spans="1:9" x14ac:dyDescent="0.3">
      <c r="A292" s="112" t="s">
        <v>1384</v>
      </c>
      <c r="B292" s="116">
        <v>500000.25000000006</v>
      </c>
      <c r="C292" s="133">
        <v>2.9411779411764708E-2</v>
      </c>
      <c r="D292" s="187">
        <v>0.3</v>
      </c>
      <c r="E292" s="112" t="s">
        <v>1726</v>
      </c>
    </row>
    <row r="293" spans="1:9" x14ac:dyDescent="0.3">
      <c r="A293" s="112" t="s">
        <v>1345</v>
      </c>
      <c r="B293" s="116">
        <v>500000</v>
      </c>
      <c r="C293" s="133">
        <v>2.9411764705882353E-2</v>
      </c>
      <c r="D293" s="187">
        <v>0.3</v>
      </c>
      <c r="E293" s="112" t="s">
        <v>1726</v>
      </c>
    </row>
    <row r="294" spans="1:9" x14ac:dyDescent="0.3">
      <c r="A294" s="112" t="s">
        <v>1343</v>
      </c>
      <c r="B294" s="116">
        <v>249999.45</v>
      </c>
      <c r="C294" s="133">
        <v>1.4705850000000001E-2</v>
      </c>
      <c r="D294" s="187">
        <v>0.3</v>
      </c>
      <c r="E294" s="112" t="s">
        <v>1726</v>
      </c>
    </row>
    <row r="295" spans="1:9" x14ac:dyDescent="0.3">
      <c r="A295" s="112" t="s">
        <v>1360</v>
      </c>
      <c r="B295" s="116">
        <v>1000000.0000000001</v>
      </c>
      <c r="C295" s="133">
        <v>5.8823529411764712E-2</v>
      </c>
      <c r="D295" s="187">
        <v>0.3</v>
      </c>
      <c r="E295" s="112" t="s">
        <v>1726</v>
      </c>
    </row>
    <row r="296" spans="1:9" x14ac:dyDescent="0.3">
      <c r="A296" s="112" t="s">
        <v>1364</v>
      </c>
      <c r="B296" s="116">
        <v>749999.99999999988</v>
      </c>
      <c r="C296" s="133">
        <v>4.4117647058823525E-2</v>
      </c>
      <c r="D296" s="187">
        <v>0.3</v>
      </c>
      <c r="E296" s="112" t="s">
        <v>1726</v>
      </c>
    </row>
    <row r="297" spans="1:9" x14ac:dyDescent="0.3">
      <c r="A297" s="112" t="s">
        <v>1327</v>
      </c>
      <c r="B297" s="116">
        <v>1000002</v>
      </c>
      <c r="C297" s="133">
        <v>5.8823647058823529E-2</v>
      </c>
      <c r="D297" s="187">
        <v>0.3</v>
      </c>
      <c r="E297" s="112" t="s">
        <v>1726</v>
      </c>
    </row>
    <row r="300" spans="1:9" x14ac:dyDescent="0.3">
      <c r="A300" s="134" t="s">
        <v>1432</v>
      </c>
      <c r="B300" s="135" t="s">
        <v>1727</v>
      </c>
      <c r="C300" s="136" t="s">
        <v>1728</v>
      </c>
      <c r="D300" s="136" t="s">
        <v>1729</v>
      </c>
      <c r="E300" s="136" t="s">
        <v>1730</v>
      </c>
      <c r="F300" s="136" t="s">
        <v>1731</v>
      </c>
      <c r="G300" s="136" t="s">
        <v>1732</v>
      </c>
      <c r="H300" s="136" t="s">
        <v>1733</v>
      </c>
      <c r="I300" s="136" t="s">
        <v>1734</v>
      </c>
    </row>
    <row r="301" spans="1:9" x14ac:dyDescent="0.3">
      <c r="A301" s="34">
        <v>1</v>
      </c>
      <c r="B301" s="34" t="s">
        <v>1661</v>
      </c>
      <c r="C301" s="137">
        <v>370977.57726672781</v>
      </c>
      <c r="D301" s="137">
        <v>14620.952735241328</v>
      </c>
      <c r="E301" s="137">
        <v>4566395.7471612059</v>
      </c>
      <c r="F301" s="137">
        <v>5335067.3838067278</v>
      </c>
      <c r="G301" s="137">
        <v>5335067.3838067278</v>
      </c>
      <c r="H301" s="137">
        <v>4581016.6998964474</v>
      </c>
      <c r="I301" s="137">
        <v>-2770426.8063556333</v>
      </c>
    </row>
    <row r="302" spans="1:9" x14ac:dyDescent="0.3">
      <c r="A302" s="34">
        <v>2</v>
      </c>
      <c r="B302" s="34" t="s">
        <v>1633</v>
      </c>
      <c r="C302" s="137">
        <v>259330.16973268223</v>
      </c>
      <c r="D302" s="137">
        <v>126268.3602692869</v>
      </c>
      <c r="E302" s="137">
        <v>4389062.3778956477</v>
      </c>
      <c r="F302" s="137">
        <v>5196955.8573187497</v>
      </c>
      <c r="G302" s="137">
        <v>4724390.5259409538</v>
      </c>
      <c r="H302" s="137">
        <v>4515330.7381649343</v>
      </c>
      <c r="I302" s="137">
        <v>-2704740.8446241203</v>
      </c>
    </row>
    <row r="303" spans="1:9" x14ac:dyDescent="0.3">
      <c r="A303" s="34">
        <v>3</v>
      </c>
      <c r="B303" s="34" t="s">
        <v>1635</v>
      </c>
      <c r="C303" s="137">
        <v>128481.33636294935</v>
      </c>
      <c r="D303" s="137">
        <v>257117.1936390198</v>
      </c>
      <c r="E303" s="137">
        <v>3898748.1418002797</v>
      </c>
      <c r="F303" s="137">
        <v>4890442.9237197479</v>
      </c>
      <c r="G303" s="137">
        <v>3632864.505342281</v>
      </c>
      <c r="H303" s="137">
        <v>4155865.3354392997</v>
      </c>
      <c r="I303" s="137">
        <v>-2345275.4418984856</v>
      </c>
    </row>
    <row r="304" spans="1:9" x14ac:dyDescent="0.3">
      <c r="A304" s="34">
        <v>4</v>
      </c>
      <c r="B304" s="34" t="s">
        <v>1639</v>
      </c>
      <c r="C304" s="137">
        <v>42076.755547220644</v>
      </c>
      <c r="D304" s="137">
        <v>343521.77445474849</v>
      </c>
      <c r="E304" s="137">
        <v>1075000.1151976984</v>
      </c>
      <c r="F304" s="137">
        <v>2203605.9564550146</v>
      </c>
      <c r="G304" s="137">
        <v>379321.34266388719</v>
      </c>
      <c r="H304" s="137">
        <v>1418521.8896524468</v>
      </c>
      <c r="I304" s="137">
        <v>392068.00388836721</v>
      </c>
    </row>
    <row r="305" spans="1:9" x14ac:dyDescent="0.3">
      <c r="A305" s="34">
        <v>5</v>
      </c>
      <c r="B305" s="34" t="s">
        <v>1651</v>
      </c>
      <c r="C305" s="137">
        <v>16527.707372801007</v>
      </c>
      <c r="D305" s="137">
        <v>369070.82262916811</v>
      </c>
      <c r="E305" s="137">
        <v>525369.67013660271</v>
      </c>
      <c r="F305" s="137">
        <v>972516.44244103611</v>
      </c>
      <c r="G305" s="137">
        <v>78408.126772485397</v>
      </c>
      <c r="H305" s="137">
        <v>894440.49276577076</v>
      </c>
      <c r="I305" s="137">
        <v>916149.40077504329</v>
      </c>
    </row>
    <row r="306" spans="1:9" x14ac:dyDescent="0.3">
      <c r="A306" s="34">
        <v>6</v>
      </c>
      <c r="B306" s="34" t="s">
        <v>1649</v>
      </c>
      <c r="C306" s="137">
        <v>10907.135177643784</v>
      </c>
      <c r="D306" s="137">
        <v>374691.39482432534</v>
      </c>
      <c r="E306" s="137">
        <v>250002.00000000006</v>
      </c>
      <c r="F306" s="137">
        <v>980884.24734582333</v>
      </c>
      <c r="G306" s="137">
        <v>72062.376500776663</v>
      </c>
      <c r="H306" s="137">
        <v>624693.39482432534</v>
      </c>
      <c r="I306" s="137">
        <v>1185896.4987164887</v>
      </c>
    </row>
    <row r="307" spans="1:9" x14ac:dyDescent="0.3">
      <c r="A307" s="34">
        <v>7</v>
      </c>
      <c r="B307" s="34" t="s">
        <v>1650</v>
      </c>
      <c r="C307" s="137">
        <v>31308.028351557179</v>
      </c>
      <c r="D307" s="137">
        <v>354290.50165041198</v>
      </c>
      <c r="E307" s="137">
        <v>696483.55859493732</v>
      </c>
      <c r="F307" s="137">
        <v>1415476.2742167644</v>
      </c>
      <c r="G307" s="137">
        <v>260600.55614829771</v>
      </c>
      <c r="H307" s="137">
        <v>1050774.0602453493</v>
      </c>
      <c r="I307" s="137">
        <v>759815.83329546475</v>
      </c>
    </row>
    <row r="308" spans="1:9" x14ac:dyDescent="0.3">
      <c r="A308" s="34">
        <v>8</v>
      </c>
      <c r="B308" s="34" t="s">
        <v>1636</v>
      </c>
      <c r="C308" s="137">
        <v>19626.167777228504</v>
      </c>
      <c r="D308" s="137">
        <v>365972.36222474062</v>
      </c>
      <c r="E308" s="137">
        <v>612428.18412845756</v>
      </c>
      <c r="F308" s="137">
        <v>1022265.1564662333</v>
      </c>
      <c r="G308" s="137">
        <v>84273.229024787011</v>
      </c>
      <c r="H308" s="137">
        <v>978400.54635319812</v>
      </c>
      <c r="I308" s="137">
        <v>832189.34718761593</v>
      </c>
    </row>
    <row r="309" spans="1:9" x14ac:dyDescent="0.3">
      <c r="A309" s="34">
        <v>9</v>
      </c>
      <c r="B309" s="34" t="s">
        <v>1640</v>
      </c>
      <c r="C309" s="137">
        <v>43931.03474185869</v>
      </c>
      <c r="D309" s="137">
        <v>341667.49526011047</v>
      </c>
      <c r="E309" s="137">
        <v>1691189.4830542076</v>
      </c>
      <c r="F309" s="137">
        <v>2789615.7087520212</v>
      </c>
      <c r="G309" s="137">
        <v>449051.02727519145</v>
      </c>
      <c r="H309" s="137">
        <v>2032856.9783143182</v>
      </c>
      <c r="I309" s="137">
        <v>-222267.08477350418</v>
      </c>
    </row>
    <row r="310" spans="1:9" x14ac:dyDescent="0.3">
      <c r="A310" s="34">
        <v>10</v>
      </c>
      <c r="B310" s="34" t="s">
        <v>1653</v>
      </c>
      <c r="C310" s="137">
        <v>5462.9464464846742</v>
      </c>
      <c r="D310" s="137">
        <v>380135.58355548448</v>
      </c>
      <c r="E310" s="137">
        <v>0</v>
      </c>
      <c r="F310" s="137">
        <v>546294.64464846742</v>
      </c>
      <c r="G310" s="137">
        <v>42740.622893164109</v>
      </c>
      <c r="H310" s="137">
        <v>380135.58355548448</v>
      </c>
      <c r="I310" s="137">
        <v>1430454.3099853296</v>
      </c>
    </row>
    <row r="311" spans="1:9" x14ac:dyDescent="0.3">
      <c r="A311" s="34">
        <v>11</v>
      </c>
      <c r="B311" s="34" t="s">
        <v>1660</v>
      </c>
      <c r="C311" s="137">
        <v>0</v>
      </c>
      <c r="D311" s="137">
        <v>385598.53000196913</v>
      </c>
      <c r="E311" s="137">
        <v>0</v>
      </c>
      <c r="F311" s="137">
        <v>0</v>
      </c>
      <c r="G311" s="137">
        <v>0</v>
      </c>
      <c r="H311" s="137">
        <v>385598.53000196913</v>
      </c>
      <c r="I311" s="137">
        <v>1424991.363538845</v>
      </c>
    </row>
    <row r="312" spans="1:9" x14ac:dyDescent="0.3">
      <c r="A312" s="34">
        <v>12</v>
      </c>
      <c r="B312" s="34" t="s">
        <v>1638</v>
      </c>
      <c r="C312" s="137">
        <v>6335.1701142601523</v>
      </c>
      <c r="D312" s="137">
        <v>379263.35988770897</v>
      </c>
      <c r="E312" s="137">
        <v>189385.98568156984</v>
      </c>
      <c r="F312" s="137">
        <v>310590.11706482136</v>
      </c>
      <c r="G312" s="137">
        <v>6153.3509669955365</v>
      </c>
      <c r="H312" s="137">
        <v>568649.34556927881</v>
      </c>
      <c r="I312" s="137">
        <v>1241940.5479715352</v>
      </c>
    </row>
    <row r="313" spans="1:9" x14ac:dyDescent="0.3">
      <c r="A313" s="34">
        <v>13</v>
      </c>
      <c r="B313" s="34" t="s">
        <v>1656</v>
      </c>
      <c r="C313" s="137">
        <v>1300.8939236105653</v>
      </c>
      <c r="D313" s="137">
        <v>384297.63607835857</v>
      </c>
      <c r="E313" s="137">
        <v>0</v>
      </c>
      <c r="F313" s="137">
        <v>130089.39236105653</v>
      </c>
      <c r="G313" s="137">
        <v>5000.0039999999999</v>
      </c>
      <c r="H313" s="137">
        <v>384297.63607835857</v>
      </c>
      <c r="I313" s="137">
        <v>1426292.2574624554</v>
      </c>
    </row>
    <row r="314" spans="1:9" x14ac:dyDescent="0.3">
      <c r="A314" s="34">
        <v>14</v>
      </c>
      <c r="B314" s="34" t="s">
        <v>1641</v>
      </c>
      <c r="C314" s="137">
        <v>11617.251069921056</v>
      </c>
      <c r="D314" s="137">
        <v>373981.27893204807</v>
      </c>
      <c r="E314" s="137">
        <v>500001</v>
      </c>
      <c r="F314" s="137">
        <v>856003.78572577715</v>
      </c>
      <c r="G314" s="137">
        <v>31665.709405535446</v>
      </c>
      <c r="H314" s="137">
        <v>873982.27893204801</v>
      </c>
      <c r="I314" s="137">
        <v>936607.61460876605</v>
      </c>
    </row>
    <row r="315" spans="1:9" x14ac:dyDescent="0.3">
      <c r="A315" s="34">
        <v>15</v>
      </c>
      <c r="B315" s="34" t="s">
        <v>1637</v>
      </c>
      <c r="C315" s="137">
        <v>9360.1536731123597</v>
      </c>
      <c r="D315" s="137">
        <v>376238.3763288568</v>
      </c>
      <c r="E315" s="137">
        <v>440546.48072764836</v>
      </c>
      <c r="F315" s="137">
        <v>612340.02213655016</v>
      </c>
      <c r="G315" s="137">
        <v>3914.0801396663824</v>
      </c>
      <c r="H315" s="137">
        <v>816784.85705650516</v>
      </c>
      <c r="I315" s="137">
        <v>993805.03648430889</v>
      </c>
    </row>
    <row r="316" spans="1:9" x14ac:dyDescent="0.3">
      <c r="A316" s="34">
        <v>16</v>
      </c>
      <c r="B316" s="34" t="s">
        <v>1659</v>
      </c>
      <c r="C316" s="137">
        <v>8452.841061354331</v>
      </c>
      <c r="D316" s="137">
        <v>377145.68894061481</v>
      </c>
      <c r="E316" s="137">
        <v>286902.26433033647</v>
      </c>
      <c r="F316" s="137">
        <v>450401.83689501835</v>
      </c>
      <c r="G316" s="137">
        <v>3193.9795648067079</v>
      </c>
      <c r="H316" s="137">
        <v>664047.95327095129</v>
      </c>
      <c r="I316" s="137">
        <v>1146541.9402698628</v>
      </c>
    </row>
    <row r="317" spans="1:9" x14ac:dyDescent="0.3">
      <c r="A317" s="34">
        <v>17</v>
      </c>
      <c r="B317" s="34" t="s">
        <v>1657</v>
      </c>
      <c r="C317" s="137">
        <v>632.10758498886742</v>
      </c>
      <c r="D317" s="137">
        <v>384966.42241698026</v>
      </c>
      <c r="E317" s="137">
        <v>0</v>
      </c>
      <c r="F317" s="137">
        <v>63210.758498886738</v>
      </c>
      <c r="G317" s="137">
        <v>44.891540649894544</v>
      </c>
      <c r="H317" s="137">
        <v>384966.42241698026</v>
      </c>
      <c r="I317" s="137">
        <v>1425623.4711238337</v>
      </c>
    </row>
    <row r="318" spans="1:9" x14ac:dyDescent="0.3">
      <c r="A318" s="34">
        <v>18</v>
      </c>
      <c r="B318" s="34" t="s">
        <v>1658</v>
      </c>
      <c r="C318" s="137">
        <v>7905.8694845705631</v>
      </c>
      <c r="D318" s="137">
        <v>377692.66051739856</v>
      </c>
      <c r="E318" s="137">
        <v>276000.31640902552</v>
      </c>
      <c r="F318" s="137">
        <v>529167.97945746442</v>
      </c>
      <c r="G318" s="137">
        <v>9317.8029769293316</v>
      </c>
      <c r="H318" s="137">
        <v>653692.97692642407</v>
      </c>
      <c r="I318" s="137">
        <v>1156896.91661439</v>
      </c>
    </row>
    <row r="319" spans="1:9" x14ac:dyDescent="0.3">
      <c r="A319" s="34">
        <v>19</v>
      </c>
      <c r="B319" s="34" t="s">
        <v>1652</v>
      </c>
      <c r="C319" s="137">
        <v>62.745744597711273</v>
      </c>
      <c r="D319" s="137">
        <v>385535.78425737144</v>
      </c>
      <c r="E319" s="137">
        <v>0</v>
      </c>
      <c r="F319" s="137">
        <v>6274.5744597711273</v>
      </c>
      <c r="G319" s="137">
        <v>0</v>
      </c>
      <c r="H319" s="137">
        <v>385535.78425737144</v>
      </c>
      <c r="I319" s="137">
        <v>1425054.1092834426</v>
      </c>
    </row>
    <row r="320" spans="1:9" x14ac:dyDescent="0.3">
      <c r="A320" s="34">
        <v>20</v>
      </c>
      <c r="B320" s="34" t="s">
        <v>1654</v>
      </c>
      <c r="C320" s="137">
        <v>0</v>
      </c>
      <c r="D320" s="137">
        <v>385598.53000196913</v>
      </c>
      <c r="E320" s="137">
        <v>0</v>
      </c>
      <c r="F320" s="137">
        <v>0</v>
      </c>
      <c r="G320" s="137">
        <v>0</v>
      </c>
      <c r="H320" s="137">
        <v>385598.53000196913</v>
      </c>
      <c r="I320" s="137">
        <v>1424991.363538845</v>
      </c>
    </row>
    <row r="321" spans="1:13" x14ac:dyDescent="0.3">
      <c r="A321" s="34">
        <v>21</v>
      </c>
      <c r="B321" s="34" t="s">
        <v>1655</v>
      </c>
      <c r="C321" s="137">
        <v>4612.5</v>
      </c>
      <c r="D321" s="137">
        <v>380986.03000196913</v>
      </c>
      <c r="E321" s="137">
        <v>125000</v>
      </c>
      <c r="F321" s="137">
        <v>445000</v>
      </c>
      <c r="G321" s="137">
        <v>13125</v>
      </c>
      <c r="H321" s="137">
        <v>505986.03000196913</v>
      </c>
      <c r="I321" s="137">
        <v>1304603.863538845</v>
      </c>
    </row>
    <row r="322" spans="1:13" x14ac:dyDescent="0.3">
      <c r="A322" s="34">
        <v>22</v>
      </c>
      <c r="B322" s="34" t="s">
        <v>1647</v>
      </c>
      <c r="C322" s="137">
        <v>0</v>
      </c>
      <c r="D322" s="137">
        <v>385598.53000196913</v>
      </c>
      <c r="E322" s="137">
        <v>0</v>
      </c>
      <c r="F322" s="137">
        <v>0</v>
      </c>
      <c r="G322" s="137">
        <v>0</v>
      </c>
      <c r="H322" s="137">
        <v>385598.53000196913</v>
      </c>
      <c r="I322" s="137">
        <v>1424991.363538845</v>
      </c>
    </row>
    <row r="323" spans="1:13" x14ac:dyDescent="0.3">
      <c r="A323" s="34">
        <v>23</v>
      </c>
      <c r="B323" s="34" t="s">
        <v>1642</v>
      </c>
      <c r="C323" s="137">
        <v>3806.5123720685065</v>
      </c>
      <c r="D323" s="137">
        <v>381792.01762990066</v>
      </c>
      <c r="E323" s="137">
        <v>145395.10283284108</v>
      </c>
      <c r="F323" s="137">
        <v>317240.057074123</v>
      </c>
      <c r="G323" s="137">
        <v>0</v>
      </c>
      <c r="H323" s="137">
        <v>527187.1204627417</v>
      </c>
      <c r="I323" s="137">
        <v>1283402.7730780724</v>
      </c>
    </row>
    <row r="324" spans="1:13" x14ac:dyDescent="0.3">
      <c r="A324" s="34">
        <v>24</v>
      </c>
      <c r="B324" s="34" t="s">
        <v>1643</v>
      </c>
      <c r="C324" s="137">
        <v>9199.6779797562795</v>
      </c>
      <c r="D324" s="137">
        <v>376398.85202221287</v>
      </c>
      <c r="E324" s="137">
        <v>250000</v>
      </c>
      <c r="F324" s="137">
        <v>464741.64586183801</v>
      </c>
      <c r="G324" s="137">
        <v>51017.336516061732</v>
      </c>
      <c r="H324" s="137">
        <v>626398.85202221293</v>
      </c>
      <c r="I324" s="137">
        <v>1184191.0415186011</v>
      </c>
    </row>
    <row r="327" spans="1:13" x14ac:dyDescent="0.3">
      <c r="A327" s="134" t="s">
        <v>3</v>
      </c>
      <c r="B327" s="141" t="s">
        <v>1736</v>
      </c>
      <c r="C327" s="141" t="s">
        <v>1737</v>
      </c>
      <c r="D327" s="141" t="s">
        <v>1738</v>
      </c>
      <c r="E327" s="141" t="s">
        <v>1739</v>
      </c>
      <c r="F327" s="141" t="s">
        <v>1740</v>
      </c>
      <c r="G327" s="141" t="s">
        <v>1741</v>
      </c>
      <c r="H327" s="141" t="s">
        <v>1742</v>
      </c>
      <c r="I327" s="141" t="s">
        <v>1743</v>
      </c>
      <c r="J327" s="141" t="s">
        <v>1744</v>
      </c>
      <c r="K327" s="141" t="s">
        <v>1745</v>
      </c>
      <c r="L327" s="141" t="s">
        <v>1746</v>
      </c>
      <c r="M327" s="142" t="s">
        <v>1747</v>
      </c>
    </row>
    <row r="328" spans="1:13" x14ac:dyDescent="0.3">
      <c r="A328" s="134" t="s">
        <v>1748</v>
      </c>
      <c r="B328" s="143">
        <v>1.3950204263748918E-2</v>
      </c>
      <c r="C328" s="143">
        <v>1.3263803646912166E-2</v>
      </c>
      <c r="D328" s="143">
        <v>1.4427444167281782E-2</v>
      </c>
      <c r="E328" s="143">
        <v>2.0509773288960531E-2</v>
      </c>
      <c r="F328" s="143">
        <v>2.6928063438694951E-2</v>
      </c>
      <c r="G328" s="143">
        <v>3.492442577702936E-2</v>
      </c>
      <c r="H328" s="143">
        <v>0.10135974446310571</v>
      </c>
      <c r="I328" s="143">
        <v>0.20781937495035577</v>
      </c>
      <c r="J328" s="143">
        <v>0.27001809185274339</v>
      </c>
      <c r="K328" s="143">
        <v>0.17526069428248542</v>
      </c>
      <c r="L328" s="143">
        <v>4.5533417101552856E-2</v>
      </c>
      <c r="M328" s="89">
        <v>3.8086237009874783E-2</v>
      </c>
    </row>
    <row r="329" spans="1:13" x14ac:dyDescent="0.3">
      <c r="A329" s="134" t="s">
        <v>182</v>
      </c>
      <c r="B329" s="143">
        <v>0</v>
      </c>
      <c r="C329" s="143">
        <v>0</v>
      </c>
      <c r="D329" s="143">
        <v>0</v>
      </c>
      <c r="E329" s="143">
        <v>0</v>
      </c>
      <c r="F329" s="143">
        <v>0</v>
      </c>
      <c r="G329" s="143">
        <v>2.8461178370558945E-2</v>
      </c>
      <c r="H329" s="143">
        <v>9.2963561159948624E-2</v>
      </c>
      <c r="I329" s="143">
        <v>0.29067308935731473</v>
      </c>
      <c r="J329" s="143">
        <v>0.35759965881909933</v>
      </c>
      <c r="K329" s="143">
        <v>0.21482848430345552</v>
      </c>
      <c r="L329" s="143">
        <v>1.5474186585121116E-2</v>
      </c>
      <c r="M329" s="89">
        <v>0</v>
      </c>
    </row>
    <row r="330" spans="1:13" x14ac:dyDescent="0.3">
      <c r="A330" s="134" t="s">
        <v>247</v>
      </c>
      <c r="B330" s="143">
        <v>0</v>
      </c>
      <c r="C330" s="143">
        <v>0</v>
      </c>
      <c r="D330" s="143">
        <v>0</v>
      </c>
      <c r="E330" s="143">
        <v>0</v>
      </c>
      <c r="F330" s="143">
        <v>0</v>
      </c>
      <c r="G330" s="143">
        <v>1.3813504748501838E-2</v>
      </c>
      <c r="H330" s="143">
        <v>0.14927406581601088</v>
      </c>
      <c r="I330" s="143">
        <v>0.30309411309364098</v>
      </c>
      <c r="J330" s="143">
        <v>0.33552615815731512</v>
      </c>
      <c r="K330" s="143">
        <v>0.17996673481734857</v>
      </c>
      <c r="L330" s="143">
        <v>1.8323677275033846E-2</v>
      </c>
      <c r="M330" s="89">
        <v>0</v>
      </c>
    </row>
    <row r="331" spans="1:13" x14ac:dyDescent="0.3">
      <c r="A331" s="134" t="s">
        <v>373</v>
      </c>
      <c r="B331" s="143">
        <v>0</v>
      </c>
      <c r="C331" s="143">
        <v>0</v>
      </c>
      <c r="D331" s="143">
        <v>0</v>
      </c>
      <c r="E331" s="143">
        <v>0</v>
      </c>
      <c r="F331" s="143">
        <v>0</v>
      </c>
      <c r="G331" s="143">
        <v>5.4819306478374333E-3</v>
      </c>
      <c r="H331" s="143">
        <v>3.4157243342015829E-2</v>
      </c>
      <c r="I331" s="143">
        <v>0.16027457696472897</v>
      </c>
      <c r="J331" s="143">
        <v>0.43169154418002015</v>
      </c>
      <c r="K331" s="143">
        <v>0.32120038164391129</v>
      </c>
      <c r="L331" s="143">
        <v>4.7194575398971879E-2</v>
      </c>
      <c r="M331" s="89">
        <v>0</v>
      </c>
    </row>
    <row r="332" spans="1:13" x14ac:dyDescent="0.3">
      <c r="A332" s="134" t="s">
        <v>414</v>
      </c>
      <c r="B332" s="143">
        <v>9.4002501162845763E-3</v>
      </c>
      <c r="C332" s="143">
        <v>0</v>
      </c>
      <c r="D332" s="143">
        <v>1.8800500232569153E-2</v>
      </c>
      <c r="E332" s="143">
        <v>0</v>
      </c>
      <c r="F332" s="143">
        <v>0</v>
      </c>
      <c r="G332" s="143">
        <v>4.9808231297121938E-3</v>
      </c>
      <c r="H332" s="143">
        <v>0.16429107563134768</v>
      </c>
      <c r="I332" s="143">
        <v>0.22686900333060114</v>
      </c>
      <c r="J332" s="143">
        <v>0.35284110747947167</v>
      </c>
      <c r="K332" s="143">
        <v>0.17244132036463031</v>
      </c>
      <c r="L332" s="143">
        <v>1.9057183880008929E-2</v>
      </c>
      <c r="M332" s="89">
        <v>0</v>
      </c>
    </row>
    <row r="333" spans="1:13" x14ac:dyDescent="0.3">
      <c r="A333" s="134" t="s">
        <v>418</v>
      </c>
      <c r="B333" s="143">
        <v>9.2125361825374716E-3</v>
      </c>
      <c r="C333" s="143">
        <v>0</v>
      </c>
      <c r="D333" s="143">
        <v>1.9233949749381626E-2</v>
      </c>
      <c r="E333" s="143">
        <v>0</v>
      </c>
      <c r="F333" s="143">
        <v>0</v>
      </c>
      <c r="G333" s="143">
        <v>4.0765256499497547E-3</v>
      </c>
      <c r="H333" s="143">
        <v>0.16716078752946567</v>
      </c>
      <c r="I333" s="143">
        <v>0.22471629386534661</v>
      </c>
      <c r="J333" s="143">
        <v>0.35611373176918232</v>
      </c>
      <c r="K333" s="143">
        <v>0.16864073673426583</v>
      </c>
      <c r="L333" s="143">
        <v>1.9444030984041197E-2</v>
      </c>
      <c r="M333" s="89">
        <v>0</v>
      </c>
    </row>
    <row r="334" spans="1:13" x14ac:dyDescent="0.3">
      <c r="A334" s="134" t="s">
        <v>440</v>
      </c>
      <c r="B334" s="143">
        <v>4.0728170977544206E-2</v>
      </c>
      <c r="C334" s="143">
        <v>5.2673732451130759E-2</v>
      </c>
      <c r="D334" s="143">
        <v>4.4207935431053821E-2</v>
      </c>
      <c r="E334" s="143">
        <v>0.10583682513834741</v>
      </c>
      <c r="F334" s="143">
        <v>0.10583259780497985</v>
      </c>
      <c r="G334" s="143">
        <v>8.6184480577015318E-2</v>
      </c>
      <c r="H334" s="143">
        <v>8.2556206917398567E-2</v>
      </c>
      <c r="I334" s="143">
        <v>9.2049687388671461E-2</v>
      </c>
      <c r="J334" s="143">
        <v>0.10351157286920912</v>
      </c>
      <c r="K334" s="143">
        <v>8.5881576816639174E-2</v>
      </c>
      <c r="L334" s="143">
        <v>8.1200379051894686E-2</v>
      </c>
      <c r="M334" s="89">
        <v>0.11933484695675571</v>
      </c>
    </row>
    <row r="335" spans="1:13" x14ac:dyDescent="0.3">
      <c r="A335" s="134" t="s">
        <v>466</v>
      </c>
      <c r="B335" s="143">
        <v>2.7098066823835459E-3</v>
      </c>
      <c r="C335" s="143">
        <v>9.5755590666209405E-3</v>
      </c>
      <c r="D335" s="143">
        <v>2.0318318212414681E-2</v>
      </c>
      <c r="E335" s="143">
        <v>3.9534430101886328E-2</v>
      </c>
      <c r="F335" s="143">
        <v>5.9493141400366066E-2</v>
      </c>
      <c r="G335" s="143">
        <v>5.4001559014316601E-2</v>
      </c>
      <c r="H335" s="143">
        <v>0.10323269133470896</v>
      </c>
      <c r="I335" s="143">
        <v>0.1130390917960697</v>
      </c>
      <c r="J335" s="143">
        <v>0.15484894586918885</v>
      </c>
      <c r="K335" s="143">
        <v>8.3928822982726789E-2</v>
      </c>
      <c r="L335" s="143">
        <v>1.3724409012419496E-2</v>
      </c>
      <c r="M335" s="89">
        <v>7.3557120606631138E-3</v>
      </c>
    </row>
    <row r="336" spans="1:13" x14ac:dyDescent="0.3">
      <c r="A336" s="134" t="s">
        <v>470</v>
      </c>
      <c r="B336" s="143">
        <v>8.6645828180169256E-3</v>
      </c>
      <c r="C336" s="143">
        <v>9.2447107144532359E-3</v>
      </c>
      <c r="D336" s="143">
        <v>3.8412143370797812E-2</v>
      </c>
      <c r="E336" s="143">
        <v>3.2430648130268254E-2</v>
      </c>
      <c r="F336" s="143">
        <v>5.3401815953407011E-2</v>
      </c>
      <c r="G336" s="143">
        <v>5.1246185239188474E-2</v>
      </c>
      <c r="H336" s="143">
        <v>9.7677030495120637E-2</v>
      </c>
      <c r="I336" s="143">
        <v>0.12742010202524548</v>
      </c>
      <c r="J336" s="143">
        <v>0.15774456940228077</v>
      </c>
      <c r="K336" s="143">
        <v>0.11551069504513628</v>
      </c>
      <c r="L336" s="143">
        <v>2.2859040756361072E-2</v>
      </c>
      <c r="M336" s="89">
        <v>1.0482550463306073E-2</v>
      </c>
    </row>
    <row r="337" spans="1:13" x14ac:dyDescent="0.3">
      <c r="A337" s="134" t="s">
        <v>538</v>
      </c>
      <c r="B337" s="143">
        <v>4.8176636987198262E-2</v>
      </c>
      <c r="C337" s="143">
        <v>6.1353751309187965E-2</v>
      </c>
      <c r="D337" s="143">
        <v>4.4904507704114215E-2</v>
      </c>
      <c r="E337" s="143">
        <v>9.1901069863100232E-2</v>
      </c>
      <c r="F337" s="143">
        <v>0.13240248223293577</v>
      </c>
      <c r="G337" s="143">
        <v>4.5109511183203096E-2</v>
      </c>
      <c r="H337" s="143">
        <v>5.0862839715260739E-2</v>
      </c>
      <c r="I337" s="143">
        <v>0.11852107260909182</v>
      </c>
      <c r="J337" s="143">
        <v>0.13008821881123089</v>
      </c>
      <c r="K337" s="143">
        <v>0.10149987755724875</v>
      </c>
      <c r="L337" s="143">
        <v>6.5887900839373667E-2</v>
      </c>
      <c r="M337" s="89">
        <v>0.10929195082931117</v>
      </c>
    </row>
    <row r="338" spans="1:13" x14ac:dyDescent="0.3">
      <c r="A338" s="134" t="s">
        <v>546</v>
      </c>
      <c r="B338" s="143">
        <v>8.3920770239144279E-2</v>
      </c>
      <c r="C338" s="143">
        <v>8.3130136153746023E-2</v>
      </c>
      <c r="D338" s="143">
        <v>6.3997670489453207E-2</v>
      </c>
      <c r="E338" s="143">
        <v>9.2339803273370047E-2</v>
      </c>
      <c r="F338" s="143">
        <v>0.1189051158850272</v>
      </c>
      <c r="G338" s="143">
        <v>8.2282719200725551E-2</v>
      </c>
      <c r="H338" s="143">
        <v>5.3186206142167486E-2</v>
      </c>
      <c r="I338" s="143">
        <v>7.3140194845089379E-2</v>
      </c>
      <c r="J338" s="143">
        <v>7.9503328437643947E-2</v>
      </c>
      <c r="K338" s="143">
        <v>8.2527816700566026E-2</v>
      </c>
      <c r="L338" s="143">
        <v>7.0297297706385514E-2</v>
      </c>
      <c r="M338" s="89">
        <v>0.11676911371843736</v>
      </c>
    </row>
    <row r="339" spans="1:13" x14ac:dyDescent="0.3">
      <c r="A339" s="134" t="s">
        <v>552</v>
      </c>
      <c r="B339" s="143">
        <v>6.8139106407868757E-2</v>
      </c>
      <c r="C339" s="143">
        <v>7.4583411295096227E-2</v>
      </c>
      <c r="D339" s="143">
        <v>8.7426777376110321E-2</v>
      </c>
      <c r="E339" s="143">
        <v>9.2099869321258937E-2</v>
      </c>
      <c r="F339" s="143">
        <v>9.9151528771351596E-2</v>
      </c>
      <c r="G339" s="143">
        <v>7.2301172716906323E-2</v>
      </c>
      <c r="H339" s="143">
        <v>8.223337528045048E-2</v>
      </c>
      <c r="I339" s="143">
        <v>8.6900372699573847E-2</v>
      </c>
      <c r="J339" s="143">
        <v>5.9559139344638315E-2</v>
      </c>
      <c r="K339" s="143">
        <v>9.048414515897879E-2</v>
      </c>
      <c r="L339" s="143">
        <v>8.722450296995779E-2</v>
      </c>
      <c r="M339" s="89">
        <v>9.9896301321122705E-2</v>
      </c>
    </row>
    <row r="340" spans="1:13" x14ac:dyDescent="0.3">
      <c r="A340" s="134" t="s">
        <v>563</v>
      </c>
      <c r="B340" s="143">
        <v>7.1010231878156443E-2</v>
      </c>
      <c r="C340" s="143">
        <v>7.9887734019083945E-2</v>
      </c>
      <c r="D340" s="143">
        <v>7.5798516100601898E-2</v>
      </c>
      <c r="E340" s="143">
        <v>9.7300904699849533E-2</v>
      </c>
      <c r="F340" s="143">
        <v>0.11076143626022204</v>
      </c>
      <c r="G340" s="143">
        <v>6.8099748770939952E-2</v>
      </c>
      <c r="H340" s="143">
        <v>7.1946334275052648E-2</v>
      </c>
      <c r="I340" s="143">
        <v>7.3191330842398941E-2</v>
      </c>
      <c r="J340" s="143">
        <v>6.9423428555287062E-2</v>
      </c>
      <c r="K340" s="143">
        <v>9.6690513482712806E-2</v>
      </c>
      <c r="L340" s="143">
        <v>7.4874321697448995E-2</v>
      </c>
      <c r="M340" s="89">
        <v>0.11101631887834665</v>
      </c>
    </row>
    <row r="341" spans="1:13" x14ac:dyDescent="0.3">
      <c r="A341" s="134" t="s">
        <v>617</v>
      </c>
      <c r="B341" s="143">
        <v>2.0818219291014017E-2</v>
      </c>
      <c r="C341" s="143">
        <v>6.2454657873042045E-2</v>
      </c>
      <c r="D341" s="143">
        <v>2.0818219291014014E-2</v>
      </c>
      <c r="E341" s="143">
        <v>0.14572753503709809</v>
      </c>
      <c r="F341" s="143">
        <v>0.14107197319666143</v>
      </c>
      <c r="G341" s="143">
        <v>4.1636438582028028E-2</v>
      </c>
      <c r="H341" s="143">
        <v>0.10183532733422673</v>
      </c>
      <c r="I341" s="143">
        <v>0.10526946116599691</v>
      </c>
      <c r="J341" s="143">
        <v>4.1636438582028035E-2</v>
      </c>
      <c r="K341" s="143">
        <v>0.12716508486692743</v>
      </c>
      <c r="L341" s="143">
        <v>8.3272877164056069E-2</v>
      </c>
      <c r="M341" s="89">
        <v>0.10829047466390666</v>
      </c>
    </row>
    <row r="342" spans="1:13" x14ac:dyDescent="0.3">
      <c r="A342" s="134" t="s">
        <v>625</v>
      </c>
      <c r="B342" s="143">
        <v>4.581253407546073E-2</v>
      </c>
      <c r="C342" s="143">
        <v>8.836598711913872E-2</v>
      </c>
      <c r="D342" s="143">
        <v>6.3362474244213512E-2</v>
      </c>
      <c r="E342" s="143">
        <v>8.641559410637624E-2</v>
      </c>
      <c r="F342" s="143">
        <v>0.11523574104142741</v>
      </c>
      <c r="G342" s="143">
        <v>5.5050758765482849E-2</v>
      </c>
      <c r="H342" s="143">
        <v>7.5561662881372033E-2</v>
      </c>
      <c r="I342" s="143">
        <v>9.2981530731386972E-2</v>
      </c>
      <c r="J342" s="143">
        <v>9.8228070762673911E-2</v>
      </c>
      <c r="K342" s="143">
        <v>9.2985816983488262E-2</v>
      </c>
      <c r="L342" s="143">
        <v>7.9982604019048262E-2</v>
      </c>
      <c r="M342" s="89">
        <v>0.10601659168163574</v>
      </c>
    </row>
    <row r="343" spans="1:13" x14ac:dyDescent="0.3">
      <c r="A343" s="134" t="s">
        <v>627</v>
      </c>
      <c r="B343" s="143">
        <v>6.9429430432613057E-2</v>
      </c>
      <c r="C343" s="143">
        <v>7.8925999506171782E-2</v>
      </c>
      <c r="D343" s="143">
        <v>5.3273762320606176E-2</v>
      </c>
      <c r="E343" s="143">
        <v>9.7750426145166186E-2</v>
      </c>
      <c r="F343" s="143">
        <v>9.8429720943021062E-2</v>
      </c>
      <c r="G343" s="143">
        <v>8.1279379214623318E-2</v>
      </c>
      <c r="H343" s="143">
        <v>7.5970621905063235E-2</v>
      </c>
      <c r="I343" s="143">
        <v>8.0411634769896337E-2</v>
      </c>
      <c r="J343" s="143">
        <v>7.675085805060472E-2</v>
      </c>
      <c r="K343" s="143">
        <v>9.7052297166046256E-2</v>
      </c>
      <c r="L343" s="143">
        <v>8.3377524099408878E-2</v>
      </c>
      <c r="M343" s="89">
        <v>0.10734825842614894</v>
      </c>
    </row>
    <row r="344" spans="1:13" x14ac:dyDescent="0.3">
      <c r="A344" s="134" t="s">
        <v>637</v>
      </c>
      <c r="B344" s="143">
        <v>1.061473986038621E-2</v>
      </c>
      <c r="C344" s="143">
        <v>2.8970359880966727E-3</v>
      </c>
      <c r="D344" s="143">
        <v>1.7382215928580035E-2</v>
      </c>
      <c r="E344" s="143">
        <v>1.2549959900434787E-2</v>
      </c>
      <c r="F344" s="143">
        <v>2.8970359880966727E-3</v>
      </c>
      <c r="G344" s="143">
        <v>2.8970359880966727E-3</v>
      </c>
      <c r="H344" s="143">
        <v>0.1123238793304842</v>
      </c>
      <c r="I344" s="143">
        <v>0.3395673822367874</v>
      </c>
      <c r="J344" s="143">
        <v>0.33060974696159223</v>
      </c>
      <c r="K344" s="143">
        <v>0.12387725885101371</v>
      </c>
      <c r="L344" s="143">
        <v>2.700037540906099E-2</v>
      </c>
      <c r="M344" s="89">
        <v>1.7382215928580035E-2</v>
      </c>
    </row>
    <row r="345" spans="1:13" x14ac:dyDescent="0.3">
      <c r="A345" s="134" t="s">
        <v>643</v>
      </c>
      <c r="B345" s="143">
        <v>7.233839515052555E-2</v>
      </c>
      <c r="C345" s="143">
        <v>5.6446929242584633E-2</v>
      </c>
      <c r="D345" s="143">
        <v>5.3968868774306067E-2</v>
      </c>
      <c r="E345" s="143">
        <v>8.3210375445817247E-2</v>
      </c>
      <c r="F345" s="143">
        <v>9.2769247315612383E-2</v>
      </c>
      <c r="G345" s="143">
        <v>7.6818796167518494E-2</v>
      </c>
      <c r="H345" s="143">
        <v>8.8615659990141274E-2</v>
      </c>
      <c r="I345" s="143">
        <v>9.7477375953669704E-2</v>
      </c>
      <c r="J345" s="143">
        <v>0.1322332088970152</v>
      </c>
      <c r="K345" s="143">
        <v>9.8942286419799297E-2</v>
      </c>
      <c r="L345" s="143">
        <v>8.1914212976881617E-2</v>
      </c>
      <c r="M345" s="89">
        <v>6.5265086456488555E-2</v>
      </c>
    </row>
    <row r="346" spans="1:13" x14ac:dyDescent="0.3">
      <c r="A346" s="134" t="s">
        <v>662</v>
      </c>
      <c r="B346" s="143">
        <v>0</v>
      </c>
      <c r="C346" s="143">
        <v>0</v>
      </c>
      <c r="D346" s="143">
        <v>0</v>
      </c>
      <c r="E346" s="143">
        <v>0</v>
      </c>
      <c r="F346" s="143">
        <v>0</v>
      </c>
      <c r="G346" s="143">
        <v>7.5515251204264994E-3</v>
      </c>
      <c r="H346" s="143">
        <v>0.17212246310139606</v>
      </c>
      <c r="I346" s="143">
        <v>0.284143590250439</v>
      </c>
      <c r="J346" s="143">
        <v>0.33628088359949393</v>
      </c>
      <c r="K346" s="143">
        <v>0.15264839223557597</v>
      </c>
      <c r="L346" s="143">
        <v>3.1619609244321896E-2</v>
      </c>
      <c r="M346" s="89">
        <v>1.5633116573460677E-2</v>
      </c>
    </row>
    <row r="347" spans="1:13" x14ac:dyDescent="0.3">
      <c r="A347" s="134" t="s">
        <v>668</v>
      </c>
      <c r="B347" s="143">
        <v>0</v>
      </c>
      <c r="C347" s="143">
        <v>0</v>
      </c>
      <c r="D347" s="143">
        <v>0</v>
      </c>
      <c r="E347" s="143">
        <v>0</v>
      </c>
      <c r="F347" s="143">
        <v>0</v>
      </c>
      <c r="G347" s="143">
        <v>1.2844111929466615E-2</v>
      </c>
      <c r="H347" s="143">
        <v>0.14927831065365926</v>
      </c>
      <c r="I347" s="143">
        <v>0.27728413875629071</v>
      </c>
      <c r="J347" s="143">
        <v>0.32860553610692789</v>
      </c>
      <c r="K347" s="143">
        <v>0.21968485499684401</v>
      </c>
      <c r="L347" s="143">
        <v>1.2303020067228294E-2</v>
      </c>
      <c r="M347" s="89">
        <v>0</v>
      </c>
    </row>
    <row r="348" spans="1:13" x14ac:dyDescent="0.3">
      <c r="A348" s="134" t="s">
        <v>674</v>
      </c>
      <c r="B348" s="143">
        <v>0</v>
      </c>
      <c r="C348" s="143">
        <v>0</v>
      </c>
      <c r="D348" s="143">
        <v>0</v>
      </c>
      <c r="E348" s="143">
        <v>0</v>
      </c>
      <c r="F348" s="143">
        <v>0</v>
      </c>
      <c r="G348" s="143">
        <v>2.4591403453031024E-3</v>
      </c>
      <c r="H348" s="143">
        <v>0.11016750810831327</v>
      </c>
      <c r="I348" s="143">
        <v>0.27523308057463169</v>
      </c>
      <c r="J348" s="143">
        <v>0.34791187573176369</v>
      </c>
      <c r="K348" s="143">
        <v>0.21687333312452362</v>
      </c>
      <c r="L348" s="143">
        <v>4.735614037336644E-2</v>
      </c>
      <c r="M348" s="89">
        <v>0</v>
      </c>
    </row>
    <row r="349" spans="1:13" x14ac:dyDescent="0.3">
      <c r="A349" s="134" t="s">
        <v>674</v>
      </c>
      <c r="B349" s="143">
        <v>0</v>
      </c>
      <c r="C349" s="143">
        <v>0</v>
      </c>
      <c r="D349" s="143">
        <v>0</v>
      </c>
      <c r="E349" s="143">
        <v>0</v>
      </c>
      <c r="F349" s="143">
        <v>0</v>
      </c>
      <c r="G349" s="143">
        <v>2.4591403453031024E-3</v>
      </c>
      <c r="H349" s="143">
        <v>0.11016750810831327</v>
      </c>
      <c r="I349" s="143">
        <v>0.27523308057463169</v>
      </c>
      <c r="J349" s="143">
        <v>0.34791187573176369</v>
      </c>
      <c r="K349" s="143">
        <v>0.21687333312452362</v>
      </c>
      <c r="L349" s="143">
        <v>4.7356140373366454E-2</v>
      </c>
      <c r="M349" s="89">
        <v>0</v>
      </c>
    </row>
    <row r="350" spans="1:13" x14ac:dyDescent="0.3">
      <c r="A350" s="134" t="s">
        <v>677</v>
      </c>
      <c r="B350" s="143">
        <v>0</v>
      </c>
      <c r="C350" s="143">
        <v>0</v>
      </c>
      <c r="D350" s="143">
        <v>0</v>
      </c>
      <c r="E350" s="143">
        <v>0</v>
      </c>
      <c r="F350" s="143">
        <v>0</v>
      </c>
      <c r="G350" s="143">
        <v>2.8085172014969937E-2</v>
      </c>
      <c r="H350" s="143">
        <v>0.11506647037035191</v>
      </c>
      <c r="I350" s="143">
        <v>0.2738125950697794</v>
      </c>
      <c r="J350" s="143">
        <v>0.36117471281775643</v>
      </c>
      <c r="K350" s="143">
        <v>0.20100436263992644</v>
      </c>
      <c r="L350" s="143">
        <v>2.0857473561443327E-2</v>
      </c>
      <c r="M350" s="89">
        <v>0</v>
      </c>
    </row>
    <row r="351" spans="1:13" x14ac:dyDescent="0.3">
      <c r="A351" s="134" t="s">
        <v>679</v>
      </c>
      <c r="B351" s="143">
        <v>0</v>
      </c>
      <c r="C351" s="143">
        <v>0</v>
      </c>
      <c r="D351" s="143">
        <v>0</v>
      </c>
      <c r="E351" s="143">
        <v>0</v>
      </c>
      <c r="F351" s="143">
        <v>0</v>
      </c>
      <c r="G351" s="143">
        <v>3.984640826585599E-2</v>
      </c>
      <c r="H351" s="143">
        <v>0.17966039940209555</v>
      </c>
      <c r="I351" s="143">
        <v>0.27852810236167502</v>
      </c>
      <c r="J351" s="143">
        <v>0.29761050338865003</v>
      </c>
      <c r="K351" s="143">
        <v>0.18811369371587291</v>
      </c>
      <c r="L351" s="143">
        <v>1.6240410428309031E-2</v>
      </c>
      <c r="M351" s="89">
        <v>0</v>
      </c>
    </row>
    <row r="352" spans="1:13" x14ac:dyDescent="0.3">
      <c r="A352" s="134" t="s">
        <v>695</v>
      </c>
      <c r="B352" s="143">
        <v>0</v>
      </c>
      <c r="C352" s="143">
        <v>0</v>
      </c>
      <c r="D352" s="143">
        <v>0</v>
      </c>
      <c r="E352" s="143">
        <v>0</v>
      </c>
      <c r="F352" s="143">
        <v>0</v>
      </c>
      <c r="G352" s="143">
        <v>2.8890804664116584E-2</v>
      </c>
      <c r="H352" s="143">
        <v>0.12019187534366529</v>
      </c>
      <c r="I352" s="143">
        <v>0.3210049474149182</v>
      </c>
      <c r="J352" s="143">
        <v>0.30145733327674507</v>
      </c>
      <c r="K352" s="143">
        <v>0.20428271733016184</v>
      </c>
      <c r="L352" s="143">
        <v>2.4172593623600372E-2</v>
      </c>
      <c r="M352" s="89">
        <v>0</v>
      </c>
    </row>
    <row r="353" spans="1:13" x14ac:dyDescent="0.3">
      <c r="A353" s="134" t="s">
        <v>698</v>
      </c>
      <c r="B353" s="143">
        <v>0</v>
      </c>
      <c r="C353" s="143">
        <v>0</v>
      </c>
      <c r="D353" s="143">
        <v>0</v>
      </c>
      <c r="E353" s="143">
        <v>0</v>
      </c>
      <c r="F353" s="143">
        <v>0</v>
      </c>
      <c r="G353" s="143">
        <v>2.88579607143238E-2</v>
      </c>
      <c r="H353" s="143">
        <v>0.11732040236784963</v>
      </c>
      <c r="I353" s="143">
        <v>0.3054520277380306</v>
      </c>
      <c r="J353" s="143">
        <v>0.31246494482772447</v>
      </c>
      <c r="K353" s="143">
        <v>0.21437375936164316</v>
      </c>
      <c r="L353" s="143">
        <v>2.1530709591991194E-2</v>
      </c>
      <c r="M353" s="89">
        <v>0</v>
      </c>
    </row>
    <row r="354" spans="1:13" x14ac:dyDescent="0.3">
      <c r="A354" s="134" t="s">
        <v>709</v>
      </c>
      <c r="B354" s="143">
        <v>9.6128274993084462E-2</v>
      </c>
      <c r="C354" s="143">
        <v>8.8183543801550218E-2</v>
      </c>
      <c r="D354" s="143">
        <v>5.9870369390089252E-2</v>
      </c>
      <c r="E354" s="143">
        <v>0.10501022619600521</v>
      </c>
      <c r="F354" s="143">
        <v>0.11744649636661825</v>
      </c>
      <c r="G354" s="143">
        <v>3.9558268175982687E-2</v>
      </c>
      <c r="H354" s="143">
        <v>8.0546696207590848E-2</v>
      </c>
      <c r="I354" s="143">
        <v>8.0790329543070846E-2</v>
      </c>
      <c r="J354" s="143">
        <v>0.12094031288386428</v>
      </c>
      <c r="K354" s="143">
        <v>8.1782038966812201E-2</v>
      </c>
      <c r="L354" s="143">
        <v>7.3921465904162695E-2</v>
      </c>
      <c r="M354" s="89">
        <v>5.5823048179456075E-2</v>
      </c>
    </row>
    <row r="355" spans="1:13" x14ac:dyDescent="0.3">
      <c r="A355" s="134" t="s">
        <v>711</v>
      </c>
      <c r="B355" s="143">
        <v>8.1890927706282868E-2</v>
      </c>
      <c r="C355" s="143">
        <v>6.1007284919591821E-2</v>
      </c>
      <c r="D355" s="143">
        <v>3.8041983048526261E-2</v>
      </c>
      <c r="E355" s="143">
        <v>0.10144528812940336</v>
      </c>
      <c r="F355" s="143">
        <v>0.14170089737115671</v>
      </c>
      <c r="G355" s="143">
        <v>2.7135170086679067E-2</v>
      </c>
      <c r="H355" s="143">
        <v>0.13948727117792958</v>
      </c>
      <c r="I355" s="143">
        <v>7.3870339903825397E-2</v>
      </c>
      <c r="J355" s="143">
        <v>0.11412594914557878</v>
      </c>
      <c r="K355" s="143">
        <v>0.10144528812940336</v>
      </c>
      <c r="L355" s="143">
        <v>7.6083966097052522E-2</v>
      </c>
      <c r="M355" s="89">
        <v>4.3765269235124804E-2</v>
      </c>
    </row>
    <row r="356" spans="1:13" x14ac:dyDescent="0.3">
      <c r="A356" s="134" t="s">
        <v>744</v>
      </c>
      <c r="B356" s="143">
        <v>0</v>
      </c>
      <c r="C356" s="143">
        <v>0</v>
      </c>
      <c r="D356" s="143">
        <v>0</v>
      </c>
      <c r="E356" s="143">
        <v>0</v>
      </c>
      <c r="F356" s="143">
        <v>0</v>
      </c>
      <c r="G356" s="143">
        <v>2.9516402915039989E-2</v>
      </c>
      <c r="H356" s="143">
        <v>0.12167793414556209</v>
      </c>
      <c r="I356" s="143">
        <v>0.33031029272502871</v>
      </c>
      <c r="J356" s="143">
        <v>0.34519541171459905</v>
      </c>
      <c r="K356" s="143">
        <v>0.15475776889159956</v>
      </c>
      <c r="L356" s="143">
        <v>1.7051425312818481E-2</v>
      </c>
      <c r="M356" s="89">
        <v>0</v>
      </c>
    </row>
    <row r="357" spans="1:13" x14ac:dyDescent="0.3">
      <c r="A357" s="134" t="s">
        <v>815</v>
      </c>
      <c r="B357" s="143">
        <v>7.2013814039982776E-2</v>
      </c>
      <c r="C357" s="143">
        <v>6.4373576950836175E-2</v>
      </c>
      <c r="D357" s="143">
        <v>7.0332096797189519E-2</v>
      </c>
      <c r="E357" s="143">
        <v>8.6565384123645589E-2</v>
      </c>
      <c r="F357" s="143">
        <v>0.1134198243251433</v>
      </c>
      <c r="G357" s="143">
        <v>6.273405548435658E-2</v>
      </c>
      <c r="H357" s="143">
        <v>6.585389646468881E-2</v>
      </c>
      <c r="I357" s="143">
        <v>8.2247617952375271E-2</v>
      </c>
      <c r="J357" s="143">
        <v>7.722743222658425E-2</v>
      </c>
      <c r="K357" s="143">
        <v>9.0739301428353222E-2</v>
      </c>
      <c r="L357" s="143">
        <v>0.10519655251156951</v>
      </c>
      <c r="M357" s="89">
        <v>0.10929643508234925</v>
      </c>
    </row>
    <row r="358" spans="1:13" x14ac:dyDescent="0.3">
      <c r="A358" s="134" t="s">
        <v>856</v>
      </c>
      <c r="B358" s="143">
        <v>1.3216618073489799E-2</v>
      </c>
      <c r="C358" s="143">
        <v>6.6083090367449002E-3</v>
      </c>
      <c r="D358" s="143">
        <v>2.5158196307004468E-2</v>
      </c>
      <c r="E358" s="143">
        <v>4.625816325721431E-2</v>
      </c>
      <c r="F358" s="143">
        <v>3.3041545183724499E-2</v>
      </c>
      <c r="G358" s="143">
        <v>4.2062562708936588E-2</v>
      </c>
      <c r="H358" s="143">
        <v>7.6911864271459837E-2</v>
      </c>
      <c r="I358" s="143">
        <v>0.14538279880838778</v>
      </c>
      <c r="J358" s="143">
        <v>0.2621267870600123</v>
      </c>
      <c r="K358" s="143">
        <v>0.18026948642761917</v>
      </c>
      <c r="L358" s="143">
        <v>8.7004588065098379E-2</v>
      </c>
      <c r="M358" s="89">
        <v>8.1958948620730762E-2</v>
      </c>
    </row>
    <row r="359" spans="1:13" x14ac:dyDescent="0.3">
      <c r="A359" s="134" t="s">
        <v>876</v>
      </c>
      <c r="B359" s="143">
        <v>0</v>
      </c>
      <c r="C359" s="143">
        <v>0</v>
      </c>
      <c r="D359" s="143">
        <v>0</v>
      </c>
      <c r="E359" s="143">
        <v>0</v>
      </c>
      <c r="F359" s="143">
        <v>0</v>
      </c>
      <c r="G359" s="143">
        <v>7.5399747546826077E-3</v>
      </c>
      <c r="H359" s="143">
        <v>0.14547916232513303</v>
      </c>
      <c r="I359" s="143">
        <v>0.28929804942244242</v>
      </c>
      <c r="J359" s="143">
        <v>0.35737250552916699</v>
      </c>
      <c r="K359" s="143">
        <v>0.18905341650462684</v>
      </c>
      <c r="L359" s="143">
        <v>1.1256888517055159E-2</v>
      </c>
      <c r="M359" s="89">
        <v>0</v>
      </c>
    </row>
    <row r="360" spans="1:13" x14ac:dyDescent="0.3">
      <c r="A360" s="134" t="s">
        <v>895</v>
      </c>
      <c r="B360" s="143">
        <v>9.3495934959349589E-2</v>
      </c>
      <c r="C360" s="143">
        <v>5.0135501355013552E-2</v>
      </c>
      <c r="D360" s="143">
        <v>0.12330623306233063</v>
      </c>
      <c r="E360" s="143">
        <v>5.4200542005420058E-2</v>
      </c>
      <c r="F360" s="143">
        <v>7.7235772357723581E-2</v>
      </c>
      <c r="G360" s="143">
        <v>8.943089430894309E-2</v>
      </c>
      <c r="H360" s="143">
        <v>0.1043360433604336</v>
      </c>
      <c r="I360" s="143">
        <v>6.097560975609756E-2</v>
      </c>
      <c r="J360" s="143">
        <v>7.4525745257452577E-2</v>
      </c>
      <c r="K360" s="143">
        <v>7.9945799457994585E-2</v>
      </c>
      <c r="L360" s="143">
        <v>9.0785907859078585E-2</v>
      </c>
      <c r="M360" s="89">
        <v>0.1016260162601626</v>
      </c>
    </row>
    <row r="361" spans="1:13" x14ac:dyDescent="0.3">
      <c r="A361" s="134" t="s">
        <v>895</v>
      </c>
      <c r="B361" s="143">
        <v>9.3495934959349589E-2</v>
      </c>
      <c r="C361" s="143">
        <v>5.0135501355013552E-2</v>
      </c>
      <c r="D361" s="143">
        <v>0.12330623306233063</v>
      </c>
      <c r="E361" s="143">
        <v>5.4200542005420058E-2</v>
      </c>
      <c r="F361" s="143">
        <v>7.7235772357723581E-2</v>
      </c>
      <c r="G361" s="143">
        <v>8.943089430894309E-2</v>
      </c>
      <c r="H361" s="143">
        <v>0.1043360433604336</v>
      </c>
      <c r="I361" s="143">
        <v>6.097560975609756E-2</v>
      </c>
      <c r="J361" s="143">
        <v>7.4525745257452577E-2</v>
      </c>
      <c r="K361" s="143">
        <v>7.9945799457994585E-2</v>
      </c>
      <c r="L361" s="143">
        <v>9.0785907859078585E-2</v>
      </c>
      <c r="M361" s="89">
        <v>0.1016260162601626</v>
      </c>
    </row>
    <row r="362" spans="1:13" x14ac:dyDescent="0.3">
      <c r="A362" s="134" t="s">
        <v>943</v>
      </c>
      <c r="B362" s="143">
        <v>0</v>
      </c>
      <c r="C362" s="143">
        <v>0</v>
      </c>
      <c r="D362" s="143">
        <v>0</v>
      </c>
      <c r="E362" s="143">
        <v>0</v>
      </c>
      <c r="F362" s="143">
        <v>0</v>
      </c>
      <c r="G362" s="143">
        <v>0</v>
      </c>
      <c r="H362" s="143">
        <v>0.17080885595562703</v>
      </c>
      <c r="I362" s="143">
        <v>0.24844924502636664</v>
      </c>
      <c r="J362" s="143">
        <v>0.37887984603289881</v>
      </c>
      <c r="K362" s="143">
        <v>0.18633693376977498</v>
      </c>
      <c r="L362" s="143">
        <v>1.5528077814147915E-2</v>
      </c>
      <c r="M362" s="89">
        <v>0</v>
      </c>
    </row>
    <row r="363" spans="1:13" x14ac:dyDescent="0.3">
      <c r="A363" s="134" t="s">
        <v>947</v>
      </c>
      <c r="B363" s="143">
        <v>0</v>
      </c>
      <c r="C363" s="143">
        <v>0</v>
      </c>
      <c r="D363" s="143">
        <v>0</v>
      </c>
      <c r="E363" s="143">
        <v>0</v>
      </c>
      <c r="F363" s="143">
        <v>0</v>
      </c>
      <c r="G363" s="143">
        <v>3.4568847775445534E-2</v>
      </c>
      <c r="H363" s="143">
        <v>0.10458617402036259</v>
      </c>
      <c r="I363" s="143">
        <v>0.29068209324713318</v>
      </c>
      <c r="J363" s="143">
        <v>0.33122781180713984</v>
      </c>
      <c r="K363" s="143">
        <v>0.21961273348009702</v>
      </c>
      <c r="L363" s="143">
        <v>1.9323142472822689E-2</v>
      </c>
      <c r="M363" s="89">
        <v>0</v>
      </c>
    </row>
    <row r="364" spans="1:13" x14ac:dyDescent="0.3">
      <c r="A364" s="134" t="s">
        <v>947</v>
      </c>
      <c r="B364" s="143">
        <v>0</v>
      </c>
      <c r="C364" s="143">
        <v>0</v>
      </c>
      <c r="D364" s="143">
        <v>0</v>
      </c>
      <c r="E364" s="143">
        <v>0</v>
      </c>
      <c r="F364" s="143">
        <v>0</v>
      </c>
      <c r="G364" s="143">
        <v>3.4568823933622282E-2</v>
      </c>
      <c r="H364" s="143">
        <v>0.10458610188821948</v>
      </c>
      <c r="I364" s="143">
        <v>0.29068189276630918</v>
      </c>
      <c r="J364" s="143">
        <v>0.33122758336229874</v>
      </c>
      <c r="K364" s="143">
        <v>0.21961258201517084</v>
      </c>
      <c r="L364" s="143">
        <v>1.9323129145825194E-2</v>
      </c>
      <c r="M364" s="89">
        <v>0</v>
      </c>
    </row>
    <row r="365" spans="1:13" x14ac:dyDescent="0.3">
      <c r="A365" s="134" t="s">
        <v>963</v>
      </c>
      <c r="B365" s="143">
        <v>0</v>
      </c>
      <c r="C365" s="143">
        <v>0</v>
      </c>
      <c r="D365" s="143">
        <v>0</v>
      </c>
      <c r="E365" s="143">
        <v>0</v>
      </c>
      <c r="F365" s="143">
        <v>0</v>
      </c>
      <c r="G365" s="143">
        <v>0</v>
      </c>
      <c r="H365" s="143">
        <v>0.18257463723928827</v>
      </c>
      <c r="I365" s="143">
        <v>0.44955123663210017</v>
      </c>
      <c r="J365" s="143">
        <v>0.31731221042748015</v>
      </c>
      <c r="K365" s="143">
        <v>5.0560963345151165E-2</v>
      </c>
      <c r="L365" s="143">
        <v>0</v>
      </c>
      <c r="M365" s="89">
        <v>0</v>
      </c>
    </row>
    <row r="366" spans="1:13" x14ac:dyDescent="0.3">
      <c r="A366" s="134" t="s">
        <v>968</v>
      </c>
      <c r="B366" s="143">
        <v>2.7627265418863036E-2</v>
      </c>
      <c r="C366" s="143">
        <v>1.3633054095587595E-2</v>
      </c>
      <c r="D366" s="143">
        <v>7.3318528980237784E-3</v>
      </c>
      <c r="E366" s="143">
        <v>3.1726671972246261E-2</v>
      </c>
      <c r="F366" s="143">
        <v>3.4581557397255616E-2</v>
      </c>
      <c r="G366" s="143">
        <v>2.9133882884649534E-2</v>
      </c>
      <c r="H366" s="143">
        <v>0.11582315636763642</v>
      </c>
      <c r="I366" s="143">
        <v>0.20490073312215004</v>
      </c>
      <c r="J366" s="143">
        <v>0.2851715409760634</v>
      </c>
      <c r="K366" s="143">
        <v>0.11831858368686446</v>
      </c>
      <c r="L366" s="143">
        <v>1.1115111076935061E-2</v>
      </c>
      <c r="M366" s="89">
        <v>2.7824549698036983E-2</v>
      </c>
    </row>
    <row r="367" spans="1:13" x14ac:dyDescent="0.3">
      <c r="A367" s="134" t="s">
        <v>985</v>
      </c>
      <c r="B367" s="143">
        <v>0</v>
      </c>
      <c r="C367" s="143">
        <v>0</v>
      </c>
      <c r="D367" s="143">
        <v>0</v>
      </c>
      <c r="E367" s="143">
        <v>0</v>
      </c>
      <c r="F367" s="143">
        <v>0</v>
      </c>
      <c r="G367" s="143">
        <v>2.9501835839923066E-2</v>
      </c>
      <c r="H367" s="143">
        <v>0.11833008538111885</v>
      </c>
      <c r="I367" s="143">
        <v>0.28013185069992153</v>
      </c>
      <c r="J367" s="143">
        <v>0.3582524705616163</v>
      </c>
      <c r="K367" s="143">
        <v>0.19960479251252569</v>
      </c>
      <c r="L367" s="143">
        <v>1.4179594324911367E-2</v>
      </c>
      <c r="M367" s="89">
        <v>0</v>
      </c>
    </row>
    <row r="368" spans="1:13" x14ac:dyDescent="0.3">
      <c r="A368" s="134" t="s">
        <v>989</v>
      </c>
      <c r="B368" s="143">
        <v>0</v>
      </c>
      <c r="C368" s="143">
        <v>0</v>
      </c>
      <c r="D368" s="143">
        <v>0</v>
      </c>
      <c r="E368" s="143">
        <v>0</v>
      </c>
      <c r="F368" s="143">
        <v>0</v>
      </c>
      <c r="G368" s="143">
        <v>3.1275315334922747E-2</v>
      </c>
      <c r="H368" s="143">
        <v>0.1220248546099611</v>
      </c>
      <c r="I368" s="143">
        <v>0.27311580923734197</v>
      </c>
      <c r="J368" s="143">
        <v>0.34909548464301504</v>
      </c>
      <c r="K368" s="143">
        <v>0.20563451977943284</v>
      </c>
      <c r="L368" s="143">
        <v>1.8854169681319869E-2</v>
      </c>
      <c r="M368" s="89">
        <v>0</v>
      </c>
    </row>
    <row r="369" spans="1:13" x14ac:dyDescent="0.3">
      <c r="A369" s="134" t="s">
        <v>993</v>
      </c>
      <c r="B369" s="143">
        <v>0</v>
      </c>
      <c r="C369" s="143">
        <v>0</v>
      </c>
      <c r="D369" s="143">
        <v>0</v>
      </c>
      <c r="E369" s="143">
        <v>0</v>
      </c>
      <c r="F369" s="143">
        <v>2.7610261520238846E-3</v>
      </c>
      <c r="G369" s="143">
        <v>3.4173942284427786E-2</v>
      </c>
      <c r="H369" s="143">
        <v>0.12274012028170996</v>
      </c>
      <c r="I369" s="143">
        <v>0.2600259428067383</v>
      </c>
      <c r="J369" s="143">
        <v>0.36496517692920566</v>
      </c>
      <c r="K369" s="143">
        <v>0.19824713670029845</v>
      </c>
      <c r="L369" s="143">
        <v>1.7086971142213893E-2</v>
      </c>
      <c r="M369" s="89">
        <v>0</v>
      </c>
    </row>
    <row r="370" spans="1:13" x14ac:dyDescent="0.3">
      <c r="A370" s="134" t="s">
        <v>995</v>
      </c>
      <c r="B370" s="143">
        <v>0</v>
      </c>
      <c r="C370" s="143">
        <v>0</v>
      </c>
      <c r="D370" s="143">
        <v>0</v>
      </c>
      <c r="E370" s="143">
        <v>0</v>
      </c>
      <c r="F370" s="143">
        <v>0</v>
      </c>
      <c r="G370" s="143">
        <v>2.3087894964963752E-2</v>
      </c>
      <c r="H370" s="143">
        <v>0.13534007691071834</v>
      </c>
      <c r="I370" s="143">
        <v>0.29828004369793348</v>
      </c>
      <c r="J370" s="143">
        <v>0.28399441133772174</v>
      </c>
      <c r="K370" s="143">
        <v>0.22732437346071119</v>
      </c>
      <c r="L370" s="143">
        <v>3.1972548342541443E-2</v>
      </c>
      <c r="M370" s="89">
        <v>0</v>
      </c>
    </row>
    <row r="371" spans="1:13" x14ac:dyDescent="0.3">
      <c r="A371" s="134" t="s">
        <v>995</v>
      </c>
      <c r="B371" s="143">
        <v>0</v>
      </c>
      <c r="C371" s="143">
        <v>0</v>
      </c>
      <c r="D371" s="143">
        <v>0</v>
      </c>
      <c r="E371" s="143">
        <v>0</v>
      </c>
      <c r="F371" s="143">
        <v>0</v>
      </c>
      <c r="G371" s="143">
        <v>2.3087894964963752E-2</v>
      </c>
      <c r="H371" s="143">
        <v>0.13534007691071831</v>
      </c>
      <c r="I371" s="143">
        <v>0.29828004369793343</v>
      </c>
      <c r="J371" s="143">
        <v>0.28399441133772174</v>
      </c>
      <c r="K371" s="143">
        <v>0.22732437346071119</v>
      </c>
      <c r="L371" s="143">
        <v>3.1972548342541443E-2</v>
      </c>
      <c r="M371" s="89">
        <v>0</v>
      </c>
    </row>
    <row r="372" spans="1:13" x14ac:dyDescent="0.3">
      <c r="A372" s="134" t="s">
        <v>1000</v>
      </c>
      <c r="B372" s="143">
        <v>5.1364336785009859E-2</v>
      </c>
      <c r="C372" s="143">
        <v>7.0625963079388551E-2</v>
      </c>
      <c r="D372" s="143">
        <v>3.5312981539694276E-2</v>
      </c>
      <c r="E372" s="143">
        <v>0.12841084196252464</v>
      </c>
      <c r="F372" s="143">
        <v>0.15890841692862426</v>
      </c>
      <c r="G372" s="143">
        <v>5.9390014407667648E-2</v>
      </c>
      <c r="H372" s="143">
        <v>5.1364336785009859E-2</v>
      </c>
      <c r="I372" s="143">
        <v>5.778487888313609E-2</v>
      </c>
      <c r="J372" s="143">
        <v>7.8651640702046346E-2</v>
      </c>
      <c r="K372" s="143">
        <v>5.2969472309541417E-2</v>
      </c>
      <c r="L372" s="143">
        <v>0.11556975776627218</v>
      </c>
      <c r="M372" s="89">
        <v>0.13964679063424557</v>
      </c>
    </row>
    <row r="373" spans="1:13" x14ac:dyDescent="0.3">
      <c r="A373" s="134" t="s">
        <v>1028</v>
      </c>
      <c r="B373" s="143">
        <v>4.3735347898384923E-2</v>
      </c>
      <c r="C373" s="143">
        <v>9.4374240213367072E-2</v>
      </c>
      <c r="D373" s="143">
        <v>6.1890438631671194E-2</v>
      </c>
      <c r="E373" s="143">
        <v>8.9384982769975169E-2</v>
      </c>
      <c r="F373" s="143">
        <v>0.13936094181496883</v>
      </c>
      <c r="G373" s="143">
        <v>5.5489542349181797E-2</v>
      </c>
      <c r="H373" s="143">
        <v>6.1890438631671194E-2</v>
      </c>
      <c r="I373" s="143">
        <v>7.4268526358005432E-2</v>
      </c>
      <c r="J373" s="143">
        <v>0.10530929808580219</v>
      </c>
      <c r="K373" s="143">
        <v>8.6647575183294953E-2</v>
      </c>
      <c r="L373" s="143">
        <v>6.189808734715168E-2</v>
      </c>
      <c r="M373" s="89">
        <v>0.12574883266459574</v>
      </c>
    </row>
    <row r="374" spans="1:13" x14ac:dyDescent="0.3">
      <c r="A374" s="134" t="s">
        <v>1057</v>
      </c>
      <c r="B374" s="143">
        <v>0</v>
      </c>
      <c r="C374" s="143">
        <v>0</v>
      </c>
      <c r="D374" s="143">
        <v>0</v>
      </c>
      <c r="E374" s="143">
        <v>0</v>
      </c>
      <c r="F374" s="143">
        <v>3.9746982231401553E-3</v>
      </c>
      <c r="G374" s="143">
        <v>3.1651768433046387E-2</v>
      </c>
      <c r="H374" s="143">
        <v>0.13068120427670007</v>
      </c>
      <c r="I374" s="143">
        <v>0.26410009202389517</v>
      </c>
      <c r="J374" s="143">
        <v>0.3751173860981053</v>
      </c>
      <c r="K374" s="143">
        <v>0.17611333203426455</v>
      </c>
      <c r="L374" s="143">
        <v>1.8362094286491683E-2</v>
      </c>
      <c r="M374" s="89">
        <v>0</v>
      </c>
    </row>
    <row r="375" spans="1:13" x14ac:dyDescent="0.3">
      <c r="A375" s="134" t="s">
        <v>1061</v>
      </c>
      <c r="B375" s="143">
        <v>1.5830227966883187E-2</v>
      </c>
      <c r="C375" s="143">
        <v>1.0826294478235103E-2</v>
      </c>
      <c r="D375" s="143">
        <v>5.6708710995920075E-3</v>
      </c>
      <c r="E375" s="143">
        <v>2.7102224155545234E-2</v>
      </c>
      <c r="F375" s="143">
        <v>2.4754509219873645E-2</v>
      </c>
      <c r="G375" s="143">
        <v>1.6937075732515589E-2</v>
      </c>
      <c r="H375" s="143">
        <v>0.16154035304061698</v>
      </c>
      <c r="I375" s="143">
        <v>0.19111398508563196</v>
      </c>
      <c r="J375" s="143">
        <v>0.29687046097564368</v>
      </c>
      <c r="K375" s="143">
        <v>0.17433226590123932</v>
      </c>
      <c r="L375" s="143">
        <v>4.4602319850973425E-2</v>
      </c>
      <c r="M375" s="89">
        <v>3.041876042941748E-2</v>
      </c>
    </row>
    <row r="376" spans="1:13" x14ac:dyDescent="0.3">
      <c r="A376" s="134" t="s">
        <v>1061</v>
      </c>
      <c r="B376" s="143">
        <v>1.5830227966883187E-2</v>
      </c>
      <c r="C376" s="143">
        <v>1.0826294478235103E-2</v>
      </c>
      <c r="D376" s="143">
        <v>5.6708710995920075E-3</v>
      </c>
      <c r="E376" s="143">
        <v>2.7102224155545231E-2</v>
      </c>
      <c r="F376" s="143">
        <v>2.4754509219873645E-2</v>
      </c>
      <c r="G376" s="143">
        <v>1.6937075732515593E-2</v>
      </c>
      <c r="H376" s="143">
        <v>0.16154035304061701</v>
      </c>
      <c r="I376" s="143">
        <v>0.19111398508563196</v>
      </c>
      <c r="J376" s="143">
        <v>0.29687046097564374</v>
      </c>
      <c r="K376" s="143">
        <v>0.17433226590123937</v>
      </c>
      <c r="L376" s="143">
        <v>4.4602319850973432E-2</v>
      </c>
      <c r="M376" s="89">
        <v>3.041876042941748E-2</v>
      </c>
    </row>
    <row r="377" spans="1:13" x14ac:dyDescent="0.3">
      <c r="A377" s="134" t="s">
        <v>1095</v>
      </c>
      <c r="B377" s="143">
        <v>4.9559858193614401E-2</v>
      </c>
      <c r="C377" s="143">
        <v>5.1182842893657682E-2</v>
      </c>
      <c r="D377" s="143">
        <v>7.0954136738597226E-2</v>
      </c>
      <c r="E377" s="143">
        <v>8.6503292599958967E-2</v>
      </c>
      <c r="F377" s="143">
        <v>0.12629027527865583</v>
      </c>
      <c r="G377" s="143">
        <v>7.9353671881329843E-2</v>
      </c>
      <c r="H377" s="143">
        <v>3.6246274034163188E-2</v>
      </c>
      <c r="I377" s="143">
        <v>8.7771214598891686E-2</v>
      </c>
      <c r="J377" s="143">
        <v>9.2282888683058256E-2</v>
      </c>
      <c r="K377" s="143">
        <v>7.2436066232973065E-2</v>
      </c>
      <c r="L377" s="143">
        <v>9.6721182600602154E-2</v>
      </c>
      <c r="M377" s="89">
        <v>0.15069667060705497</v>
      </c>
    </row>
    <row r="378" spans="1:13" x14ac:dyDescent="0.3">
      <c r="A378" s="134" t="s">
        <v>1099</v>
      </c>
      <c r="B378" s="143">
        <v>2.3308764612571156E-2</v>
      </c>
      <c r="C378" s="143">
        <v>3.6368592056342255E-2</v>
      </c>
      <c r="D378" s="143">
        <v>2.8192379532979726E-2</v>
      </c>
      <c r="E378" s="143">
        <v>9.4410771821199072E-2</v>
      </c>
      <c r="F378" s="143">
        <v>0</v>
      </c>
      <c r="G378" s="143">
        <v>2.7933836131217381E-2</v>
      </c>
      <c r="H378" s="143">
        <v>0.11624487975867323</v>
      </c>
      <c r="I378" s="143">
        <v>0.1930389353143355</v>
      </c>
      <c r="J378" s="143">
        <v>0.20301217991955003</v>
      </c>
      <c r="K378" s="143">
        <v>9.2666127552529634E-2</v>
      </c>
      <c r="L378" s="143">
        <v>7.5283015095584577E-2</v>
      </c>
      <c r="M378" s="89">
        <v>0.10954000232553997</v>
      </c>
    </row>
    <row r="379" spans="1:13" x14ac:dyDescent="0.3">
      <c r="A379" s="134" t="s">
        <v>1114</v>
      </c>
      <c r="B379" s="143">
        <v>0</v>
      </c>
      <c r="C379" s="143">
        <v>0</v>
      </c>
      <c r="D379" s="143">
        <v>3.3018529063594091E-3</v>
      </c>
      <c r="E379" s="143">
        <v>8.416856649148383E-3</v>
      </c>
      <c r="F379" s="143">
        <v>0</v>
      </c>
      <c r="G379" s="143">
        <v>2.0936960691526809E-2</v>
      </c>
      <c r="H379" s="143">
        <v>9.9258793391909586E-2</v>
      </c>
      <c r="I379" s="143">
        <v>0.31643059286727898</v>
      </c>
      <c r="J379" s="143">
        <v>0.30321525519668618</v>
      </c>
      <c r="K379" s="143">
        <v>0.18952189746469891</v>
      </c>
      <c r="L379" s="143">
        <v>4.2084283245741913E-2</v>
      </c>
      <c r="M379" s="89">
        <v>1.6833713298296762E-2</v>
      </c>
    </row>
    <row r="380" spans="1:13" x14ac:dyDescent="0.3">
      <c r="A380" s="134" t="s">
        <v>1120</v>
      </c>
      <c r="B380" s="143">
        <v>0</v>
      </c>
      <c r="C380" s="143">
        <v>0</v>
      </c>
      <c r="D380" s="143">
        <v>0</v>
      </c>
      <c r="E380" s="143">
        <v>0</v>
      </c>
      <c r="F380" s="143">
        <v>0</v>
      </c>
      <c r="G380" s="143">
        <v>1.0381811336111969E-2</v>
      </c>
      <c r="H380" s="143">
        <v>3.6057237318996876E-2</v>
      </c>
      <c r="I380" s="143">
        <v>0.1852152811032359</v>
      </c>
      <c r="J380" s="143">
        <v>0.36622742578220607</v>
      </c>
      <c r="K380" s="143">
        <v>0.30866859243901684</v>
      </c>
      <c r="L380" s="143">
        <v>7.0566935656581398E-2</v>
      </c>
      <c r="M380" s="89">
        <v>2.2883070068887245E-2</v>
      </c>
    </row>
    <row r="381" spans="1:13" x14ac:dyDescent="0.3">
      <c r="A381" s="134" t="s">
        <v>1129</v>
      </c>
      <c r="B381" s="143">
        <v>0</v>
      </c>
      <c r="C381" s="143">
        <v>0</v>
      </c>
      <c r="D381" s="143">
        <v>0</v>
      </c>
      <c r="E381" s="143">
        <v>0</v>
      </c>
      <c r="F381" s="143">
        <v>0</v>
      </c>
      <c r="G381" s="143">
        <v>3.2974027234154227E-2</v>
      </c>
      <c r="H381" s="143">
        <v>0.1387229020234334</v>
      </c>
      <c r="I381" s="143">
        <v>0.31075203092249326</v>
      </c>
      <c r="J381" s="143">
        <v>0.33947484050703958</v>
      </c>
      <c r="K381" s="143">
        <v>0.16494809268258101</v>
      </c>
      <c r="L381" s="143">
        <v>1.2076932682000805E-2</v>
      </c>
      <c r="M381" s="89">
        <v>0</v>
      </c>
    </row>
    <row r="382" spans="1:13" x14ac:dyDescent="0.3">
      <c r="A382" s="134" t="s">
        <v>1137</v>
      </c>
      <c r="B382" s="143">
        <v>0</v>
      </c>
      <c r="C382" s="143">
        <v>0</v>
      </c>
      <c r="D382" s="143">
        <v>5.5064560543186599E-4</v>
      </c>
      <c r="E382" s="143">
        <v>0</v>
      </c>
      <c r="F382" s="143">
        <v>4.0664362289314412E-3</v>
      </c>
      <c r="G382" s="143">
        <v>2.6799270591324389E-2</v>
      </c>
      <c r="H382" s="143">
        <v>0.13077386726186271</v>
      </c>
      <c r="I382" s="143">
        <v>0.30405073326170401</v>
      </c>
      <c r="J382" s="143">
        <v>0.32473472178494522</v>
      </c>
      <c r="K382" s="143">
        <v>0.18990010698502044</v>
      </c>
      <c r="L382" s="143">
        <v>1.529041351641725E-2</v>
      </c>
      <c r="M382" s="89">
        <v>1.0983871728524944E-3</v>
      </c>
    </row>
    <row r="383" spans="1:13" x14ac:dyDescent="0.3">
      <c r="A383" s="134" t="s">
        <v>1197</v>
      </c>
      <c r="B383" s="143">
        <v>5.5085808303586677E-2</v>
      </c>
      <c r="C383" s="143">
        <v>8.1679393538971995E-2</v>
      </c>
      <c r="D383" s="143">
        <v>6.3567750720693497E-2</v>
      </c>
      <c r="E383" s="143">
        <v>9.0754881709968885E-2</v>
      </c>
      <c r="F383" s="143">
        <v>0.13613232256495333</v>
      </c>
      <c r="G383" s="143">
        <v>8.1679393538971995E-2</v>
      </c>
      <c r="H383" s="143">
        <v>5.8066523528202033E-2</v>
      </c>
      <c r="I383" s="143">
        <v>7.0444080062588094E-2</v>
      </c>
      <c r="J383" s="143">
        <v>8.3413478925319237E-2</v>
      </c>
      <c r="K383" s="143">
        <v>8.4219679986745372E-2</v>
      </c>
      <c r="L383" s="143">
        <v>6.8233782098955462E-2</v>
      </c>
      <c r="M383" s="89">
        <v>0.12672224984108485</v>
      </c>
    </row>
    <row r="384" spans="1:13" x14ac:dyDescent="0.3">
      <c r="A384" s="134" t="s">
        <v>1209</v>
      </c>
      <c r="B384" s="143">
        <v>2.2545451676030549E-3</v>
      </c>
      <c r="C384" s="143">
        <v>4.5090903352061097E-3</v>
      </c>
      <c r="D384" s="143">
        <v>0</v>
      </c>
      <c r="E384" s="143">
        <v>4.5090903352061097E-3</v>
      </c>
      <c r="F384" s="143">
        <v>6.797298801144624E-3</v>
      </c>
      <c r="G384" s="143">
        <v>2.4575778621109049E-2</v>
      </c>
      <c r="H384" s="143">
        <v>9.7135078069906677E-2</v>
      </c>
      <c r="I384" s="143">
        <v>0.26297649946457169</v>
      </c>
      <c r="J384" s="143">
        <v>0.33354383953609151</v>
      </c>
      <c r="K384" s="143">
        <v>0.2170883294173995</v>
      </c>
      <c r="L384" s="143">
        <v>3.308804362519159E-2</v>
      </c>
      <c r="M384" s="89">
        <v>1.3521146685454786E-2</v>
      </c>
    </row>
    <row r="385" spans="1:13" x14ac:dyDescent="0.3">
      <c r="A385" s="134" t="s">
        <v>1220</v>
      </c>
      <c r="B385" s="143">
        <v>0</v>
      </c>
      <c r="C385" s="143">
        <v>0</v>
      </c>
      <c r="D385" s="143">
        <v>0</v>
      </c>
      <c r="E385" s="143">
        <v>2.721723686492851E-3</v>
      </c>
      <c r="F385" s="143">
        <v>0</v>
      </c>
      <c r="G385" s="143">
        <v>2.4175930267147129E-2</v>
      </c>
      <c r="H385" s="143">
        <v>0.1046238210906924</v>
      </c>
      <c r="I385" s="143">
        <v>0.2738573297701013</v>
      </c>
      <c r="J385" s="143">
        <v>0.33056903603044274</v>
      </c>
      <c r="K385" s="143">
        <v>0.2274084400467081</v>
      </c>
      <c r="L385" s="143">
        <v>2.9884391730922891E-2</v>
      </c>
      <c r="M385" s="89">
        <v>6.7573867443738471E-3</v>
      </c>
    </row>
    <row r="386" spans="1:13" x14ac:dyDescent="0.3">
      <c r="A386" s="134" t="s">
        <v>1286</v>
      </c>
      <c r="B386" s="143">
        <v>7.0952841704268084E-3</v>
      </c>
      <c r="C386" s="143">
        <v>4.2233753349174173E-3</v>
      </c>
      <c r="D386" s="143">
        <v>4.3739340068197421E-3</v>
      </c>
      <c r="E386" s="143">
        <v>9.4153344049755106E-3</v>
      </c>
      <c r="F386" s="143">
        <v>2.0500193298840796E-2</v>
      </c>
      <c r="G386" s="143">
        <v>3.4965391643479303E-2</v>
      </c>
      <c r="H386" s="143">
        <v>6.3936352123104501E-2</v>
      </c>
      <c r="I386" s="143">
        <v>0.15873245320947579</v>
      </c>
      <c r="J386" s="143">
        <v>0.25188117314662278</v>
      </c>
      <c r="K386" s="143">
        <v>0.19329970706602581</v>
      </c>
      <c r="L386" s="143">
        <v>7.6118701087140306E-2</v>
      </c>
      <c r="M386" s="89">
        <v>8.2940629497109147E-2</v>
      </c>
    </row>
    <row r="389" spans="1:13" x14ac:dyDescent="0.3">
      <c r="A389" s="134" t="s">
        <v>1750</v>
      </c>
      <c r="B389" s="146" t="s">
        <v>1751</v>
      </c>
      <c r="C389" s="147" t="s">
        <v>1752</v>
      </c>
    </row>
    <row r="390" spans="1:13" x14ac:dyDescent="0.3">
      <c r="A390" s="34">
        <v>1</v>
      </c>
      <c r="B390" s="116">
        <v>25969.758752523998</v>
      </c>
      <c r="C390" s="123">
        <v>1.3950204263748918E-2</v>
      </c>
    </row>
    <row r="391" spans="1:13" x14ac:dyDescent="0.3">
      <c r="A391" s="34">
        <v>2</v>
      </c>
      <c r="B391" s="116">
        <v>24691.952486048318</v>
      </c>
      <c r="C391" s="123">
        <v>1.3263803646912166E-2</v>
      </c>
    </row>
    <row r="392" spans="1:13" x14ac:dyDescent="0.3">
      <c r="A392" s="34">
        <v>3</v>
      </c>
      <c r="B392" s="116">
        <v>26858.190558073464</v>
      </c>
      <c r="C392" s="123">
        <v>1.4427444167281782E-2</v>
      </c>
    </row>
    <row r="393" spans="1:13" x14ac:dyDescent="0.3">
      <c r="A393" s="34">
        <v>4</v>
      </c>
      <c r="B393" s="116">
        <v>38181.07995503486</v>
      </c>
      <c r="C393" s="123">
        <v>2.0509773288960531E-2</v>
      </c>
    </row>
    <row r="394" spans="1:13" x14ac:dyDescent="0.3">
      <c r="A394" s="34">
        <v>5</v>
      </c>
      <c r="B394" s="116">
        <v>50129.395810555587</v>
      </c>
      <c r="C394" s="123">
        <v>2.6928063438694951E-2</v>
      </c>
    </row>
    <row r="395" spans="1:13" x14ac:dyDescent="0.3">
      <c r="A395" s="34">
        <v>6</v>
      </c>
      <c r="B395" s="116">
        <v>65015.457469448214</v>
      </c>
      <c r="C395" s="123">
        <v>3.492442577702936E-2</v>
      </c>
    </row>
    <row r="396" spans="1:13" x14ac:dyDescent="0.3">
      <c r="A396" s="34">
        <v>7</v>
      </c>
      <c r="B396" s="116">
        <v>188691.72530789493</v>
      </c>
      <c r="C396" s="123">
        <v>0.10135974446310571</v>
      </c>
    </row>
    <row r="397" spans="1:13" x14ac:dyDescent="0.3">
      <c r="A397" s="34">
        <v>8</v>
      </c>
      <c r="B397" s="116">
        <v>386877.41982286191</v>
      </c>
      <c r="C397" s="123">
        <v>0.20781937495035577</v>
      </c>
    </row>
    <row r="398" spans="1:13" x14ac:dyDescent="0.3">
      <c r="A398" s="34">
        <v>9</v>
      </c>
      <c r="B398" s="116">
        <v>502666.81201613852</v>
      </c>
      <c r="C398" s="123">
        <v>0.27001809185274339</v>
      </c>
    </row>
    <row r="399" spans="1:13" x14ac:dyDescent="0.3">
      <c r="A399" s="34">
        <v>10</v>
      </c>
      <c r="B399" s="116">
        <v>326266.04336851934</v>
      </c>
      <c r="C399" s="123">
        <v>0.17526069428248542</v>
      </c>
    </row>
    <row r="400" spans="1:13" x14ac:dyDescent="0.3">
      <c r="A400" s="34">
        <v>11</v>
      </c>
      <c r="B400" s="116">
        <v>84765.200204143854</v>
      </c>
      <c r="C400" s="123">
        <v>4.5533417101552856E-2</v>
      </c>
    </row>
    <row r="401" spans="1:38" x14ac:dyDescent="0.3">
      <c r="A401" s="34">
        <v>12</v>
      </c>
      <c r="B401" s="116">
        <v>70901.498518423497</v>
      </c>
      <c r="C401" s="123">
        <v>3.8086237009874783E-2</v>
      </c>
    </row>
    <row r="404" spans="1:38" x14ac:dyDescent="0.3">
      <c r="A404" s="156" t="s">
        <v>3</v>
      </c>
      <c r="B404" s="156" t="s">
        <v>1389</v>
      </c>
      <c r="C404" s="156" t="s">
        <v>1391</v>
      </c>
      <c r="D404" s="134" t="s">
        <v>1318</v>
      </c>
      <c r="E404" s="134" t="s">
        <v>1392</v>
      </c>
      <c r="F404" s="134" t="s">
        <v>1393</v>
      </c>
      <c r="G404" s="134" t="s">
        <v>1394</v>
      </c>
      <c r="H404" s="134" t="s">
        <v>1395</v>
      </c>
      <c r="I404" s="134" t="s">
        <v>1322</v>
      </c>
      <c r="J404" s="134" t="s">
        <v>1397</v>
      </c>
      <c r="K404" s="134" t="s">
        <v>1398</v>
      </c>
      <c r="L404" s="134" t="s">
        <v>1321</v>
      </c>
      <c r="M404" s="134" t="s">
        <v>1427</v>
      </c>
      <c r="N404" s="134" t="s">
        <v>1399</v>
      </c>
      <c r="O404" s="134" t="s">
        <v>1400</v>
      </c>
      <c r="P404" s="134" t="s">
        <v>1445</v>
      </c>
      <c r="Q404" s="134" t="s">
        <v>1401</v>
      </c>
      <c r="R404" s="134" t="s">
        <v>1441</v>
      </c>
      <c r="S404" s="134" t="s">
        <v>1440</v>
      </c>
      <c r="T404" s="134" t="s">
        <v>1426</v>
      </c>
      <c r="U404" s="134" t="s">
        <v>1322</v>
      </c>
      <c r="V404" s="134" t="s">
        <v>1428</v>
      </c>
      <c r="W404" s="156" t="s">
        <v>1402</v>
      </c>
      <c r="X404" s="156" t="s">
        <v>1403</v>
      </c>
      <c r="Y404" s="188"/>
      <c r="Z404" s="156"/>
      <c r="AA404" s="156"/>
      <c r="AB404" s="156" t="s">
        <v>1407</v>
      </c>
      <c r="AC404" s="134" t="s">
        <v>1408</v>
      </c>
      <c r="AD404" s="134" t="s">
        <v>1410</v>
      </c>
      <c r="AE404" s="134" t="s">
        <v>1411</v>
      </c>
      <c r="AF404" s="134" t="s">
        <v>71</v>
      </c>
      <c r="AG404" s="134" t="s">
        <v>1419</v>
      </c>
      <c r="AH404" s="134" t="s">
        <v>1420</v>
      </c>
      <c r="AI404" s="134" t="s">
        <v>1421</v>
      </c>
      <c r="AJ404" s="134" t="s">
        <v>1422</v>
      </c>
      <c r="AK404" s="134" t="s">
        <v>1423</v>
      </c>
      <c r="AL404" s="134" t="s">
        <v>1416</v>
      </c>
    </row>
    <row r="405" spans="1:38" x14ac:dyDescent="0.3">
      <c r="A405" s="34" t="s">
        <v>1000</v>
      </c>
      <c r="B405" s="137"/>
      <c r="C405" s="152">
        <v>46030</v>
      </c>
      <c r="D405" s="153">
        <v>-173</v>
      </c>
      <c r="E405" s="34"/>
      <c r="F405" s="34" t="s">
        <v>1325</v>
      </c>
      <c r="G405" s="34">
        <v>0</v>
      </c>
      <c r="H405" s="137">
        <v>150000000</v>
      </c>
      <c r="I405" s="137">
        <v>12256230</v>
      </c>
      <c r="J405" s="137">
        <v>250000.5</v>
      </c>
      <c r="K405" s="137">
        <v>250000.5</v>
      </c>
      <c r="L405" s="137">
        <v>250000</v>
      </c>
      <c r="M405" s="137"/>
      <c r="N405" s="34">
        <v>0</v>
      </c>
      <c r="O405" s="34">
        <v>102.4</v>
      </c>
      <c r="P405" s="154">
        <v>8.1708199999999995E-2</v>
      </c>
      <c r="Q405" s="155">
        <v>1.6666700000000001E-3</v>
      </c>
      <c r="R405" s="155">
        <v>4.3428769999999998E-2</v>
      </c>
      <c r="S405" s="155">
        <v>0</v>
      </c>
      <c r="T405" s="34">
        <v>6.8990380000000004E-2</v>
      </c>
      <c r="U405" s="155">
        <v>20427.090854099999</v>
      </c>
      <c r="V405" s="137">
        <v>0</v>
      </c>
      <c r="W405" s="137">
        <v>256000.51200000002</v>
      </c>
      <c r="X405" s="137">
        <v>1946.8788937500001</v>
      </c>
      <c r="Y405" s="185">
        <v>20829.125148716455</v>
      </c>
      <c r="Z405" s="137">
        <v>0</v>
      </c>
      <c r="AA405" s="137">
        <v>250000.5</v>
      </c>
      <c r="AB405" s="137">
        <v>1.4705911764705882E-2</v>
      </c>
      <c r="AC405" s="155">
        <v>0</v>
      </c>
      <c r="AD405" s="34">
        <v>0</v>
      </c>
      <c r="AE405" s="34">
        <v>0</v>
      </c>
      <c r="AF405" s="34">
        <v>0</v>
      </c>
      <c r="AG405" s="34">
        <v>0</v>
      </c>
      <c r="AH405" s="34">
        <v>9.5308671589877159E-2</v>
      </c>
      <c r="AI405" s="155">
        <v>18750.037499999999</v>
      </c>
      <c r="AJ405" s="137">
        <v>18480.21196035</v>
      </c>
      <c r="AK405" s="137">
        <v>0.98560933333333334</v>
      </c>
      <c r="AL405" s="155" t="s">
        <v>1003</v>
      </c>
    </row>
    <row r="406" spans="1:38" x14ac:dyDescent="0.3">
      <c r="A406" s="34" t="s">
        <v>1129</v>
      </c>
      <c r="B406" s="137"/>
      <c r="C406" s="152">
        <v>46180</v>
      </c>
      <c r="D406" s="153">
        <v>-23</v>
      </c>
      <c r="E406" s="34"/>
      <c r="F406" s="34" t="s">
        <v>1325</v>
      </c>
      <c r="G406" s="34">
        <v>0</v>
      </c>
      <c r="H406" s="137">
        <v>1000000000</v>
      </c>
      <c r="I406" s="137">
        <v>64449999.999999993</v>
      </c>
      <c r="J406" s="137">
        <v>250000</v>
      </c>
      <c r="K406" s="137">
        <v>250000</v>
      </c>
      <c r="L406" s="137">
        <v>250000</v>
      </c>
      <c r="M406" s="137"/>
      <c r="N406" s="34">
        <v>0</v>
      </c>
      <c r="O406" s="34">
        <v>102.5</v>
      </c>
      <c r="P406" s="154">
        <v>0.12889999999999999</v>
      </c>
      <c r="Q406" s="155">
        <v>5.0000000000000001E-4</v>
      </c>
      <c r="R406" s="155">
        <v>9.0592530000000004E-2</v>
      </c>
      <c r="S406" s="155">
        <v>0</v>
      </c>
      <c r="T406" s="34">
        <v>0.10738033</v>
      </c>
      <c r="U406" s="155">
        <v>32224.999999999996</v>
      </c>
      <c r="V406" s="137">
        <v>50000.000000000015</v>
      </c>
      <c r="W406" s="137">
        <v>256250</v>
      </c>
      <c r="X406" s="137">
        <v>6860.180985328615</v>
      </c>
      <c r="Y406" s="185">
        <v>40030.556094788604</v>
      </c>
      <c r="Z406" s="137">
        <v>250000</v>
      </c>
      <c r="AA406" s="137">
        <v>250000.00000000003</v>
      </c>
      <c r="AB406" s="137">
        <v>1.4705882352941176E-2</v>
      </c>
      <c r="AC406" s="155">
        <v>0</v>
      </c>
      <c r="AD406" s="34">
        <v>0</v>
      </c>
      <c r="AE406" s="34">
        <v>0</v>
      </c>
      <c r="AF406" s="34">
        <v>0</v>
      </c>
      <c r="AG406" s="34">
        <v>0</v>
      </c>
      <c r="AH406" s="34">
        <v>0.21288381645705556</v>
      </c>
      <c r="AI406" s="155">
        <v>33995.533988158699</v>
      </c>
      <c r="AJ406" s="137">
        <v>25364.819014671382</v>
      </c>
      <c r="AK406" s="137">
        <v>0.74612209425821752</v>
      </c>
      <c r="AL406" s="155" t="s">
        <v>1132</v>
      </c>
    </row>
    <row r="407" spans="1:38" x14ac:dyDescent="0.3">
      <c r="A407" s="34" t="s">
        <v>1137</v>
      </c>
      <c r="B407" s="137"/>
      <c r="C407" s="152">
        <v>46180</v>
      </c>
      <c r="D407" s="153">
        <v>-23</v>
      </c>
      <c r="E407" s="34"/>
      <c r="F407" s="34" t="s">
        <v>1325</v>
      </c>
      <c r="G407" s="34">
        <v>0</v>
      </c>
      <c r="H407" s="137">
        <v>1800000000</v>
      </c>
      <c r="I407" s="137">
        <v>62760000.000000007</v>
      </c>
      <c r="J407" s="137">
        <v>250000</v>
      </c>
      <c r="K407" s="137">
        <v>250000</v>
      </c>
      <c r="L407" s="137">
        <v>250000</v>
      </c>
      <c r="M407" s="137"/>
      <c r="N407" s="34">
        <v>0</v>
      </c>
      <c r="O407" s="34">
        <v>105.2</v>
      </c>
      <c r="P407" s="154">
        <v>0.15690000000000001</v>
      </c>
      <c r="Q407" s="155">
        <v>6.2500000000000001E-4</v>
      </c>
      <c r="R407" s="155">
        <v>0.11854834</v>
      </c>
      <c r="S407" s="155">
        <v>0</v>
      </c>
      <c r="T407" s="34">
        <v>8.1617250000000002E-2</v>
      </c>
      <c r="U407" s="155">
        <v>39225</v>
      </c>
      <c r="V407" s="137">
        <v>58972.760333974824</v>
      </c>
      <c r="W407" s="137">
        <v>263000</v>
      </c>
      <c r="X407" s="137">
        <v>10708.708348830984</v>
      </c>
      <c r="Y407" s="185">
        <v>47574.124469893461</v>
      </c>
      <c r="Z407" s="137">
        <v>249999.9975</v>
      </c>
      <c r="AA407" s="137">
        <v>249999.99750000006</v>
      </c>
      <c r="AB407" s="137">
        <v>1.4705882352941176E-2</v>
      </c>
      <c r="AC407" s="155">
        <v>0</v>
      </c>
      <c r="AD407" s="34">
        <v>0</v>
      </c>
      <c r="AE407" s="34">
        <v>0</v>
      </c>
      <c r="AF407" s="34">
        <v>0</v>
      </c>
      <c r="AG407" s="34">
        <v>0</v>
      </c>
      <c r="AH407" s="34">
        <v>0.2730072236795662</v>
      </c>
      <c r="AI407" s="155">
        <v>38818.213903479787</v>
      </c>
      <c r="AJ407" s="137">
        <v>28516.291651169016</v>
      </c>
      <c r="AK407" s="137">
        <v>0.73461112152336117</v>
      </c>
      <c r="AL407" s="155" t="s">
        <v>1138</v>
      </c>
    </row>
    <row r="408" spans="1:38" x14ac:dyDescent="0.3">
      <c r="A408" s="34" t="s">
        <v>538</v>
      </c>
      <c r="B408" s="137"/>
      <c r="C408" s="152">
        <v>46484</v>
      </c>
      <c r="D408" s="153">
        <v>281</v>
      </c>
      <c r="E408" s="34"/>
      <c r="F408" s="34" t="s">
        <v>1325</v>
      </c>
      <c r="G408" s="34">
        <v>0</v>
      </c>
      <c r="H408" s="137">
        <v>250000000</v>
      </c>
      <c r="I408" s="137">
        <v>9300714</v>
      </c>
      <c r="J408" s="137">
        <v>250000</v>
      </c>
      <c r="K408" s="137">
        <v>250000</v>
      </c>
      <c r="L408" s="137">
        <v>250000</v>
      </c>
      <c r="M408" s="137"/>
      <c r="N408" s="34">
        <v>0</v>
      </c>
      <c r="O408" s="34">
        <v>103.85</v>
      </c>
      <c r="P408" s="154">
        <v>9.3007140000000002E-2</v>
      </c>
      <c r="Q408" s="155">
        <v>2.5000000000000001E-3</v>
      </c>
      <c r="R408" s="155">
        <v>5.4388600000000002E-2</v>
      </c>
      <c r="S408" s="155">
        <v>0</v>
      </c>
      <c r="T408" s="34">
        <v>7.5250440000000002E-2</v>
      </c>
      <c r="U408" s="155">
        <v>23251.785</v>
      </c>
      <c r="V408" s="137">
        <v>14570.608006814668</v>
      </c>
      <c r="W408" s="137">
        <v>259625</v>
      </c>
      <c r="X408" s="137">
        <v>1669.5596988802561</v>
      </c>
      <c r="Y408" s="185">
        <v>19286.86242884555</v>
      </c>
      <c r="Z408" s="137">
        <v>0</v>
      </c>
      <c r="AA408" s="137">
        <v>250000</v>
      </c>
      <c r="AB408" s="137">
        <v>1.4705882352941176E-2</v>
      </c>
      <c r="AC408" s="155">
        <v>0</v>
      </c>
      <c r="AD408" s="34">
        <v>0</v>
      </c>
      <c r="AE408" s="34">
        <v>0</v>
      </c>
      <c r="AF408" s="34">
        <v>0</v>
      </c>
      <c r="AG408" s="34">
        <v>0</v>
      </c>
      <c r="AH408" s="34">
        <v>7.1803506650360657E-2</v>
      </c>
      <c r="AI408" s="155">
        <v>29215.285466322093</v>
      </c>
      <c r="AJ408" s="137">
        <v>21582.225301119743</v>
      </c>
      <c r="AK408" s="137">
        <v>0.7387305979261658</v>
      </c>
      <c r="AL408" s="155" t="s">
        <v>541</v>
      </c>
    </row>
    <row r="409" spans="1:38" x14ac:dyDescent="0.3">
      <c r="A409" s="34" t="s">
        <v>674</v>
      </c>
      <c r="B409" s="137"/>
      <c r="C409" s="152">
        <v>46759</v>
      </c>
      <c r="D409" s="153">
        <v>556</v>
      </c>
      <c r="E409" s="34"/>
      <c r="F409" s="34" t="s">
        <v>1325</v>
      </c>
      <c r="G409" s="34">
        <v>0</v>
      </c>
      <c r="H409" s="137">
        <v>200000000</v>
      </c>
      <c r="I409" s="137">
        <v>24660000</v>
      </c>
      <c r="J409" s="137">
        <v>250000</v>
      </c>
      <c r="K409" s="137">
        <v>250000</v>
      </c>
      <c r="L409" s="137">
        <v>250000</v>
      </c>
      <c r="M409" s="137"/>
      <c r="N409" s="34">
        <v>0</v>
      </c>
      <c r="O409" s="34">
        <v>107.15</v>
      </c>
      <c r="P409" s="154">
        <v>0.12330000000000001</v>
      </c>
      <c r="Q409" s="155">
        <v>1.25E-3</v>
      </c>
      <c r="R409" s="155">
        <v>8.4869249999999993E-2</v>
      </c>
      <c r="S409" s="155">
        <v>0</v>
      </c>
      <c r="T409" s="34">
        <v>8.6807519999999999E-2</v>
      </c>
      <c r="U409" s="155">
        <v>30825.000000000004</v>
      </c>
      <c r="V409" s="137">
        <v>225000</v>
      </c>
      <c r="W409" s="137">
        <v>267875</v>
      </c>
      <c r="X409" s="137">
        <v>1620.2317470258004</v>
      </c>
      <c r="Y409" s="185">
        <v>19394.051857852934</v>
      </c>
      <c r="Z409" s="137">
        <v>0</v>
      </c>
      <c r="AA409" s="137">
        <v>250000</v>
      </c>
      <c r="AB409" s="137">
        <v>1.4705882352941176E-2</v>
      </c>
      <c r="AC409" s="155">
        <v>0</v>
      </c>
      <c r="AD409" s="34">
        <v>0</v>
      </c>
      <c r="AE409" s="34">
        <v>0</v>
      </c>
      <c r="AF409" s="34">
        <v>0</v>
      </c>
      <c r="AG409" s="34">
        <v>0</v>
      </c>
      <c r="AH409" s="34">
        <v>5.2562262677236016E-2</v>
      </c>
      <c r="AI409" s="155">
        <v>115722.28165919411</v>
      </c>
      <c r="AJ409" s="137">
        <v>29204.768252974201</v>
      </c>
      <c r="AK409" s="137">
        <v>0.25236944721659738</v>
      </c>
      <c r="AL409" s="155" t="s">
        <v>676</v>
      </c>
    </row>
    <row r="410" spans="1:38" x14ac:dyDescent="0.3">
      <c r="A410" s="34" t="s">
        <v>674</v>
      </c>
      <c r="B410" s="137"/>
      <c r="C410" s="152">
        <v>46759</v>
      </c>
      <c r="D410" s="153">
        <v>556</v>
      </c>
      <c r="E410" s="34"/>
      <c r="F410" s="34" t="s">
        <v>1325</v>
      </c>
      <c r="G410" s="34">
        <v>0</v>
      </c>
      <c r="H410" s="137">
        <v>200000000</v>
      </c>
      <c r="I410" s="137">
        <v>24660000</v>
      </c>
      <c r="J410" s="137">
        <v>250000</v>
      </c>
      <c r="K410" s="137">
        <v>250000</v>
      </c>
      <c r="L410" s="137">
        <v>250000</v>
      </c>
      <c r="M410" s="137"/>
      <c r="N410" s="34">
        <v>0</v>
      </c>
      <c r="O410" s="34">
        <v>107.2</v>
      </c>
      <c r="P410" s="154">
        <v>0.12330000000000001</v>
      </c>
      <c r="Q410" s="155">
        <v>1.25E-3</v>
      </c>
      <c r="R410" s="155">
        <v>8.4869249999999993E-2</v>
      </c>
      <c r="S410" s="155">
        <v>0</v>
      </c>
      <c r="T410" s="34">
        <v>8.7041720000000003E-2</v>
      </c>
      <c r="U410" s="155">
        <v>30825.000000000004</v>
      </c>
      <c r="V410" s="137">
        <v>225000</v>
      </c>
      <c r="W410" s="137">
        <v>268000</v>
      </c>
      <c r="X410" s="137">
        <v>1620.2317470258006</v>
      </c>
      <c r="Y410" s="185">
        <v>19394.051857852937</v>
      </c>
      <c r="Z410" s="137">
        <v>0</v>
      </c>
      <c r="AA410" s="137">
        <v>250000</v>
      </c>
      <c r="AB410" s="137">
        <v>1.4705882352941176E-2</v>
      </c>
      <c r="AC410" s="155">
        <v>0</v>
      </c>
      <c r="AD410" s="34">
        <v>0</v>
      </c>
      <c r="AE410" s="34">
        <v>0</v>
      </c>
      <c r="AF410" s="34">
        <v>0</v>
      </c>
      <c r="AG410" s="34">
        <v>0</v>
      </c>
      <c r="AH410" s="34">
        <v>5.2562262677236023E-2</v>
      </c>
      <c r="AI410" s="155">
        <v>115722.28165919411</v>
      </c>
      <c r="AJ410" s="137">
        <v>29204.768252974201</v>
      </c>
      <c r="AK410" s="137">
        <v>0.25236944721659738</v>
      </c>
      <c r="AL410" s="155" t="s">
        <v>676</v>
      </c>
    </row>
    <row r="411" spans="1:38" x14ac:dyDescent="0.3">
      <c r="A411" s="34" t="s">
        <v>679</v>
      </c>
      <c r="B411" s="137"/>
      <c r="C411" s="152">
        <v>46168</v>
      </c>
      <c r="D411" s="153">
        <v>-35</v>
      </c>
      <c r="E411" s="34"/>
      <c r="F411" s="34" t="s">
        <v>1325</v>
      </c>
      <c r="G411" s="34">
        <v>0</v>
      </c>
      <c r="H411" s="137">
        <v>250000000</v>
      </c>
      <c r="I411" s="137">
        <v>19476000</v>
      </c>
      <c r="J411" s="137">
        <v>249999.6</v>
      </c>
      <c r="K411" s="137">
        <v>249999.6</v>
      </c>
      <c r="L411" s="137">
        <v>250000</v>
      </c>
      <c r="M411" s="137"/>
      <c r="N411" s="34">
        <v>0</v>
      </c>
      <c r="O411" s="34">
        <v>104.6</v>
      </c>
      <c r="P411" s="154">
        <v>0.1623</v>
      </c>
      <c r="Q411" s="155">
        <v>2.08333E-3</v>
      </c>
      <c r="R411" s="155">
        <v>0.12371485</v>
      </c>
      <c r="S411" s="155">
        <v>0</v>
      </c>
      <c r="T411" s="34">
        <v>0.11846673000000001</v>
      </c>
      <c r="U411" s="155">
        <v>40574.935079999996</v>
      </c>
      <c r="V411" s="137">
        <v>31011.030524501981</v>
      </c>
      <c r="W411" s="137">
        <v>261499.5816</v>
      </c>
      <c r="X411" s="137">
        <v>6157.467029405334</v>
      </c>
      <c r="Y411" s="185">
        <v>37635.065276524721</v>
      </c>
      <c r="Z411" s="137">
        <v>249999.6</v>
      </c>
      <c r="AA411" s="137">
        <v>249999.60000000003</v>
      </c>
      <c r="AB411" s="137">
        <v>1.4705858823529412E-2</v>
      </c>
      <c r="AC411" s="155">
        <v>0</v>
      </c>
      <c r="AD411" s="34">
        <v>0</v>
      </c>
      <c r="AE411" s="34">
        <v>0</v>
      </c>
      <c r="AF411" s="34">
        <v>0</v>
      </c>
      <c r="AG411" s="34">
        <v>0</v>
      </c>
      <c r="AH411" s="34">
        <v>0.15175543761844348</v>
      </c>
      <c r="AI411" s="155">
        <v>26888.654430477698</v>
      </c>
      <c r="AJ411" s="137">
        <v>34417.46805059466</v>
      </c>
      <c r="AK411" s="137">
        <v>1.2799996422127846</v>
      </c>
      <c r="AL411" s="155" t="s">
        <v>682</v>
      </c>
    </row>
    <row r="412" spans="1:38" x14ac:dyDescent="0.3">
      <c r="A412" s="34" t="s">
        <v>643</v>
      </c>
      <c r="B412" s="137"/>
      <c r="C412" s="152">
        <v>46881</v>
      </c>
      <c r="D412" s="153">
        <v>678</v>
      </c>
      <c r="E412" s="34"/>
      <c r="F412" s="34" t="s">
        <v>1325</v>
      </c>
      <c r="G412" s="34">
        <v>0</v>
      </c>
      <c r="H412" s="137">
        <v>50000000</v>
      </c>
      <c r="I412" s="137">
        <v>5915000</v>
      </c>
      <c r="J412" s="137">
        <v>250000</v>
      </c>
      <c r="K412" s="137">
        <v>250000</v>
      </c>
      <c r="L412" s="137">
        <v>250000</v>
      </c>
      <c r="M412" s="137"/>
      <c r="N412" s="34">
        <v>0</v>
      </c>
      <c r="O412" s="34">
        <v>104.65</v>
      </c>
      <c r="P412" s="154">
        <v>0.1183</v>
      </c>
      <c r="Q412" s="155">
        <v>5.0000000000000001E-3</v>
      </c>
      <c r="R412" s="155">
        <v>7.9825590000000002E-2</v>
      </c>
      <c r="S412" s="155">
        <v>0</v>
      </c>
      <c r="T412" s="34">
        <v>9.9497470000000005E-2</v>
      </c>
      <c r="U412" s="155">
        <v>29575</v>
      </c>
      <c r="V412" s="137">
        <v>0</v>
      </c>
      <c r="W412" s="137">
        <v>261625</v>
      </c>
      <c r="X412" s="137">
        <v>9751.0043176488125</v>
      </c>
      <c r="Y412" s="185">
        <v>44610.550376919164</v>
      </c>
      <c r="Z412" s="137">
        <v>250000</v>
      </c>
      <c r="AA412" s="137">
        <v>250000</v>
      </c>
      <c r="AB412" s="137">
        <v>1.4705882352941176E-2</v>
      </c>
      <c r="AC412" s="155">
        <v>0</v>
      </c>
      <c r="AD412" s="34">
        <v>0</v>
      </c>
      <c r="AE412" s="34">
        <v>0</v>
      </c>
      <c r="AF412" s="34">
        <v>0</v>
      </c>
      <c r="AG412" s="34">
        <v>0</v>
      </c>
      <c r="AH412" s="34">
        <v>0.32970428800165047</v>
      </c>
      <c r="AI412" s="155">
        <v>14064.488567544764</v>
      </c>
      <c r="AJ412" s="137">
        <v>19823.995682351189</v>
      </c>
      <c r="AK412" s="137">
        <v>1.4095070423034843</v>
      </c>
      <c r="AL412" s="155" t="s">
        <v>646</v>
      </c>
    </row>
    <row r="413" spans="1:38" x14ac:dyDescent="0.3">
      <c r="A413" s="34" t="s">
        <v>668</v>
      </c>
      <c r="B413" s="137"/>
      <c r="C413" s="152">
        <v>46395</v>
      </c>
      <c r="D413" s="153">
        <v>192</v>
      </c>
      <c r="E413" s="34"/>
      <c r="F413" s="34" t="s">
        <v>1325</v>
      </c>
      <c r="G413" s="34">
        <v>0</v>
      </c>
      <c r="H413" s="137">
        <v>600000000</v>
      </c>
      <c r="I413" s="137">
        <v>18120000</v>
      </c>
      <c r="J413" s="137">
        <v>250000</v>
      </c>
      <c r="K413" s="137">
        <v>250000</v>
      </c>
      <c r="L413" s="137">
        <v>250000</v>
      </c>
      <c r="M413" s="137"/>
      <c r="N413" s="34">
        <v>0</v>
      </c>
      <c r="O413" s="34">
        <v>102.85</v>
      </c>
      <c r="P413" s="154">
        <v>9.06E-2</v>
      </c>
      <c r="Q413" s="155">
        <v>1.25E-3</v>
      </c>
      <c r="R413" s="155">
        <v>5.2493049999999999E-2</v>
      </c>
      <c r="S413" s="155">
        <v>0</v>
      </c>
      <c r="T413" s="34">
        <v>7.6703099999999996E-2</v>
      </c>
      <c r="U413" s="155">
        <v>22650</v>
      </c>
      <c r="V413" s="137">
        <v>99999.999000000025</v>
      </c>
      <c r="W413" s="137">
        <v>257125</v>
      </c>
      <c r="X413" s="137">
        <v>5261.34985536769</v>
      </c>
      <c r="Y413" s="185">
        <v>34138.576508037739</v>
      </c>
      <c r="Z413" s="137">
        <v>249999.99750000006</v>
      </c>
      <c r="AA413" s="137">
        <v>249999.99750000008</v>
      </c>
      <c r="AB413" s="137">
        <v>1.4705882352941176E-2</v>
      </c>
      <c r="AC413" s="155">
        <v>0</v>
      </c>
      <c r="AD413" s="34">
        <v>0</v>
      </c>
      <c r="AE413" s="34">
        <v>0</v>
      </c>
      <c r="AF413" s="34">
        <v>0</v>
      </c>
      <c r="AG413" s="34">
        <v>0</v>
      </c>
      <c r="AH413" s="34">
        <v>0.23228917683742561</v>
      </c>
      <c r="AI413" s="155">
        <v>35144.740894219889</v>
      </c>
      <c r="AJ413" s="137">
        <v>17388.650144632309</v>
      </c>
      <c r="AK413" s="137">
        <v>0.49477246672466291</v>
      </c>
      <c r="AL413" s="155" t="s">
        <v>671</v>
      </c>
    </row>
    <row r="414" spans="1:38" x14ac:dyDescent="0.3">
      <c r="A414" s="34" t="s">
        <v>744</v>
      </c>
      <c r="B414" s="137"/>
      <c r="C414" s="152">
        <v>46911</v>
      </c>
      <c r="D414" s="153">
        <v>708</v>
      </c>
      <c r="E414" s="34"/>
      <c r="F414" s="34" t="s">
        <v>1325</v>
      </c>
      <c r="G414" s="34">
        <v>0</v>
      </c>
      <c r="H414" s="137">
        <v>1427000000</v>
      </c>
      <c r="I414" s="137">
        <v>23900000</v>
      </c>
      <c r="J414" s="137">
        <v>250000</v>
      </c>
      <c r="K414" s="137">
        <v>250000</v>
      </c>
      <c r="L414" s="137">
        <v>250000</v>
      </c>
      <c r="M414" s="137"/>
      <c r="N414" s="34">
        <v>0</v>
      </c>
      <c r="O414" s="34">
        <v>105.6</v>
      </c>
      <c r="P414" s="154">
        <v>9.5600000000000004E-2</v>
      </c>
      <c r="Q414" s="155">
        <v>1E-3</v>
      </c>
      <c r="R414" s="155">
        <v>5.7469029999999997E-2</v>
      </c>
      <c r="S414" s="155">
        <v>0</v>
      </c>
      <c r="T414" s="34">
        <v>7.2376590000000005E-2</v>
      </c>
      <c r="U414" s="155">
        <v>23900</v>
      </c>
      <c r="V414" s="137">
        <v>18989.286842425248</v>
      </c>
      <c r="W414" s="137">
        <v>264000</v>
      </c>
      <c r="X414" s="137">
        <v>5081.9171091265471</v>
      </c>
      <c r="Y414" s="185">
        <v>34300.39347682213</v>
      </c>
      <c r="Z414" s="137">
        <v>249999.99717000002</v>
      </c>
      <c r="AA414" s="137">
        <v>249999.99717000005</v>
      </c>
      <c r="AB414" s="137">
        <v>1.4705882352941176E-2</v>
      </c>
      <c r="AC414" s="155">
        <v>0</v>
      </c>
      <c r="AD414" s="34">
        <v>0</v>
      </c>
      <c r="AE414" s="34">
        <v>0</v>
      </c>
      <c r="AF414" s="34">
        <v>0</v>
      </c>
      <c r="AG414" s="34">
        <v>0</v>
      </c>
      <c r="AH414" s="34">
        <v>0.21263251502621536</v>
      </c>
      <c r="AI414" s="155">
        <v>26563.121932644783</v>
      </c>
      <c r="AJ414" s="137">
        <v>18818.082890873455</v>
      </c>
      <c r="AK414" s="137">
        <v>0.7084288864309638</v>
      </c>
      <c r="AL414" s="155" t="s">
        <v>747</v>
      </c>
    </row>
    <row r="415" spans="1:38" x14ac:dyDescent="0.3">
      <c r="A415" s="137" t="s">
        <v>247</v>
      </c>
      <c r="B415" s="137"/>
      <c r="C415" s="152">
        <v>46740</v>
      </c>
      <c r="D415" s="152">
        <v>537</v>
      </c>
      <c r="E415" s="137"/>
      <c r="F415" s="137" t="s">
        <v>1325</v>
      </c>
      <c r="G415" s="154">
        <v>0</v>
      </c>
      <c r="H415" s="137">
        <v>200000000</v>
      </c>
      <c r="I415" s="137">
        <v>18600000</v>
      </c>
      <c r="J415" s="137">
        <v>500000</v>
      </c>
      <c r="K415" s="137">
        <v>500000</v>
      </c>
      <c r="L415" s="137">
        <v>500000</v>
      </c>
      <c r="M415" s="137"/>
      <c r="N415" s="137">
        <v>0</v>
      </c>
      <c r="O415" s="137">
        <v>102.9</v>
      </c>
      <c r="P415" s="137">
        <v>9.2999999999999999E-2</v>
      </c>
      <c r="Q415" s="137">
        <v>2.5000000000000001E-3</v>
      </c>
      <c r="R415" s="180">
        <v>5.6146500000000002E-2</v>
      </c>
      <c r="S415" s="180">
        <v>0</v>
      </c>
      <c r="T415" s="137">
        <v>7.9424850000000005E-2</v>
      </c>
      <c r="U415" s="180">
        <v>46500</v>
      </c>
      <c r="V415" s="137">
        <v>475542.67060201016</v>
      </c>
      <c r="W415" s="137">
        <v>514500</v>
      </c>
      <c r="X415" s="137">
        <v>10232.88213241365</v>
      </c>
      <c r="Y415" s="185">
        <v>69187.702598983757</v>
      </c>
      <c r="Z415" s="137">
        <v>500000</v>
      </c>
      <c r="AA415" s="137">
        <v>500000</v>
      </c>
      <c r="AB415" s="137">
        <v>2.9411764705882353E-2</v>
      </c>
      <c r="AC415" s="137">
        <v>0</v>
      </c>
      <c r="AD415" s="137">
        <v>0</v>
      </c>
      <c r="AE415" s="137">
        <v>0</v>
      </c>
      <c r="AF415" s="137">
        <v>0</v>
      </c>
      <c r="AG415" s="137">
        <v>0</v>
      </c>
      <c r="AH415" s="166">
        <v>0.22006198134222904</v>
      </c>
      <c r="AI415" s="155">
        <v>330772.35510799376</v>
      </c>
      <c r="AJ415" s="137">
        <v>36267.117867586348</v>
      </c>
      <c r="AK415" s="137">
        <v>0.10964373928935357</v>
      </c>
      <c r="AL415" s="180" t="s">
        <v>249</v>
      </c>
    </row>
    <row r="416" spans="1:38" x14ac:dyDescent="0.3">
      <c r="A416" s="137" t="s">
        <v>677</v>
      </c>
      <c r="B416" s="137"/>
      <c r="C416" s="152">
        <v>46459</v>
      </c>
      <c r="D416" s="152">
        <v>256</v>
      </c>
      <c r="E416" s="137"/>
      <c r="F416" s="137" t="s">
        <v>1325</v>
      </c>
      <c r="G416" s="154">
        <v>0</v>
      </c>
      <c r="H416" s="137">
        <v>600000000</v>
      </c>
      <c r="I416" s="137">
        <v>64260000</v>
      </c>
      <c r="J416" s="137">
        <v>250002</v>
      </c>
      <c r="K416" s="137">
        <v>250002</v>
      </c>
      <c r="L416" s="137">
        <v>250000</v>
      </c>
      <c r="M416" s="137"/>
      <c r="N416" s="137">
        <v>0</v>
      </c>
      <c r="O416" s="137">
        <v>105.25</v>
      </c>
      <c r="P416" s="137">
        <v>0.1071</v>
      </c>
      <c r="Q416" s="137">
        <v>4.1667000000000001E-4</v>
      </c>
      <c r="R416" s="180">
        <v>6.8969240000000001E-2</v>
      </c>
      <c r="S416" s="180">
        <v>0</v>
      </c>
      <c r="T416" s="137">
        <v>8.2521460000000005E-2</v>
      </c>
      <c r="U416" s="180">
        <v>26775.214200000002</v>
      </c>
      <c r="V416" s="137">
        <v>115801.86992676056</v>
      </c>
      <c r="W416" s="137">
        <v>263127.10499999998</v>
      </c>
      <c r="X416" s="137">
        <v>12673.709967538414</v>
      </c>
      <c r="Y416" s="185">
        <v>54025.286597930484</v>
      </c>
      <c r="Z416" s="137">
        <v>250002</v>
      </c>
      <c r="AA416" s="137">
        <v>250002.00000000006</v>
      </c>
      <c r="AB416" s="137">
        <v>1.4706E-2</v>
      </c>
      <c r="AC416" s="137">
        <v>0</v>
      </c>
      <c r="AD416" s="137">
        <v>0</v>
      </c>
      <c r="AE416" s="137">
        <v>0</v>
      </c>
      <c r="AF416" s="137">
        <v>0</v>
      </c>
      <c r="AG416" s="137">
        <v>0</v>
      </c>
      <c r="AH416" s="166">
        <v>0.47333738855909557</v>
      </c>
      <c r="AI416" s="155">
        <v>46172.591602656823</v>
      </c>
      <c r="AJ416" s="137">
        <v>14101.504232461588</v>
      </c>
      <c r="AK416" s="137">
        <v>0.30540854959612385</v>
      </c>
      <c r="AL416" s="180" t="s">
        <v>678</v>
      </c>
    </row>
    <row r="417" spans="1:38" x14ac:dyDescent="0.3">
      <c r="A417" s="137" t="s">
        <v>876</v>
      </c>
      <c r="B417" s="137"/>
      <c r="C417" s="152">
        <v>46517</v>
      </c>
      <c r="D417" s="152">
        <v>314</v>
      </c>
      <c r="E417" s="137"/>
      <c r="F417" s="137" t="s">
        <v>1325</v>
      </c>
      <c r="G417" s="154">
        <v>0</v>
      </c>
      <c r="H417" s="137">
        <v>125000000</v>
      </c>
      <c r="I417" s="137">
        <v>14315000</v>
      </c>
      <c r="J417" s="137">
        <v>250000</v>
      </c>
      <c r="K417" s="137">
        <v>250000</v>
      </c>
      <c r="L417" s="137">
        <v>250000</v>
      </c>
      <c r="M417" s="137"/>
      <c r="N417" s="137">
        <v>0</v>
      </c>
      <c r="O417" s="137">
        <v>102</v>
      </c>
      <c r="P417" s="137">
        <v>0.11452</v>
      </c>
      <c r="Q417" s="137">
        <v>2E-3</v>
      </c>
      <c r="R417" s="180">
        <v>7.6309879999999997E-2</v>
      </c>
      <c r="S417" s="180">
        <v>0</v>
      </c>
      <c r="T417" s="137">
        <v>0.106922</v>
      </c>
      <c r="U417" s="180">
        <v>28630</v>
      </c>
      <c r="V417" s="137">
        <v>101619.04951041208</v>
      </c>
      <c r="W417" s="137">
        <v>255000</v>
      </c>
      <c r="X417" s="137">
        <v>6876.8499797346558</v>
      </c>
      <c r="Y417" s="185">
        <v>38094.65689566332</v>
      </c>
      <c r="Z417" s="137">
        <v>250000</v>
      </c>
      <c r="AA417" s="137">
        <v>250000</v>
      </c>
      <c r="AB417" s="137">
        <v>1.4705882352941176E-2</v>
      </c>
      <c r="AC417" s="137">
        <v>0</v>
      </c>
      <c r="AD417" s="137">
        <v>0</v>
      </c>
      <c r="AE417" s="137">
        <v>0</v>
      </c>
      <c r="AF417" s="137">
        <v>0</v>
      </c>
      <c r="AG417" s="137">
        <v>0</v>
      </c>
      <c r="AH417" s="166">
        <v>0.24019734473400822</v>
      </c>
      <c r="AI417" s="155">
        <v>41029.168087404236</v>
      </c>
      <c r="AJ417" s="137">
        <v>21753.150020265344</v>
      </c>
      <c r="AK417" s="137">
        <v>0.53018745039930415</v>
      </c>
      <c r="AL417" s="180" t="s">
        <v>879</v>
      </c>
    </row>
    <row r="418" spans="1:38" x14ac:dyDescent="0.3">
      <c r="A418" s="137" t="s">
        <v>662</v>
      </c>
      <c r="B418" s="137"/>
      <c r="C418" s="152">
        <v>46180</v>
      </c>
      <c r="D418" s="152">
        <v>-23</v>
      </c>
      <c r="E418" s="137"/>
      <c r="F418" s="137" t="s">
        <v>1325</v>
      </c>
      <c r="G418" s="154">
        <v>0</v>
      </c>
      <c r="H418" s="137">
        <v>115000000</v>
      </c>
      <c r="I418" s="137">
        <v>14462950.849999998</v>
      </c>
      <c r="J418" s="137">
        <v>249999.64999999997</v>
      </c>
      <c r="K418" s="137">
        <v>249999.64999999997</v>
      </c>
      <c r="L418" s="137">
        <v>250000</v>
      </c>
      <c r="M418" s="137"/>
      <c r="N418" s="137">
        <v>0</v>
      </c>
      <c r="O418" s="137">
        <v>103.85</v>
      </c>
      <c r="P418" s="137">
        <v>0.12576478999999999</v>
      </c>
      <c r="Q418" s="137">
        <v>2.1739099999999998E-3</v>
      </c>
      <c r="R418" s="180">
        <v>8.6567909999999998E-2</v>
      </c>
      <c r="S418" s="180">
        <v>0</v>
      </c>
      <c r="T418" s="137">
        <v>6.7369299999999993E-2</v>
      </c>
      <c r="U418" s="180">
        <v>31441.153482323494</v>
      </c>
      <c r="V418" s="137">
        <v>99999.859999999986</v>
      </c>
      <c r="W418" s="137">
        <v>259624.63652499995</v>
      </c>
      <c r="X418" s="137">
        <v>6325.1773442157455</v>
      </c>
      <c r="Y418" s="185">
        <v>38963.37142263932</v>
      </c>
      <c r="Z418" s="137">
        <v>249999.64999999997</v>
      </c>
      <c r="AA418" s="137">
        <v>249999.65000000002</v>
      </c>
      <c r="AB418" s="137">
        <v>1.4705861764705881E-2</v>
      </c>
      <c r="AC418" s="137">
        <v>0</v>
      </c>
      <c r="AD418" s="137">
        <v>0</v>
      </c>
      <c r="AE418" s="137">
        <v>0</v>
      </c>
      <c r="AF418" s="137">
        <v>0</v>
      </c>
      <c r="AG418" s="137">
        <v>0</v>
      </c>
      <c r="AH418" s="166">
        <v>0.20117510471655622</v>
      </c>
      <c r="AI418" s="155">
        <v>45371.242539065446</v>
      </c>
      <c r="AJ418" s="137">
        <v>25115.976138107748</v>
      </c>
      <c r="AK418" s="137">
        <v>0.55356597555119735</v>
      </c>
      <c r="AL418" s="180" t="s">
        <v>663</v>
      </c>
    </row>
    <row r="419" spans="1:38" x14ac:dyDescent="0.3">
      <c r="A419" s="137" t="s">
        <v>943</v>
      </c>
      <c r="B419" s="137"/>
      <c r="C419" s="152">
        <v>46211</v>
      </c>
      <c r="D419" s="152">
        <v>8</v>
      </c>
      <c r="E419" s="137"/>
      <c r="F419" s="137" t="s">
        <v>1325</v>
      </c>
      <c r="G419" s="154">
        <v>0</v>
      </c>
      <c r="H419" s="137">
        <v>150000000</v>
      </c>
      <c r="I419" s="137">
        <v>11677500</v>
      </c>
      <c r="J419" s="137">
        <v>250000.5</v>
      </c>
      <c r="K419" s="137">
        <v>250000.5</v>
      </c>
      <c r="L419" s="137">
        <v>250000</v>
      </c>
      <c r="M419" s="137"/>
      <c r="N419" s="137">
        <v>0</v>
      </c>
      <c r="O419" s="137">
        <v>101.15</v>
      </c>
      <c r="P419" s="137">
        <v>7.7850000000000003E-2</v>
      </c>
      <c r="Q419" s="137">
        <v>1.6666700000000001E-3</v>
      </c>
      <c r="R419" s="180">
        <v>3.8097329999999999E-2</v>
      </c>
      <c r="S419" s="180">
        <v>0</v>
      </c>
      <c r="T419" s="137">
        <v>6.9939169999999995E-2</v>
      </c>
      <c r="U419" s="180">
        <v>19462.538925000001</v>
      </c>
      <c r="V419" s="137">
        <v>75000.149999999994</v>
      </c>
      <c r="W419" s="137">
        <v>252875.50575000004</v>
      </c>
      <c r="X419" s="137">
        <v>1609.9947633145068</v>
      </c>
      <c r="Y419" s="185">
        <v>19799.755023787482</v>
      </c>
      <c r="Z419" s="137">
        <v>0</v>
      </c>
      <c r="AA419" s="137">
        <v>250000.5</v>
      </c>
      <c r="AB419" s="137">
        <v>1.4705911764705882E-2</v>
      </c>
      <c r="AC419" s="137">
        <v>0</v>
      </c>
      <c r="AD419" s="137">
        <v>0</v>
      </c>
      <c r="AE419" s="137">
        <v>0</v>
      </c>
      <c r="AF419" s="137">
        <v>0</v>
      </c>
      <c r="AG419" s="137">
        <v>0</v>
      </c>
      <c r="AH419" s="166">
        <v>8.2722751102449324E-2</v>
      </c>
      <c r="AI419" s="155">
        <v>26619.050117120387</v>
      </c>
      <c r="AJ419" s="137">
        <v>17852.544161685495</v>
      </c>
      <c r="AK419" s="137">
        <v>0.67066796460191491</v>
      </c>
      <c r="AL419" s="180" t="s">
        <v>946</v>
      </c>
    </row>
    <row r="420" spans="1:38" x14ac:dyDescent="0.3">
      <c r="A420" s="137" t="s">
        <v>947</v>
      </c>
      <c r="B420" s="137"/>
      <c r="C420" s="152">
        <v>39215</v>
      </c>
      <c r="D420" s="152">
        <v>-6988</v>
      </c>
      <c r="E420" s="137"/>
      <c r="F420" s="137" t="s">
        <v>1325</v>
      </c>
      <c r="G420" s="154">
        <v>0</v>
      </c>
      <c r="H420" s="137">
        <v>1454000000</v>
      </c>
      <c r="I420" s="137">
        <v>64578213</v>
      </c>
      <c r="J420" s="137">
        <v>250002</v>
      </c>
      <c r="K420" s="137">
        <v>250002</v>
      </c>
      <c r="L420" s="137">
        <v>250000</v>
      </c>
      <c r="M420" s="137"/>
      <c r="N420" s="137">
        <v>0</v>
      </c>
      <c r="O420" s="137">
        <v>107.75</v>
      </c>
      <c r="P420" s="137">
        <v>0.14350714000000001</v>
      </c>
      <c r="Q420" s="137">
        <v>5.5555999999999997E-4</v>
      </c>
      <c r="R420" s="180">
        <v>0.10489572</v>
      </c>
      <c r="S420" s="180">
        <v>0</v>
      </c>
      <c r="T420" s="137">
        <v>8.8858129999999994E-2</v>
      </c>
      <c r="U420" s="180">
        <v>35877.072014280006</v>
      </c>
      <c r="V420" s="137">
        <v>225001.80062000494</v>
      </c>
      <c r="W420" s="137">
        <v>269377.15500000003</v>
      </c>
      <c r="X420" s="137">
        <v>4211.6733811413251</v>
      </c>
      <c r="Y420" s="185">
        <v>31602.045836831938</v>
      </c>
      <c r="Z420" s="137">
        <v>250002.00068889436</v>
      </c>
      <c r="AA420" s="137">
        <v>250002.00068889442</v>
      </c>
      <c r="AB420" s="137">
        <v>1.4706E-2</v>
      </c>
      <c r="AC420" s="137">
        <v>0</v>
      </c>
      <c r="AD420" s="137">
        <v>0</v>
      </c>
      <c r="AE420" s="137">
        <v>0</v>
      </c>
      <c r="AF420" s="137">
        <v>0</v>
      </c>
      <c r="AG420" s="137">
        <v>0</v>
      </c>
      <c r="AH420" s="166">
        <v>0.11739178100891204</v>
      </c>
      <c r="AI420" s="155">
        <v>162266.44109590861</v>
      </c>
      <c r="AJ420" s="137">
        <v>31665.39863313868</v>
      </c>
      <c r="AK420" s="137">
        <v>0.1951444699179829</v>
      </c>
      <c r="AL420" s="180" t="s">
        <v>950</v>
      </c>
    </row>
    <row r="421" spans="1:38" x14ac:dyDescent="0.3">
      <c r="A421" s="137" t="s">
        <v>947</v>
      </c>
      <c r="B421" s="137"/>
      <c r="C421" s="152">
        <v>46520</v>
      </c>
      <c r="D421" s="152">
        <v>317</v>
      </c>
      <c r="E421" s="137"/>
      <c r="F421" s="137" t="s">
        <v>1325</v>
      </c>
      <c r="G421" s="154">
        <v>0</v>
      </c>
      <c r="H421" s="137">
        <v>1454000000</v>
      </c>
      <c r="I421" s="137">
        <v>64578213</v>
      </c>
      <c r="J421" s="137">
        <v>499999.5</v>
      </c>
      <c r="K421" s="137">
        <v>499999.5</v>
      </c>
      <c r="L421" s="137">
        <v>500000</v>
      </c>
      <c r="M421" s="137"/>
      <c r="N421" s="137">
        <v>0</v>
      </c>
      <c r="O421" s="137">
        <v>107.75</v>
      </c>
      <c r="P421" s="137">
        <v>0.14350714000000001</v>
      </c>
      <c r="Q421" s="137">
        <v>1.11111E-3</v>
      </c>
      <c r="R421" s="180">
        <v>0.10489572</v>
      </c>
      <c r="S421" s="180">
        <v>0</v>
      </c>
      <c r="T421" s="137">
        <v>9.2212089999999997E-2</v>
      </c>
      <c r="U421" s="180">
        <v>71753.498246429997</v>
      </c>
      <c r="V421" s="137">
        <v>449999.55123999872</v>
      </c>
      <c r="W421" s="137">
        <v>538749.46125000005</v>
      </c>
      <c r="X421" s="137">
        <v>8423.2709527682491</v>
      </c>
      <c r="Y421" s="185">
        <v>63203.522841389487</v>
      </c>
      <c r="Z421" s="137">
        <v>499999.50137777632</v>
      </c>
      <c r="AA421" s="137">
        <v>499999.50137777644</v>
      </c>
      <c r="AB421" s="137">
        <v>2.9411735294117648E-2</v>
      </c>
      <c r="AC421" s="137">
        <v>0</v>
      </c>
      <c r="AD421" s="137">
        <v>0</v>
      </c>
      <c r="AE421" s="137">
        <v>0</v>
      </c>
      <c r="AF421" s="137">
        <v>0</v>
      </c>
      <c r="AG421" s="137">
        <v>0</v>
      </c>
      <c r="AH421" s="166">
        <v>0.11739178100891183</v>
      </c>
      <c r="AI421" s="155">
        <v>324529.96141924401</v>
      </c>
      <c r="AJ421" s="137">
        <v>63330.227293661752</v>
      </c>
      <c r="AK421" s="137">
        <v>0.1951444699179827</v>
      </c>
      <c r="AL421" s="180" t="s">
        <v>950</v>
      </c>
    </row>
    <row r="422" spans="1:38" x14ac:dyDescent="0.3">
      <c r="A422" s="137" t="s">
        <v>963</v>
      </c>
      <c r="B422" s="137"/>
      <c r="C422" s="152">
        <v>46395</v>
      </c>
      <c r="D422" s="152">
        <v>192</v>
      </c>
      <c r="E422" s="137"/>
      <c r="F422" s="137" t="s">
        <v>1325</v>
      </c>
      <c r="G422" s="154">
        <v>0</v>
      </c>
      <c r="H422" s="137">
        <v>400000000</v>
      </c>
      <c r="I422" s="137">
        <v>20017500</v>
      </c>
      <c r="J422" s="137">
        <v>249999.45</v>
      </c>
      <c r="K422" s="137">
        <v>249999.45</v>
      </c>
      <c r="L422" s="137">
        <v>250000</v>
      </c>
      <c r="M422" s="137"/>
      <c r="N422" s="137">
        <v>0</v>
      </c>
      <c r="O422" s="137">
        <v>102.3</v>
      </c>
      <c r="P422" s="137">
        <v>7.85E-2</v>
      </c>
      <c r="Q422" s="137">
        <v>9.8039000000000004E-4</v>
      </c>
      <c r="R422" s="180">
        <v>4.0195000000000002E-2</v>
      </c>
      <c r="S422" s="180">
        <v>0</v>
      </c>
      <c r="T422" s="137">
        <v>6.7969870000000002E-2</v>
      </c>
      <c r="U422" s="180">
        <v>19624.956825000001</v>
      </c>
      <c r="V422" s="137">
        <v>0</v>
      </c>
      <c r="W422" s="137">
        <v>255749.43734999999</v>
      </c>
      <c r="X422" s="137">
        <v>407.35961204826799</v>
      </c>
      <c r="Y422" s="185">
        <v>9001.9858960103265</v>
      </c>
      <c r="Z422" s="137">
        <v>0</v>
      </c>
      <c r="AA422" s="137">
        <v>97412.904708811286</v>
      </c>
      <c r="AB422" s="137">
        <v>1.4705850000000001E-2</v>
      </c>
      <c r="AC422" s="137">
        <v>0</v>
      </c>
      <c r="AD422" s="137">
        <v>0</v>
      </c>
      <c r="AE422" s="137">
        <v>0</v>
      </c>
      <c r="AF422" s="137">
        <v>0</v>
      </c>
      <c r="AG422" s="137">
        <v>0</v>
      </c>
      <c r="AH422" s="166">
        <v>2.0757223349879547E-2</v>
      </c>
      <c r="AI422" s="155">
        <v>10290.008410126627</v>
      </c>
      <c r="AJ422" s="137">
        <v>19217.597212951732</v>
      </c>
      <c r="AK422" s="137">
        <v>1.8675978140153184</v>
      </c>
      <c r="AL422" s="180" t="s">
        <v>966</v>
      </c>
    </row>
    <row r="423" spans="1:38" x14ac:dyDescent="0.3">
      <c r="A423" s="137" t="s">
        <v>1057</v>
      </c>
      <c r="B423" s="137"/>
      <c r="C423" s="152">
        <v>46458</v>
      </c>
      <c r="D423" s="152">
        <v>255</v>
      </c>
      <c r="E423" s="137"/>
      <c r="F423" s="137" t="s">
        <v>1325</v>
      </c>
      <c r="G423" s="154">
        <v>0</v>
      </c>
      <c r="H423" s="137">
        <v>2000000000</v>
      </c>
      <c r="I423" s="137">
        <v>86307500</v>
      </c>
      <c r="J423" s="137">
        <v>250002.00000000003</v>
      </c>
      <c r="K423" s="137">
        <v>250002.00000000003</v>
      </c>
      <c r="L423" s="137">
        <v>250000</v>
      </c>
      <c r="M423" s="137"/>
      <c r="N423" s="137">
        <v>0</v>
      </c>
      <c r="O423" s="137">
        <v>102.8</v>
      </c>
      <c r="P423" s="137">
        <v>0.1817</v>
      </c>
      <c r="Q423" s="137">
        <v>5.2632000000000004E-4</v>
      </c>
      <c r="R423" s="180">
        <v>0.14337499000000001</v>
      </c>
      <c r="S423" s="180">
        <v>0</v>
      </c>
      <c r="T423" s="137">
        <v>0.16562574999999999</v>
      </c>
      <c r="U423" s="180">
        <v>45425.363400000002</v>
      </c>
      <c r="V423" s="137">
        <v>183276.96928285187</v>
      </c>
      <c r="W423" s="137">
        <v>257002.05600000001</v>
      </c>
      <c r="X423" s="137">
        <v>19510.311225751422</v>
      </c>
      <c r="Y423" s="185">
        <v>65472.040861610862</v>
      </c>
      <c r="Z423" s="137">
        <v>250002.00000000006</v>
      </c>
      <c r="AA423" s="137">
        <v>250002.00000000006</v>
      </c>
      <c r="AB423" s="137">
        <v>1.4706000000000002E-2</v>
      </c>
      <c r="AC423" s="137">
        <v>0</v>
      </c>
      <c r="AD423" s="137">
        <v>0</v>
      </c>
      <c r="AE423" s="137">
        <v>0</v>
      </c>
      <c r="AF423" s="137">
        <v>0</v>
      </c>
      <c r="AG423" s="137">
        <v>0</v>
      </c>
      <c r="AH423" s="166">
        <v>0.42950258986263656</v>
      </c>
      <c r="AI423" s="155">
        <v>153672.33674402323</v>
      </c>
      <c r="AJ423" s="137">
        <v>25915.05217424858</v>
      </c>
      <c r="AK423" s="137">
        <v>0.16863836864416323</v>
      </c>
      <c r="AL423" s="180" t="s">
        <v>1058</v>
      </c>
    </row>
    <row r="424" spans="1:38" x14ac:dyDescent="0.3">
      <c r="A424" s="137" t="s">
        <v>1061</v>
      </c>
      <c r="B424" s="137"/>
      <c r="C424" s="152">
        <v>46395</v>
      </c>
      <c r="D424" s="152">
        <v>192</v>
      </c>
      <c r="E424" s="137"/>
      <c r="F424" s="137" t="s">
        <v>1325</v>
      </c>
      <c r="G424" s="154">
        <v>0</v>
      </c>
      <c r="H424" s="137">
        <v>301000000</v>
      </c>
      <c r="I424" s="137">
        <v>20180000</v>
      </c>
      <c r="J424" s="137">
        <v>250000</v>
      </c>
      <c r="K424" s="137">
        <v>250000</v>
      </c>
      <c r="L424" s="137">
        <v>250000</v>
      </c>
      <c r="M424" s="137"/>
      <c r="N424" s="137">
        <v>0</v>
      </c>
      <c r="O424" s="137">
        <v>103.6</v>
      </c>
      <c r="P424" s="137">
        <v>0.1009</v>
      </c>
      <c r="Q424" s="137">
        <v>1.25E-3</v>
      </c>
      <c r="R424" s="180">
        <v>6.2344139999999999E-2</v>
      </c>
      <c r="S424" s="180">
        <v>0</v>
      </c>
      <c r="T424" s="137">
        <v>7.6477260000000005E-2</v>
      </c>
      <c r="U424" s="180">
        <v>25225.000000000004</v>
      </c>
      <c r="V424" s="137">
        <v>206719.34497433816</v>
      </c>
      <c r="W424" s="137">
        <v>259000</v>
      </c>
      <c r="X424" s="137">
        <v>3592.3576575519787</v>
      </c>
      <c r="Y424" s="185">
        <v>28646.09637168363</v>
      </c>
      <c r="Z424" s="137">
        <v>250000.00103749998</v>
      </c>
      <c r="AA424" s="137">
        <v>250000.00103749998</v>
      </c>
      <c r="AB424" s="137">
        <v>1.4705882352941176E-2</v>
      </c>
      <c r="AC424" s="137">
        <v>0</v>
      </c>
      <c r="AD424" s="137">
        <v>0</v>
      </c>
      <c r="AE424" s="137">
        <v>0</v>
      </c>
      <c r="AF424" s="137">
        <v>0</v>
      </c>
      <c r="AG424" s="137">
        <v>0</v>
      </c>
      <c r="AH424" s="166">
        <v>0.14241259296539061</v>
      </c>
      <c r="AI424" s="155">
        <v>105601.10053939025</v>
      </c>
      <c r="AJ424" s="137">
        <v>21632.642342448024</v>
      </c>
      <c r="AK424" s="137">
        <v>0.20485243271095302</v>
      </c>
      <c r="AL424" s="180" t="s">
        <v>1064</v>
      </c>
    </row>
    <row r="425" spans="1:38" x14ac:dyDescent="0.3">
      <c r="A425" s="137" t="s">
        <v>1061</v>
      </c>
      <c r="B425" s="137"/>
      <c r="C425" s="152">
        <v>46395</v>
      </c>
      <c r="D425" s="152">
        <v>192</v>
      </c>
      <c r="E425" s="137"/>
      <c r="F425" s="137" t="s">
        <v>1325</v>
      </c>
      <c r="G425" s="154">
        <v>0</v>
      </c>
      <c r="H425" s="137">
        <v>301000000</v>
      </c>
      <c r="I425" s="137">
        <v>20180000</v>
      </c>
      <c r="J425" s="137">
        <v>250000</v>
      </c>
      <c r="K425" s="137">
        <v>250000</v>
      </c>
      <c r="L425" s="137">
        <v>250000</v>
      </c>
      <c r="M425" s="137"/>
      <c r="N425" s="137">
        <v>0</v>
      </c>
      <c r="O425" s="137">
        <v>103.1</v>
      </c>
      <c r="P425" s="137">
        <v>0.1009</v>
      </c>
      <c r="Q425" s="137">
        <v>1.25E-3</v>
      </c>
      <c r="R425" s="180">
        <v>6.2344139999999999E-2</v>
      </c>
      <c r="S425" s="180">
        <v>0</v>
      </c>
      <c r="T425" s="137">
        <v>8.4681469999999995E-2</v>
      </c>
      <c r="U425" s="180">
        <v>25225.000000000004</v>
      </c>
      <c r="V425" s="137">
        <v>206719.34497433816</v>
      </c>
      <c r="W425" s="137">
        <v>257750</v>
      </c>
      <c r="X425" s="137">
        <v>3592.3576575519787</v>
      </c>
      <c r="Y425" s="149">
        <v>28646.09637168363</v>
      </c>
      <c r="Z425" s="149">
        <v>250000.00103749998</v>
      </c>
      <c r="AA425" s="149">
        <v>250000.00103749998</v>
      </c>
      <c r="AB425" s="149">
        <v>1.4705882352941176E-2</v>
      </c>
      <c r="AC425" s="149">
        <v>0</v>
      </c>
      <c r="AD425" s="149">
        <v>0</v>
      </c>
      <c r="AE425" s="149">
        <v>0</v>
      </c>
      <c r="AF425" s="149">
        <v>0</v>
      </c>
      <c r="AG425" s="149">
        <v>0</v>
      </c>
      <c r="AH425" s="164">
        <v>0.14241259296539061</v>
      </c>
      <c r="AI425" s="165">
        <v>105601.10053939025</v>
      </c>
      <c r="AJ425" s="149">
        <v>21632.642342448024</v>
      </c>
      <c r="AK425" s="149">
        <v>0.20485243271095302</v>
      </c>
      <c r="AL425" s="179" t="s">
        <v>1064</v>
      </c>
    </row>
    <row r="426" spans="1:38" x14ac:dyDescent="0.3">
      <c r="A426" s="137" t="s">
        <v>466</v>
      </c>
      <c r="B426" s="137"/>
      <c r="C426" s="152">
        <v>46394</v>
      </c>
      <c r="D426" s="152">
        <v>191</v>
      </c>
      <c r="E426" s="137"/>
      <c r="F426" s="137" t="s">
        <v>1325</v>
      </c>
      <c r="G426" s="154">
        <v>0</v>
      </c>
      <c r="H426" s="137">
        <v>600000000</v>
      </c>
      <c r="I426" s="137">
        <v>6375000</v>
      </c>
      <c r="J426" s="137">
        <v>250000</v>
      </c>
      <c r="K426" s="137">
        <v>250000</v>
      </c>
      <c r="L426" s="137">
        <v>250000</v>
      </c>
      <c r="M426" s="137"/>
      <c r="N426" s="137">
        <v>0</v>
      </c>
      <c r="O426" s="137">
        <v>101.6</v>
      </c>
      <c r="P426" s="137">
        <v>0.1275</v>
      </c>
      <c r="Q426" s="137">
        <v>5.0000000000000001E-3</v>
      </c>
      <c r="R426" s="180">
        <v>8.895815E-2</v>
      </c>
      <c r="S426" s="180">
        <v>0</v>
      </c>
      <c r="T426" s="137">
        <v>0.11989807</v>
      </c>
      <c r="U426" s="180">
        <v>31875.000000000004</v>
      </c>
      <c r="V426" s="137">
        <v>188824.5853753658</v>
      </c>
      <c r="W426" s="137">
        <v>254000</v>
      </c>
      <c r="X426" s="137">
        <v>9225.7502041538646</v>
      </c>
      <c r="Y426" s="149">
        <v>41226.321099737434</v>
      </c>
      <c r="Z426" s="149">
        <v>249999.99</v>
      </c>
      <c r="AA426" s="149">
        <v>249999.99000000005</v>
      </c>
      <c r="AB426" s="149">
        <v>1.4705882352941176E-2</v>
      </c>
      <c r="AC426" s="149">
        <v>0</v>
      </c>
      <c r="AD426" s="149">
        <v>0</v>
      </c>
      <c r="AE426" s="149">
        <v>0</v>
      </c>
      <c r="AF426" s="149">
        <v>0</v>
      </c>
      <c r="AG426" s="149">
        <v>0</v>
      </c>
      <c r="AH426" s="164">
        <v>0.28943530052247413</v>
      </c>
      <c r="AI426" s="165">
        <v>89131.303766130994</v>
      </c>
      <c r="AJ426" s="149">
        <v>22649.249795846139</v>
      </c>
      <c r="AK426" s="149">
        <v>0.25411105682101137</v>
      </c>
      <c r="AL426" s="179" t="s">
        <v>467</v>
      </c>
    </row>
    <row r="427" spans="1:38" x14ac:dyDescent="0.3">
      <c r="A427" s="137" t="s">
        <v>470</v>
      </c>
      <c r="B427" s="137"/>
      <c r="C427" s="152">
        <v>46759</v>
      </c>
      <c r="D427" s="152">
        <v>556</v>
      </c>
      <c r="E427" s="137"/>
      <c r="F427" s="137" t="s">
        <v>1325</v>
      </c>
      <c r="G427" s="154">
        <v>0</v>
      </c>
      <c r="H427" s="137">
        <v>600000000</v>
      </c>
      <c r="I427" s="137">
        <v>9060000</v>
      </c>
      <c r="J427" s="137">
        <v>249999.74999999997</v>
      </c>
      <c r="K427" s="137">
        <v>249999.74999999997</v>
      </c>
      <c r="L427" s="137">
        <v>250000</v>
      </c>
      <c r="M427" s="137"/>
      <c r="N427" s="137">
        <v>0</v>
      </c>
      <c r="O427" s="137">
        <v>99.3</v>
      </c>
      <c r="P427" s="137">
        <v>0.1208</v>
      </c>
      <c r="Q427" s="137">
        <v>3.3333299999999998E-3</v>
      </c>
      <c r="R427" s="180">
        <v>8.2377060000000002E-2</v>
      </c>
      <c r="S427" s="180">
        <v>0</v>
      </c>
      <c r="T427" s="137">
        <v>0.12753048</v>
      </c>
      <c r="U427" s="180">
        <v>30199.969800000003</v>
      </c>
      <c r="V427" s="137">
        <v>199999.8</v>
      </c>
      <c r="W427" s="137">
        <v>248249.75174999997</v>
      </c>
      <c r="X427" s="137">
        <v>11444.218200221711</v>
      </c>
      <c r="Y427" s="149">
        <v>46655.848991123734</v>
      </c>
      <c r="Z427" s="149">
        <v>249999.74999999997</v>
      </c>
      <c r="AA427" s="149">
        <v>249999.75000000003</v>
      </c>
      <c r="AB427" s="149">
        <v>1.4705867647058822E-2</v>
      </c>
      <c r="AC427" s="149">
        <v>0</v>
      </c>
      <c r="AD427" s="149">
        <v>0</v>
      </c>
      <c r="AE427" s="149">
        <v>0</v>
      </c>
      <c r="AF427" s="149">
        <v>0</v>
      </c>
      <c r="AG427" s="149">
        <v>0</v>
      </c>
      <c r="AH427" s="164">
        <v>0.37894800147189917</v>
      </c>
      <c r="AI427" s="165">
        <v>96261.315177322162</v>
      </c>
      <c r="AJ427" s="149">
        <v>18755.75159977829</v>
      </c>
      <c r="AK427" s="149">
        <v>0.19484204599977131</v>
      </c>
      <c r="AL427" s="179" t="s">
        <v>471</v>
      </c>
    </row>
    <row r="428" spans="1:38" x14ac:dyDescent="0.3">
      <c r="A428" s="137" t="s">
        <v>1114</v>
      </c>
      <c r="B428" s="137"/>
      <c r="C428" s="152">
        <v>46849</v>
      </c>
      <c r="D428" s="152">
        <v>646</v>
      </c>
      <c r="E428" s="137"/>
      <c r="F428" s="137" t="s">
        <v>1325</v>
      </c>
      <c r="G428" s="154">
        <v>0</v>
      </c>
      <c r="H428" s="137">
        <v>300000000</v>
      </c>
      <c r="I428" s="137">
        <v>17920000</v>
      </c>
      <c r="J428" s="137">
        <v>250000</v>
      </c>
      <c r="K428" s="137">
        <v>250000</v>
      </c>
      <c r="L428" s="137">
        <v>250000</v>
      </c>
      <c r="M428" s="137"/>
      <c r="N428" s="137">
        <v>0</v>
      </c>
      <c r="O428" s="137">
        <v>100.65</v>
      </c>
      <c r="P428" s="137">
        <v>8.9599999999999999E-2</v>
      </c>
      <c r="Q428" s="137">
        <v>1.25E-3</v>
      </c>
      <c r="R428" s="180">
        <v>5.1341879999999999E-2</v>
      </c>
      <c r="S428" s="180">
        <v>0</v>
      </c>
      <c r="T428" s="137">
        <v>9.0424110000000002E-2</v>
      </c>
      <c r="U428" s="180">
        <v>22400</v>
      </c>
      <c r="V428" s="137">
        <v>225000.00112500001</v>
      </c>
      <c r="W428" s="137">
        <v>251625</v>
      </c>
      <c r="X428" s="137">
        <v>2970.2306110109021</v>
      </c>
      <c r="Y428" s="149">
        <v>25886.92579951205</v>
      </c>
      <c r="Z428" s="149">
        <v>212102.31331062448</v>
      </c>
      <c r="AA428" s="149">
        <v>250000.00125</v>
      </c>
      <c r="AB428" s="149">
        <v>1.4705882352941176E-2</v>
      </c>
      <c r="AC428" s="149">
        <v>0</v>
      </c>
      <c r="AD428" s="149">
        <v>0</v>
      </c>
      <c r="AE428" s="149">
        <v>0</v>
      </c>
      <c r="AF428" s="149">
        <v>0</v>
      </c>
      <c r="AG428" s="149">
        <v>0</v>
      </c>
      <c r="AH428" s="164">
        <v>0.13259958084870099</v>
      </c>
      <c r="AI428" s="165">
        <v>133642.68509595143</v>
      </c>
      <c r="AJ428" s="149">
        <v>19429.769388989098</v>
      </c>
      <c r="AK428" s="149">
        <v>0.14538595490684064</v>
      </c>
      <c r="AL428" s="179" t="s">
        <v>1117</v>
      </c>
    </row>
    <row r="429" spans="1:38" x14ac:dyDescent="0.3">
      <c r="A429" s="137" t="s">
        <v>373</v>
      </c>
      <c r="B429" s="137"/>
      <c r="C429" s="152">
        <v>46575</v>
      </c>
      <c r="D429" s="152">
        <v>372</v>
      </c>
      <c r="E429" s="137"/>
      <c r="F429" s="137" t="s">
        <v>1325</v>
      </c>
      <c r="G429" s="154">
        <v>200000000</v>
      </c>
      <c r="H429" s="137">
        <v>200000000</v>
      </c>
      <c r="I429" s="137">
        <v>20049718.5</v>
      </c>
      <c r="J429" s="137">
        <v>250000.5</v>
      </c>
      <c r="K429" s="137">
        <v>250000.5</v>
      </c>
      <c r="L429" s="137">
        <v>250000</v>
      </c>
      <c r="M429" s="137"/>
      <c r="N429" s="137">
        <v>0</v>
      </c>
      <c r="O429" s="137">
        <v>100.1</v>
      </c>
      <c r="P429" s="137">
        <v>0.13366479000000001</v>
      </c>
      <c r="Q429" s="137">
        <v>1.6666700000000001E-3</v>
      </c>
      <c r="R429" s="180">
        <v>9.4942250000000006E-2</v>
      </c>
      <c r="S429" s="180">
        <v>0</v>
      </c>
      <c r="T429" s="137">
        <v>0.13305328999999999</v>
      </c>
      <c r="U429" s="180">
        <v>33416.264332395003</v>
      </c>
      <c r="V429" s="137">
        <v>100887.35672570694</v>
      </c>
      <c r="W429" s="137">
        <v>250250.50049999997</v>
      </c>
      <c r="X429" s="137">
        <v>4186.0910556376521</v>
      </c>
      <c r="Y429" s="149">
        <v>28308.701808495542</v>
      </c>
      <c r="Z429" s="149">
        <v>209612.74096868146</v>
      </c>
      <c r="AA429" s="149">
        <v>250000.5</v>
      </c>
      <c r="AB429" s="149">
        <v>1.4705911764705882E-2</v>
      </c>
      <c r="AC429" s="149">
        <v>0</v>
      </c>
      <c r="AD429" s="149">
        <v>0</v>
      </c>
      <c r="AE429" s="149">
        <v>0</v>
      </c>
      <c r="AF429" s="149">
        <v>0</v>
      </c>
      <c r="AG429" s="149">
        <v>0</v>
      </c>
      <c r="AH429" s="164">
        <v>0.12527106602934954</v>
      </c>
      <c r="AI429" s="165">
        <v>61664.378451870405</v>
      </c>
      <c r="AJ429" s="149">
        <v>29230.173276757352</v>
      </c>
      <c r="AK429" s="149">
        <v>0.47402039898240056</v>
      </c>
      <c r="AL429" s="179" t="s">
        <v>375</v>
      </c>
    </row>
    <row r="430" spans="1:38" x14ac:dyDescent="0.3">
      <c r="A430" s="137" t="s">
        <v>1286</v>
      </c>
      <c r="B430" s="137"/>
      <c r="C430" s="152">
        <v>46545</v>
      </c>
      <c r="D430" s="152">
        <v>342</v>
      </c>
      <c r="E430" s="137"/>
      <c r="F430" s="137" t="s">
        <v>1325</v>
      </c>
      <c r="G430" s="154">
        <v>0</v>
      </c>
      <c r="H430" s="137">
        <v>30000000000</v>
      </c>
      <c r="I430" s="137">
        <v>31379831.100000001</v>
      </c>
      <c r="J430" s="137">
        <v>500000.4</v>
      </c>
      <c r="K430" s="137">
        <v>500000.4</v>
      </c>
      <c r="L430" s="137">
        <v>500000</v>
      </c>
      <c r="M430" s="137"/>
      <c r="N430" s="137">
        <v>0</v>
      </c>
      <c r="O430" s="137">
        <v>116</v>
      </c>
      <c r="P430" s="137">
        <v>0.34866479</v>
      </c>
      <c r="Q430" s="137">
        <v>5.5555600000000002E-3</v>
      </c>
      <c r="R430" s="180">
        <v>0.3093301</v>
      </c>
      <c r="S430" s="180">
        <v>0</v>
      </c>
      <c r="T430" s="137">
        <v>0.22882463</v>
      </c>
      <c r="U430" s="180">
        <v>174332.53446591599</v>
      </c>
      <c r="V430" s="137">
        <v>408085.31656932889</v>
      </c>
      <c r="W430" s="137">
        <v>580000.46400000004</v>
      </c>
      <c r="X430" s="137">
        <v>84085.178995733382</v>
      </c>
      <c r="Y430" s="149">
        <v>167841.81017796148</v>
      </c>
      <c r="Z430" s="149">
        <v>500000.40000000014</v>
      </c>
      <c r="AA430" s="149">
        <v>500000.40000000026</v>
      </c>
      <c r="AB430" s="149">
        <v>2.9411788235294119E-2</v>
      </c>
      <c r="AC430" s="149">
        <v>0</v>
      </c>
      <c r="AD430" s="149">
        <v>0</v>
      </c>
      <c r="AE430" s="149">
        <v>0</v>
      </c>
      <c r="AF430" s="149">
        <v>0</v>
      </c>
      <c r="AG430" s="149">
        <v>0</v>
      </c>
      <c r="AH430" s="164">
        <v>0.48232637271830059</v>
      </c>
      <c r="AI430" s="165">
        <v>377337.72518629854</v>
      </c>
      <c r="AJ430" s="149">
        <v>90247.355470182607</v>
      </c>
      <c r="AK430" s="149">
        <v>0.23916865302992388</v>
      </c>
      <c r="AL430" s="179" t="s">
        <v>1287</v>
      </c>
    </row>
    <row r="431" spans="1:38" x14ac:dyDescent="0.3">
      <c r="A431" s="137" t="s">
        <v>182</v>
      </c>
      <c r="B431" s="137"/>
      <c r="C431" s="152">
        <v>46112</v>
      </c>
      <c r="D431" s="152">
        <v>-91</v>
      </c>
      <c r="E431" s="137"/>
      <c r="F431" s="137" t="s">
        <v>1325</v>
      </c>
      <c r="G431" s="154">
        <v>0</v>
      </c>
      <c r="H431" s="137">
        <v>16626000000</v>
      </c>
      <c r="I431" s="137">
        <v>74253570</v>
      </c>
      <c r="J431" s="137">
        <v>250000</v>
      </c>
      <c r="K431" s="137">
        <v>250000</v>
      </c>
      <c r="L431" s="137">
        <v>250000</v>
      </c>
      <c r="M431" s="137"/>
      <c r="N431" s="137">
        <v>0</v>
      </c>
      <c r="O431" s="137">
        <v>102.8</v>
      </c>
      <c r="P431" s="137">
        <v>0.14850714000000001</v>
      </c>
      <c r="Q431" s="137">
        <v>5.0000000000000001E-4</v>
      </c>
      <c r="R431" s="180">
        <v>0.1071459</v>
      </c>
      <c r="S431" s="180">
        <v>0</v>
      </c>
      <c r="T431" s="137">
        <v>0.11713456</v>
      </c>
      <c r="U431" s="180">
        <v>37126.785000000003</v>
      </c>
      <c r="V431" s="137">
        <v>225000.00714599996</v>
      </c>
      <c r="W431" s="137">
        <v>257000</v>
      </c>
      <c r="X431" s="137">
        <v>6724.1610664215341</v>
      </c>
      <c r="Y431" s="149">
        <v>39147.112492114196</v>
      </c>
      <c r="Z431" s="149">
        <v>250000.00793999998</v>
      </c>
      <c r="AA431" s="149">
        <v>250000.00794000001</v>
      </c>
      <c r="AB431" s="149">
        <v>1.4705882352941176E-2</v>
      </c>
      <c r="AC431" s="149">
        <v>0</v>
      </c>
      <c r="AD431" s="149">
        <v>0</v>
      </c>
      <c r="AE431" s="149">
        <v>0</v>
      </c>
      <c r="AF431" s="149">
        <v>0</v>
      </c>
      <c r="AG431" s="149">
        <v>0</v>
      </c>
      <c r="AH431" s="164">
        <v>0.18111347552505647</v>
      </c>
      <c r="AI431" s="165">
        <v>182500.00579620007</v>
      </c>
      <c r="AJ431" s="149">
        <v>30402.62393357847</v>
      </c>
      <c r="AK431" s="149">
        <v>0.1665897148931022</v>
      </c>
      <c r="AL431" s="179" t="s">
        <v>185</v>
      </c>
    </row>
    <row r="432" spans="1:38" x14ac:dyDescent="0.3">
      <c r="A432" s="137" t="s">
        <v>815</v>
      </c>
      <c r="B432" s="137"/>
      <c r="C432" s="152">
        <v>46742</v>
      </c>
      <c r="D432" s="152">
        <v>539</v>
      </c>
      <c r="E432" s="137"/>
      <c r="F432" s="137" t="s">
        <v>1325</v>
      </c>
      <c r="G432" s="154">
        <v>0</v>
      </c>
      <c r="H432" s="137">
        <v>95000000</v>
      </c>
      <c r="I432" s="137">
        <v>9319500</v>
      </c>
      <c r="J432" s="137">
        <v>250000.1</v>
      </c>
      <c r="K432" s="137">
        <v>250000.1</v>
      </c>
      <c r="L432" s="137">
        <v>250000</v>
      </c>
      <c r="M432" s="137"/>
      <c r="N432" s="137">
        <v>0</v>
      </c>
      <c r="O432" s="137">
        <v>101.85</v>
      </c>
      <c r="P432" s="137">
        <v>9.8100000000000007E-2</v>
      </c>
      <c r="Q432" s="137">
        <v>2.6315800000000001E-3</v>
      </c>
      <c r="R432" s="180">
        <v>5.9943969999999999E-2</v>
      </c>
      <c r="S432" s="180">
        <v>0</v>
      </c>
      <c r="T432" s="137">
        <v>9.311324E-2</v>
      </c>
      <c r="U432" s="180">
        <v>24525.009810000003</v>
      </c>
      <c r="V432" s="137">
        <v>0</v>
      </c>
      <c r="W432" s="137">
        <v>254625.10184999998</v>
      </c>
      <c r="X432" s="137">
        <v>6291.3599206475646</v>
      </c>
      <c r="Y432" s="149">
        <v>38089.307306749899</v>
      </c>
      <c r="Z432" s="149">
        <v>250000.1</v>
      </c>
      <c r="AA432" s="149">
        <v>250000.1</v>
      </c>
      <c r="AB432" s="149">
        <v>1.4705888235294118E-2</v>
      </c>
      <c r="AC432" s="149">
        <v>0</v>
      </c>
      <c r="AD432" s="149">
        <v>0</v>
      </c>
      <c r="AE432" s="149">
        <v>0</v>
      </c>
      <c r="AF432" s="149">
        <v>0</v>
      </c>
      <c r="AG432" s="149">
        <v>0</v>
      </c>
      <c r="AH432" s="164">
        <v>0.25652833452006535</v>
      </c>
      <c r="AI432" s="165">
        <v>32500.013000000006</v>
      </c>
      <c r="AJ432" s="149">
        <v>18233.64988935244</v>
      </c>
      <c r="AK432" s="149">
        <v>0.56103515679678151</v>
      </c>
      <c r="AL432" s="179" t="s">
        <v>818</v>
      </c>
    </row>
    <row r="433" spans="1:38" x14ac:dyDescent="0.3">
      <c r="A433" s="137" t="s">
        <v>895</v>
      </c>
      <c r="B433" s="137"/>
      <c r="C433" s="152">
        <v>46762</v>
      </c>
      <c r="D433" s="152">
        <v>559</v>
      </c>
      <c r="E433" s="137"/>
      <c r="F433" s="137" t="s">
        <v>1325</v>
      </c>
      <c r="G433" s="154">
        <v>0</v>
      </c>
      <c r="H433" s="137">
        <v>100000000</v>
      </c>
      <c r="I433" s="137">
        <v>7310000</v>
      </c>
      <c r="J433" s="137">
        <v>250000</v>
      </c>
      <c r="K433" s="137">
        <v>250000</v>
      </c>
      <c r="L433" s="137">
        <v>250000</v>
      </c>
      <c r="M433" s="137"/>
      <c r="N433" s="137">
        <v>0</v>
      </c>
      <c r="O433" s="137">
        <v>103.1</v>
      </c>
      <c r="P433" s="137">
        <v>7.3099999999999998E-2</v>
      </c>
      <c r="Q433" s="137">
        <v>2.5000000000000001E-3</v>
      </c>
      <c r="R433" s="180">
        <v>3.4997439999999998E-2</v>
      </c>
      <c r="S433" s="180">
        <v>0</v>
      </c>
      <c r="T433" s="137">
        <v>5.9052420000000001E-2</v>
      </c>
      <c r="U433" s="180">
        <v>18275</v>
      </c>
      <c r="V433" s="137">
        <v>0</v>
      </c>
      <c r="W433" s="137">
        <v>257750</v>
      </c>
      <c r="X433" s="137">
        <v>2306.25</v>
      </c>
      <c r="Y433" s="149">
        <v>22853.282055047777</v>
      </c>
      <c r="Z433" s="149">
        <v>62500</v>
      </c>
      <c r="AA433" s="149">
        <v>250000</v>
      </c>
      <c r="AB433" s="149">
        <v>1.4705882352941176E-2</v>
      </c>
      <c r="AC433" s="149">
        <v>0</v>
      </c>
      <c r="AD433" s="149">
        <v>0</v>
      </c>
      <c r="AE433" s="149">
        <v>0</v>
      </c>
      <c r="AF433" s="149">
        <v>0</v>
      </c>
      <c r="AG433" s="149">
        <v>0</v>
      </c>
      <c r="AH433" s="164">
        <v>0.12619699042407662</v>
      </c>
      <c r="AI433" s="165">
        <v>6562.5</v>
      </c>
      <c r="AJ433" s="149">
        <v>15968.75</v>
      </c>
      <c r="AK433" s="149">
        <v>2.4333333333333331</v>
      </c>
      <c r="AL433" s="179" t="s">
        <v>898</v>
      </c>
    </row>
    <row r="434" spans="1:38" x14ac:dyDescent="0.3">
      <c r="A434" s="137" t="s">
        <v>895</v>
      </c>
      <c r="B434" s="137"/>
      <c r="C434" s="152">
        <v>46762</v>
      </c>
      <c r="D434" s="152">
        <v>559</v>
      </c>
      <c r="E434" s="137"/>
      <c r="F434" s="137" t="s">
        <v>1325</v>
      </c>
      <c r="G434" s="154">
        <v>0</v>
      </c>
      <c r="H434" s="137">
        <v>100000000</v>
      </c>
      <c r="I434" s="137">
        <v>7310000</v>
      </c>
      <c r="J434" s="137">
        <v>250000</v>
      </c>
      <c r="K434" s="137">
        <v>250000</v>
      </c>
      <c r="L434" s="137">
        <v>250000</v>
      </c>
      <c r="M434" s="137"/>
      <c r="N434" s="137">
        <v>0</v>
      </c>
      <c r="O434" s="137">
        <v>101.6</v>
      </c>
      <c r="P434" s="137">
        <v>7.3099999999999998E-2</v>
      </c>
      <c r="Q434" s="137">
        <v>2.5000000000000001E-3</v>
      </c>
      <c r="R434" s="180">
        <v>3.4997439999999998E-2</v>
      </c>
      <c r="S434" s="180">
        <v>0</v>
      </c>
      <c r="T434" s="137">
        <v>6.9968119999999995E-2</v>
      </c>
      <c r="U434" s="180">
        <v>18275</v>
      </c>
      <c r="V434" s="137">
        <v>0</v>
      </c>
      <c r="W434" s="137">
        <v>254000</v>
      </c>
      <c r="X434" s="137">
        <v>2306.25</v>
      </c>
      <c r="Y434" s="149">
        <v>22853.282055047777</v>
      </c>
      <c r="Z434" s="149">
        <v>62500</v>
      </c>
      <c r="AA434" s="149">
        <v>250000</v>
      </c>
      <c r="AB434" s="149">
        <v>1.4705882352941176E-2</v>
      </c>
      <c r="AC434" s="149">
        <v>0</v>
      </c>
      <c r="AD434" s="149">
        <v>0</v>
      </c>
      <c r="AE434" s="149">
        <v>0</v>
      </c>
      <c r="AF434" s="149">
        <v>0</v>
      </c>
      <c r="AG434" s="149">
        <v>0</v>
      </c>
      <c r="AH434" s="164">
        <v>0.12619699042407662</v>
      </c>
      <c r="AI434" s="165">
        <v>6562.5</v>
      </c>
      <c r="AJ434" s="149">
        <v>15968.75</v>
      </c>
      <c r="AK434" s="149">
        <v>2.4333333333333331</v>
      </c>
      <c r="AL434" s="179" t="s">
        <v>898</v>
      </c>
    </row>
    <row r="435" spans="1:38" x14ac:dyDescent="0.3">
      <c r="A435" s="137" t="s">
        <v>440</v>
      </c>
      <c r="B435" s="137"/>
      <c r="C435" s="152">
        <v>47013</v>
      </c>
      <c r="D435" s="152">
        <v>810</v>
      </c>
      <c r="E435" s="137"/>
      <c r="F435" s="137" t="s">
        <v>1325</v>
      </c>
      <c r="G435" s="154">
        <v>0</v>
      </c>
      <c r="H435" s="137">
        <v>65000000000</v>
      </c>
      <c r="I435" s="137">
        <v>3822987.6</v>
      </c>
      <c r="J435" s="137">
        <v>250000.19999999998</v>
      </c>
      <c r="K435" s="137">
        <v>250000.19999999998</v>
      </c>
      <c r="L435" s="137">
        <v>250000</v>
      </c>
      <c r="M435" s="137"/>
      <c r="N435" s="137">
        <v>0</v>
      </c>
      <c r="O435" s="137">
        <v>100</v>
      </c>
      <c r="P435" s="137">
        <v>6.3716460000000003E-2</v>
      </c>
      <c r="Q435" s="137">
        <v>4.1666699999999999E-3</v>
      </c>
      <c r="R435" s="180">
        <v>2.49891E-2</v>
      </c>
      <c r="S435" s="180">
        <v>0</v>
      </c>
      <c r="T435" s="137">
        <v>6.3665340000000001E-2</v>
      </c>
      <c r="U435" s="180">
        <v>15929.127743292001</v>
      </c>
      <c r="V435" s="137">
        <v>0</v>
      </c>
      <c r="W435" s="137">
        <v>250000.2</v>
      </c>
      <c r="X435" s="137">
        <v>2414.2852013104539</v>
      </c>
      <c r="Y435" s="149">
        <v>21853.971998713718</v>
      </c>
      <c r="Z435" s="149">
        <v>103872.77688308242</v>
      </c>
      <c r="AA435" s="149">
        <v>250001.03333400004</v>
      </c>
      <c r="AB435" s="149">
        <v>1.4705894117647058E-2</v>
      </c>
      <c r="AC435" s="149">
        <v>0</v>
      </c>
      <c r="AD435" s="149">
        <v>0</v>
      </c>
      <c r="AE435" s="149">
        <v>0</v>
      </c>
      <c r="AF435" s="149">
        <v>0</v>
      </c>
      <c r="AG435" s="149">
        <v>0</v>
      </c>
      <c r="AH435" s="164">
        <v>0.15156418105361394</v>
      </c>
      <c r="AI435" s="165">
        <v>29343.702037788749</v>
      </c>
      <c r="AJ435" s="149">
        <v>13514.842541981547</v>
      </c>
      <c r="AK435" s="149">
        <v>0.46057046669084784</v>
      </c>
      <c r="AL435" s="179" t="s">
        <v>444</v>
      </c>
    </row>
    <row r="436" spans="1:38" x14ac:dyDescent="0.3">
      <c r="A436" s="137" t="s">
        <v>1120</v>
      </c>
      <c r="B436" s="137"/>
      <c r="C436" s="152">
        <v>46850</v>
      </c>
      <c r="D436" s="152">
        <v>647</v>
      </c>
      <c r="E436" s="137"/>
      <c r="F436" s="137" t="s">
        <v>1325</v>
      </c>
      <c r="G436" s="154">
        <v>5000000</v>
      </c>
      <c r="H436" s="137">
        <v>5000000</v>
      </c>
      <c r="I436" s="137">
        <v>3142943.6999999997</v>
      </c>
      <c r="J436" s="137">
        <v>249999.9</v>
      </c>
      <c r="K436" s="137">
        <v>249999.9</v>
      </c>
      <c r="L436" s="137">
        <v>250000</v>
      </c>
      <c r="M436" s="137"/>
      <c r="N436" s="137">
        <v>0</v>
      </c>
      <c r="O436" s="137">
        <v>100.2</v>
      </c>
      <c r="P436" s="137">
        <v>0.10476479</v>
      </c>
      <c r="Q436" s="137">
        <v>8.3333299999999999E-3</v>
      </c>
      <c r="R436" s="180">
        <v>6.6102750000000002E-2</v>
      </c>
      <c r="S436" s="180">
        <v>0</v>
      </c>
      <c r="T436" s="137">
        <v>0.10367698</v>
      </c>
      <c r="U436" s="180">
        <v>26191.187023521001</v>
      </c>
      <c r="V436" s="137">
        <v>99999.96</v>
      </c>
      <c r="W436" s="137">
        <v>250499.89980000001</v>
      </c>
      <c r="X436" s="137">
        <v>7224.1725552252974</v>
      </c>
      <c r="Y436" s="149">
        <v>40913.053250054196</v>
      </c>
      <c r="Z436" s="149">
        <v>249999.9</v>
      </c>
      <c r="AA436" s="149">
        <v>249999.90000000005</v>
      </c>
      <c r="AB436" s="149">
        <v>1.4705876470588235E-2</v>
      </c>
      <c r="AC436" s="149">
        <v>0</v>
      </c>
      <c r="AD436" s="149">
        <v>0</v>
      </c>
      <c r="AE436" s="149">
        <v>0</v>
      </c>
      <c r="AF436" s="149">
        <v>0</v>
      </c>
      <c r="AG436" s="149">
        <v>0</v>
      </c>
      <c r="AH436" s="164">
        <v>0.27582455689150814</v>
      </c>
      <c r="AI436" s="165">
        <v>96612.757012710237</v>
      </c>
      <c r="AJ436" s="149">
        <v>18967.014468295703</v>
      </c>
      <c r="AK436" s="149">
        <v>0.19631997941845744</v>
      </c>
      <c r="AL436" s="179" t="s">
        <v>1121</v>
      </c>
    </row>
    <row r="437" spans="1:38" x14ac:dyDescent="0.3">
      <c r="A437" s="137" t="s">
        <v>968</v>
      </c>
      <c r="B437" s="137"/>
      <c r="C437" s="152">
        <v>46178</v>
      </c>
      <c r="D437" s="152">
        <v>-25</v>
      </c>
      <c r="E437" s="137"/>
      <c r="F437" s="137" t="s">
        <v>1325</v>
      </c>
      <c r="G437" s="154">
        <v>0</v>
      </c>
      <c r="H437" s="137">
        <v>110000000</v>
      </c>
      <c r="I437" s="137">
        <v>11616000</v>
      </c>
      <c r="J437" s="137">
        <v>250000.30000000002</v>
      </c>
      <c r="K437" s="137">
        <v>250000.30000000002</v>
      </c>
      <c r="L437" s="137">
        <v>250000</v>
      </c>
      <c r="M437" s="137"/>
      <c r="N437" s="137">
        <v>0</v>
      </c>
      <c r="O437" s="137">
        <v>103.1</v>
      </c>
      <c r="P437" s="137">
        <v>0.1056</v>
      </c>
      <c r="Q437" s="137">
        <v>2.2727300000000001E-3</v>
      </c>
      <c r="R437" s="180">
        <v>6.736876E-2</v>
      </c>
      <c r="S437" s="180">
        <v>0</v>
      </c>
      <c r="T437" s="137">
        <v>7.1632760000000004E-2</v>
      </c>
      <c r="U437" s="180">
        <v>26400.031680000004</v>
      </c>
      <c r="V437" s="137">
        <v>161473.03854848872</v>
      </c>
      <c r="W437" s="137">
        <v>257750.30929999999</v>
      </c>
      <c r="X437" s="137">
        <v>2418.0765770121934</v>
      </c>
      <c r="Y437" s="149">
        <v>20263.852419467992</v>
      </c>
      <c r="Z437" s="149">
        <v>91898.996920673948</v>
      </c>
      <c r="AA437" s="149">
        <v>250000.30000000002</v>
      </c>
      <c r="AB437" s="149">
        <v>1.4705900000000001E-2</v>
      </c>
      <c r="AC437" s="149">
        <v>0</v>
      </c>
      <c r="AD437" s="149">
        <v>0</v>
      </c>
      <c r="AE437" s="149">
        <v>0</v>
      </c>
      <c r="AF437" s="149">
        <v>0</v>
      </c>
      <c r="AG437" s="149">
        <v>0</v>
      </c>
      <c r="AH437" s="164">
        <v>9.159369982287055E-2</v>
      </c>
      <c r="AI437" s="165">
        <v>83455.59429459901</v>
      </c>
      <c r="AJ437" s="149">
        <v>23981.955102987809</v>
      </c>
      <c r="AK437" s="149">
        <v>0.28736186358377952</v>
      </c>
      <c r="AL437" s="179" t="s">
        <v>971</v>
      </c>
    </row>
    <row r="438" spans="1:38" x14ac:dyDescent="0.3">
      <c r="A438" s="137" t="s">
        <v>709</v>
      </c>
      <c r="B438" s="137"/>
      <c r="C438" s="152">
        <v>46882</v>
      </c>
      <c r="D438" s="152">
        <v>679</v>
      </c>
      <c r="E438" s="137"/>
      <c r="F438" s="137" t="s">
        <v>1325</v>
      </c>
      <c r="G438" s="154">
        <v>0</v>
      </c>
      <c r="H438" s="137">
        <v>150000000</v>
      </c>
      <c r="I438" s="137">
        <v>11692875</v>
      </c>
      <c r="J438" s="137">
        <v>250000.5</v>
      </c>
      <c r="K438" s="137">
        <v>250000.5</v>
      </c>
      <c r="L438" s="137">
        <v>250000</v>
      </c>
      <c r="M438" s="137"/>
      <c r="N438" s="137">
        <v>0</v>
      </c>
      <c r="O438" s="137">
        <v>104.5</v>
      </c>
      <c r="P438" s="137">
        <v>7.7952499999999994E-2</v>
      </c>
      <c r="Q438" s="137">
        <v>1.6666700000000001E-3</v>
      </c>
      <c r="R438" s="180">
        <v>3.9735449999999999E-2</v>
      </c>
      <c r="S438" s="180">
        <v>0</v>
      </c>
      <c r="T438" s="137">
        <v>6.1684509999999998E-2</v>
      </c>
      <c r="U438" s="180">
        <v>19488.163976249998</v>
      </c>
      <c r="V438" s="137">
        <v>0</v>
      </c>
      <c r="W438" s="137">
        <v>261250.52249999999</v>
      </c>
      <c r="X438" s="137">
        <v>3849.7341215528413</v>
      </c>
      <c r="Y438" s="149">
        <v>30359.381513623888</v>
      </c>
      <c r="Z438" s="149">
        <v>250000.5</v>
      </c>
      <c r="AA438" s="149">
        <v>250000.5</v>
      </c>
      <c r="AB438" s="149">
        <v>1.4705911764705882E-2</v>
      </c>
      <c r="AC438" s="149">
        <v>0</v>
      </c>
      <c r="AD438" s="149">
        <v>0</v>
      </c>
      <c r="AE438" s="149">
        <v>0</v>
      </c>
      <c r="AF438" s="149">
        <v>0</v>
      </c>
      <c r="AG438" s="149">
        <v>0</v>
      </c>
      <c r="AH438" s="164">
        <v>0.19754216591385768</v>
      </c>
      <c r="AI438" s="165">
        <v>10000.02</v>
      </c>
      <c r="AJ438" s="149">
        <v>15638.429854697157</v>
      </c>
      <c r="AK438" s="149">
        <v>1.5638398577900001</v>
      </c>
      <c r="AL438" s="179" t="s">
        <v>710</v>
      </c>
    </row>
    <row r="439" spans="1:38" x14ac:dyDescent="0.3">
      <c r="A439" s="137" t="s">
        <v>711</v>
      </c>
      <c r="B439" s="137"/>
      <c r="C439" s="152">
        <v>47212</v>
      </c>
      <c r="D439" s="152">
        <v>1009</v>
      </c>
      <c r="E439" s="137"/>
      <c r="F439" s="137" t="s">
        <v>1325</v>
      </c>
      <c r="G439" s="154">
        <v>0</v>
      </c>
      <c r="H439" s="137">
        <v>150000000</v>
      </c>
      <c r="I439" s="137">
        <v>9324720</v>
      </c>
      <c r="J439" s="137">
        <v>250000.5</v>
      </c>
      <c r="K439" s="137">
        <v>250000.5</v>
      </c>
      <c r="L439" s="137">
        <v>250000</v>
      </c>
      <c r="M439" s="137"/>
      <c r="N439" s="137">
        <v>0</v>
      </c>
      <c r="O439" s="137">
        <v>101</v>
      </c>
      <c r="P439" s="137">
        <v>6.2164799999999999E-2</v>
      </c>
      <c r="Q439" s="137">
        <v>1.6666700000000001E-3</v>
      </c>
      <c r="R439" s="180">
        <v>2.3430280000000001E-2</v>
      </c>
      <c r="S439" s="180">
        <v>0</v>
      </c>
      <c r="T439" s="137">
        <v>5.6722120000000001E-2</v>
      </c>
      <c r="U439" s="180">
        <v>15541.2310824</v>
      </c>
      <c r="V439" s="137">
        <v>0</v>
      </c>
      <c r="W439" s="137">
        <v>252500.505</v>
      </c>
      <c r="X439" s="137">
        <v>1971.5092803013679</v>
      </c>
      <c r="Y439" s="149">
        <v>22005.247728234022</v>
      </c>
      <c r="Z439" s="149">
        <v>0</v>
      </c>
      <c r="AA439" s="149">
        <v>250000.5</v>
      </c>
      <c r="AB439" s="149">
        <v>1.4705911764705882E-2</v>
      </c>
      <c r="AC439" s="149">
        <v>0</v>
      </c>
      <c r="AD439" s="149">
        <v>0</v>
      </c>
      <c r="AE439" s="149">
        <v>0</v>
      </c>
      <c r="AF439" s="149">
        <v>0</v>
      </c>
      <c r="AG439" s="149">
        <v>0</v>
      </c>
      <c r="AH439" s="164">
        <v>0.12685669943702502</v>
      </c>
      <c r="AI439" s="165">
        <v>5000.0100000000011</v>
      </c>
      <c r="AJ439" s="149">
        <v>13569.721802098631</v>
      </c>
      <c r="AK439" s="149">
        <v>2.7139389325418604</v>
      </c>
      <c r="AL439" s="179" t="s">
        <v>714</v>
      </c>
    </row>
    <row r="440" spans="1:38" x14ac:dyDescent="0.3">
      <c r="A440" s="137" t="s">
        <v>985</v>
      </c>
      <c r="B440" s="137"/>
      <c r="C440" s="152">
        <v>46545</v>
      </c>
      <c r="D440" s="152">
        <v>342</v>
      </c>
      <c r="E440" s="137"/>
      <c r="F440" s="137" t="s">
        <v>1325</v>
      </c>
      <c r="G440" s="154">
        <v>0</v>
      </c>
      <c r="H440" s="137">
        <v>300000000</v>
      </c>
      <c r="I440" s="137">
        <v>20347876.5</v>
      </c>
      <c r="J440" s="137">
        <v>250000.5</v>
      </c>
      <c r="K440" s="137">
        <v>250000.5</v>
      </c>
      <c r="L440" s="137">
        <v>250000</v>
      </c>
      <c r="M440" s="137"/>
      <c r="N440" s="137">
        <v>0</v>
      </c>
      <c r="O440" s="137">
        <v>102.85</v>
      </c>
      <c r="P440" s="137">
        <v>0.13565251</v>
      </c>
      <c r="Q440" s="137">
        <v>1.6666700000000001E-3</v>
      </c>
      <c r="R440" s="180">
        <v>9.6978149999999999E-2</v>
      </c>
      <c r="S440" s="180">
        <v>0</v>
      </c>
      <c r="T440" s="137">
        <v>0.11963621000000001</v>
      </c>
      <c r="U440" s="180">
        <v>33913.195326255001</v>
      </c>
      <c r="V440" s="137">
        <v>225000.45</v>
      </c>
      <c r="W440" s="137">
        <v>257125.51424999998</v>
      </c>
      <c r="X440" s="137">
        <v>7180.8745190652307</v>
      </c>
      <c r="Y440" s="149">
        <v>40146.515262076849</v>
      </c>
      <c r="Z440" s="149">
        <v>250000.5</v>
      </c>
      <c r="AA440" s="149">
        <v>250000.5</v>
      </c>
      <c r="AB440" s="149">
        <v>1.4705911764705882E-2</v>
      </c>
      <c r="AC440" s="149">
        <v>0</v>
      </c>
      <c r="AD440" s="149">
        <v>0</v>
      </c>
      <c r="AE440" s="149">
        <v>0</v>
      </c>
      <c r="AF440" s="149">
        <v>0</v>
      </c>
      <c r="AG440" s="149">
        <v>0</v>
      </c>
      <c r="AH440" s="164">
        <v>0.21174278772563562</v>
      </c>
      <c r="AI440" s="165">
        <v>178526.45423190913</v>
      </c>
      <c r="AJ440" s="149">
        <v>26732.320807189772</v>
      </c>
      <c r="AK440" s="149">
        <v>0.14973870915771395</v>
      </c>
      <c r="AL440" s="179" t="s">
        <v>988</v>
      </c>
    </row>
    <row r="441" spans="1:38" x14ac:dyDescent="0.3">
      <c r="A441" s="137" t="s">
        <v>637</v>
      </c>
      <c r="B441" s="137"/>
      <c r="C441" s="152">
        <v>46545</v>
      </c>
      <c r="D441" s="152">
        <v>342</v>
      </c>
      <c r="E441" s="137"/>
      <c r="F441" s="137" t="s">
        <v>1325</v>
      </c>
      <c r="G441" s="154">
        <v>0</v>
      </c>
      <c r="H441" s="137">
        <v>85000000</v>
      </c>
      <c r="I441" s="137">
        <v>10936507.15</v>
      </c>
      <c r="J441" s="137">
        <v>250000.3</v>
      </c>
      <c r="K441" s="137">
        <v>250000.3</v>
      </c>
      <c r="L441" s="137">
        <v>250000</v>
      </c>
      <c r="M441" s="137"/>
      <c r="N441" s="137">
        <v>0</v>
      </c>
      <c r="O441" s="137">
        <v>107.35</v>
      </c>
      <c r="P441" s="137">
        <v>0.12866479</v>
      </c>
      <c r="Q441" s="137">
        <v>2.9411799999999998E-3</v>
      </c>
      <c r="R441" s="180">
        <v>8.9871699999999999E-2</v>
      </c>
      <c r="S441" s="180">
        <v>0</v>
      </c>
      <c r="T441" s="137">
        <v>7.9067299999999993E-2</v>
      </c>
      <c r="U441" s="180">
        <v>32166.236099436999</v>
      </c>
      <c r="V441" s="137">
        <v>16500.019799999998</v>
      </c>
      <c r="W441" s="137">
        <v>268375.32204999996</v>
      </c>
      <c r="X441" s="137">
        <v>2157.3775888499981</v>
      </c>
      <c r="Y441" s="149">
        <v>18588.151682181146</v>
      </c>
      <c r="Z441" s="149">
        <v>82500.099000000002</v>
      </c>
      <c r="AA441" s="149">
        <v>250000.3</v>
      </c>
      <c r="AB441" s="149">
        <v>1.4705899999999999E-2</v>
      </c>
      <c r="AC441" s="149">
        <v>0</v>
      </c>
      <c r="AD441" s="149">
        <v>0</v>
      </c>
      <c r="AE441" s="149">
        <v>0</v>
      </c>
      <c r="AF441" s="149">
        <v>0</v>
      </c>
      <c r="AG441" s="149">
        <v>0</v>
      </c>
      <c r="AH441" s="164">
        <v>6.7069631093323923E-2</v>
      </c>
      <c r="AI441" s="165">
        <v>2475.0029700000005</v>
      </c>
      <c r="AJ441" s="149">
        <v>30008.858510587001</v>
      </c>
      <c r="AK441" s="149">
        <v>12.124776767676765</v>
      </c>
      <c r="AL441" s="179" t="s">
        <v>640</v>
      </c>
    </row>
    <row r="442" spans="1:38" x14ac:dyDescent="0.3">
      <c r="A442" s="137" t="s">
        <v>698</v>
      </c>
      <c r="B442" s="137"/>
      <c r="C442" s="152">
        <v>46178</v>
      </c>
      <c r="D442" s="152">
        <v>-25</v>
      </c>
      <c r="E442" s="137"/>
      <c r="F442" s="137" t="s">
        <v>1325</v>
      </c>
      <c r="G442" s="154">
        <v>0</v>
      </c>
      <c r="H442" s="137">
        <v>100000000</v>
      </c>
      <c r="I442" s="137">
        <v>14446480</v>
      </c>
      <c r="J442" s="137">
        <v>250000</v>
      </c>
      <c r="K442" s="137">
        <v>250000</v>
      </c>
      <c r="L442" s="137">
        <v>250000</v>
      </c>
      <c r="M442" s="137"/>
      <c r="N442" s="137">
        <v>0</v>
      </c>
      <c r="O442" s="137">
        <v>102.9</v>
      </c>
      <c r="P442" s="137">
        <v>0.1444648</v>
      </c>
      <c r="Q442" s="137">
        <v>2.5000000000000001E-3</v>
      </c>
      <c r="R442" s="180">
        <v>0.10575252</v>
      </c>
      <c r="S442" s="180">
        <v>0</v>
      </c>
      <c r="T442" s="137">
        <v>0.10023182999999999</v>
      </c>
      <c r="U442" s="180">
        <v>36116.199999999997</v>
      </c>
      <c r="V442" s="137">
        <v>225000</v>
      </c>
      <c r="W442" s="137">
        <v>257250</v>
      </c>
      <c r="X442" s="137">
        <v>5230.9689778766369</v>
      </c>
      <c r="Y442" s="149">
        <v>35499.774798738916</v>
      </c>
      <c r="Z442" s="149">
        <v>250000</v>
      </c>
      <c r="AA442" s="149">
        <v>250000</v>
      </c>
      <c r="AB442" s="149">
        <v>1.4705882352941176E-2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64">
        <v>0.14483719156158836</v>
      </c>
      <c r="AI442" s="165">
        <v>174922.27201389716</v>
      </c>
      <c r="AJ442" s="149">
        <v>30885.23102212336</v>
      </c>
      <c r="AK442" s="149">
        <v>0.17656545771180929</v>
      </c>
      <c r="AL442" s="179" t="s">
        <v>700</v>
      </c>
    </row>
    <row r="443" spans="1:38" x14ac:dyDescent="0.3">
      <c r="A443" s="137" t="s">
        <v>695</v>
      </c>
      <c r="B443" s="137"/>
      <c r="C443" s="152">
        <v>46545</v>
      </c>
      <c r="D443" s="152">
        <v>342</v>
      </c>
      <c r="E443" s="137"/>
      <c r="F443" s="137" t="s">
        <v>1325</v>
      </c>
      <c r="G443" s="154">
        <v>0</v>
      </c>
      <c r="H443" s="137">
        <v>300000000</v>
      </c>
      <c r="I443" s="137">
        <v>27228600</v>
      </c>
      <c r="J443" s="137">
        <v>250000.80000000002</v>
      </c>
      <c r="K443" s="137">
        <v>250000.80000000002</v>
      </c>
      <c r="L443" s="137">
        <v>250000</v>
      </c>
      <c r="M443" s="137"/>
      <c r="N443" s="137">
        <v>0</v>
      </c>
      <c r="O443" s="137">
        <v>102.6</v>
      </c>
      <c r="P443" s="137">
        <v>0.12966</v>
      </c>
      <c r="Q443" s="137">
        <v>1.1904800000000001E-3</v>
      </c>
      <c r="R443" s="180">
        <v>9.1247229999999999E-2</v>
      </c>
      <c r="S443" s="180">
        <v>0</v>
      </c>
      <c r="T443" s="137">
        <v>0.11921872999999999</v>
      </c>
      <c r="U443" s="180">
        <v>32415.103728000002</v>
      </c>
      <c r="V443" s="137">
        <v>225000.72</v>
      </c>
      <c r="W443" s="137">
        <v>256500.82080000002</v>
      </c>
      <c r="X443" s="137">
        <v>4326.6511753483437</v>
      </c>
      <c r="Y443" s="149">
        <v>31900.149926613598</v>
      </c>
      <c r="Z443" s="149">
        <v>250000.80000000002</v>
      </c>
      <c r="AA443" s="149">
        <v>250000.80000000002</v>
      </c>
      <c r="AB443" s="149">
        <v>1.4705929411764707E-2</v>
      </c>
      <c r="AC443" s="149">
        <v>0</v>
      </c>
      <c r="AD443" s="149">
        <v>0</v>
      </c>
      <c r="AE443" s="149">
        <v>0</v>
      </c>
      <c r="AF443" s="149">
        <v>0</v>
      </c>
      <c r="AG443" s="149">
        <v>0</v>
      </c>
      <c r="AH443" s="164">
        <v>0.13347639457377408</v>
      </c>
      <c r="AI443" s="165">
        <v>167233.54241453207</v>
      </c>
      <c r="AJ443" s="149">
        <v>28088.452552651659</v>
      </c>
      <c r="AK443" s="149">
        <v>0.16795944250841188</v>
      </c>
      <c r="AL443" s="179" t="s">
        <v>697</v>
      </c>
    </row>
    <row r="444" spans="1:38" x14ac:dyDescent="0.3">
      <c r="A444" s="137" t="s">
        <v>418</v>
      </c>
      <c r="B444" s="137"/>
      <c r="C444" s="152">
        <v>46484</v>
      </c>
      <c r="D444" s="152">
        <v>281</v>
      </c>
      <c r="E444" s="137"/>
      <c r="F444" s="137" t="s">
        <v>1325</v>
      </c>
      <c r="G444" s="154">
        <v>0</v>
      </c>
      <c r="H444" s="137">
        <v>750000000</v>
      </c>
      <c r="I444" s="137">
        <v>9300000</v>
      </c>
      <c r="J444" s="137">
        <v>250000</v>
      </c>
      <c r="K444" s="137">
        <v>250000</v>
      </c>
      <c r="L444" s="137">
        <v>250000</v>
      </c>
      <c r="M444" s="137"/>
      <c r="N444" s="137">
        <v>0</v>
      </c>
      <c r="O444" s="137">
        <v>102.6</v>
      </c>
      <c r="P444" s="137">
        <v>9.2999999999999999E-2</v>
      </c>
      <c r="Q444" s="137">
        <v>2.5000000000000001E-3</v>
      </c>
      <c r="R444" s="180">
        <v>5.4591849999999997E-2</v>
      </c>
      <c r="S444" s="180">
        <v>0</v>
      </c>
      <c r="T444" s="137">
        <v>8.2214540000000003E-2</v>
      </c>
      <c r="U444" s="180">
        <v>23250</v>
      </c>
      <c r="V444" s="137">
        <v>74999.998124999998</v>
      </c>
      <c r="W444" s="137">
        <v>256500</v>
      </c>
      <c r="X444" s="137">
        <v>2599.5734973763851</v>
      </c>
      <c r="Y444" s="149">
        <v>24816.248146518767</v>
      </c>
      <c r="Z444" s="149">
        <v>179115.24229819802</v>
      </c>
      <c r="AA444" s="149">
        <v>249999.99375000005</v>
      </c>
      <c r="AB444" s="149">
        <v>1.4705882352941176E-2</v>
      </c>
      <c r="AC444" s="149">
        <v>0</v>
      </c>
      <c r="AD444" s="149">
        <v>0</v>
      </c>
      <c r="AE444" s="149">
        <v>0</v>
      </c>
      <c r="AF444" s="149">
        <v>0</v>
      </c>
      <c r="AG444" s="149">
        <v>0</v>
      </c>
      <c r="AH444" s="164">
        <v>0.11180961279038215</v>
      </c>
      <c r="AI444" s="165">
        <v>51791.15117298199</v>
      </c>
      <c r="AJ444" s="149">
        <v>20650.426502623613</v>
      </c>
      <c r="AK444" s="149">
        <v>0.39872499519563431</v>
      </c>
      <c r="AL444" s="179" t="s">
        <v>419</v>
      </c>
    </row>
    <row r="445" spans="1:38" x14ac:dyDescent="0.3">
      <c r="A445" s="137" t="s">
        <v>414</v>
      </c>
      <c r="B445" s="137"/>
      <c r="C445" s="152">
        <v>46850</v>
      </c>
      <c r="D445" s="152">
        <v>647</v>
      </c>
      <c r="E445" s="137"/>
      <c r="F445" s="137" t="s">
        <v>1325</v>
      </c>
      <c r="G445" s="154">
        <v>0</v>
      </c>
      <c r="H445" s="137">
        <v>1000000000</v>
      </c>
      <c r="I445" s="137">
        <v>37560000</v>
      </c>
      <c r="J445" s="137">
        <v>675000</v>
      </c>
      <c r="K445" s="137">
        <v>675000</v>
      </c>
      <c r="L445" s="137">
        <v>675000</v>
      </c>
      <c r="M445" s="137"/>
      <c r="N445" s="137">
        <v>0</v>
      </c>
      <c r="O445" s="137">
        <v>105.4</v>
      </c>
      <c r="P445" s="137">
        <v>9.3899999999999997E-2</v>
      </c>
      <c r="Q445" s="137">
        <v>1.6875E-3</v>
      </c>
      <c r="R445" s="180">
        <v>5.5532829999999998E-2</v>
      </c>
      <c r="S445" s="180">
        <v>0</v>
      </c>
      <c r="T445" s="137">
        <v>7.1962929999999994E-2</v>
      </c>
      <c r="U445" s="180">
        <v>63382.5</v>
      </c>
      <c r="V445" s="137">
        <v>202500</v>
      </c>
      <c r="W445" s="137">
        <v>711450</v>
      </c>
      <c r="X445" s="137">
        <v>7180.6593967037306</v>
      </c>
      <c r="Y445" s="149">
        <v>68017.170587552973</v>
      </c>
      <c r="Z445" s="149">
        <v>604513.95786926977</v>
      </c>
      <c r="AA445" s="149">
        <v>675000.00000000012</v>
      </c>
      <c r="AB445" s="149">
        <v>3.9705882352941174E-2</v>
      </c>
      <c r="AC445" s="149">
        <v>0</v>
      </c>
      <c r="AD445" s="149">
        <v>0</v>
      </c>
      <c r="AE445" s="149">
        <v>0</v>
      </c>
      <c r="AF445" s="149">
        <v>0</v>
      </c>
      <c r="AG445" s="149">
        <v>0</v>
      </c>
      <c r="AH445" s="164">
        <v>0.11329088307819557</v>
      </c>
      <c r="AI445" s="165">
        <v>141045.1395786927</v>
      </c>
      <c r="AJ445" s="149">
        <v>56201.840603296267</v>
      </c>
      <c r="AK445" s="149">
        <v>0.39846704942242844</v>
      </c>
      <c r="AL445" s="179" t="s">
        <v>417</v>
      </c>
    </row>
    <row r="446" spans="1:38" x14ac:dyDescent="0.3">
      <c r="A446" s="137" t="s">
        <v>1197</v>
      </c>
      <c r="B446" s="137"/>
      <c r="C446" s="152">
        <v>45096</v>
      </c>
      <c r="D446" s="152">
        <v>-1107</v>
      </c>
      <c r="E446" s="137"/>
      <c r="F446" s="137" t="s">
        <v>1325</v>
      </c>
      <c r="G446" s="154">
        <v>0</v>
      </c>
      <c r="H446" s="137">
        <v>500000000</v>
      </c>
      <c r="I446" s="137">
        <v>23760000</v>
      </c>
      <c r="J446" s="137">
        <v>249999.75</v>
      </c>
      <c r="K446" s="137">
        <v>249999.75</v>
      </c>
      <c r="L446" s="137">
        <v>250000</v>
      </c>
      <c r="M446" s="137"/>
      <c r="N446" s="137">
        <v>0</v>
      </c>
      <c r="O446" s="137">
        <v>102.35</v>
      </c>
      <c r="P446" s="137">
        <v>0.1056</v>
      </c>
      <c r="Q446" s="137">
        <v>1.11111E-3</v>
      </c>
      <c r="R446" s="180">
        <v>6.7427589999999996E-2</v>
      </c>
      <c r="S446" s="180">
        <v>0</v>
      </c>
      <c r="T446" s="137">
        <v>6.7771029999999996E-2</v>
      </c>
      <c r="U446" s="180">
        <v>26399.973600000001</v>
      </c>
      <c r="V446" s="137">
        <v>0</v>
      </c>
      <c r="W446" s="137">
        <v>255874.74412499997</v>
      </c>
      <c r="X446" s="137">
        <v>2754.6681951954238</v>
      </c>
      <c r="Y446" s="149">
        <v>25871.412725310027</v>
      </c>
      <c r="Z446" s="149">
        <v>249999.74999999997</v>
      </c>
      <c r="AA446" s="149">
        <v>249999.75000000003</v>
      </c>
      <c r="AB446" s="149">
        <v>1.4705867647058824E-2</v>
      </c>
      <c r="AC446" s="149">
        <v>0</v>
      </c>
      <c r="AD446" s="149">
        <v>0</v>
      </c>
      <c r="AE446" s="149">
        <v>0</v>
      </c>
      <c r="AF446" s="149">
        <v>0</v>
      </c>
      <c r="AG446" s="149">
        <v>0</v>
      </c>
      <c r="AH446" s="164">
        <v>0.10434359658584748</v>
      </c>
      <c r="AI446" s="165">
        <v>24999.974999999999</v>
      </c>
      <c r="AJ446" s="149">
        <v>23645.305404804578</v>
      </c>
      <c r="AK446" s="149">
        <v>0.94581316200534515</v>
      </c>
      <c r="AL446" s="179" t="s">
        <v>1200</v>
      </c>
    </row>
    <row r="447" spans="1:38" x14ac:dyDescent="0.3">
      <c r="A447" s="137" t="s">
        <v>1209</v>
      </c>
      <c r="B447" s="137"/>
      <c r="C447" s="152">
        <v>46080</v>
      </c>
      <c r="D447" s="152">
        <v>-123</v>
      </c>
      <c r="E447" s="137"/>
      <c r="F447" s="137" t="s">
        <v>1325</v>
      </c>
      <c r="G447" s="154">
        <v>0</v>
      </c>
      <c r="H447" s="137">
        <v>250000000</v>
      </c>
      <c r="I447" s="137">
        <v>12720000</v>
      </c>
      <c r="J447" s="137">
        <v>249999.74999999997</v>
      </c>
      <c r="K447" s="137">
        <v>249999.74999999997</v>
      </c>
      <c r="L447" s="137">
        <v>250000</v>
      </c>
      <c r="M447" s="137"/>
      <c r="N447" s="137">
        <v>0</v>
      </c>
      <c r="O447" s="137">
        <v>103.75</v>
      </c>
      <c r="P447" s="137">
        <v>0.1696</v>
      </c>
      <c r="Q447" s="137">
        <v>3.3333299999999998E-3</v>
      </c>
      <c r="R447" s="180">
        <v>0.13251341999999999</v>
      </c>
      <c r="S447" s="180">
        <v>0</v>
      </c>
      <c r="T447" s="137">
        <v>0.12295012</v>
      </c>
      <c r="U447" s="180">
        <v>42399.957599999994</v>
      </c>
      <c r="V447" s="137">
        <v>249999.74999999994</v>
      </c>
      <c r="W447" s="137">
        <v>259374.74062499998</v>
      </c>
      <c r="X447" s="137">
        <v>11088.686028890952</v>
      </c>
      <c r="Y447" s="149">
        <v>50713.269872656412</v>
      </c>
      <c r="Z447" s="149">
        <v>249999.74999999997</v>
      </c>
      <c r="AA447" s="149">
        <v>249999.75000000003</v>
      </c>
      <c r="AB447" s="149">
        <v>1.4705867647058822E-2</v>
      </c>
      <c r="AC447" s="149">
        <v>0</v>
      </c>
      <c r="AD447" s="149">
        <v>0</v>
      </c>
      <c r="AE447" s="149">
        <v>0</v>
      </c>
      <c r="AF447" s="149">
        <v>0</v>
      </c>
      <c r="AG447" s="149">
        <v>0</v>
      </c>
      <c r="AH447" s="164">
        <v>0.26152587541481298</v>
      </c>
      <c r="AI447" s="165">
        <v>247499.75249999994</v>
      </c>
      <c r="AJ447" s="149">
        <v>31311.271571109042</v>
      </c>
      <c r="AK447" s="149">
        <v>0.12651031467641186</v>
      </c>
      <c r="AL447" s="179" t="s">
        <v>1212</v>
      </c>
    </row>
    <row r="448" spans="1:38" x14ac:dyDescent="0.3">
      <c r="A448" s="137" t="s">
        <v>1220</v>
      </c>
      <c r="B448" s="137"/>
      <c r="C448" s="152">
        <v>46212</v>
      </c>
      <c r="D448" s="152">
        <v>9</v>
      </c>
      <c r="E448" s="137"/>
      <c r="F448" s="137" t="s">
        <v>1325</v>
      </c>
      <c r="G448" s="154">
        <v>0</v>
      </c>
      <c r="H448" s="137">
        <v>300000000</v>
      </c>
      <c r="I448" s="137">
        <v>7575535.5</v>
      </c>
      <c r="J448" s="137">
        <v>500000.25000000006</v>
      </c>
      <c r="K448" s="137">
        <v>500000.25000000006</v>
      </c>
      <c r="L448" s="137">
        <v>500000</v>
      </c>
      <c r="M448" s="137"/>
      <c r="N448" s="137">
        <v>0</v>
      </c>
      <c r="O448" s="137">
        <v>104.75</v>
      </c>
      <c r="P448" s="137">
        <v>0.10100714</v>
      </c>
      <c r="Q448" s="137">
        <v>6.6666700000000004E-3</v>
      </c>
      <c r="R448" s="180">
        <v>6.2334960000000002E-2</v>
      </c>
      <c r="S448" s="180">
        <v>0</v>
      </c>
      <c r="T448" s="137">
        <v>8.5719829999999997E-2</v>
      </c>
      <c r="U448" s="180">
        <v>50503.595251785002</v>
      </c>
      <c r="V448" s="137">
        <v>500000.25000000012</v>
      </c>
      <c r="W448" s="137">
        <v>523750.26187500008</v>
      </c>
      <c r="X448" s="137">
        <v>14612.071643274809</v>
      </c>
      <c r="Y448" s="149">
        <v>82684.879848297554</v>
      </c>
      <c r="Z448" s="149">
        <v>500000.25000000006</v>
      </c>
      <c r="AA448" s="149">
        <v>500000.25000000012</v>
      </c>
      <c r="AB448" s="149">
        <v>2.9411779411764708E-2</v>
      </c>
      <c r="AC448" s="149">
        <v>0</v>
      </c>
      <c r="AD448" s="149">
        <v>0</v>
      </c>
      <c r="AE448" s="149">
        <v>0</v>
      </c>
      <c r="AF448" s="149">
        <v>0</v>
      </c>
      <c r="AG448" s="149">
        <v>0</v>
      </c>
      <c r="AH448" s="164">
        <v>0.28932735521949515</v>
      </c>
      <c r="AI448" s="165">
        <v>437719.05264696648</v>
      </c>
      <c r="AJ448" s="149">
        <v>35891.523608510193</v>
      </c>
      <c r="AK448" s="149">
        <v>8.1996713169023933E-2</v>
      </c>
      <c r="AL448" s="179" t="s">
        <v>1221</v>
      </c>
    </row>
    <row r="449" spans="1:38" x14ac:dyDescent="0.3">
      <c r="A449" s="137" t="s">
        <v>856</v>
      </c>
      <c r="B449" s="137"/>
      <c r="C449" s="152">
        <v>46119</v>
      </c>
      <c r="D449" s="152">
        <v>-84</v>
      </c>
      <c r="E449" s="137"/>
      <c r="F449" s="137" t="s">
        <v>1325</v>
      </c>
      <c r="G449" s="154">
        <v>0</v>
      </c>
      <c r="H449" s="137">
        <v>100000000</v>
      </c>
      <c r="I449" s="137">
        <v>7992000.0000000019</v>
      </c>
      <c r="J449" s="137">
        <v>249999.60000000003</v>
      </c>
      <c r="K449" s="137">
        <v>249999.60000000003</v>
      </c>
      <c r="L449" s="137">
        <v>250000</v>
      </c>
      <c r="M449" s="137"/>
      <c r="N449" s="137">
        <v>0</v>
      </c>
      <c r="O449" s="137">
        <v>101</v>
      </c>
      <c r="P449" s="137">
        <v>6.6600000000000006E-2</v>
      </c>
      <c r="Q449" s="137">
        <v>2.08333E-3</v>
      </c>
      <c r="R449" s="180">
        <v>2.8000799999999999E-2</v>
      </c>
      <c r="S449" s="180">
        <v>0</v>
      </c>
      <c r="T449" s="137">
        <v>5.962858E-2</v>
      </c>
      <c r="U449" s="180">
        <v>16649.973360000004</v>
      </c>
      <c r="V449" s="137">
        <v>0</v>
      </c>
      <c r="W449" s="137">
        <v>252499.59600000005</v>
      </c>
      <c r="X449" s="137">
        <v>3783.1094999501311</v>
      </c>
      <c r="Y449" s="149">
        <v>30259.525223829885</v>
      </c>
      <c r="Z449" s="149">
        <v>249999.6</v>
      </c>
      <c r="AA449" s="149">
        <v>249999.60000000003</v>
      </c>
      <c r="AB449" s="149">
        <v>1.4705858823529414E-2</v>
      </c>
      <c r="AC449" s="149">
        <v>0</v>
      </c>
      <c r="AD449" s="149">
        <v>0</v>
      </c>
      <c r="AE449" s="149">
        <v>0</v>
      </c>
      <c r="AF449" s="149">
        <v>0</v>
      </c>
      <c r="AG449" s="149">
        <v>0</v>
      </c>
      <c r="AH449" s="164">
        <v>0.22721414732342432</v>
      </c>
      <c r="AI449" s="165">
        <v>0</v>
      </c>
      <c r="AJ449" s="149">
        <v>12866.863860049873</v>
      </c>
      <c r="AK449" s="149">
        <v>0</v>
      </c>
      <c r="AL449" s="179" t="s">
        <v>858</v>
      </c>
    </row>
    <row r="450" spans="1:38" x14ac:dyDescent="0.3">
      <c r="A450" s="137" t="s">
        <v>546</v>
      </c>
      <c r="B450" s="137"/>
      <c r="C450" s="152">
        <v>46178</v>
      </c>
      <c r="D450" s="152">
        <v>-25</v>
      </c>
      <c r="E450" s="137"/>
      <c r="F450" s="137" t="s">
        <v>1325</v>
      </c>
      <c r="G450" s="154">
        <v>0</v>
      </c>
      <c r="H450" s="137">
        <v>150000000</v>
      </c>
      <c r="I450" s="137">
        <v>13719000</v>
      </c>
      <c r="J450" s="137">
        <v>250000.5</v>
      </c>
      <c r="K450" s="137">
        <v>250000.5</v>
      </c>
      <c r="L450" s="137">
        <v>250000</v>
      </c>
      <c r="M450" s="137"/>
      <c r="N450" s="137">
        <v>0</v>
      </c>
      <c r="O450" s="137">
        <v>101.95</v>
      </c>
      <c r="P450" s="137">
        <v>9.146E-2</v>
      </c>
      <c r="Q450" s="137">
        <v>1.6666700000000001E-3</v>
      </c>
      <c r="R450" s="180">
        <v>5.2853369999999997E-2</v>
      </c>
      <c r="S450" s="180">
        <v>0</v>
      </c>
      <c r="T450" s="137">
        <v>7.5891169999999994E-2</v>
      </c>
      <c r="U450" s="180">
        <v>22865.045730000002</v>
      </c>
      <c r="V450" s="137">
        <v>0</v>
      </c>
      <c r="W450" s="137">
        <v>254875.50975000003</v>
      </c>
      <c r="X450" s="137">
        <v>2734.4804724956011</v>
      </c>
      <c r="Y450" s="149">
        <v>25796.027019639063</v>
      </c>
      <c r="Z450" s="149">
        <v>250000.5</v>
      </c>
      <c r="AA450" s="149">
        <v>250000.5</v>
      </c>
      <c r="AB450" s="149">
        <v>1.4705911764705882E-2</v>
      </c>
      <c r="AC450" s="149">
        <v>0</v>
      </c>
      <c r="AD450" s="149">
        <v>0</v>
      </c>
      <c r="AE450" s="149">
        <v>0</v>
      </c>
      <c r="AF450" s="149">
        <v>0</v>
      </c>
      <c r="AG450" s="149">
        <v>0</v>
      </c>
      <c r="AH450" s="164">
        <v>0.11959217159613356</v>
      </c>
      <c r="AI450" s="165">
        <v>25000.05</v>
      </c>
      <c r="AJ450" s="149">
        <v>20130.565257504401</v>
      </c>
      <c r="AK450" s="149">
        <v>0.8052209998581763</v>
      </c>
      <c r="AL450" s="179" t="s">
        <v>549</v>
      </c>
    </row>
    <row r="451" spans="1:38" x14ac:dyDescent="0.3">
      <c r="A451" s="137" t="s">
        <v>552</v>
      </c>
      <c r="B451" s="137"/>
      <c r="C451" s="152">
        <v>46178</v>
      </c>
      <c r="D451" s="152">
        <v>-25</v>
      </c>
      <c r="E451" s="137"/>
      <c r="F451" s="137" t="s">
        <v>1325</v>
      </c>
      <c r="G451" s="154">
        <v>0</v>
      </c>
      <c r="H451" s="137">
        <v>125000000</v>
      </c>
      <c r="I451" s="137">
        <v>6030000</v>
      </c>
      <c r="J451" s="137">
        <v>250000</v>
      </c>
      <c r="K451" s="137">
        <v>250000</v>
      </c>
      <c r="L451" s="137">
        <v>250000</v>
      </c>
      <c r="M451" s="137"/>
      <c r="N451" s="137">
        <v>0</v>
      </c>
      <c r="O451" s="137">
        <v>102.75</v>
      </c>
      <c r="P451" s="137">
        <v>0.1206</v>
      </c>
      <c r="Q451" s="137">
        <v>5.0000000000000001E-3</v>
      </c>
      <c r="R451" s="180">
        <v>8.2161079999999997E-2</v>
      </c>
      <c r="S451" s="180">
        <v>0</v>
      </c>
      <c r="T451" s="137">
        <v>8.5412299999999997E-2</v>
      </c>
      <c r="U451" s="180">
        <v>30150</v>
      </c>
      <c r="V451" s="137">
        <v>0</v>
      </c>
      <c r="W451" s="137">
        <v>256875</v>
      </c>
      <c r="X451" s="137">
        <v>7470.5977787165548</v>
      </c>
      <c r="Y451" s="149">
        <v>42110.851425202651</v>
      </c>
      <c r="Z451" s="149">
        <v>250000</v>
      </c>
      <c r="AA451" s="149">
        <v>250000.00000000003</v>
      </c>
      <c r="AB451" s="149">
        <v>1.4705882352941176E-2</v>
      </c>
      <c r="AC451" s="149">
        <v>0</v>
      </c>
      <c r="AD451" s="149">
        <v>0</v>
      </c>
      <c r="AE451" s="149">
        <v>0</v>
      </c>
      <c r="AF451" s="149">
        <v>0</v>
      </c>
      <c r="AG451" s="149">
        <v>0</v>
      </c>
      <c r="AH451" s="164">
        <v>0.24778102085295373</v>
      </c>
      <c r="AI451" s="165">
        <v>30299.925247988456</v>
      </c>
      <c r="AJ451" s="149">
        <v>22679.402221283446</v>
      </c>
      <c r="AK451" s="149">
        <v>0.74849696940387933</v>
      </c>
      <c r="AL451" s="179" t="s">
        <v>553</v>
      </c>
    </row>
    <row r="452" spans="1:38" x14ac:dyDescent="0.3">
      <c r="A452" s="137" t="s">
        <v>563</v>
      </c>
      <c r="B452" s="137"/>
      <c r="C452" s="152">
        <v>46911</v>
      </c>
      <c r="D452" s="152">
        <v>708</v>
      </c>
      <c r="E452" s="137"/>
      <c r="F452" s="137" t="s">
        <v>1325</v>
      </c>
      <c r="G452" s="154">
        <v>0</v>
      </c>
      <c r="H452" s="137">
        <v>650000000</v>
      </c>
      <c r="I452" s="137">
        <v>16660000</v>
      </c>
      <c r="J452" s="137">
        <v>250000</v>
      </c>
      <c r="K452" s="137">
        <v>250000</v>
      </c>
      <c r="L452" s="137">
        <v>250000</v>
      </c>
      <c r="M452" s="137"/>
      <c r="N452" s="137">
        <v>0</v>
      </c>
      <c r="O452" s="137">
        <v>103</v>
      </c>
      <c r="P452" s="137">
        <v>8.3299999999999999E-2</v>
      </c>
      <c r="Q452" s="137">
        <v>1.25E-3</v>
      </c>
      <c r="R452" s="180">
        <v>4.4995849999999997E-2</v>
      </c>
      <c r="S452" s="180">
        <v>0</v>
      </c>
      <c r="T452" s="137">
        <v>7.1044220000000005E-2</v>
      </c>
      <c r="U452" s="180">
        <v>20825</v>
      </c>
      <c r="V452" s="137">
        <v>0</v>
      </c>
      <c r="W452" s="137">
        <v>257500</v>
      </c>
      <c r="X452" s="137">
        <v>5018.5941125342524</v>
      </c>
      <c r="Y452" s="149">
        <v>33037.71046035178</v>
      </c>
      <c r="Z452" s="149">
        <v>250000.00187500005</v>
      </c>
      <c r="AA452" s="149">
        <v>250000.00187500005</v>
      </c>
      <c r="AB452" s="149">
        <v>1.4705882352941176E-2</v>
      </c>
      <c r="AC452" s="149">
        <v>0</v>
      </c>
      <c r="AD452" s="149">
        <v>0</v>
      </c>
      <c r="AE452" s="149">
        <v>0</v>
      </c>
      <c r="AF452" s="149">
        <v>0</v>
      </c>
      <c r="AG452" s="149">
        <v>0</v>
      </c>
      <c r="AH452" s="164">
        <v>0.24098891296683084</v>
      </c>
      <c r="AI452" s="165">
        <v>25590.219387204674</v>
      </c>
      <c r="AJ452" s="149">
        <v>15806.405887465748</v>
      </c>
      <c r="AK452" s="149">
        <v>0.61767371542617899</v>
      </c>
      <c r="AL452" s="179" t="s">
        <v>564</v>
      </c>
    </row>
    <row r="453" spans="1:38" x14ac:dyDescent="0.3">
      <c r="A453" s="137" t="s">
        <v>1028</v>
      </c>
      <c r="B453" s="137"/>
      <c r="C453" s="152">
        <v>46363</v>
      </c>
      <c r="D453" s="152">
        <v>160</v>
      </c>
      <c r="E453" s="137"/>
      <c r="F453" s="137" t="s">
        <v>1325</v>
      </c>
      <c r="G453" s="154">
        <v>0</v>
      </c>
      <c r="H453" s="137">
        <v>1000000000</v>
      </c>
      <c r="I453" s="137">
        <v>27960000</v>
      </c>
      <c r="J453" s="137">
        <v>249999</v>
      </c>
      <c r="K453" s="137">
        <v>249999</v>
      </c>
      <c r="L453" s="137">
        <v>250000</v>
      </c>
      <c r="M453" s="137"/>
      <c r="N453" s="137">
        <v>0</v>
      </c>
      <c r="O453" s="137">
        <v>103.95</v>
      </c>
      <c r="P453" s="137">
        <v>9.3200000000000005E-2</v>
      </c>
      <c r="Q453" s="137">
        <v>8.3332999999999996E-4</v>
      </c>
      <c r="R453" s="180">
        <v>5.500062E-2</v>
      </c>
      <c r="S453" s="180">
        <v>0</v>
      </c>
      <c r="T453" s="137">
        <v>7.1253140000000006E-2</v>
      </c>
      <c r="U453" s="180">
        <v>23299.906800000001</v>
      </c>
      <c r="V453" s="137">
        <v>0</v>
      </c>
      <c r="W453" s="137">
        <v>259873.96050000002</v>
      </c>
      <c r="X453" s="137">
        <v>2019.6864694769981</v>
      </c>
      <c r="Y453" s="149">
        <v>22128.200213811611</v>
      </c>
      <c r="Z453" s="149">
        <v>0</v>
      </c>
      <c r="AA453" s="149">
        <v>249999</v>
      </c>
      <c r="AB453" s="149">
        <v>1.4705823529411764E-2</v>
      </c>
      <c r="AC453" s="149">
        <v>0</v>
      </c>
      <c r="AD453" s="149">
        <v>0</v>
      </c>
      <c r="AE453" s="149">
        <v>0</v>
      </c>
      <c r="AF453" s="149">
        <v>0</v>
      </c>
      <c r="AG453" s="149">
        <v>0</v>
      </c>
      <c r="AH453" s="164">
        <v>8.6682169453012492E-2</v>
      </c>
      <c r="AI453" s="165">
        <v>24999.9</v>
      </c>
      <c r="AJ453" s="149">
        <v>21280.220330523003</v>
      </c>
      <c r="AK453" s="149">
        <v>0.8512122180697923</v>
      </c>
      <c r="AL453" s="179" t="s">
        <v>1029</v>
      </c>
    </row>
    <row r="454" spans="1:38" x14ac:dyDescent="0.3">
      <c r="A454" s="137" t="s">
        <v>617</v>
      </c>
      <c r="B454" s="137"/>
      <c r="C454" s="152">
        <v>46090</v>
      </c>
      <c r="D454" s="152">
        <v>-113</v>
      </c>
      <c r="E454" s="137"/>
      <c r="F454" s="137" t="s">
        <v>1325</v>
      </c>
      <c r="G454" s="154">
        <v>0</v>
      </c>
      <c r="H454" s="137">
        <v>100000000</v>
      </c>
      <c r="I454" s="137">
        <v>7963500</v>
      </c>
      <c r="J454" s="137">
        <v>249999.74999999997</v>
      </c>
      <c r="K454" s="137">
        <v>249999.74999999997</v>
      </c>
      <c r="L454" s="137">
        <v>250000</v>
      </c>
      <c r="M454" s="137"/>
      <c r="N454" s="137">
        <v>0</v>
      </c>
      <c r="O454" s="137">
        <v>102.925</v>
      </c>
      <c r="P454" s="137">
        <v>0.10618</v>
      </c>
      <c r="Q454" s="137">
        <v>3.3333299999999998E-3</v>
      </c>
      <c r="R454" s="180">
        <v>6.7481550000000001E-2</v>
      </c>
      <c r="S454" s="180">
        <v>0</v>
      </c>
      <c r="T454" s="137">
        <v>5.5554729999999997E-2</v>
      </c>
      <c r="U454" s="180">
        <v>26544.973454999996</v>
      </c>
      <c r="V454" s="137">
        <v>0</v>
      </c>
      <c r="W454" s="137">
        <v>257312.24268749997</v>
      </c>
      <c r="X454" s="137">
        <v>1200.8660455927311</v>
      </c>
      <c r="Y454" s="149">
        <v>17214.661726881593</v>
      </c>
      <c r="Z454" s="149">
        <v>0</v>
      </c>
      <c r="AA454" s="149">
        <v>249999.74999999997</v>
      </c>
      <c r="AB454" s="149">
        <v>1.4705867647058822E-2</v>
      </c>
      <c r="AC454" s="149">
        <v>0</v>
      </c>
      <c r="AD454" s="149">
        <v>0</v>
      </c>
      <c r="AE454" s="149">
        <v>0</v>
      </c>
      <c r="AF454" s="149">
        <v>0</v>
      </c>
      <c r="AG454" s="149">
        <v>0</v>
      </c>
      <c r="AH454" s="164">
        <v>4.5238924334525435E-2</v>
      </c>
      <c r="AI454" s="165">
        <v>29473.079293913852</v>
      </c>
      <c r="AJ454" s="149">
        <v>25344.107409407265</v>
      </c>
      <c r="AK454" s="149">
        <v>0.85990700722746627</v>
      </c>
      <c r="AL454" s="179" t="s">
        <v>619</v>
      </c>
    </row>
    <row r="455" spans="1:38" x14ac:dyDescent="0.3">
      <c r="A455" s="137" t="s">
        <v>625</v>
      </c>
      <c r="B455" s="137"/>
      <c r="C455" s="152">
        <v>46820</v>
      </c>
      <c r="D455" s="152">
        <v>617</v>
      </c>
      <c r="E455" s="137"/>
      <c r="F455" s="137" t="s">
        <v>1325</v>
      </c>
      <c r="G455" s="154">
        <v>0</v>
      </c>
      <c r="H455" s="137">
        <v>300000000</v>
      </c>
      <c r="I455" s="137">
        <v>22052142</v>
      </c>
      <c r="J455" s="137">
        <v>249999</v>
      </c>
      <c r="K455" s="137">
        <v>249999</v>
      </c>
      <c r="L455" s="137">
        <v>250000</v>
      </c>
      <c r="M455" s="137"/>
      <c r="N455" s="137">
        <v>0</v>
      </c>
      <c r="O455" s="137">
        <v>100.25</v>
      </c>
      <c r="P455" s="137">
        <v>7.3507139999999999E-2</v>
      </c>
      <c r="Q455" s="137">
        <v>8.3332999999999996E-4</v>
      </c>
      <c r="R455" s="180">
        <v>3.496664E-2</v>
      </c>
      <c r="S455" s="180">
        <v>0</v>
      </c>
      <c r="T455" s="137">
        <v>7.558753E-2</v>
      </c>
      <c r="U455" s="180">
        <v>18376.711492859999</v>
      </c>
      <c r="V455" s="137">
        <v>0</v>
      </c>
      <c r="W455" s="137">
        <v>250623.9975</v>
      </c>
      <c r="X455" s="137">
        <v>2315.97853262218</v>
      </c>
      <c r="Y455" s="149">
        <v>23132.702715101103</v>
      </c>
      <c r="Z455" s="149">
        <v>101536.98720045778</v>
      </c>
      <c r="AA455" s="149">
        <v>249999</v>
      </c>
      <c r="AB455" s="149">
        <v>1.4705823529411764E-2</v>
      </c>
      <c r="AC455" s="149">
        <v>0</v>
      </c>
      <c r="AD455" s="149">
        <v>0</v>
      </c>
      <c r="AE455" s="149">
        <v>0</v>
      </c>
      <c r="AF455" s="149">
        <v>0</v>
      </c>
      <c r="AG455" s="149">
        <v>0</v>
      </c>
      <c r="AH455" s="164">
        <v>0.12602790948326198</v>
      </c>
      <c r="AI455" s="165">
        <v>29999.88</v>
      </c>
      <c r="AJ455" s="149">
        <v>16060.732960237819</v>
      </c>
      <c r="AK455" s="149">
        <v>0.53535990678088774</v>
      </c>
      <c r="AL455" s="179" t="s">
        <v>626</v>
      </c>
    </row>
    <row r="456" spans="1:38" x14ac:dyDescent="0.3">
      <c r="A456" s="137" t="s">
        <v>627</v>
      </c>
      <c r="B456" s="137"/>
      <c r="C456" s="152">
        <v>46820</v>
      </c>
      <c r="D456" s="152">
        <v>617</v>
      </c>
      <c r="E456" s="137"/>
      <c r="F456" s="137" t="s">
        <v>1325</v>
      </c>
      <c r="G456" s="154">
        <v>0</v>
      </c>
      <c r="H456" s="137">
        <v>150000000</v>
      </c>
      <c r="I456" s="137">
        <v>13276071</v>
      </c>
      <c r="J456" s="137">
        <v>250000.5</v>
      </c>
      <c r="K456" s="137">
        <v>250000.5</v>
      </c>
      <c r="L456" s="137">
        <v>250000</v>
      </c>
      <c r="M456" s="137"/>
      <c r="N456" s="137">
        <v>0</v>
      </c>
      <c r="O456" s="137">
        <v>101.25</v>
      </c>
      <c r="P456" s="137">
        <v>8.8507139999999998E-2</v>
      </c>
      <c r="Q456" s="137">
        <v>1.6666700000000001E-3</v>
      </c>
      <c r="R456" s="180">
        <v>4.995981E-2</v>
      </c>
      <c r="S456" s="180">
        <v>0</v>
      </c>
      <c r="T456" s="137">
        <v>8.3334779999999997E-2</v>
      </c>
      <c r="U456" s="180">
        <v>22126.829253570002</v>
      </c>
      <c r="V456" s="137">
        <v>0</v>
      </c>
      <c r="W456" s="137">
        <v>253125.50625000001</v>
      </c>
      <c r="X456" s="137">
        <v>4274.6896280137826</v>
      </c>
      <c r="Y456" s="149">
        <v>31246.477846775586</v>
      </c>
      <c r="Z456" s="149">
        <v>250000.5</v>
      </c>
      <c r="AA456" s="149">
        <v>250000.5</v>
      </c>
      <c r="AB456" s="149">
        <v>1.4705911764705882E-2</v>
      </c>
      <c r="AC456" s="149">
        <v>0</v>
      </c>
      <c r="AD456" s="149">
        <v>0</v>
      </c>
      <c r="AE456" s="149">
        <v>0</v>
      </c>
      <c r="AF456" s="149">
        <v>0</v>
      </c>
      <c r="AG456" s="149">
        <v>0</v>
      </c>
      <c r="AH456" s="164">
        <v>0.19319033825526957</v>
      </c>
      <c r="AI456" s="165">
        <v>32500.064999999999</v>
      </c>
      <c r="AJ456" s="149">
        <v>17852.139625556221</v>
      </c>
      <c r="AK456" s="149">
        <v>0.54929550527225779</v>
      </c>
      <c r="AL456" s="179" t="s">
        <v>628</v>
      </c>
    </row>
    <row r="457" spans="1:38" x14ac:dyDescent="0.3">
      <c r="A457" s="137" t="s">
        <v>989</v>
      </c>
      <c r="B457" s="137"/>
      <c r="C457" s="152">
        <v>46444</v>
      </c>
      <c r="D457" s="152">
        <v>241</v>
      </c>
      <c r="E457" s="137"/>
      <c r="F457" s="137" t="s">
        <v>1325</v>
      </c>
      <c r="G457" s="154">
        <v>0</v>
      </c>
      <c r="H457" s="137">
        <v>250000000</v>
      </c>
      <c r="I457" s="137">
        <v>35075000</v>
      </c>
      <c r="J457" s="137">
        <v>250000</v>
      </c>
      <c r="K457" s="137">
        <v>250000</v>
      </c>
      <c r="L457" s="137">
        <v>250000</v>
      </c>
      <c r="M457" s="137"/>
      <c r="N457" s="137">
        <v>0</v>
      </c>
      <c r="O457" s="137">
        <v>107.85</v>
      </c>
      <c r="P457" s="137">
        <v>0.14030000000000001</v>
      </c>
      <c r="Q457" s="137">
        <v>1E-3</v>
      </c>
      <c r="R457" s="180">
        <v>0.10162388999999999</v>
      </c>
      <c r="S457" s="180">
        <v>0</v>
      </c>
      <c r="T457" s="137">
        <v>8.1237019999999993E-2</v>
      </c>
      <c r="U457" s="180">
        <v>35075.000000000007</v>
      </c>
      <c r="V457" s="137">
        <v>207327.99387701103</v>
      </c>
      <c r="W457" s="137">
        <v>269625</v>
      </c>
      <c r="X457" s="137">
        <v>5917.4409070606689</v>
      </c>
      <c r="Y457" s="149">
        <v>37139.145924444631</v>
      </c>
      <c r="Z457" s="149">
        <v>250000</v>
      </c>
      <c r="AA457" s="149">
        <v>250000</v>
      </c>
      <c r="AB457" s="149">
        <v>1.4705882352941176E-2</v>
      </c>
      <c r="AC457" s="149">
        <v>0</v>
      </c>
      <c r="AD457" s="149">
        <v>0</v>
      </c>
      <c r="AE457" s="149">
        <v>0</v>
      </c>
      <c r="AF457" s="149">
        <v>0</v>
      </c>
      <c r="AG457" s="149">
        <v>0</v>
      </c>
      <c r="AH457" s="164">
        <v>0.16870822258191498</v>
      </c>
      <c r="AI457" s="165">
        <v>169771.29863569594</v>
      </c>
      <c r="AJ457" s="149">
        <v>29157.559092939337</v>
      </c>
      <c r="AK457" s="149">
        <v>0.17174610388948688</v>
      </c>
      <c r="AL457" s="179" t="s">
        <v>992</v>
      </c>
    </row>
    <row r="458" spans="1:38" x14ac:dyDescent="0.3">
      <c r="A458" s="137" t="s">
        <v>993</v>
      </c>
      <c r="B458" s="137"/>
      <c r="C458" s="152">
        <v>46444</v>
      </c>
      <c r="D458" s="152">
        <v>241</v>
      </c>
      <c r="E458" s="137"/>
      <c r="F458" s="137" t="s">
        <v>1325</v>
      </c>
      <c r="G458" s="154">
        <v>0</v>
      </c>
      <c r="H458" s="137">
        <v>200000000</v>
      </c>
      <c r="I458" s="137">
        <v>23265000</v>
      </c>
      <c r="J458" s="137">
        <v>250000.5</v>
      </c>
      <c r="K458" s="137">
        <v>250000.5</v>
      </c>
      <c r="L458" s="137">
        <v>250000</v>
      </c>
      <c r="M458" s="137"/>
      <c r="N458" s="137">
        <v>0</v>
      </c>
      <c r="O458" s="137">
        <v>108.35</v>
      </c>
      <c r="P458" s="137">
        <v>0.15509999999999999</v>
      </c>
      <c r="Q458" s="137">
        <v>1.6666700000000001E-3</v>
      </c>
      <c r="R458" s="180">
        <v>0.11673172</v>
      </c>
      <c r="S458" s="180">
        <v>0</v>
      </c>
      <c r="T458" s="137">
        <v>9.1780929999999997E-2</v>
      </c>
      <c r="U458" s="180">
        <v>38775.077550000002</v>
      </c>
      <c r="V458" s="137">
        <v>225000.45</v>
      </c>
      <c r="W458" s="137">
        <v>270875.54174999997</v>
      </c>
      <c r="X458" s="137">
        <v>7315.5323138773947</v>
      </c>
      <c r="Y458" s="149">
        <v>41391.508501947035</v>
      </c>
      <c r="Z458" s="149">
        <v>250000.5</v>
      </c>
      <c r="AA458" s="149">
        <v>250000.5</v>
      </c>
      <c r="AB458" s="149">
        <v>1.4705911764705882E-2</v>
      </c>
      <c r="AC458" s="149">
        <v>0</v>
      </c>
      <c r="AD458" s="149">
        <v>0</v>
      </c>
      <c r="AE458" s="149">
        <v>0</v>
      </c>
      <c r="AF458" s="149">
        <v>0</v>
      </c>
      <c r="AG458" s="149">
        <v>0</v>
      </c>
      <c r="AH458" s="164">
        <v>0.18866583321320513</v>
      </c>
      <c r="AI458" s="165">
        <v>179463.64418325492</v>
      </c>
      <c r="AJ458" s="149">
        <v>31459.545236122605</v>
      </c>
      <c r="AK458" s="149">
        <v>0.17529759511624793</v>
      </c>
      <c r="AL458" s="179" t="s">
        <v>994</v>
      </c>
    </row>
    <row r="459" spans="1:38" x14ac:dyDescent="0.3">
      <c r="A459" s="137" t="s">
        <v>995</v>
      </c>
      <c r="B459" s="137"/>
      <c r="C459" s="152">
        <v>46804</v>
      </c>
      <c r="D459" s="152">
        <v>601</v>
      </c>
      <c r="E459" s="137"/>
      <c r="F459" s="137" t="s">
        <v>1325</v>
      </c>
      <c r="G459" s="154">
        <v>0</v>
      </c>
      <c r="H459" s="137">
        <v>200000000</v>
      </c>
      <c r="I459" s="137">
        <v>18060000</v>
      </c>
      <c r="J459" s="137">
        <v>249999.75000000003</v>
      </c>
      <c r="K459" s="137">
        <v>249999.75000000003</v>
      </c>
      <c r="L459" s="137">
        <v>250000</v>
      </c>
      <c r="M459" s="137"/>
      <c r="N459" s="137">
        <v>0</v>
      </c>
      <c r="O459" s="137">
        <v>104.2</v>
      </c>
      <c r="P459" s="137">
        <v>0.1032</v>
      </c>
      <c r="Q459" s="137">
        <v>1.4285700000000001E-3</v>
      </c>
      <c r="R459" s="180">
        <v>6.497E-2</v>
      </c>
      <c r="S459" s="180">
        <v>0</v>
      </c>
      <c r="T459" s="137">
        <v>8.3603849999999993E-2</v>
      </c>
      <c r="U459" s="180">
        <v>25799.974200000001</v>
      </c>
      <c r="V459" s="137">
        <v>182488.71787078277</v>
      </c>
      <c r="W459" s="137">
        <v>260499.73950000003</v>
      </c>
      <c r="X459" s="137">
        <v>3909.5974537345605</v>
      </c>
      <c r="Y459" s="149">
        <v>30579.134360205946</v>
      </c>
      <c r="Z459" s="149">
        <v>249999.75000000003</v>
      </c>
      <c r="AA459" s="149">
        <v>249999.75000000003</v>
      </c>
      <c r="AB459" s="149">
        <v>1.4705867647058826E-2</v>
      </c>
      <c r="AC459" s="149">
        <v>0</v>
      </c>
      <c r="AD459" s="149">
        <v>0</v>
      </c>
      <c r="AE459" s="149">
        <v>0</v>
      </c>
      <c r="AF459" s="149">
        <v>0</v>
      </c>
      <c r="AG459" s="149">
        <v>0</v>
      </c>
      <c r="AH459" s="164">
        <v>0.15153493656340788</v>
      </c>
      <c r="AI459" s="165">
        <v>155354.54240027015</v>
      </c>
      <c r="AJ459" s="149">
        <v>21890.37674626544</v>
      </c>
      <c r="AK459" s="149">
        <v>0.14090593302296242</v>
      </c>
      <c r="AL459" s="179" t="s">
        <v>996</v>
      </c>
    </row>
    <row r="460" spans="1:38" x14ac:dyDescent="0.3">
      <c r="A460" s="137" t="s">
        <v>995</v>
      </c>
      <c r="B460" s="137"/>
      <c r="C460" s="152">
        <v>46804</v>
      </c>
      <c r="D460" s="152">
        <v>601</v>
      </c>
      <c r="E460" s="137"/>
      <c r="F460" s="137" t="s">
        <v>1325</v>
      </c>
      <c r="G460" s="154">
        <v>0</v>
      </c>
      <c r="H460" s="137">
        <v>200000000</v>
      </c>
      <c r="I460" s="137">
        <v>18060000</v>
      </c>
      <c r="J460" s="137">
        <v>249999.75000000003</v>
      </c>
      <c r="K460" s="137">
        <v>249999.75000000003</v>
      </c>
      <c r="L460" s="137">
        <v>250000</v>
      </c>
      <c r="M460" s="137"/>
      <c r="N460" s="137">
        <v>0</v>
      </c>
      <c r="O460" s="137">
        <v>99.85</v>
      </c>
      <c r="P460" s="137">
        <v>0.1032</v>
      </c>
      <c r="Q460" s="137">
        <v>1.4285700000000001E-3</v>
      </c>
      <c r="R460" s="180">
        <v>6.497E-2</v>
      </c>
      <c r="S460" s="180">
        <v>0</v>
      </c>
      <c r="T460" s="137">
        <v>0.10708301000000001</v>
      </c>
      <c r="U460" s="180">
        <v>25799.974200000001</v>
      </c>
      <c r="V460" s="137">
        <v>182488.71787078277</v>
      </c>
      <c r="W460" s="137">
        <v>249624.750375</v>
      </c>
      <c r="X460" s="137">
        <v>3909.5974537345596</v>
      </c>
      <c r="Y460" s="149">
        <v>30579.134360205942</v>
      </c>
      <c r="Z460" s="149">
        <v>249999.75000000003</v>
      </c>
      <c r="AA460" s="149">
        <v>249999.75000000003</v>
      </c>
      <c r="AB460" s="149">
        <v>1.4705867647058826E-2</v>
      </c>
      <c r="AC460" s="149">
        <v>0</v>
      </c>
      <c r="AD460" s="149">
        <v>0</v>
      </c>
      <c r="AE460" s="149">
        <v>0</v>
      </c>
      <c r="AF460" s="149">
        <v>0</v>
      </c>
      <c r="AG460" s="149">
        <v>0</v>
      </c>
      <c r="AH460" s="164">
        <v>0.15153493656340786</v>
      </c>
      <c r="AI460" s="165">
        <v>155354.54240027015</v>
      </c>
      <c r="AJ460" s="149">
        <v>21890.37674626544</v>
      </c>
      <c r="AK460" s="149">
        <v>0.14090593302296242</v>
      </c>
      <c r="AL460" s="179" t="s">
        <v>996</v>
      </c>
    </row>
    <row r="461" spans="1:38" x14ac:dyDescent="0.3">
      <c r="A461" s="137" t="s">
        <v>1099</v>
      </c>
      <c r="B461" s="137"/>
      <c r="C461" s="152">
        <v>46241</v>
      </c>
      <c r="D461" s="152">
        <v>38</v>
      </c>
      <c r="E461" s="137"/>
      <c r="F461" s="137" t="s">
        <v>1325</v>
      </c>
      <c r="G461" s="154">
        <v>0</v>
      </c>
      <c r="H461" s="137">
        <v>300000000</v>
      </c>
      <c r="I461" s="137">
        <v>10040000</v>
      </c>
      <c r="J461" s="137">
        <v>250000</v>
      </c>
      <c r="K461" s="137">
        <v>250000</v>
      </c>
      <c r="L461" s="137">
        <v>250000</v>
      </c>
      <c r="M461" s="137"/>
      <c r="N461" s="137">
        <v>0</v>
      </c>
      <c r="O461" s="137">
        <v>101.95</v>
      </c>
      <c r="P461" s="137">
        <v>0.1004</v>
      </c>
      <c r="Q461" s="137">
        <v>2.5000000000000001E-3</v>
      </c>
      <c r="R461" s="180">
        <v>6.1561049999999999E-2</v>
      </c>
      <c r="S461" s="180">
        <v>0</v>
      </c>
      <c r="T461" s="137">
        <v>8.6950429999999995E-2</v>
      </c>
      <c r="U461" s="180">
        <v>25100.000000000004</v>
      </c>
      <c r="V461" s="137">
        <v>54489.477017878948</v>
      </c>
      <c r="W461" s="137">
        <v>254875</v>
      </c>
      <c r="X461" s="137">
        <v>962.19950362076759</v>
      </c>
      <c r="Y461" s="149">
        <v>13617.280628733686</v>
      </c>
      <c r="Z461" s="149">
        <v>0</v>
      </c>
      <c r="AA461" s="149">
        <v>233793.04499264315</v>
      </c>
      <c r="AB461" s="149">
        <v>1.4705882352941176E-2</v>
      </c>
      <c r="AC461" s="149">
        <v>0</v>
      </c>
      <c r="AD461" s="149">
        <v>0</v>
      </c>
      <c r="AE461" s="149">
        <v>0</v>
      </c>
      <c r="AF461" s="149">
        <v>0</v>
      </c>
      <c r="AG461" s="149">
        <v>0</v>
      </c>
      <c r="AH461" s="164">
        <v>3.8334641578516633E-2</v>
      </c>
      <c r="AI461" s="165">
        <v>18980.321468488484</v>
      </c>
      <c r="AJ461" s="149">
        <v>24137.800496379237</v>
      </c>
      <c r="AK461" s="149">
        <v>1.2717276963118513</v>
      </c>
      <c r="AL461" s="179" t="s">
        <v>1100</v>
      </c>
    </row>
    <row r="462" spans="1:38" x14ac:dyDescent="0.3">
      <c r="A462" s="137" t="s">
        <v>1095</v>
      </c>
      <c r="B462" s="137"/>
      <c r="C462" s="152">
        <v>46241</v>
      </c>
      <c r="D462" s="152">
        <v>38</v>
      </c>
      <c r="E462" s="137"/>
      <c r="F462" s="137" t="s">
        <v>1325</v>
      </c>
      <c r="G462" s="154">
        <v>0</v>
      </c>
      <c r="H462" s="137">
        <v>150000000</v>
      </c>
      <c r="I462" s="137">
        <v>15765000</v>
      </c>
      <c r="J462" s="137">
        <v>250000.5</v>
      </c>
      <c r="K462" s="137">
        <v>250000.5</v>
      </c>
      <c r="L462" s="137">
        <v>250000</v>
      </c>
      <c r="M462" s="137"/>
      <c r="N462" s="137">
        <v>0</v>
      </c>
      <c r="O462" s="137">
        <v>103.15</v>
      </c>
      <c r="P462" s="137">
        <v>0.1051</v>
      </c>
      <c r="Q462" s="137">
        <v>1.6666700000000001E-3</v>
      </c>
      <c r="R462" s="180">
        <v>6.6826479999999994E-2</v>
      </c>
      <c r="S462" s="180">
        <v>0</v>
      </c>
      <c r="T462" s="137">
        <v>6.3872529999999997E-2</v>
      </c>
      <c r="U462" s="180">
        <v>26275.05255</v>
      </c>
      <c r="V462" s="137">
        <v>0</v>
      </c>
      <c r="W462" s="137">
        <v>257875.51575000002</v>
      </c>
      <c r="X462" s="137">
        <v>2083.8866123087114</v>
      </c>
      <c r="Y462" s="149">
        <v>22268.934105389217</v>
      </c>
      <c r="Z462" s="149">
        <v>0</v>
      </c>
      <c r="AA462" s="149">
        <v>250000.5</v>
      </c>
      <c r="AB462" s="149">
        <v>1.4705911764705882E-2</v>
      </c>
      <c r="AC462" s="149">
        <v>0</v>
      </c>
      <c r="AD462" s="149">
        <v>0</v>
      </c>
      <c r="AE462" s="149">
        <v>0</v>
      </c>
      <c r="AF462" s="149">
        <v>0</v>
      </c>
      <c r="AG462" s="149">
        <v>0</v>
      </c>
      <c r="AH462" s="164">
        <v>7.9310464112038903E-2</v>
      </c>
      <c r="AI462" s="165">
        <v>24804.642572945639</v>
      </c>
      <c r="AJ462" s="149">
        <v>24191.16593769129</v>
      </c>
      <c r="AK462" s="149">
        <v>0.97526766880634408</v>
      </c>
      <c r="AL462" s="179" t="s">
        <v>1098</v>
      </c>
    </row>
    <row r="465" spans="1:86" x14ac:dyDescent="0.3">
      <c r="A465" s="134" t="s">
        <v>1753</v>
      </c>
      <c r="B465" s="134" t="s">
        <v>1585</v>
      </c>
      <c r="C465" s="134" t="s">
        <v>1315</v>
      </c>
      <c r="D465" s="134" t="s">
        <v>14</v>
      </c>
      <c r="E465" s="134" t="s">
        <v>13</v>
      </c>
      <c r="F465" s="134" t="s">
        <v>1316</v>
      </c>
      <c r="G465" s="134" t="s">
        <v>1442</v>
      </c>
      <c r="H465" s="134" t="s">
        <v>1572</v>
      </c>
      <c r="I465" s="134" t="s">
        <v>1754</v>
      </c>
      <c r="J465" s="134" t="s">
        <v>1317</v>
      </c>
      <c r="K465" s="134" t="s">
        <v>1755</v>
      </c>
      <c r="L465" s="134" t="s">
        <v>1323</v>
      </c>
      <c r="M465" s="134" t="s">
        <v>1324</v>
      </c>
      <c r="N465" s="134" t="s">
        <v>1320</v>
      </c>
      <c r="O465" s="134" t="s">
        <v>1756</v>
      </c>
      <c r="P465" s="134" t="s">
        <v>1389</v>
      </c>
      <c r="Q465" s="134" t="s">
        <v>1757</v>
      </c>
      <c r="R465" s="134" t="s">
        <v>1758</v>
      </c>
      <c r="S465" s="134" t="s">
        <v>1318</v>
      </c>
      <c r="T465" s="134" t="s">
        <v>1392</v>
      </c>
      <c r="U465" s="134" t="s">
        <v>1759</v>
      </c>
      <c r="V465" s="134" t="s">
        <v>1760</v>
      </c>
      <c r="W465" s="134" t="s">
        <v>1761</v>
      </c>
      <c r="X465" s="134" t="s">
        <v>1762</v>
      </c>
      <c r="Y465" s="156" t="s">
        <v>1763</v>
      </c>
      <c r="Z465" s="156" t="s">
        <v>1764</v>
      </c>
      <c r="AA465" s="156" t="s">
        <v>1765</v>
      </c>
      <c r="AB465" s="156" t="s">
        <v>1766</v>
      </c>
      <c r="AC465" s="134" t="s">
        <v>1767</v>
      </c>
      <c r="AD465" s="157" t="s">
        <v>1768</v>
      </c>
      <c r="AE465" s="156" t="s">
        <v>1769</v>
      </c>
      <c r="AF465" s="156" t="s">
        <v>1770</v>
      </c>
      <c r="AG465" s="156" t="s">
        <v>1321</v>
      </c>
      <c r="AH465" s="156" t="s">
        <v>1427</v>
      </c>
      <c r="AI465" s="156" t="s">
        <v>1771</v>
      </c>
      <c r="AJ465" s="158" t="s">
        <v>1772</v>
      </c>
      <c r="AK465" s="159" t="s">
        <v>1773</v>
      </c>
      <c r="AL465" s="160" t="s">
        <v>1774</v>
      </c>
      <c r="AM465" s="160" t="s">
        <v>1319</v>
      </c>
      <c r="AN465" s="156" t="s">
        <v>1573</v>
      </c>
      <c r="AO465" s="156" t="s">
        <v>1775</v>
      </c>
      <c r="AP465" s="160" t="s">
        <v>1448</v>
      </c>
      <c r="AQ465" s="134" t="s">
        <v>1576</v>
      </c>
      <c r="AR465" s="161" t="s">
        <v>1776</v>
      </c>
      <c r="AS465" s="162" t="s">
        <v>1777</v>
      </c>
      <c r="AT465" s="156" t="s">
        <v>1778</v>
      </c>
      <c r="AU465" s="156" t="s">
        <v>1426</v>
      </c>
      <c r="AV465" s="157" t="s">
        <v>1779</v>
      </c>
      <c r="AW465" s="156" t="s">
        <v>1322</v>
      </c>
      <c r="AX465" s="156" t="s">
        <v>1780</v>
      </c>
      <c r="AY465" s="156" t="s">
        <v>1781</v>
      </c>
      <c r="AZ465" s="156" t="s">
        <v>1782</v>
      </c>
      <c r="BA465" s="156" t="s">
        <v>1783</v>
      </c>
      <c r="BB465" s="163" t="s">
        <v>1784</v>
      </c>
      <c r="BC465" s="163" t="s">
        <v>1785</v>
      </c>
      <c r="BD465" s="156" t="s">
        <v>1786</v>
      </c>
      <c r="BE465" s="163" t="s">
        <v>1787</v>
      </c>
      <c r="BF465" s="163" t="s">
        <v>1788</v>
      </c>
      <c r="BG465" s="156" t="s">
        <v>1789</v>
      </c>
      <c r="BH465" s="163" t="s">
        <v>1790</v>
      </c>
      <c r="BI465" s="163" t="s">
        <v>1791</v>
      </c>
      <c r="BJ465" s="156" t="s">
        <v>1792</v>
      </c>
      <c r="BK465" s="156" t="s">
        <v>1718</v>
      </c>
      <c r="BL465" s="134" t="s">
        <v>1793</v>
      </c>
      <c r="BM465" s="134" t="s">
        <v>1712</v>
      </c>
      <c r="BN465" s="134" t="s">
        <v>1794</v>
      </c>
      <c r="BO465" s="134" t="s">
        <v>1795</v>
      </c>
      <c r="BP465" s="134" t="s">
        <v>1686</v>
      </c>
      <c r="BQ465" s="156" t="s">
        <v>1796</v>
      </c>
      <c r="BR465" s="156" t="s">
        <v>1797</v>
      </c>
      <c r="BS465" s="134" t="s">
        <v>1798</v>
      </c>
      <c r="BT465" s="134" t="s">
        <v>1799</v>
      </c>
      <c r="BU465" s="156" t="s">
        <v>1800</v>
      </c>
      <c r="BV465" s="156" t="s">
        <v>1422</v>
      </c>
      <c r="BW465" s="156" t="s">
        <v>1801</v>
      </c>
      <c r="BX465" s="142" t="s">
        <v>1802</v>
      </c>
      <c r="BY465" s="142" t="s">
        <v>1582</v>
      </c>
      <c r="BZ465" s="134" t="s">
        <v>1803</v>
      </c>
      <c r="CA465" s="134" t="s">
        <v>1804</v>
      </c>
      <c r="CB465" s="134" t="s">
        <v>1434</v>
      </c>
      <c r="CC465" s="134" t="s">
        <v>1435</v>
      </c>
      <c r="CD465" s="134" t="s">
        <v>1436</v>
      </c>
      <c r="CE465" s="134" t="s">
        <v>1437</v>
      </c>
      <c r="CF465" s="134" t="s">
        <v>1438</v>
      </c>
      <c r="CG465" s="134" t="s">
        <v>1439</v>
      </c>
      <c r="CH465" s="134" t="s">
        <v>1433</v>
      </c>
    </row>
    <row r="466" spans="1:86" x14ac:dyDescent="0.3">
      <c r="A466" s="34">
        <v>1</v>
      </c>
      <c r="B466" s="34" t="s">
        <v>182</v>
      </c>
      <c r="C466" s="34" t="s">
        <v>1363</v>
      </c>
      <c r="D466" s="34" t="s">
        <v>133</v>
      </c>
      <c r="E466" s="34" t="s">
        <v>1336</v>
      </c>
      <c r="F466" s="34" t="s">
        <v>1805</v>
      </c>
      <c r="G466" s="34"/>
      <c r="H466" s="34" t="s">
        <v>1456</v>
      </c>
      <c r="I466" s="34" t="s">
        <v>185</v>
      </c>
      <c r="J466" s="34" t="s">
        <v>1806</v>
      </c>
      <c r="K466" s="34"/>
      <c r="L466" s="34">
        <v>3.1600000000000003E-2</v>
      </c>
      <c r="M466" s="34">
        <v>0</v>
      </c>
      <c r="N466" s="153">
        <v>1</v>
      </c>
      <c r="O466" s="34">
        <v>0</v>
      </c>
      <c r="P466" s="34"/>
      <c r="Q466" s="153">
        <v>45009</v>
      </c>
      <c r="R466" s="153">
        <v>46112</v>
      </c>
      <c r="S466" s="34">
        <v>-91</v>
      </c>
      <c r="T466" s="34"/>
      <c r="U466" s="153" t="s">
        <v>1325</v>
      </c>
      <c r="V466" s="153" t="s">
        <v>1809</v>
      </c>
      <c r="W466" s="34">
        <v>1</v>
      </c>
      <c r="X466" s="166"/>
      <c r="Y466" s="137"/>
      <c r="Z466" s="137"/>
      <c r="AA466" s="137"/>
      <c r="AB466" s="137">
        <v>0</v>
      </c>
      <c r="AC466" s="137">
        <v>16626000000</v>
      </c>
      <c r="AD466" s="137">
        <v>74253570</v>
      </c>
      <c r="AE466" s="137">
        <v>250000</v>
      </c>
      <c r="AF466" s="137">
        <v>250000</v>
      </c>
      <c r="AG466" s="137">
        <v>250000</v>
      </c>
      <c r="AH466" s="153"/>
      <c r="AI466" s="167">
        <v>0</v>
      </c>
      <c r="AJ466" s="153"/>
      <c r="AK466" s="153"/>
      <c r="AL466" s="154">
        <v>102.8</v>
      </c>
      <c r="AM466" s="154">
        <v>0.14850714000000001</v>
      </c>
      <c r="AN466" s="168" t="s">
        <v>1326</v>
      </c>
      <c r="AO466" s="168">
        <v>45789</v>
      </c>
      <c r="AP466" s="154">
        <v>0</v>
      </c>
      <c r="AQ466" s="168"/>
      <c r="AR466" s="155">
        <v>5.0000000000000001E-4</v>
      </c>
      <c r="AS466" s="152">
        <v>0.1071459</v>
      </c>
      <c r="AT466" s="154">
        <v>0</v>
      </c>
      <c r="AU466" s="137">
        <v>0.11713456</v>
      </c>
      <c r="AV466" s="137">
        <v>0</v>
      </c>
      <c r="AW466" s="137">
        <v>37126.785000000003</v>
      </c>
      <c r="AX466" s="137">
        <v>225000.00714599996</v>
      </c>
      <c r="AY466" s="137">
        <v>257000</v>
      </c>
      <c r="AZ466" s="137">
        <v>6724.1610664215341</v>
      </c>
      <c r="BA466" s="137">
        <v>39147.112492114196</v>
      </c>
      <c r="BB466" s="137">
        <v>0</v>
      </c>
      <c r="BC466" s="137">
        <v>0</v>
      </c>
      <c r="BD466" s="137">
        <v>0</v>
      </c>
      <c r="BE466" s="137">
        <v>0</v>
      </c>
      <c r="BF466" s="137">
        <v>250000.00793999995</v>
      </c>
      <c r="BG466" s="137">
        <v>250000.00793999998</v>
      </c>
      <c r="BH466" s="137">
        <v>250000.00793999998</v>
      </c>
      <c r="BI466" s="137">
        <v>250000.00794000001</v>
      </c>
      <c r="BJ466" s="137">
        <v>0.96950000000000003</v>
      </c>
      <c r="BK466" s="137">
        <v>1.4705882352941176E-2</v>
      </c>
      <c r="BL466" s="113">
        <v>0</v>
      </c>
      <c r="BM466" s="113" t="s">
        <v>1663</v>
      </c>
      <c r="BN466" s="168">
        <v>0</v>
      </c>
      <c r="BO466" s="152">
        <v>0</v>
      </c>
      <c r="BP466" s="152">
        <v>0</v>
      </c>
      <c r="BQ466" s="137">
        <v>250000</v>
      </c>
      <c r="BR466" s="137">
        <v>0</v>
      </c>
      <c r="BS466" s="166" t="s">
        <v>1806</v>
      </c>
      <c r="BT466" s="168">
        <v>0.18111347552505647</v>
      </c>
      <c r="BU466" s="137">
        <v>182500.00579620007</v>
      </c>
      <c r="BV466" s="137">
        <v>30402.62393357847</v>
      </c>
      <c r="BW466" s="137">
        <v>0.1665897148931022</v>
      </c>
      <c r="BX466" s="89">
        <v>0.81888652447494359</v>
      </c>
      <c r="BY466" s="89">
        <v>0</v>
      </c>
      <c r="BZ466" s="153">
        <v>0</v>
      </c>
      <c r="CA466" s="153">
        <v>0</v>
      </c>
      <c r="CB466" s="153">
        <v>45789</v>
      </c>
      <c r="CC466" s="153">
        <v>45789</v>
      </c>
      <c r="CD466" s="153"/>
      <c r="CE466" s="153"/>
      <c r="CF466" s="153"/>
      <c r="CG466" s="34" t="s">
        <v>1334</v>
      </c>
      <c r="CH466" s="34" t="s">
        <v>1329</v>
      </c>
    </row>
    <row r="467" spans="1:86" x14ac:dyDescent="0.3">
      <c r="A467" s="34">
        <v>2</v>
      </c>
      <c r="B467" s="34" t="s">
        <v>247</v>
      </c>
      <c r="C467" s="34" t="s">
        <v>1381</v>
      </c>
      <c r="D467" s="34" t="s">
        <v>150</v>
      </c>
      <c r="E467" s="34" t="s">
        <v>1376</v>
      </c>
      <c r="F467" s="34"/>
      <c r="G467" s="34"/>
      <c r="H467" s="34" t="s">
        <v>1456</v>
      </c>
      <c r="I467" s="34" t="s">
        <v>249</v>
      </c>
      <c r="J467" s="34" t="s">
        <v>1806</v>
      </c>
      <c r="K467" s="34"/>
      <c r="L467" s="34">
        <v>2.3599999999999999E-2</v>
      </c>
      <c r="M467" s="34">
        <v>1.77E-2</v>
      </c>
      <c r="N467" s="153">
        <v>1</v>
      </c>
      <c r="O467" s="34">
        <v>0</v>
      </c>
      <c r="P467" s="34"/>
      <c r="Q467" s="153">
        <v>45645</v>
      </c>
      <c r="R467" s="153">
        <v>46740</v>
      </c>
      <c r="S467" s="34">
        <v>537</v>
      </c>
      <c r="T467" s="34"/>
      <c r="U467" s="153" t="s">
        <v>1325</v>
      </c>
      <c r="V467" s="153" t="s">
        <v>1807</v>
      </c>
      <c r="W467" s="34">
        <v>1</v>
      </c>
      <c r="X467" s="166"/>
      <c r="Y467" s="137"/>
      <c r="Z467" s="137"/>
      <c r="AA467" s="137"/>
      <c r="AB467" s="137">
        <v>0</v>
      </c>
      <c r="AC467" s="137">
        <v>200000000</v>
      </c>
      <c r="AD467" s="137">
        <v>18600000</v>
      </c>
      <c r="AE467" s="137">
        <v>500000</v>
      </c>
      <c r="AF467" s="137">
        <v>500000</v>
      </c>
      <c r="AG467" s="137">
        <v>500000</v>
      </c>
      <c r="AH467" s="153"/>
      <c r="AI467" s="167">
        <v>0</v>
      </c>
      <c r="AJ467" s="153"/>
      <c r="AK467" s="153"/>
      <c r="AL467" s="154">
        <v>102.9</v>
      </c>
      <c r="AM467" s="154">
        <v>9.2999999999999999E-2</v>
      </c>
      <c r="AN467" s="168" t="s">
        <v>1326</v>
      </c>
      <c r="AO467" s="168">
        <v>45966</v>
      </c>
      <c r="AP467" s="154">
        <v>0</v>
      </c>
      <c r="AQ467" s="168"/>
      <c r="AR467" s="155">
        <v>2.5000000000000001E-3</v>
      </c>
      <c r="AS467" s="152">
        <v>5.6146500000000002E-2</v>
      </c>
      <c r="AT467" s="154">
        <v>0</v>
      </c>
      <c r="AU467" s="137">
        <v>7.9424850000000005E-2</v>
      </c>
      <c r="AV467" s="137">
        <v>0</v>
      </c>
      <c r="AW467" s="137">
        <v>46500</v>
      </c>
      <c r="AX467" s="137">
        <v>475542.67060201016</v>
      </c>
      <c r="AY467" s="137">
        <v>514500</v>
      </c>
      <c r="AZ467" s="137">
        <v>10232.88213241365</v>
      </c>
      <c r="BA467" s="137">
        <v>69187.702598983757</v>
      </c>
      <c r="BB467" s="137">
        <v>0</v>
      </c>
      <c r="BC467" s="137">
        <v>0</v>
      </c>
      <c r="BD467" s="137">
        <v>0</v>
      </c>
      <c r="BE467" s="137">
        <v>0</v>
      </c>
      <c r="BF467" s="137">
        <v>309687.48488376202</v>
      </c>
      <c r="BG467" s="137">
        <v>500000</v>
      </c>
      <c r="BH467" s="137">
        <v>500000</v>
      </c>
      <c r="BI467" s="137">
        <v>500000</v>
      </c>
      <c r="BJ467" s="137">
        <v>0.97740000000000005</v>
      </c>
      <c r="BK467" s="137">
        <v>2.9411764705882353E-2</v>
      </c>
      <c r="BL467" s="113">
        <v>0</v>
      </c>
      <c r="BM467" s="113" t="s">
        <v>1663</v>
      </c>
      <c r="BN467" s="168">
        <v>0</v>
      </c>
      <c r="BO467" s="152">
        <v>0</v>
      </c>
      <c r="BP467" s="152">
        <v>0</v>
      </c>
      <c r="BQ467" s="137">
        <v>500000</v>
      </c>
      <c r="BR467" s="137">
        <v>0</v>
      </c>
      <c r="BS467" s="166" t="s">
        <v>1806</v>
      </c>
      <c r="BT467" s="168">
        <v>0.22006198134222904</v>
      </c>
      <c r="BU467" s="137">
        <v>330772.35510799376</v>
      </c>
      <c r="BV467" s="137">
        <v>36267.117867586348</v>
      </c>
      <c r="BW467" s="137">
        <v>0.10964373928935357</v>
      </c>
      <c r="BX467" s="89">
        <v>0.7799380186577709</v>
      </c>
      <c r="BY467" s="89">
        <v>0</v>
      </c>
      <c r="BZ467" s="153">
        <v>0</v>
      </c>
      <c r="CA467" s="153">
        <v>0</v>
      </c>
      <c r="CB467" s="153">
        <v>45966</v>
      </c>
      <c r="CC467" s="153">
        <v>45966</v>
      </c>
      <c r="CD467" s="153"/>
      <c r="CE467" s="153"/>
      <c r="CF467" s="153"/>
      <c r="CG467" s="34" t="s">
        <v>139</v>
      </c>
      <c r="CH467" s="34" t="s">
        <v>1333</v>
      </c>
    </row>
    <row r="468" spans="1:86" x14ac:dyDescent="0.3">
      <c r="A468" s="34">
        <v>3</v>
      </c>
      <c r="B468" s="34" t="s">
        <v>373</v>
      </c>
      <c r="C468" s="34" t="s">
        <v>1348</v>
      </c>
      <c r="D468" s="34" t="s">
        <v>159</v>
      </c>
      <c r="E468" s="34" t="s">
        <v>1349</v>
      </c>
      <c r="F468" s="34"/>
      <c r="G468" s="34"/>
      <c r="H468" s="34" t="s">
        <v>1456</v>
      </c>
      <c r="I468" s="34" t="s">
        <v>375</v>
      </c>
      <c r="J468" s="34" t="s">
        <v>1806</v>
      </c>
      <c r="K468" s="34"/>
      <c r="L468" s="34">
        <v>3.0200000000000001E-2</v>
      </c>
      <c r="M468" s="34">
        <v>0</v>
      </c>
      <c r="N468" s="153">
        <v>1</v>
      </c>
      <c r="O468" s="34">
        <v>0</v>
      </c>
      <c r="P468" s="34"/>
      <c r="Q468" s="153">
        <v>45715</v>
      </c>
      <c r="R468" s="153">
        <v>46575</v>
      </c>
      <c r="S468" s="34">
        <v>372</v>
      </c>
      <c r="T468" s="34"/>
      <c r="U468" s="153" t="s">
        <v>1325</v>
      </c>
      <c r="V468" s="153" t="s">
        <v>1809</v>
      </c>
      <c r="W468" s="34">
        <v>1</v>
      </c>
      <c r="X468" s="166"/>
      <c r="Y468" s="137"/>
      <c r="Z468" s="137"/>
      <c r="AA468" s="137"/>
      <c r="AB468" s="137">
        <v>200000000</v>
      </c>
      <c r="AC468" s="137">
        <v>200000000</v>
      </c>
      <c r="AD468" s="137">
        <v>20049718.5</v>
      </c>
      <c r="AE468" s="137">
        <v>250000.5</v>
      </c>
      <c r="AF468" s="137">
        <v>250000.5</v>
      </c>
      <c r="AG468" s="137">
        <v>250000</v>
      </c>
      <c r="AH468" s="153"/>
      <c r="AI468" s="167">
        <v>0</v>
      </c>
      <c r="AJ468" s="153"/>
      <c r="AK468" s="153"/>
      <c r="AL468" s="154">
        <v>100.1</v>
      </c>
      <c r="AM468" s="154">
        <v>0.13366479000000001</v>
      </c>
      <c r="AN468" s="168" t="s">
        <v>1326</v>
      </c>
      <c r="AO468" s="168">
        <v>45758</v>
      </c>
      <c r="AP468" s="154">
        <v>0</v>
      </c>
      <c r="AQ468" s="168"/>
      <c r="AR468" s="155">
        <v>1.6666700000000001E-3</v>
      </c>
      <c r="AS468" s="152">
        <v>9.4942250000000006E-2</v>
      </c>
      <c r="AT468" s="154">
        <v>0</v>
      </c>
      <c r="AU468" s="137">
        <v>0.13305328999999999</v>
      </c>
      <c r="AV468" s="137">
        <v>0</v>
      </c>
      <c r="AW468" s="137">
        <v>33416.264332395003</v>
      </c>
      <c r="AX468" s="137">
        <v>100887.35672570694</v>
      </c>
      <c r="AY468" s="137">
        <v>250250.50049999997</v>
      </c>
      <c r="AZ468" s="137">
        <v>4186.0910556376521</v>
      </c>
      <c r="BA468" s="137">
        <v>28308.701808495542</v>
      </c>
      <c r="BB468" s="137">
        <v>0</v>
      </c>
      <c r="BC468" s="137">
        <v>0</v>
      </c>
      <c r="BD468" s="137">
        <v>0</v>
      </c>
      <c r="BE468" s="137">
        <v>0</v>
      </c>
      <c r="BF468" s="137">
        <v>83367.349968107068</v>
      </c>
      <c r="BG468" s="137">
        <v>148795.63124470395</v>
      </c>
      <c r="BH468" s="137">
        <v>209612.74096868146</v>
      </c>
      <c r="BI468" s="137">
        <v>250000.5</v>
      </c>
      <c r="BJ468" s="137">
        <v>0.9748</v>
      </c>
      <c r="BK468" s="137">
        <v>1.4705911764705882E-2</v>
      </c>
      <c r="BL468" s="113">
        <v>0</v>
      </c>
      <c r="BM468" s="113" t="s">
        <v>1663</v>
      </c>
      <c r="BN468" s="168">
        <v>0</v>
      </c>
      <c r="BO468" s="152">
        <v>0</v>
      </c>
      <c r="BP468" s="152">
        <v>0</v>
      </c>
      <c r="BQ468" s="137">
        <v>250000.5</v>
      </c>
      <c r="BR468" s="137">
        <v>0</v>
      </c>
      <c r="BS468" s="166" t="s">
        <v>1806</v>
      </c>
      <c r="BT468" s="168">
        <v>0.12527106602934954</v>
      </c>
      <c r="BU468" s="137">
        <v>61664.378451870405</v>
      </c>
      <c r="BV468" s="137">
        <v>29230.173276757352</v>
      </c>
      <c r="BW468" s="137">
        <v>0.47402039898240056</v>
      </c>
      <c r="BX468" s="89">
        <v>0.87472893397065055</v>
      </c>
      <c r="BY468" s="89">
        <v>0</v>
      </c>
      <c r="BZ468" s="153">
        <v>0</v>
      </c>
      <c r="CA468" s="153">
        <v>0</v>
      </c>
      <c r="CB468" s="153">
        <v>45758</v>
      </c>
      <c r="CC468" s="153">
        <v>45758</v>
      </c>
      <c r="CD468" s="153"/>
      <c r="CE468" s="153"/>
      <c r="CF468" s="153"/>
      <c r="CG468" s="34" t="s">
        <v>139</v>
      </c>
      <c r="CH468" s="34" t="s">
        <v>1350</v>
      </c>
    </row>
    <row r="469" spans="1:86" x14ac:dyDescent="0.3">
      <c r="A469" s="34">
        <v>4</v>
      </c>
      <c r="B469" s="34" t="s">
        <v>414</v>
      </c>
      <c r="C469" s="34" t="s">
        <v>1344</v>
      </c>
      <c r="D469" s="34" t="s">
        <v>150</v>
      </c>
      <c r="E469" s="34" t="s">
        <v>1336</v>
      </c>
      <c r="F469" s="34" t="s">
        <v>1805</v>
      </c>
      <c r="G469" s="34"/>
      <c r="H469" s="34" t="s">
        <v>1456</v>
      </c>
      <c r="I469" s="34" t="s">
        <v>417</v>
      </c>
      <c r="J469" s="34" t="s">
        <v>1806</v>
      </c>
      <c r="K469" s="34"/>
      <c r="L469" s="34">
        <v>1.23E-2</v>
      </c>
      <c r="M469" s="34">
        <v>9.4999999999999998E-3</v>
      </c>
      <c r="N469" s="153">
        <v>1</v>
      </c>
      <c r="O469" s="34">
        <v>0</v>
      </c>
      <c r="P469" s="34"/>
      <c r="Q469" s="153">
        <v>45314</v>
      </c>
      <c r="R469" s="153">
        <v>46850</v>
      </c>
      <c r="S469" s="34">
        <v>647</v>
      </c>
      <c r="T469" s="34"/>
      <c r="U469" s="153" t="s">
        <v>1325</v>
      </c>
      <c r="V469" s="153" t="s">
        <v>1807</v>
      </c>
      <c r="W469" s="34">
        <v>1</v>
      </c>
      <c r="X469" s="169"/>
      <c r="Y469" s="170"/>
      <c r="Z469" s="170"/>
      <c r="AA469" s="170"/>
      <c r="AB469" s="170">
        <v>0</v>
      </c>
      <c r="AC469" s="170">
        <v>1000000000</v>
      </c>
      <c r="AD469" s="170">
        <v>37560000</v>
      </c>
      <c r="AE469" s="170">
        <v>675000</v>
      </c>
      <c r="AF469" s="170">
        <v>675000</v>
      </c>
      <c r="AG469" s="170">
        <v>675000</v>
      </c>
      <c r="AH469" s="153"/>
      <c r="AI469" s="171">
        <v>0</v>
      </c>
      <c r="AJ469" s="153"/>
      <c r="AK469" s="153"/>
      <c r="AL469" s="172">
        <v>105.4</v>
      </c>
      <c r="AM469" s="172">
        <v>9.3899999999999997E-2</v>
      </c>
      <c r="AN469" s="173" t="s">
        <v>1326</v>
      </c>
      <c r="AO469" s="173">
        <v>45931</v>
      </c>
      <c r="AP469" s="172">
        <v>0</v>
      </c>
      <c r="AQ469" s="173"/>
      <c r="AR469" s="174">
        <v>1.6875E-3</v>
      </c>
      <c r="AS469" s="175">
        <v>5.5532829999999998E-2</v>
      </c>
      <c r="AT469" s="134">
        <v>0</v>
      </c>
      <c r="AU469" s="134">
        <v>7.1962929999999994E-2</v>
      </c>
      <c r="AV469" s="170">
        <v>0</v>
      </c>
      <c r="AW469" s="170">
        <v>63382.5</v>
      </c>
      <c r="AX469" s="170">
        <v>202500</v>
      </c>
      <c r="AY469" s="170">
        <v>711450</v>
      </c>
      <c r="AZ469" s="170">
        <v>7180.6593967037306</v>
      </c>
      <c r="BA469" s="170">
        <v>68017.170587552973</v>
      </c>
      <c r="BB469" s="170">
        <v>0</v>
      </c>
      <c r="BC469" s="170">
        <v>0</v>
      </c>
      <c r="BD469" s="170">
        <v>0</v>
      </c>
      <c r="BE469" s="170">
        <v>0</v>
      </c>
      <c r="BF469" s="170">
        <v>0</v>
      </c>
      <c r="BG469" s="170">
        <v>0</v>
      </c>
      <c r="BH469" s="170">
        <v>604513.95786926977</v>
      </c>
      <c r="BI469" s="170">
        <v>675000.00000000012</v>
      </c>
      <c r="BJ469" s="170">
        <v>0.98819999999999997</v>
      </c>
      <c r="BK469" s="170">
        <v>3.9705882352941174E-2</v>
      </c>
      <c r="BL469" s="176">
        <v>0</v>
      </c>
      <c r="BM469" s="176" t="s">
        <v>1663</v>
      </c>
      <c r="BN469" s="173">
        <v>0</v>
      </c>
      <c r="BO469" s="175">
        <v>0</v>
      </c>
      <c r="BP469" s="175">
        <v>0</v>
      </c>
      <c r="BQ469" s="170">
        <v>675000</v>
      </c>
      <c r="BR469" s="170">
        <v>0</v>
      </c>
      <c r="BS469" s="169" t="s">
        <v>1806</v>
      </c>
      <c r="BT469" s="173">
        <v>0.11329088307819557</v>
      </c>
      <c r="BU469" s="170">
        <v>141045.1395786927</v>
      </c>
      <c r="BV469" s="170">
        <v>56201.840603296267</v>
      </c>
      <c r="BW469" s="170">
        <v>0.39846704942242844</v>
      </c>
      <c r="BX469" s="177">
        <v>0.88670911692180443</v>
      </c>
      <c r="BY469" s="177">
        <v>0</v>
      </c>
      <c r="BZ469" s="153">
        <v>0</v>
      </c>
      <c r="CA469" s="153">
        <v>0</v>
      </c>
      <c r="CB469" s="153">
        <v>45931</v>
      </c>
      <c r="CC469" s="153">
        <v>45931</v>
      </c>
      <c r="CD469" s="153"/>
      <c r="CE469" s="153"/>
      <c r="CF469" s="153"/>
      <c r="CG469" s="34" t="s">
        <v>139</v>
      </c>
      <c r="CH469" s="34" t="s">
        <v>1333</v>
      </c>
    </row>
    <row r="470" spans="1:86" x14ac:dyDescent="0.3">
      <c r="A470" s="34">
        <v>5</v>
      </c>
      <c r="B470" s="34" t="s">
        <v>418</v>
      </c>
      <c r="C470" s="34" t="s">
        <v>1344</v>
      </c>
      <c r="D470" s="34" t="s">
        <v>133</v>
      </c>
      <c r="E470" s="34" t="s">
        <v>1336</v>
      </c>
      <c r="F470" s="34" t="s">
        <v>1805</v>
      </c>
      <c r="G470" s="34"/>
      <c r="H470" s="34" t="s">
        <v>1456</v>
      </c>
      <c r="I470" s="34" t="s">
        <v>419</v>
      </c>
      <c r="J470" s="34" t="s">
        <v>1806</v>
      </c>
      <c r="K470" s="34"/>
      <c r="L470" s="34">
        <v>1.24E-2</v>
      </c>
      <c r="M470" s="34">
        <v>9.1999999999999998E-3</v>
      </c>
      <c r="N470" s="153">
        <v>1</v>
      </c>
      <c r="O470" s="34">
        <v>0</v>
      </c>
      <c r="P470" s="34"/>
      <c r="Q470" s="153">
        <v>45016</v>
      </c>
      <c r="R470" s="153">
        <v>46484</v>
      </c>
      <c r="S470" s="34">
        <v>281</v>
      </c>
      <c r="T470" s="34"/>
      <c r="U470" s="153" t="s">
        <v>1325</v>
      </c>
      <c r="V470" s="153" t="s">
        <v>1807</v>
      </c>
      <c r="W470" s="34">
        <v>1</v>
      </c>
      <c r="X470" s="169"/>
      <c r="Y470" s="170"/>
      <c r="Z470" s="170"/>
      <c r="AA470" s="170"/>
      <c r="AB470" s="170">
        <v>0</v>
      </c>
      <c r="AC470" s="170">
        <v>750000000</v>
      </c>
      <c r="AD470" s="170">
        <v>9300000</v>
      </c>
      <c r="AE470" s="170">
        <v>250000</v>
      </c>
      <c r="AF470" s="170">
        <v>250000</v>
      </c>
      <c r="AG470" s="170">
        <v>250000</v>
      </c>
      <c r="AH470" s="153"/>
      <c r="AI470" s="171">
        <v>0</v>
      </c>
      <c r="AJ470" s="153"/>
      <c r="AK470" s="153"/>
      <c r="AL470" s="172">
        <v>102.6</v>
      </c>
      <c r="AM470" s="172">
        <v>9.2999999999999999E-2</v>
      </c>
      <c r="AN470" s="173" t="s">
        <v>1326</v>
      </c>
      <c r="AO470" s="173">
        <v>45756</v>
      </c>
      <c r="AP470" s="172">
        <v>0</v>
      </c>
      <c r="AQ470" s="173"/>
      <c r="AR470" s="174">
        <v>2.5000000000000001E-3</v>
      </c>
      <c r="AS470" s="175">
        <v>5.4591849999999997E-2</v>
      </c>
      <c r="AT470" s="34">
        <v>0</v>
      </c>
      <c r="AU470" s="34">
        <v>8.2214540000000003E-2</v>
      </c>
      <c r="AV470" s="170">
        <v>0</v>
      </c>
      <c r="AW470" s="170">
        <v>23250</v>
      </c>
      <c r="AX470" s="170">
        <v>74999.998124999998</v>
      </c>
      <c r="AY470" s="170">
        <v>256500</v>
      </c>
      <c r="AZ470" s="170">
        <v>2599.5734973763851</v>
      </c>
      <c r="BA470" s="170">
        <v>24816.248146518767</v>
      </c>
      <c r="BB470" s="170">
        <v>0</v>
      </c>
      <c r="BC470" s="170">
        <v>0</v>
      </c>
      <c r="BD470" s="170">
        <v>0</v>
      </c>
      <c r="BE470" s="170">
        <v>0</v>
      </c>
      <c r="BF470" s="170">
        <v>0</v>
      </c>
      <c r="BG470" s="170">
        <v>0</v>
      </c>
      <c r="BH470" s="170">
        <v>179115.24229819802</v>
      </c>
      <c r="BI470" s="170">
        <v>249999.99375000005</v>
      </c>
      <c r="BJ470" s="170">
        <v>0.98829999999999996</v>
      </c>
      <c r="BK470" s="170">
        <v>1.4705882352941176E-2</v>
      </c>
      <c r="BL470" s="176">
        <v>0</v>
      </c>
      <c r="BM470" s="176" t="s">
        <v>1663</v>
      </c>
      <c r="BN470" s="173">
        <v>0</v>
      </c>
      <c r="BO470" s="175">
        <v>0</v>
      </c>
      <c r="BP470" s="175">
        <v>0</v>
      </c>
      <c r="BQ470" s="170">
        <v>250000</v>
      </c>
      <c r="BR470" s="170">
        <v>0</v>
      </c>
      <c r="BS470" s="169" t="s">
        <v>1806</v>
      </c>
      <c r="BT470" s="173">
        <v>0.11180961279038215</v>
      </c>
      <c r="BU470" s="170">
        <v>51791.15117298199</v>
      </c>
      <c r="BV470" s="170">
        <v>20650.426502623613</v>
      </c>
      <c r="BW470" s="170">
        <v>0.39872499519563431</v>
      </c>
      <c r="BX470" s="177">
        <v>0.88819038720961774</v>
      </c>
      <c r="BY470" s="177">
        <v>0</v>
      </c>
      <c r="BZ470" s="153">
        <v>0</v>
      </c>
      <c r="CA470" s="153">
        <v>0</v>
      </c>
      <c r="CB470" s="153">
        <v>45756</v>
      </c>
      <c r="CC470" s="153">
        <v>45756</v>
      </c>
      <c r="CD470" s="153"/>
      <c r="CE470" s="153"/>
      <c r="CF470" s="153"/>
      <c r="CG470" s="34" t="s">
        <v>139</v>
      </c>
      <c r="CH470" s="34" t="s">
        <v>1333</v>
      </c>
    </row>
    <row r="471" spans="1:86" x14ac:dyDescent="0.3">
      <c r="A471" s="34">
        <v>6</v>
      </c>
      <c r="B471" s="34" t="s">
        <v>440</v>
      </c>
      <c r="C471" s="34" t="s">
        <v>1373</v>
      </c>
      <c r="D471" s="34" t="s">
        <v>443</v>
      </c>
      <c r="E471" s="34" t="s">
        <v>1336</v>
      </c>
      <c r="F471" s="34"/>
      <c r="G471" s="34"/>
      <c r="H471" s="34" t="s">
        <v>1456</v>
      </c>
      <c r="I471" s="34" t="s">
        <v>444</v>
      </c>
      <c r="J471" s="34" t="s">
        <v>1806</v>
      </c>
      <c r="K471" s="34"/>
      <c r="L471" s="34">
        <v>1.7100000000000001E-2</v>
      </c>
      <c r="M471" s="34">
        <v>4.8999999999999998E-3</v>
      </c>
      <c r="N471" s="153">
        <v>1</v>
      </c>
      <c r="O471" s="34">
        <v>0</v>
      </c>
      <c r="P471" s="34"/>
      <c r="Q471" s="153">
        <v>45917</v>
      </c>
      <c r="R471" s="153">
        <v>47013</v>
      </c>
      <c r="S471" s="34">
        <v>810</v>
      </c>
      <c r="T471" s="34"/>
      <c r="U471" s="153" t="s">
        <v>1325</v>
      </c>
      <c r="V471" s="153" t="s">
        <v>1807</v>
      </c>
      <c r="W471" s="34">
        <v>1</v>
      </c>
      <c r="X471" s="169"/>
      <c r="Y471" s="170"/>
      <c r="Z471" s="170"/>
      <c r="AA471" s="170"/>
      <c r="AB471" s="170">
        <v>0</v>
      </c>
      <c r="AC471" s="170">
        <v>65000000000</v>
      </c>
      <c r="AD471" s="170">
        <v>3822987.6</v>
      </c>
      <c r="AE471" s="170">
        <v>250000.19999999998</v>
      </c>
      <c r="AF471" s="170">
        <v>250000.19999999998</v>
      </c>
      <c r="AG471" s="170">
        <v>250000</v>
      </c>
      <c r="AH471" s="153"/>
      <c r="AI471" s="171">
        <v>0</v>
      </c>
      <c r="AJ471" s="153"/>
      <c r="AK471" s="153"/>
      <c r="AL471" s="172">
        <v>100</v>
      </c>
      <c r="AM471" s="172">
        <v>6.3716460000000003E-2</v>
      </c>
      <c r="AN471" s="173" t="s">
        <v>1326</v>
      </c>
      <c r="AO471" s="173">
        <v>45912</v>
      </c>
      <c r="AP471" s="172">
        <v>0</v>
      </c>
      <c r="AQ471" s="173"/>
      <c r="AR471" s="174">
        <v>4.1666699999999999E-3</v>
      </c>
      <c r="AS471" s="175">
        <v>2.49891E-2</v>
      </c>
      <c r="AT471" s="34">
        <v>0</v>
      </c>
      <c r="AU471" s="34">
        <v>6.3665340000000001E-2</v>
      </c>
      <c r="AV471" s="170">
        <v>0</v>
      </c>
      <c r="AW471" s="170">
        <v>15929.127743292001</v>
      </c>
      <c r="AX471" s="170">
        <v>0</v>
      </c>
      <c r="AY471" s="170">
        <v>250000.2</v>
      </c>
      <c r="AZ471" s="170">
        <v>2414.2852013104539</v>
      </c>
      <c r="BA471" s="170">
        <v>21853.971998713718</v>
      </c>
      <c r="BB471" s="170">
        <v>0</v>
      </c>
      <c r="BC471" s="170">
        <v>0</v>
      </c>
      <c r="BD471" s="170">
        <v>0</v>
      </c>
      <c r="BE471" s="170">
        <v>0</v>
      </c>
      <c r="BF471" s="170">
        <v>0</v>
      </c>
      <c r="BG471" s="170">
        <v>47617.602653789072</v>
      </c>
      <c r="BH471" s="170">
        <v>103872.77688308242</v>
      </c>
      <c r="BI471" s="170">
        <v>250001.03333400004</v>
      </c>
      <c r="BJ471" s="170">
        <v>0.98419999999999996</v>
      </c>
      <c r="BK471" s="170">
        <v>1.4705894117647058E-2</v>
      </c>
      <c r="BL471" s="176">
        <v>0</v>
      </c>
      <c r="BM471" s="176" t="s">
        <v>1663</v>
      </c>
      <c r="BN471" s="173">
        <v>0</v>
      </c>
      <c r="BO471" s="175">
        <v>0</v>
      </c>
      <c r="BP471" s="175">
        <v>0</v>
      </c>
      <c r="BQ471" s="170">
        <v>250000.19999999998</v>
      </c>
      <c r="BR471" s="170">
        <v>0</v>
      </c>
      <c r="BS471" s="169" t="s">
        <v>1806</v>
      </c>
      <c r="BT471" s="173">
        <v>0.15156418105361394</v>
      </c>
      <c r="BU471" s="170">
        <v>29343.702037788749</v>
      </c>
      <c r="BV471" s="170">
        <v>13514.842541981547</v>
      </c>
      <c r="BW471" s="170">
        <v>0.46057046669084784</v>
      </c>
      <c r="BX471" s="177">
        <v>0.84843581894638598</v>
      </c>
      <c r="BY471" s="177">
        <v>0</v>
      </c>
      <c r="BZ471" s="153">
        <v>0</v>
      </c>
      <c r="CA471" s="153">
        <v>0</v>
      </c>
      <c r="CB471" s="153">
        <v>45912</v>
      </c>
      <c r="CC471" s="153">
        <v>45912</v>
      </c>
      <c r="CD471" s="153"/>
      <c r="CE471" s="153"/>
      <c r="CF471" s="153"/>
      <c r="CG471" s="34" t="s">
        <v>1334</v>
      </c>
      <c r="CH471" s="34" t="s">
        <v>1329</v>
      </c>
    </row>
    <row r="472" spans="1:86" x14ac:dyDescent="0.3">
      <c r="A472" s="34">
        <v>7</v>
      </c>
      <c r="B472" s="34" t="s">
        <v>466</v>
      </c>
      <c r="C472" s="34" t="s">
        <v>1369</v>
      </c>
      <c r="D472" s="34" t="s">
        <v>133</v>
      </c>
      <c r="E472" s="34" t="s">
        <v>1332</v>
      </c>
      <c r="F472" s="34" t="s">
        <v>1805</v>
      </c>
      <c r="G472" s="34"/>
      <c r="H472" s="34" t="s">
        <v>1456</v>
      </c>
      <c r="I472" s="34" t="s">
        <v>467</v>
      </c>
      <c r="J472" s="34" t="s">
        <v>1806</v>
      </c>
      <c r="K472" s="34"/>
      <c r="L472" s="34">
        <v>6.4000000000000001E-2</v>
      </c>
      <c r="M472" s="34">
        <v>0</v>
      </c>
      <c r="N472" s="153">
        <v>1</v>
      </c>
      <c r="O472" s="34">
        <v>0</v>
      </c>
      <c r="P472" s="34"/>
      <c r="Q472" s="153">
        <v>45274</v>
      </c>
      <c r="R472" s="153">
        <v>46394</v>
      </c>
      <c r="S472" s="34">
        <v>191</v>
      </c>
      <c r="T472" s="34"/>
      <c r="U472" s="153" t="s">
        <v>1325</v>
      </c>
      <c r="V472" s="153" t="s">
        <v>1809</v>
      </c>
      <c r="W472" s="34">
        <v>1</v>
      </c>
      <c r="X472" s="169"/>
      <c r="Y472" s="170"/>
      <c r="Z472" s="170"/>
      <c r="AA472" s="170"/>
      <c r="AB472" s="170">
        <v>0</v>
      </c>
      <c r="AC472" s="170">
        <v>600000000</v>
      </c>
      <c r="AD472" s="170">
        <v>6375000</v>
      </c>
      <c r="AE472" s="170">
        <v>250000</v>
      </c>
      <c r="AF472" s="170">
        <v>250000</v>
      </c>
      <c r="AG472" s="170">
        <v>250000</v>
      </c>
      <c r="AH472" s="153"/>
      <c r="AI472" s="171">
        <v>0</v>
      </c>
      <c r="AJ472" s="153"/>
      <c r="AK472" s="153"/>
      <c r="AL472" s="172">
        <v>101.6</v>
      </c>
      <c r="AM472" s="172">
        <v>0.1275</v>
      </c>
      <c r="AN472" s="173" t="s">
        <v>1326</v>
      </c>
      <c r="AO472" s="173">
        <v>45805</v>
      </c>
      <c r="AP472" s="172">
        <v>0</v>
      </c>
      <c r="AQ472" s="173"/>
      <c r="AR472" s="174">
        <v>5.0000000000000001E-3</v>
      </c>
      <c r="AS472" s="175">
        <v>8.895815E-2</v>
      </c>
      <c r="AT472" s="34">
        <v>0</v>
      </c>
      <c r="AU472" s="34">
        <v>0.11989807</v>
      </c>
      <c r="AV472" s="170">
        <v>0</v>
      </c>
      <c r="AW472" s="170">
        <v>31875.000000000004</v>
      </c>
      <c r="AX472" s="170">
        <v>188824.5853753658</v>
      </c>
      <c r="AY472" s="170">
        <v>254000</v>
      </c>
      <c r="AZ472" s="170">
        <v>9225.7502041538646</v>
      </c>
      <c r="BA472" s="170">
        <v>41226.321099737434</v>
      </c>
      <c r="BB472" s="170">
        <v>0</v>
      </c>
      <c r="BC472" s="170">
        <v>0</v>
      </c>
      <c r="BD472" s="170">
        <v>66179.60194447315</v>
      </c>
      <c r="BE472" s="170">
        <v>98461.806255340358</v>
      </c>
      <c r="BF472" s="170">
        <v>225340.03147564305</v>
      </c>
      <c r="BG472" s="170">
        <v>249999.99</v>
      </c>
      <c r="BH472" s="170">
        <v>249999.99</v>
      </c>
      <c r="BI472" s="170">
        <v>249999.99000000005</v>
      </c>
      <c r="BJ472" s="170">
        <v>0.9415</v>
      </c>
      <c r="BK472" s="170">
        <v>1.4705882352941176E-2</v>
      </c>
      <c r="BL472" s="176">
        <v>0</v>
      </c>
      <c r="BM472" s="176" t="s">
        <v>1663</v>
      </c>
      <c r="BN472" s="173">
        <v>0</v>
      </c>
      <c r="BO472" s="175">
        <v>0</v>
      </c>
      <c r="BP472" s="175">
        <v>0</v>
      </c>
      <c r="BQ472" s="170">
        <v>250000</v>
      </c>
      <c r="BR472" s="170">
        <v>0</v>
      </c>
      <c r="BS472" s="169" t="s">
        <v>1806</v>
      </c>
      <c r="BT472" s="173">
        <v>0.28943530052247413</v>
      </c>
      <c r="BU472" s="170">
        <v>89131.303766130994</v>
      </c>
      <c r="BV472" s="170">
        <v>22649.249795846139</v>
      </c>
      <c r="BW472" s="170">
        <v>0.25411105682101137</v>
      </c>
      <c r="BX472" s="177">
        <v>0.71056469947752587</v>
      </c>
      <c r="BY472" s="177">
        <v>0</v>
      </c>
      <c r="BZ472" s="153">
        <v>0</v>
      </c>
      <c r="CA472" s="153">
        <v>0</v>
      </c>
      <c r="CB472" s="153">
        <v>45805</v>
      </c>
      <c r="CC472" s="153">
        <v>45805</v>
      </c>
      <c r="CD472" s="153"/>
      <c r="CE472" s="153"/>
      <c r="CF472" s="153"/>
      <c r="CG472" s="34" t="s">
        <v>139</v>
      </c>
      <c r="CH472" s="34" t="s">
        <v>1333</v>
      </c>
    </row>
    <row r="473" spans="1:86" x14ac:dyDescent="0.3">
      <c r="A473" s="34">
        <v>8</v>
      </c>
      <c r="B473" s="34" t="s">
        <v>470</v>
      </c>
      <c r="C473" s="34" t="s">
        <v>1369</v>
      </c>
      <c r="D473" s="34" t="s">
        <v>150</v>
      </c>
      <c r="E473" s="34" t="s">
        <v>1332</v>
      </c>
      <c r="F473" s="34"/>
      <c r="G473" s="34"/>
      <c r="H473" s="34" t="s">
        <v>1456</v>
      </c>
      <c r="I473" s="34" t="s">
        <v>471</v>
      </c>
      <c r="J473" s="34" t="s">
        <v>1806</v>
      </c>
      <c r="K473" s="34"/>
      <c r="L473" s="34">
        <v>7.3700000000000002E-2</v>
      </c>
      <c r="M473" s="34">
        <v>0</v>
      </c>
      <c r="N473" s="153">
        <v>1</v>
      </c>
      <c r="O473" s="34">
        <v>0</v>
      </c>
      <c r="P473" s="34"/>
      <c r="Q473" s="153">
        <v>45644</v>
      </c>
      <c r="R473" s="153">
        <v>46759</v>
      </c>
      <c r="S473" s="34">
        <v>556</v>
      </c>
      <c r="T473" s="34"/>
      <c r="U473" s="153" t="s">
        <v>1325</v>
      </c>
      <c r="V473" s="153" t="s">
        <v>1809</v>
      </c>
      <c r="W473" s="34">
        <v>1</v>
      </c>
      <c r="X473" s="169"/>
      <c r="Y473" s="170"/>
      <c r="Z473" s="170"/>
      <c r="AA473" s="170"/>
      <c r="AB473" s="170">
        <v>0</v>
      </c>
      <c r="AC473" s="170">
        <v>600000000</v>
      </c>
      <c r="AD473" s="170">
        <v>9060000</v>
      </c>
      <c r="AE473" s="170">
        <v>249999.74999999997</v>
      </c>
      <c r="AF473" s="170">
        <v>249999.74999999997</v>
      </c>
      <c r="AG473" s="170">
        <v>250000</v>
      </c>
      <c r="AH473" s="153"/>
      <c r="AI473" s="171">
        <v>0</v>
      </c>
      <c r="AJ473" s="153"/>
      <c r="AK473" s="153"/>
      <c r="AL473" s="172">
        <v>99.3</v>
      </c>
      <c r="AM473" s="172">
        <v>0.1208</v>
      </c>
      <c r="AN473" s="173" t="s">
        <v>1326</v>
      </c>
      <c r="AO473" s="173">
        <v>45859</v>
      </c>
      <c r="AP473" s="172">
        <v>0</v>
      </c>
      <c r="AQ473" s="173"/>
      <c r="AR473" s="174">
        <v>3.3333299999999998E-3</v>
      </c>
      <c r="AS473" s="175">
        <v>8.2377060000000002E-2</v>
      </c>
      <c r="AT473" s="34">
        <v>0</v>
      </c>
      <c r="AU473" s="34">
        <v>0.12753048</v>
      </c>
      <c r="AV473" s="170">
        <v>0</v>
      </c>
      <c r="AW473" s="170">
        <v>30199.969800000003</v>
      </c>
      <c r="AX473" s="170">
        <v>199999.8</v>
      </c>
      <c r="AY473" s="170">
        <v>248249.75174999997</v>
      </c>
      <c r="AZ473" s="170">
        <v>11444.218200221711</v>
      </c>
      <c r="BA473" s="170">
        <v>46655.848991123734</v>
      </c>
      <c r="BB473" s="170">
        <v>0</v>
      </c>
      <c r="BC473" s="170">
        <v>0</v>
      </c>
      <c r="BD473" s="170">
        <v>103158.62421246222</v>
      </c>
      <c r="BE473" s="170">
        <v>141789.1529965004</v>
      </c>
      <c r="BF473" s="170">
        <v>249999.74999999997</v>
      </c>
      <c r="BG473" s="170">
        <v>249999.74999999997</v>
      </c>
      <c r="BH473" s="170">
        <v>249999.74999999997</v>
      </c>
      <c r="BI473" s="170">
        <v>249999.75000000003</v>
      </c>
      <c r="BJ473" s="170">
        <v>0.93169999999999997</v>
      </c>
      <c r="BK473" s="170">
        <v>1.4705867647058822E-2</v>
      </c>
      <c r="BL473" s="176">
        <v>0</v>
      </c>
      <c r="BM473" s="176" t="s">
        <v>1663</v>
      </c>
      <c r="BN473" s="173">
        <v>0</v>
      </c>
      <c r="BO473" s="175">
        <v>0</v>
      </c>
      <c r="BP473" s="175">
        <v>0</v>
      </c>
      <c r="BQ473" s="170">
        <v>249999.74999999997</v>
      </c>
      <c r="BR473" s="170">
        <v>0</v>
      </c>
      <c r="BS473" s="169" t="s">
        <v>1806</v>
      </c>
      <c r="BT473" s="173">
        <v>0.37894800147189917</v>
      </c>
      <c r="BU473" s="170">
        <v>96261.315177322162</v>
      </c>
      <c r="BV473" s="170">
        <v>18755.75159977829</v>
      </c>
      <c r="BW473" s="170">
        <v>0.19484204599977131</v>
      </c>
      <c r="BX473" s="177">
        <v>0.62105199852810078</v>
      </c>
      <c r="BY473" s="177">
        <v>0</v>
      </c>
      <c r="BZ473" s="153">
        <v>0</v>
      </c>
      <c r="CA473" s="153">
        <v>0</v>
      </c>
      <c r="CB473" s="153">
        <v>45859</v>
      </c>
      <c r="CC473" s="153">
        <v>45859</v>
      </c>
      <c r="CD473" s="153"/>
      <c r="CE473" s="153"/>
      <c r="CF473" s="153"/>
      <c r="CG473" s="34" t="s">
        <v>139</v>
      </c>
      <c r="CH473" s="34" t="s">
        <v>1333</v>
      </c>
    </row>
    <row r="474" spans="1:86" x14ac:dyDescent="0.3">
      <c r="A474" s="34">
        <v>9</v>
      </c>
      <c r="B474" s="34" t="s">
        <v>538</v>
      </c>
      <c r="C474" s="34" t="s">
        <v>1352</v>
      </c>
      <c r="D474" s="34" t="s">
        <v>150</v>
      </c>
      <c r="E474" s="34" t="s">
        <v>1336</v>
      </c>
      <c r="F474" s="34" t="s">
        <v>1805</v>
      </c>
      <c r="G474" s="34"/>
      <c r="H474" s="34" t="s">
        <v>1456</v>
      </c>
      <c r="I474" s="34" t="s">
        <v>541</v>
      </c>
      <c r="J474" s="34" t="s">
        <v>1806</v>
      </c>
      <c r="K474" s="34"/>
      <c r="L474" s="34">
        <v>8.9999999999999993E-3</v>
      </c>
      <c r="M474" s="34">
        <v>5.1000000000000004E-3</v>
      </c>
      <c r="N474" s="153">
        <v>1</v>
      </c>
      <c r="O474" s="34">
        <v>0</v>
      </c>
      <c r="P474" s="34"/>
      <c r="Q474" s="153">
        <v>45379</v>
      </c>
      <c r="R474" s="153">
        <v>46484</v>
      </c>
      <c r="S474" s="34">
        <v>281</v>
      </c>
      <c r="T474" s="34"/>
      <c r="U474" s="153" t="s">
        <v>1325</v>
      </c>
      <c r="V474" s="153" t="s">
        <v>1807</v>
      </c>
      <c r="W474" s="34">
        <v>1</v>
      </c>
      <c r="X474" s="169"/>
      <c r="Y474" s="170"/>
      <c r="Z474" s="170"/>
      <c r="AA474" s="170"/>
      <c r="AB474" s="170">
        <v>0</v>
      </c>
      <c r="AC474" s="170">
        <v>250000000</v>
      </c>
      <c r="AD474" s="170">
        <v>9300714</v>
      </c>
      <c r="AE474" s="170">
        <v>250000</v>
      </c>
      <c r="AF474" s="170">
        <v>250000</v>
      </c>
      <c r="AG474" s="170">
        <v>250000</v>
      </c>
      <c r="AH474" s="153"/>
      <c r="AI474" s="171">
        <v>0</v>
      </c>
      <c r="AJ474" s="153"/>
      <c r="AK474" s="153"/>
      <c r="AL474" s="172">
        <v>103.85</v>
      </c>
      <c r="AM474" s="172">
        <v>9.3007140000000002E-2</v>
      </c>
      <c r="AN474" s="173" t="s">
        <v>1326</v>
      </c>
      <c r="AO474" s="173">
        <v>45763</v>
      </c>
      <c r="AP474" s="172">
        <v>0</v>
      </c>
      <c r="AQ474" s="173"/>
      <c r="AR474" s="174">
        <v>2.5000000000000001E-3</v>
      </c>
      <c r="AS474" s="175">
        <v>5.4388600000000002E-2</v>
      </c>
      <c r="AT474" s="172">
        <v>0</v>
      </c>
      <c r="AU474" s="170">
        <v>7.5250440000000002E-2</v>
      </c>
      <c r="AV474" s="170">
        <v>0</v>
      </c>
      <c r="AW474" s="170">
        <v>23251.785</v>
      </c>
      <c r="AX474" s="170">
        <v>14570.608006814668</v>
      </c>
      <c r="AY474" s="170">
        <v>259625</v>
      </c>
      <c r="AZ474" s="170">
        <v>1669.5596988802561</v>
      </c>
      <c r="BA474" s="170">
        <v>19286.86242884555</v>
      </c>
      <c r="BB474" s="170">
        <v>0</v>
      </c>
      <c r="BC474" s="170">
        <v>0</v>
      </c>
      <c r="BD474" s="170">
        <v>0</v>
      </c>
      <c r="BE474" s="170">
        <v>0</v>
      </c>
      <c r="BF474" s="170">
        <v>0</v>
      </c>
      <c r="BG474" s="170">
        <v>0</v>
      </c>
      <c r="BH474" s="170">
        <v>0</v>
      </c>
      <c r="BI474" s="170">
        <v>250000</v>
      </c>
      <c r="BJ474" s="170">
        <v>0.99170000000000003</v>
      </c>
      <c r="BK474" s="170">
        <v>1.4705882352941176E-2</v>
      </c>
      <c r="BL474" s="176">
        <v>0</v>
      </c>
      <c r="BM474" s="176" t="s">
        <v>1663</v>
      </c>
      <c r="BN474" s="173">
        <v>0</v>
      </c>
      <c r="BO474" s="175">
        <v>0</v>
      </c>
      <c r="BP474" s="175">
        <v>0</v>
      </c>
      <c r="BQ474" s="170">
        <v>250000</v>
      </c>
      <c r="BR474" s="170">
        <v>0</v>
      </c>
      <c r="BS474" s="169" t="s">
        <v>1806</v>
      </c>
      <c r="BT474" s="173">
        <v>7.1803506650360657E-2</v>
      </c>
      <c r="BU474" s="170">
        <v>29215.285466322093</v>
      </c>
      <c r="BV474" s="170">
        <v>21582.225301119743</v>
      </c>
      <c r="BW474" s="170">
        <v>0.7387305979261658</v>
      </c>
      <c r="BX474" s="177">
        <v>0.92819649334963927</v>
      </c>
      <c r="BY474" s="177">
        <v>0</v>
      </c>
      <c r="BZ474" s="153">
        <v>0</v>
      </c>
      <c r="CA474" s="153">
        <v>0</v>
      </c>
      <c r="CB474" s="153">
        <v>45763</v>
      </c>
      <c r="CC474" s="153">
        <v>45763</v>
      </c>
      <c r="CD474" s="153"/>
      <c r="CE474" s="153"/>
      <c r="CF474" s="153"/>
      <c r="CG474" s="34" t="s">
        <v>139</v>
      </c>
      <c r="CH474" s="34" t="s">
        <v>1333</v>
      </c>
    </row>
    <row r="475" spans="1:86" x14ac:dyDescent="0.3">
      <c r="A475" s="34">
        <v>10</v>
      </c>
      <c r="B475" s="34" t="s">
        <v>546</v>
      </c>
      <c r="C475" s="34" t="s">
        <v>1362</v>
      </c>
      <c r="D475" s="34" t="s">
        <v>133</v>
      </c>
      <c r="E475" s="34" t="s">
        <v>1336</v>
      </c>
      <c r="F475" s="34" t="s">
        <v>1805</v>
      </c>
      <c r="G475" s="34"/>
      <c r="H475" s="34" t="s">
        <v>1456</v>
      </c>
      <c r="I475" s="34" t="s">
        <v>549</v>
      </c>
      <c r="J475" s="34" t="s">
        <v>1806</v>
      </c>
      <c r="K475" s="34"/>
      <c r="L475" s="34">
        <v>1.17E-2</v>
      </c>
      <c r="M475" s="34">
        <v>1.04E-2</v>
      </c>
      <c r="N475" s="153">
        <v>1</v>
      </c>
      <c r="O475" s="34">
        <v>0</v>
      </c>
      <c r="P475" s="34"/>
      <c r="Q475" s="153">
        <v>45071</v>
      </c>
      <c r="R475" s="153">
        <v>46178</v>
      </c>
      <c r="S475" s="34">
        <v>-25</v>
      </c>
      <c r="T475" s="34"/>
      <c r="U475" s="153" t="s">
        <v>1325</v>
      </c>
      <c r="V475" s="153" t="s">
        <v>1807</v>
      </c>
      <c r="W475" s="34">
        <v>1</v>
      </c>
      <c r="X475" s="166"/>
      <c r="Y475" s="137"/>
      <c r="Z475" s="137"/>
      <c r="AA475" s="137"/>
      <c r="AB475" s="137">
        <v>0</v>
      </c>
      <c r="AC475" s="137">
        <v>150000000</v>
      </c>
      <c r="AD475" s="137">
        <v>13719000</v>
      </c>
      <c r="AE475" s="137">
        <v>250000.5</v>
      </c>
      <c r="AF475" s="137">
        <v>250000.5</v>
      </c>
      <c r="AG475" s="137">
        <v>250000</v>
      </c>
      <c r="AH475" s="153"/>
      <c r="AI475" s="167">
        <v>0</v>
      </c>
      <c r="AJ475" s="153"/>
      <c r="AK475" s="153"/>
      <c r="AL475" s="154">
        <v>101.95</v>
      </c>
      <c r="AM475" s="154">
        <v>9.146E-2</v>
      </c>
      <c r="AN475" s="168" t="s">
        <v>1326</v>
      </c>
      <c r="AO475" s="168">
        <v>45785</v>
      </c>
      <c r="AP475" s="154">
        <v>0</v>
      </c>
      <c r="AQ475" s="168"/>
      <c r="AR475" s="155">
        <v>1.6666700000000001E-3</v>
      </c>
      <c r="AS475" s="152">
        <v>5.2853369999999997E-2</v>
      </c>
      <c r="AT475" s="154">
        <v>0</v>
      </c>
      <c r="AU475" s="137">
        <v>7.5891169999999994E-2</v>
      </c>
      <c r="AV475" s="137">
        <v>0</v>
      </c>
      <c r="AW475" s="137">
        <v>22865.045730000002</v>
      </c>
      <c r="AX475" s="137">
        <v>0</v>
      </c>
      <c r="AY475" s="137">
        <v>254875.50975000003</v>
      </c>
      <c r="AZ475" s="137">
        <v>2734.4804724956011</v>
      </c>
      <c r="BA475" s="137">
        <v>25796.027019639063</v>
      </c>
      <c r="BB475" s="137">
        <v>0</v>
      </c>
      <c r="BC475" s="137">
        <v>0</v>
      </c>
      <c r="BD475" s="137">
        <v>0</v>
      </c>
      <c r="BE475" s="137">
        <v>0</v>
      </c>
      <c r="BF475" s="137">
        <v>0</v>
      </c>
      <c r="BG475" s="137">
        <v>0</v>
      </c>
      <c r="BH475" s="137">
        <v>250000.5</v>
      </c>
      <c r="BI475" s="137">
        <v>250000.5</v>
      </c>
      <c r="BJ475" s="137">
        <v>0.98839999999999995</v>
      </c>
      <c r="BK475" s="137">
        <v>1.4705911764705882E-2</v>
      </c>
      <c r="BL475" s="113">
        <v>0</v>
      </c>
      <c r="BM475" s="113" t="s">
        <v>1663</v>
      </c>
      <c r="BN475" s="168">
        <v>0</v>
      </c>
      <c r="BO475" s="152">
        <v>0</v>
      </c>
      <c r="BP475" s="152">
        <v>0</v>
      </c>
      <c r="BQ475" s="137">
        <v>250000.5</v>
      </c>
      <c r="BR475" s="137">
        <v>0</v>
      </c>
      <c r="BS475" s="166" t="s">
        <v>1806</v>
      </c>
      <c r="BT475" s="168">
        <v>0.11959217159613356</v>
      </c>
      <c r="BU475" s="137">
        <v>25000.05</v>
      </c>
      <c r="BV475" s="137">
        <v>20130.565257504401</v>
      </c>
      <c r="BW475" s="137">
        <v>0.8052209998581763</v>
      </c>
      <c r="BX475" s="89">
        <v>0.88040782840386644</v>
      </c>
      <c r="BY475" s="89">
        <v>0</v>
      </c>
      <c r="BZ475" s="153">
        <v>0</v>
      </c>
      <c r="CA475" s="153">
        <v>0</v>
      </c>
      <c r="CB475" s="153">
        <v>45785</v>
      </c>
      <c r="CC475" s="153">
        <v>45785</v>
      </c>
      <c r="CD475" s="153"/>
      <c r="CE475" s="153"/>
      <c r="CF475" s="153"/>
      <c r="CG475" s="34" t="s">
        <v>139</v>
      </c>
      <c r="CH475" s="34" t="s">
        <v>1333</v>
      </c>
    </row>
    <row r="476" spans="1:86" x14ac:dyDescent="0.3">
      <c r="A476" s="34">
        <v>11</v>
      </c>
      <c r="B476" s="34" t="s">
        <v>552</v>
      </c>
      <c r="C476" s="34" t="s">
        <v>1362</v>
      </c>
      <c r="D476" s="34" t="s">
        <v>133</v>
      </c>
      <c r="E476" s="34" t="s">
        <v>1332</v>
      </c>
      <c r="F476" s="34" t="s">
        <v>1805</v>
      </c>
      <c r="G476" s="34"/>
      <c r="H476" s="34" t="s">
        <v>1456</v>
      </c>
      <c r="I476" s="34" t="s">
        <v>553</v>
      </c>
      <c r="J476" s="34" t="s">
        <v>1806</v>
      </c>
      <c r="K476" s="34"/>
      <c r="L476" s="34">
        <v>3.2099999999999997E-2</v>
      </c>
      <c r="M476" s="34">
        <v>2.7699999999999999E-2</v>
      </c>
      <c r="N476" s="153">
        <v>1</v>
      </c>
      <c r="O476" s="34">
        <v>0</v>
      </c>
      <c r="P476" s="34"/>
      <c r="Q476" s="153">
        <v>45071</v>
      </c>
      <c r="R476" s="153">
        <v>46178</v>
      </c>
      <c r="S476" s="34">
        <v>-25</v>
      </c>
      <c r="T476" s="34"/>
      <c r="U476" s="153" t="s">
        <v>1325</v>
      </c>
      <c r="V476" s="153" t="s">
        <v>1807</v>
      </c>
      <c r="W476" s="34">
        <v>1</v>
      </c>
      <c r="X476" s="166"/>
      <c r="Y476" s="137"/>
      <c r="Z476" s="137"/>
      <c r="AA476" s="137"/>
      <c r="AB476" s="137">
        <v>0</v>
      </c>
      <c r="AC476" s="137">
        <v>125000000</v>
      </c>
      <c r="AD476" s="137">
        <v>6030000</v>
      </c>
      <c r="AE476" s="137">
        <v>250000</v>
      </c>
      <c r="AF476" s="137">
        <v>250000</v>
      </c>
      <c r="AG476" s="137">
        <v>250000</v>
      </c>
      <c r="AH476" s="153"/>
      <c r="AI476" s="167">
        <v>0</v>
      </c>
      <c r="AJ476" s="153"/>
      <c r="AK476" s="153"/>
      <c r="AL476" s="154">
        <v>102.75</v>
      </c>
      <c r="AM476" s="154">
        <v>0.1206</v>
      </c>
      <c r="AN476" s="168" t="s">
        <v>1326</v>
      </c>
      <c r="AO476" s="168">
        <v>45908</v>
      </c>
      <c r="AP476" s="154">
        <v>0</v>
      </c>
      <c r="AQ476" s="168"/>
      <c r="AR476" s="155">
        <v>5.0000000000000001E-3</v>
      </c>
      <c r="AS476" s="152">
        <v>8.2161079999999997E-2</v>
      </c>
      <c r="AT476" s="154">
        <v>0</v>
      </c>
      <c r="AU476" s="137">
        <v>8.5412299999999997E-2</v>
      </c>
      <c r="AV476" s="137">
        <v>0</v>
      </c>
      <c r="AW476" s="137">
        <v>30150</v>
      </c>
      <c r="AX476" s="137">
        <v>0</v>
      </c>
      <c r="AY476" s="137">
        <v>256875</v>
      </c>
      <c r="AZ476" s="137">
        <v>7470.5977787165548</v>
      </c>
      <c r="BA476" s="137">
        <v>42110.851425202651</v>
      </c>
      <c r="BB476" s="137">
        <v>0</v>
      </c>
      <c r="BC476" s="137">
        <v>0</v>
      </c>
      <c r="BD476" s="137">
        <v>0</v>
      </c>
      <c r="BE476" s="137">
        <v>0</v>
      </c>
      <c r="BF476" s="137">
        <v>250000</v>
      </c>
      <c r="BG476" s="137">
        <v>250000</v>
      </c>
      <c r="BH476" s="137">
        <v>250000</v>
      </c>
      <c r="BI476" s="137">
        <v>250000.00000000003</v>
      </c>
      <c r="BJ476" s="137">
        <v>0.96830000000000005</v>
      </c>
      <c r="BK476" s="137">
        <v>1.4705882352941176E-2</v>
      </c>
      <c r="BL476" s="113">
        <v>0</v>
      </c>
      <c r="BM476" s="113" t="s">
        <v>1663</v>
      </c>
      <c r="BN476" s="168">
        <v>0</v>
      </c>
      <c r="BO476" s="152">
        <v>0</v>
      </c>
      <c r="BP476" s="152">
        <v>0</v>
      </c>
      <c r="BQ476" s="137">
        <v>250000</v>
      </c>
      <c r="BR476" s="137">
        <v>0</v>
      </c>
      <c r="BS476" s="166" t="s">
        <v>1806</v>
      </c>
      <c r="BT476" s="168">
        <v>0.24778102085295373</v>
      </c>
      <c r="BU476" s="137">
        <v>30299.925247988456</v>
      </c>
      <c r="BV476" s="137">
        <v>22679.402221283446</v>
      </c>
      <c r="BW476" s="137">
        <v>0.74849696940387933</v>
      </c>
      <c r="BX476" s="89">
        <v>0.75221897914704627</v>
      </c>
      <c r="BY476" s="89">
        <v>0</v>
      </c>
      <c r="BZ476" s="153">
        <v>0</v>
      </c>
      <c r="CA476" s="153">
        <v>0</v>
      </c>
      <c r="CB476" s="153">
        <v>45908</v>
      </c>
      <c r="CC476" s="153">
        <v>45908</v>
      </c>
      <c r="CD476" s="153"/>
      <c r="CE476" s="153"/>
      <c r="CF476" s="153"/>
      <c r="CG476" s="34" t="s">
        <v>139</v>
      </c>
      <c r="CH476" s="34" t="s">
        <v>1333</v>
      </c>
    </row>
    <row r="477" spans="1:86" x14ac:dyDescent="0.3">
      <c r="A477" s="34">
        <v>12</v>
      </c>
      <c r="B477" s="34" t="s">
        <v>563</v>
      </c>
      <c r="C477" s="34" t="s">
        <v>1362</v>
      </c>
      <c r="D477" s="34" t="s">
        <v>159</v>
      </c>
      <c r="E477" s="34" t="s">
        <v>1332</v>
      </c>
      <c r="F477" s="34"/>
      <c r="G477" s="34"/>
      <c r="H477" s="34" t="s">
        <v>1456</v>
      </c>
      <c r="I477" s="34" t="s">
        <v>564</v>
      </c>
      <c r="J477" s="34" t="s">
        <v>1806</v>
      </c>
      <c r="K477" s="34"/>
      <c r="L477" s="34">
        <v>2.7699999999999999E-2</v>
      </c>
      <c r="M477" s="34">
        <v>1.44E-2</v>
      </c>
      <c r="N477" s="153">
        <v>1</v>
      </c>
      <c r="O477" s="34">
        <v>0</v>
      </c>
      <c r="P477" s="34"/>
      <c r="Q477" s="153">
        <v>45777</v>
      </c>
      <c r="R477" s="153">
        <v>46911</v>
      </c>
      <c r="S477" s="34">
        <v>708</v>
      </c>
      <c r="T477" s="34"/>
      <c r="U477" s="153" t="s">
        <v>1325</v>
      </c>
      <c r="V477" s="153" t="s">
        <v>1807</v>
      </c>
      <c r="W477" s="34">
        <v>1</v>
      </c>
      <c r="X477" s="166"/>
      <c r="Y477" s="137"/>
      <c r="Z477" s="137"/>
      <c r="AA477" s="137"/>
      <c r="AB477" s="137">
        <v>0</v>
      </c>
      <c r="AC477" s="137">
        <v>650000000</v>
      </c>
      <c r="AD477" s="137">
        <v>16660000</v>
      </c>
      <c r="AE477" s="137">
        <v>250000</v>
      </c>
      <c r="AF477" s="137">
        <v>250000</v>
      </c>
      <c r="AG477" s="137">
        <v>250000</v>
      </c>
      <c r="AH477" s="153"/>
      <c r="AI477" s="167">
        <v>0</v>
      </c>
      <c r="AJ477" s="153"/>
      <c r="AK477" s="153"/>
      <c r="AL477" s="154">
        <v>103</v>
      </c>
      <c r="AM477" s="154">
        <v>8.3299999999999999E-2</v>
      </c>
      <c r="AN477" s="168" t="s">
        <v>1326</v>
      </c>
      <c r="AO477" s="168">
        <v>45965</v>
      </c>
      <c r="AP477" s="154">
        <v>0</v>
      </c>
      <c r="AQ477" s="168"/>
      <c r="AR477" s="155">
        <v>1.25E-3</v>
      </c>
      <c r="AS477" s="152">
        <v>4.4995849999999997E-2</v>
      </c>
      <c r="AT477" s="154">
        <v>0</v>
      </c>
      <c r="AU477" s="137">
        <v>7.1044220000000005E-2</v>
      </c>
      <c r="AV477" s="137">
        <v>0</v>
      </c>
      <c r="AW477" s="137">
        <v>20825</v>
      </c>
      <c r="AX477" s="137">
        <v>0</v>
      </c>
      <c r="AY477" s="137">
        <v>257500</v>
      </c>
      <c r="AZ477" s="137">
        <v>5018.5941125342524</v>
      </c>
      <c r="BA477" s="137">
        <v>33037.71046035178</v>
      </c>
      <c r="BB477" s="137">
        <v>0</v>
      </c>
      <c r="BC477" s="137">
        <v>0</v>
      </c>
      <c r="BD477" s="137">
        <v>0</v>
      </c>
      <c r="BE477" s="137">
        <v>0</v>
      </c>
      <c r="BF477" s="137">
        <v>109825.18870332686</v>
      </c>
      <c r="BG477" s="137">
        <v>250000.00187500005</v>
      </c>
      <c r="BH477" s="137">
        <v>250000.00187500005</v>
      </c>
      <c r="BI477" s="137">
        <v>250000.00187500005</v>
      </c>
      <c r="BJ477" s="137">
        <v>0.97389999999999999</v>
      </c>
      <c r="BK477" s="137">
        <v>1.4705882352941176E-2</v>
      </c>
      <c r="BL477" s="113">
        <v>0</v>
      </c>
      <c r="BM477" s="113" t="s">
        <v>1663</v>
      </c>
      <c r="BN477" s="168">
        <v>0</v>
      </c>
      <c r="BO477" s="152">
        <v>0</v>
      </c>
      <c r="BP477" s="152">
        <v>0</v>
      </c>
      <c r="BQ477" s="137">
        <v>250000</v>
      </c>
      <c r="BR477" s="137">
        <v>0</v>
      </c>
      <c r="BS477" s="166" t="s">
        <v>1806</v>
      </c>
      <c r="BT477" s="168">
        <v>0.24098891296683084</v>
      </c>
      <c r="BU477" s="137">
        <v>25590.219387204674</v>
      </c>
      <c r="BV477" s="137">
        <v>15806.405887465748</v>
      </c>
      <c r="BW477" s="137">
        <v>0.61767371542617899</v>
      </c>
      <c r="BX477" s="89">
        <v>0.75901108703316911</v>
      </c>
      <c r="BY477" s="89">
        <v>0</v>
      </c>
      <c r="BZ477" s="153">
        <v>0</v>
      </c>
      <c r="CA477" s="153">
        <v>0</v>
      </c>
      <c r="CB477" s="153">
        <v>45965</v>
      </c>
      <c r="CC477" s="153">
        <v>45965</v>
      </c>
      <c r="CD477" s="153"/>
      <c r="CE477" s="153"/>
      <c r="CF477" s="153"/>
      <c r="CG477" s="34" t="s">
        <v>139</v>
      </c>
      <c r="CH477" s="34" t="s">
        <v>1333</v>
      </c>
    </row>
    <row r="478" spans="1:86" x14ac:dyDescent="0.3">
      <c r="A478" s="34">
        <v>13</v>
      </c>
      <c r="B478" s="34" t="s">
        <v>617</v>
      </c>
      <c r="C478" s="34" t="s">
        <v>1341</v>
      </c>
      <c r="D478" s="34" t="s">
        <v>133</v>
      </c>
      <c r="E478" s="34" t="s">
        <v>1336</v>
      </c>
      <c r="F478" s="34" t="s">
        <v>1805</v>
      </c>
      <c r="G478" s="34"/>
      <c r="H478" s="34" t="s">
        <v>1456</v>
      </c>
      <c r="I478" s="34" t="s">
        <v>619</v>
      </c>
      <c r="J478" s="34" t="s">
        <v>1806</v>
      </c>
      <c r="K478" s="34"/>
      <c r="L478" s="34">
        <v>5.0000000000000001E-3</v>
      </c>
      <c r="M478" s="34">
        <v>0</v>
      </c>
      <c r="N478" s="153">
        <v>1</v>
      </c>
      <c r="O478" s="34">
        <v>0</v>
      </c>
      <c r="P478" s="34"/>
      <c r="Q478" s="153">
        <v>44915</v>
      </c>
      <c r="R478" s="153">
        <v>46090</v>
      </c>
      <c r="S478" s="34">
        <v>-113</v>
      </c>
      <c r="T478" s="34"/>
      <c r="U478" s="153" t="s">
        <v>1325</v>
      </c>
      <c r="V478" s="153" t="s">
        <v>1807</v>
      </c>
      <c r="W478" s="34">
        <v>1</v>
      </c>
      <c r="X478" s="166"/>
      <c r="Y478" s="137"/>
      <c r="Z478" s="137"/>
      <c r="AA478" s="137"/>
      <c r="AB478" s="137">
        <v>0</v>
      </c>
      <c r="AC478" s="137">
        <v>100000000</v>
      </c>
      <c r="AD478" s="137">
        <v>7963500</v>
      </c>
      <c r="AE478" s="137">
        <v>249999.74999999997</v>
      </c>
      <c r="AF478" s="137">
        <v>249999.74999999997</v>
      </c>
      <c r="AG478" s="137">
        <v>250000</v>
      </c>
      <c r="AH478" s="153"/>
      <c r="AI478" s="167">
        <v>0</v>
      </c>
      <c r="AJ478" s="153"/>
      <c r="AK478" s="153"/>
      <c r="AL478" s="154">
        <v>102.925</v>
      </c>
      <c r="AM478" s="154">
        <v>0.10618</v>
      </c>
      <c r="AN478" s="168" t="s">
        <v>1326</v>
      </c>
      <c r="AO478" s="168">
        <v>45889</v>
      </c>
      <c r="AP478" s="154">
        <v>0</v>
      </c>
      <c r="AQ478" s="168"/>
      <c r="AR478" s="155">
        <v>3.3333299999999998E-3</v>
      </c>
      <c r="AS478" s="152">
        <v>6.7481550000000001E-2</v>
      </c>
      <c r="AT478" s="154">
        <v>0</v>
      </c>
      <c r="AU478" s="137">
        <v>5.5554729999999997E-2</v>
      </c>
      <c r="AV478" s="137">
        <v>0</v>
      </c>
      <c r="AW478" s="137">
        <v>26544.973454999996</v>
      </c>
      <c r="AX478" s="137">
        <v>0</v>
      </c>
      <c r="AY478" s="137">
        <v>257312.24268749997</v>
      </c>
      <c r="AZ478" s="137">
        <v>1200.8660455927311</v>
      </c>
      <c r="BA478" s="137">
        <v>17214.661726881593</v>
      </c>
      <c r="BB478" s="137">
        <v>0</v>
      </c>
      <c r="BC478" s="137">
        <v>0</v>
      </c>
      <c r="BD478" s="137">
        <v>0</v>
      </c>
      <c r="BE478" s="137">
        <v>0</v>
      </c>
      <c r="BF478" s="137">
        <v>0</v>
      </c>
      <c r="BG478" s="137">
        <v>0</v>
      </c>
      <c r="BH478" s="137">
        <v>0</v>
      </c>
      <c r="BI478" s="137">
        <v>249999.74999999997</v>
      </c>
      <c r="BJ478" s="137">
        <v>0.99509999999999998</v>
      </c>
      <c r="BK478" s="137">
        <v>1.4705867647058822E-2</v>
      </c>
      <c r="BL478" s="113">
        <v>0</v>
      </c>
      <c r="BM478" s="113" t="s">
        <v>1663</v>
      </c>
      <c r="BN478" s="168">
        <v>0</v>
      </c>
      <c r="BO478" s="152">
        <v>0</v>
      </c>
      <c r="BP478" s="152">
        <v>0</v>
      </c>
      <c r="BQ478" s="137">
        <v>249999.74999999997</v>
      </c>
      <c r="BR478" s="137">
        <v>0</v>
      </c>
      <c r="BS478" s="166" t="s">
        <v>1806</v>
      </c>
      <c r="BT478" s="168">
        <v>4.5238924334525435E-2</v>
      </c>
      <c r="BU478" s="137">
        <v>29473.079293913852</v>
      </c>
      <c r="BV478" s="137">
        <v>25344.107409407265</v>
      </c>
      <c r="BW478" s="137">
        <v>0.85990700722746627</v>
      </c>
      <c r="BX478" s="89">
        <v>0.95476107566547452</v>
      </c>
      <c r="BY478" s="89">
        <v>0</v>
      </c>
      <c r="BZ478" s="153">
        <v>0</v>
      </c>
      <c r="CA478" s="153">
        <v>0</v>
      </c>
      <c r="CB478" s="153">
        <v>45889</v>
      </c>
      <c r="CC478" s="153">
        <v>45889</v>
      </c>
      <c r="CD478" s="153"/>
      <c r="CE478" s="153"/>
      <c r="CF478" s="153"/>
      <c r="CG478" s="34" t="s">
        <v>139</v>
      </c>
      <c r="CH478" s="34" t="s">
        <v>1333</v>
      </c>
    </row>
    <row r="479" spans="1:86" x14ac:dyDescent="0.3">
      <c r="A479" s="34">
        <v>14</v>
      </c>
      <c r="B479" s="34" t="s">
        <v>625</v>
      </c>
      <c r="C479" s="34" t="s">
        <v>1341</v>
      </c>
      <c r="D479" s="34" t="s">
        <v>159</v>
      </c>
      <c r="E479" s="34" t="s">
        <v>1336</v>
      </c>
      <c r="F479" s="34"/>
      <c r="G479" s="34"/>
      <c r="H479" s="34" t="s">
        <v>1456</v>
      </c>
      <c r="I479" s="34" t="s">
        <v>626</v>
      </c>
      <c r="J479" s="34" t="s">
        <v>1806</v>
      </c>
      <c r="K479" s="34"/>
      <c r="L479" s="34">
        <v>1.11E-2</v>
      </c>
      <c r="M479" s="34">
        <v>0</v>
      </c>
      <c r="N479" s="153">
        <v>1</v>
      </c>
      <c r="O479" s="34">
        <v>0</v>
      </c>
      <c r="P479" s="34"/>
      <c r="Q479" s="153">
        <v>45693</v>
      </c>
      <c r="R479" s="153">
        <v>46820</v>
      </c>
      <c r="S479" s="34">
        <v>617</v>
      </c>
      <c r="T479" s="34"/>
      <c r="U479" s="153" t="s">
        <v>1325</v>
      </c>
      <c r="V479" s="153" t="s">
        <v>1807</v>
      </c>
      <c r="W479" s="34">
        <v>1</v>
      </c>
      <c r="X479" s="166"/>
      <c r="Y479" s="137"/>
      <c r="Z479" s="137"/>
      <c r="AA479" s="137"/>
      <c r="AB479" s="137">
        <v>0</v>
      </c>
      <c r="AC479" s="137">
        <v>300000000</v>
      </c>
      <c r="AD479" s="137">
        <v>22052142</v>
      </c>
      <c r="AE479" s="137">
        <v>249999</v>
      </c>
      <c r="AF479" s="137">
        <v>249999</v>
      </c>
      <c r="AG479" s="137">
        <v>250000</v>
      </c>
      <c r="AH479" s="153"/>
      <c r="AI479" s="167">
        <v>0</v>
      </c>
      <c r="AJ479" s="153"/>
      <c r="AK479" s="153"/>
      <c r="AL479" s="154">
        <v>100.25</v>
      </c>
      <c r="AM479" s="154">
        <v>7.3507139999999999E-2</v>
      </c>
      <c r="AN479" s="168" t="s">
        <v>1326</v>
      </c>
      <c r="AO479" s="168">
        <v>45755</v>
      </c>
      <c r="AP479" s="154">
        <v>0</v>
      </c>
      <c r="AQ479" s="168"/>
      <c r="AR479" s="155">
        <v>8.3332999999999996E-4</v>
      </c>
      <c r="AS479" s="152">
        <v>3.496664E-2</v>
      </c>
      <c r="AT479" s="154">
        <v>0</v>
      </c>
      <c r="AU479" s="137">
        <v>7.558753E-2</v>
      </c>
      <c r="AV479" s="137">
        <v>0</v>
      </c>
      <c r="AW479" s="137">
        <v>18376.711492859999</v>
      </c>
      <c r="AX479" s="137">
        <v>0</v>
      </c>
      <c r="AY479" s="137">
        <v>250623.9975</v>
      </c>
      <c r="AZ479" s="137">
        <v>2315.97853262218</v>
      </c>
      <c r="BA479" s="137">
        <v>23132.702715101103</v>
      </c>
      <c r="BB479" s="137">
        <v>0</v>
      </c>
      <c r="BC479" s="137">
        <v>0</v>
      </c>
      <c r="BD479" s="137">
        <v>0</v>
      </c>
      <c r="BE479" s="137">
        <v>0</v>
      </c>
      <c r="BF479" s="137">
        <v>0</v>
      </c>
      <c r="BG479" s="137">
        <v>0</v>
      </c>
      <c r="BH479" s="137">
        <v>101536.98720045778</v>
      </c>
      <c r="BI479" s="137">
        <v>249999</v>
      </c>
      <c r="BJ479" s="137">
        <v>0.98939999999999995</v>
      </c>
      <c r="BK479" s="137">
        <v>1.4705823529411764E-2</v>
      </c>
      <c r="BL479" s="113">
        <v>0</v>
      </c>
      <c r="BM479" s="113" t="s">
        <v>1663</v>
      </c>
      <c r="BN479" s="168">
        <v>0</v>
      </c>
      <c r="BO479" s="152">
        <v>0</v>
      </c>
      <c r="BP479" s="152">
        <v>0</v>
      </c>
      <c r="BQ479" s="137">
        <v>249999</v>
      </c>
      <c r="BR479" s="137">
        <v>0</v>
      </c>
      <c r="BS479" s="166" t="s">
        <v>1806</v>
      </c>
      <c r="BT479" s="168">
        <v>0.12602790948326198</v>
      </c>
      <c r="BU479" s="137">
        <v>29999.88</v>
      </c>
      <c r="BV479" s="137">
        <v>16060.732960237819</v>
      </c>
      <c r="BW479" s="137">
        <v>0.53535990678088774</v>
      </c>
      <c r="BX479" s="89">
        <v>0.87397209051673808</v>
      </c>
      <c r="BY479" s="89">
        <v>0</v>
      </c>
      <c r="BZ479" s="153">
        <v>0</v>
      </c>
      <c r="CA479" s="153">
        <v>0</v>
      </c>
      <c r="CB479" s="153">
        <v>45755</v>
      </c>
      <c r="CC479" s="153">
        <v>45755</v>
      </c>
      <c r="CD479" s="153"/>
      <c r="CE479" s="153"/>
      <c r="CF479" s="153"/>
      <c r="CG479" s="34" t="s">
        <v>139</v>
      </c>
      <c r="CH479" s="34" t="s">
        <v>1333</v>
      </c>
    </row>
    <row r="480" spans="1:86" x14ac:dyDescent="0.3">
      <c r="A480" s="34">
        <v>15</v>
      </c>
      <c r="B480" s="34" t="s">
        <v>627</v>
      </c>
      <c r="C480" s="34" t="s">
        <v>1341</v>
      </c>
      <c r="D480" s="34" t="s">
        <v>159</v>
      </c>
      <c r="E480" s="34" t="s">
        <v>1332</v>
      </c>
      <c r="F480" s="34"/>
      <c r="G480" s="34"/>
      <c r="H480" s="34" t="s">
        <v>1456</v>
      </c>
      <c r="I480" s="34" t="s">
        <v>628</v>
      </c>
      <c r="J480" s="34" t="s">
        <v>1806</v>
      </c>
      <c r="K480" s="34"/>
      <c r="L480" s="34">
        <v>2.1700000000000001E-2</v>
      </c>
      <c r="M480" s="34">
        <v>0</v>
      </c>
      <c r="N480" s="153">
        <v>1</v>
      </c>
      <c r="O480" s="34">
        <v>0</v>
      </c>
      <c r="P480" s="34"/>
      <c r="Q480" s="153">
        <v>45693</v>
      </c>
      <c r="R480" s="153">
        <v>46820</v>
      </c>
      <c r="S480" s="34">
        <v>617</v>
      </c>
      <c r="T480" s="34"/>
      <c r="U480" s="153" t="s">
        <v>1325</v>
      </c>
      <c r="V480" s="153" t="s">
        <v>1807</v>
      </c>
      <c r="W480" s="34">
        <v>1</v>
      </c>
      <c r="X480" s="166"/>
      <c r="Y480" s="137"/>
      <c r="Z480" s="137"/>
      <c r="AA480" s="137"/>
      <c r="AB480" s="137">
        <v>0</v>
      </c>
      <c r="AC480" s="137">
        <v>150000000</v>
      </c>
      <c r="AD480" s="137">
        <v>13276071</v>
      </c>
      <c r="AE480" s="137">
        <v>250000.5</v>
      </c>
      <c r="AF480" s="137">
        <v>250000.5</v>
      </c>
      <c r="AG480" s="137">
        <v>250000</v>
      </c>
      <c r="AH480" s="153"/>
      <c r="AI480" s="167">
        <v>0</v>
      </c>
      <c r="AJ480" s="153"/>
      <c r="AK480" s="153"/>
      <c r="AL480" s="154">
        <v>101.25</v>
      </c>
      <c r="AM480" s="154">
        <v>8.8507139999999998E-2</v>
      </c>
      <c r="AN480" s="168" t="s">
        <v>1326</v>
      </c>
      <c r="AO480" s="168">
        <v>45957</v>
      </c>
      <c r="AP480" s="154">
        <v>0</v>
      </c>
      <c r="AQ480" s="168"/>
      <c r="AR480" s="155">
        <v>1.6666700000000001E-3</v>
      </c>
      <c r="AS480" s="152">
        <v>4.995981E-2</v>
      </c>
      <c r="AT480" s="154">
        <v>0</v>
      </c>
      <c r="AU480" s="137">
        <v>8.3334779999999997E-2</v>
      </c>
      <c r="AV480" s="137">
        <v>0</v>
      </c>
      <c r="AW480" s="137">
        <v>22126.829253570002</v>
      </c>
      <c r="AX480" s="137">
        <v>0</v>
      </c>
      <c r="AY480" s="137">
        <v>253125.50625000001</v>
      </c>
      <c r="AZ480" s="137">
        <v>4274.6896280137826</v>
      </c>
      <c r="BA480" s="137">
        <v>31246.477846775586</v>
      </c>
      <c r="BB480" s="137">
        <v>0</v>
      </c>
      <c r="BC480" s="137">
        <v>0</v>
      </c>
      <c r="BD480" s="137">
        <v>0</v>
      </c>
      <c r="BE480" s="137">
        <v>0</v>
      </c>
      <c r="BF480" s="137">
        <v>34369.013973222725</v>
      </c>
      <c r="BG480" s="137">
        <v>250000.49999999997</v>
      </c>
      <c r="BH480" s="137">
        <v>250000.5</v>
      </c>
      <c r="BI480" s="137">
        <v>250000.5</v>
      </c>
      <c r="BJ480" s="137">
        <v>0.97950000000000004</v>
      </c>
      <c r="BK480" s="137">
        <v>1.4705911764705882E-2</v>
      </c>
      <c r="BL480" s="113">
        <v>0</v>
      </c>
      <c r="BM480" s="113" t="s">
        <v>1663</v>
      </c>
      <c r="BN480" s="168">
        <v>0</v>
      </c>
      <c r="BO480" s="152">
        <v>0</v>
      </c>
      <c r="BP480" s="152">
        <v>0</v>
      </c>
      <c r="BQ480" s="137">
        <v>250000.5</v>
      </c>
      <c r="BR480" s="137">
        <v>0</v>
      </c>
      <c r="BS480" s="166" t="s">
        <v>1806</v>
      </c>
      <c r="BT480" s="168">
        <v>0.19319033825526957</v>
      </c>
      <c r="BU480" s="137">
        <v>32500.064999999999</v>
      </c>
      <c r="BV480" s="137">
        <v>17852.139625556221</v>
      </c>
      <c r="BW480" s="137">
        <v>0.54929550527225779</v>
      </c>
      <c r="BX480" s="89">
        <v>0.80680966174473057</v>
      </c>
      <c r="BY480" s="89">
        <v>0</v>
      </c>
      <c r="BZ480" s="153">
        <v>0</v>
      </c>
      <c r="CA480" s="153">
        <v>0</v>
      </c>
      <c r="CB480" s="153">
        <v>45957</v>
      </c>
      <c r="CC480" s="153">
        <v>45957</v>
      </c>
      <c r="CD480" s="153"/>
      <c r="CE480" s="153"/>
      <c r="CF480" s="153"/>
      <c r="CG480" s="34" t="s">
        <v>139</v>
      </c>
      <c r="CH480" s="34" t="s">
        <v>1333</v>
      </c>
    </row>
    <row r="481" spans="1:86" x14ac:dyDescent="0.3">
      <c r="A481" s="34">
        <v>16</v>
      </c>
      <c r="B481" s="34" t="s">
        <v>637</v>
      </c>
      <c r="C481" s="34" t="s">
        <v>1388</v>
      </c>
      <c r="D481" s="34" t="s">
        <v>150</v>
      </c>
      <c r="E481" s="34" t="s">
        <v>1336</v>
      </c>
      <c r="F481" s="34"/>
      <c r="G481" s="34"/>
      <c r="H481" s="34" t="s">
        <v>1456</v>
      </c>
      <c r="I481" s="34" t="s">
        <v>640</v>
      </c>
      <c r="J481" s="34" t="s">
        <v>1806</v>
      </c>
      <c r="K481" s="34"/>
      <c r="L481" s="34">
        <v>1.7100000000000001E-2</v>
      </c>
      <c r="M481" s="34">
        <v>2.8999999999999998E-3</v>
      </c>
      <c r="N481" s="153">
        <v>1</v>
      </c>
      <c r="O481" s="34">
        <v>0</v>
      </c>
      <c r="P481" s="34"/>
      <c r="Q481" s="153">
        <v>45463</v>
      </c>
      <c r="R481" s="153">
        <v>46545</v>
      </c>
      <c r="S481" s="34">
        <v>342</v>
      </c>
      <c r="T481" s="34"/>
      <c r="U481" s="153" t="s">
        <v>1325</v>
      </c>
      <c r="V481" s="153" t="s">
        <v>1807</v>
      </c>
      <c r="W481" s="34">
        <v>1</v>
      </c>
      <c r="X481" s="166"/>
      <c r="Y481" s="137"/>
      <c r="Z481" s="137"/>
      <c r="AA481" s="137"/>
      <c r="AB481" s="137">
        <v>0</v>
      </c>
      <c r="AC481" s="137">
        <v>85000000</v>
      </c>
      <c r="AD481" s="137">
        <v>10936507.15</v>
      </c>
      <c r="AE481" s="137">
        <v>250000.3</v>
      </c>
      <c r="AF481" s="137">
        <v>250000.3</v>
      </c>
      <c r="AG481" s="137">
        <v>250000</v>
      </c>
      <c r="AH481" s="153"/>
      <c r="AI481" s="167">
        <v>0</v>
      </c>
      <c r="AJ481" s="153"/>
      <c r="AK481" s="153"/>
      <c r="AL481" s="154">
        <v>107.35</v>
      </c>
      <c r="AM481" s="154">
        <v>0.12866479</v>
      </c>
      <c r="AN481" s="168" t="s">
        <v>1326</v>
      </c>
      <c r="AO481" s="168">
        <v>45974</v>
      </c>
      <c r="AP481" s="154">
        <v>0</v>
      </c>
      <c r="AQ481" s="168"/>
      <c r="AR481" s="155">
        <v>2.9411799999999998E-3</v>
      </c>
      <c r="AS481" s="152">
        <v>8.9871699999999999E-2</v>
      </c>
      <c r="AT481" s="154">
        <v>0</v>
      </c>
      <c r="AU481" s="137">
        <v>7.9067299999999993E-2</v>
      </c>
      <c r="AV481" s="137">
        <v>0</v>
      </c>
      <c r="AW481" s="137">
        <v>32166.236099436999</v>
      </c>
      <c r="AX481" s="137">
        <v>16500.019799999998</v>
      </c>
      <c r="AY481" s="137">
        <v>268375.32204999996</v>
      </c>
      <c r="AZ481" s="137">
        <v>2157.3775888499981</v>
      </c>
      <c r="BA481" s="137">
        <v>18588.151682181146</v>
      </c>
      <c r="BB481" s="137">
        <v>0</v>
      </c>
      <c r="BC481" s="137">
        <v>0</v>
      </c>
      <c r="BD481" s="137">
        <v>0</v>
      </c>
      <c r="BE481" s="137">
        <v>0</v>
      </c>
      <c r="BF481" s="137">
        <v>0</v>
      </c>
      <c r="BG481" s="137">
        <v>82500.099000000002</v>
      </c>
      <c r="BH481" s="137">
        <v>82500.099000000002</v>
      </c>
      <c r="BI481" s="137">
        <v>250000.3</v>
      </c>
      <c r="BJ481" s="137">
        <v>0.9829</v>
      </c>
      <c r="BK481" s="137">
        <v>1.4705899999999999E-2</v>
      </c>
      <c r="BL481" s="113">
        <v>0</v>
      </c>
      <c r="BM481" s="113" t="s">
        <v>1663</v>
      </c>
      <c r="BN481" s="168">
        <v>0</v>
      </c>
      <c r="BO481" s="152">
        <v>0</v>
      </c>
      <c r="BP481" s="152">
        <v>0</v>
      </c>
      <c r="BQ481" s="137">
        <v>250000.3</v>
      </c>
      <c r="BR481" s="137">
        <v>0</v>
      </c>
      <c r="BS481" s="166" t="s">
        <v>1806</v>
      </c>
      <c r="BT481" s="168">
        <v>6.7069631093323923E-2</v>
      </c>
      <c r="BU481" s="137">
        <v>2475.0029700000005</v>
      </c>
      <c r="BV481" s="137">
        <v>30008.858510587001</v>
      </c>
      <c r="BW481" s="137">
        <v>12.124776767676765</v>
      </c>
      <c r="BX481" s="89">
        <v>0.93293036890667602</v>
      </c>
      <c r="BY481" s="89">
        <v>0</v>
      </c>
      <c r="BZ481" s="153">
        <v>0</v>
      </c>
      <c r="CA481" s="153">
        <v>0</v>
      </c>
      <c r="CB481" s="153">
        <v>45974</v>
      </c>
      <c r="CC481" s="153">
        <v>45974</v>
      </c>
      <c r="CD481" s="153"/>
      <c r="CE481" s="153"/>
      <c r="CF481" s="153"/>
      <c r="CG481" s="34" t="s">
        <v>1347</v>
      </c>
      <c r="CH481" s="34" t="s">
        <v>1333</v>
      </c>
    </row>
    <row r="482" spans="1:86" x14ac:dyDescent="0.3">
      <c r="A482" s="34">
        <v>17</v>
      </c>
      <c r="B482" s="34" t="s">
        <v>643</v>
      </c>
      <c r="C482" s="34" t="s">
        <v>1375</v>
      </c>
      <c r="D482" s="34" t="s">
        <v>159</v>
      </c>
      <c r="E482" s="34" t="s">
        <v>1336</v>
      </c>
      <c r="F482" s="34"/>
      <c r="G482" s="34"/>
      <c r="H482" s="34" t="s">
        <v>1456</v>
      </c>
      <c r="I482" s="34" t="s">
        <v>646</v>
      </c>
      <c r="J482" s="34" t="s">
        <v>1806</v>
      </c>
      <c r="K482" s="34"/>
      <c r="L482" s="34">
        <v>5.6599999999999998E-2</v>
      </c>
      <c r="M482" s="34">
        <v>0</v>
      </c>
      <c r="N482" s="153">
        <v>1</v>
      </c>
      <c r="O482" s="34">
        <v>0</v>
      </c>
      <c r="P482" s="34"/>
      <c r="Q482" s="153">
        <v>45776</v>
      </c>
      <c r="R482" s="153">
        <v>46881</v>
      </c>
      <c r="S482" s="34">
        <v>678</v>
      </c>
      <c r="T482" s="34"/>
      <c r="U482" s="153" t="s">
        <v>1325</v>
      </c>
      <c r="V482" s="153" t="s">
        <v>1807</v>
      </c>
      <c r="W482" s="34">
        <v>1</v>
      </c>
      <c r="X482" s="166"/>
      <c r="Y482" s="137"/>
      <c r="Z482" s="137"/>
      <c r="AA482" s="137"/>
      <c r="AB482" s="137">
        <v>0</v>
      </c>
      <c r="AC482" s="137">
        <v>50000000</v>
      </c>
      <c r="AD482" s="137">
        <v>5915000</v>
      </c>
      <c r="AE482" s="137">
        <v>250000</v>
      </c>
      <c r="AF482" s="137">
        <v>250000</v>
      </c>
      <c r="AG482" s="137">
        <v>250000</v>
      </c>
      <c r="AH482" s="153"/>
      <c r="AI482" s="167">
        <v>0</v>
      </c>
      <c r="AJ482" s="153"/>
      <c r="AK482" s="153"/>
      <c r="AL482" s="154">
        <v>104.65</v>
      </c>
      <c r="AM482" s="154">
        <v>0.1183</v>
      </c>
      <c r="AN482" s="168" t="s">
        <v>1326</v>
      </c>
      <c r="AO482" s="168">
        <v>45918</v>
      </c>
      <c r="AP482" s="154">
        <v>0</v>
      </c>
      <c r="AQ482" s="168"/>
      <c r="AR482" s="155">
        <v>5.0000000000000001E-3</v>
      </c>
      <c r="AS482" s="152">
        <v>7.9825590000000002E-2</v>
      </c>
      <c r="AT482" s="154">
        <v>0</v>
      </c>
      <c r="AU482" s="137">
        <v>9.9497470000000005E-2</v>
      </c>
      <c r="AV482" s="137">
        <v>0</v>
      </c>
      <c r="AW482" s="137">
        <v>29575</v>
      </c>
      <c r="AX482" s="137">
        <v>0</v>
      </c>
      <c r="AY482" s="137">
        <v>261625</v>
      </c>
      <c r="AZ482" s="137">
        <v>9751.0043176488125</v>
      </c>
      <c r="BA482" s="137">
        <v>44610.550376919164</v>
      </c>
      <c r="BB482" s="137">
        <v>0</v>
      </c>
      <c r="BC482" s="137">
        <v>0</v>
      </c>
      <c r="BD482" s="137">
        <v>50000</v>
      </c>
      <c r="BE482" s="137">
        <v>89122.803734634843</v>
      </c>
      <c r="BF482" s="137">
        <v>250000</v>
      </c>
      <c r="BG482" s="137">
        <v>250000</v>
      </c>
      <c r="BH482" s="137">
        <v>250000</v>
      </c>
      <c r="BI482" s="137">
        <v>250000</v>
      </c>
      <c r="BJ482" s="137">
        <v>0.94530000000000003</v>
      </c>
      <c r="BK482" s="137">
        <v>1.4705882352941176E-2</v>
      </c>
      <c r="BL482" s="113">
        <v>0</v>
      </c>
      <c r="BM482" s="113" t="s">
        <v>1663</v>
      </c>
      <c r="BN482" s="168">
        <v>0</v>
      </c>
      <c r="BO482" s="152">
        <v>0</v>
      </c>
      <c r="BP482" s="152">
        <v>0</v>
      </c>
      <c r="BQ482" s="137">
        <v>250000</v>
      </c>
      <c r="BR482" s="137">
        <v>0</v>
      </c>
      <c r="BS482" s="166" t="s">
        <v>1806</v>
      </c>
      <c r="BT482" s="168">
        <v>0.32970428800165047</v>
      </c>
      <c r="BU482" s="137">
        <v>14064.488567544764</v>
      </c>
      <c r="BV482" s="137">
        <v>19823.995682351189</v>
      </c>
      <c r="BW482" s="137">
        <v>1.4095070423034843</v>
      </c>
      <c r="BX482" s="89">
        <v>0.67029571199834959</v>
      </c>
      <c r="BY482" s="89">
        <v>0</v>
      </c>
      <c r="BZ482" s="153">
        <v>0</v>
      </c>
      <c r="CA482" s="153">
        <v>0</v>
      </c>
      <c r="CB482" s="153">
        <v>45918</v>
      </c>
      <c r="CC482" s="153">
        <v>45918</v>
      </c>
      <c r="CD482" s="153"/>
      <c r="CE482" s="153"/>
      <c r="CF482" s="153"/>
      <c r="CG482" s="34" t="s">
        <v>1334</v>
      </c>
      <c r="CH482" s="34" t="s">
        <v>1333</v>
      </c>
    </row>
    <row r="483" spans="1:86" x14ac:dyDescent="0.3">
      <c r="A483" s="34">
        <v>18</v>
      </c>
      <c r="B483" s="34" t="s">
        <v>662</v>
      </c>
      <c r="C483" s="34" t="s">
        <v>1372</v>
      </c>
      <c r="D483" s="34" t="s">
        <v>133</v>
      </c>
      <c r="E483" s="34" t="s">
        <v>1332</v>
      </c>
      <c r="F483" s="34" t="s">
        <v>1805</v>
      </c>
      <c r="G483" s="34"/>
      <c r="H483" s="34" t="s">
        <v>1456</v>
      </c>
      <c r="I483" s="34" t="s">
        <v>663</v>
      </c>
      <c r="J483" s="34" t="s">
        <v>1806</v>
      </c>
      <c r="K483" s="34"/>
      <c r="L483" s="34">
        <v>2.63E-2</v>
      </c>
      <c r="M483" s="34">
        <v>2.3900000000000001E-2</v>
      </c>
      <c r="N483" s="153">
        <v>1</v>
      </c>
      <c r="O483" s="34">
        <v>0</v>
      </c>
      <c r="P483" s="34"/>
      <c r="Q483" s="153">
        <v>45057</v>
      </c>
      <c r="R483" s="153">
        <v>46180</v>
      </c>
      <c r="S483" s="34">
        <v>-23</v>
      </c>
      <c r="T483" s="34"/>
      <c r="U483" s="153" t="s">
        <v>1325</v>
      </c>
      <c r="V483" s="153" t="s">
        <v>1807</v>
      </c>
      <c r="W483" s="34">
        <v>1</v>
      </c>
      <c r="X483" s="166"/>
      <c r="Y483" s="137"/>
      <c r="Z483" s="137"/>
      <c r="AA483" s="137"/>
      <c r="AB483" s="137">
        <v>0</v>
      </c>
      <c r="AC483" s="137">
        <v>115000000</v>
      </c>
      <c r="AD483" s="137">
        <v>14462950.849999998</v>
      </c>
      <c r="AE483" s="137">
        <v>249999.64999999997</v>
      </c>
      <c r="AF483" s="137">
        <v>249999.64999999997</v>
      </c>
      <c r="AG483" s="137">
        <v>250000</v>
      </c>
      <c r="AH483" s="153"/>
      <c r="AI483" s="167">
        <v>0</v>
      </c>
      <c r="AJ483" s="153"/>
      <c r="AK483" s="153"/>
      <c r="AL483" s="154">
        <v>103.85</v>
      </c>
      <c r="AM483" s="154">
        <v>0.12576478999999999</v>
      </c>
      <c r="AN483" s="168" t="s">
        <v>1326</v>
      </c>
      <c r="AO483" s="168">
        <v>45908</v>
      </c>
      <c r="AP483" s="154">
        <v>0</v>
      </c>
      <c r="AQ483" s="168"/>
      <c r="AR483" s="155">
        <v>2.1739099999999998E-3</v>
      </c>
      <c r="AS483" s="152">
        <v>8.6567909999999998E-2</v>
      </c>
      <c r="AT483" s="154">
        <v>0</v>
      </c>
      <c r="AU483" s="137">
        <v>6.7369299999999993E-2</v>
      </c>
      <c r="AV483" s="137">
        <v>0</v>
      </c>
      <c r="AW483" s="137">
        <v>31441.153482323494</v>
      </c>
      <c r="AX483" s="137">
        <v>99999.859999999986</v>
      </c>
      <c r="AY483" s="137">
        <v>259624.63652499995</v>
      </c>
      <c r="AZ483" s="137">
        <v>6325.1773442157455</v>
      </c>
      <c r="BA483" s="137">
        <v>38963.37142263932</v>
      </c>
      <c r="BB483" s="137">
        <v>0</v>
      </c>
      <c r="BC483" s="137">
        <v>0</v>
      </c>
      <c r="BD483" s="137">
        <v>0</v>
      </c>
      <c r="BE483" s="137">
        <v>0</v>
      </c>
      <c r="BF483" s="137">
        <v>249999.64999999997</v>
      </c>
      <c r="BG483" s="137">
        <v>249999.64999999997</v>
      </c>
      <c r="BH483" s="137">
        <v>249999.64999999997</v>
      </c>
      <c r="BI483" s="137">
        <v>249999.65000000002</v>
      </c>
      <c r="BJ483" s="137">
        <v>0.97389999999999999</v>
      </c>
      <c r="BK483" s="137">
        <v>1.4705861764705881E-2</v>
      </c>
      <c r="BL483" s="113">
        <v>0</v>
      </c>
      <c r="BM483" s="113" t="s">
        <v>1663</v>
      </c>
      <c r="BN483" s="168">
        <v>0</v>
      </c>
      <c r="BO483" s="152">
        <v>0</v>
      </c>
      <c r="BP483" s="152">
        <v>0</v>
      </c>
      <c r="BQ483" s="137">
        <v>249999.64999999997</v>
      </c>
      <c r="BR483" s="137">
        <v>0</v>
      </c>
      <c r="BS483" s="166" t="s">
        <v>1806</v>
      </c>
      <c r="BT483" s="168">
        <v>0.20117510471655622</v>
      </c>
      <c r="BU483" s="137">
        <v>45371.242539065446</v>
      </c>
      <c r="BV483" s="137">
        <v>25115.976138107748</v>
      </c>
      <c r="BW483" s="137">
        <v>0.55356597555119735</v>
      </c>
      <c r="BX483" s="89">
        <v>0.79882489528344369</v>
      </c>
      <c r="BY483" s="89">
        <v>0</v>
      </c>
      <c r="BZ483" s="153">
        <v>0</v>
      </c>
      <c r="CA483" s="153">
        <v>0</v>
      </c>
      <c r="CB483" s="153">
        <v>45908</v>
      </c>
      <c r="CC483" s="153">
        <v>45908</v>
      </c>
      <c r="CD483" s="153"/>
      <c r="CE483" s="153"/>
      <c r="CF483" s="153"/>
      <c r="CG483" s="34" t="s">
        <v>139</v>
      </c>
      <c r="CH483" s="34" t="s">
        <v>1333</v>
      </c>
    </row>
    <row r="484" spans="1:86" x14ac:dyDescent="0.3">
      <c r="A484" s="34">
        <v>19</v>
      </c>
      <c r="B484" s="34" t="s">
        <v>668</v>
      </c>
      <c r="C484" s="34" t="s">
        <v>1335</v>
      </c>
      <c r="D484" s="34" t="s">
        <v>133</v>
      </c>
      <c r="E484" s="34" t="s">
        <v>1336</v>
      </c>
      <c r="F484" s="34" t="s">
        <v>1805</v>
      </c>
      <c r="G484" s="34"/>
      <c r="H484" s="34" t="s">
        <v>1456</v>
      </c>
      <c r="I484" s="34" t="s">
        <v>671</v>
      </c>
      <c r="J484" s="34" t="s">
        <v>1806</v>
      </c>
      <c r="K484" s="34"/>
      <c r="L484" s="34">
        <v>2.8000000000000001E-2</v>
      </c>
      <c r="M484" s="34">
        <v>1.6E-2</v>
      </c>
      <c r="N484" s="153">
        <v>1</v>
      </c>
      <c r="O484" s="34">
        <v>0</v>
      </c>
      <c r="P484" s="34"/>
      <c r="Q484" s="153">
        <v>45252</v>
      </c>
      <c r="R484" s="153">
        <v>46395</v>
      </c>
      <c r="S484" s="34">
        <v>192</v>
      </c>
      <c r="T484" s="34"/>
      <c r="U484" s="153" t="s">
        <v>1325</v>
      </c>
      <c r="V484" s="153" t="s">
        <v>1807</v>
      </c>
      <c r="W484" s="34">
        <v>1</v>
      </c>
      <c r="X484" s="166"/>
      <c r="Y484" s="137"/>
      <c r="Z484" s="137"/>
      <c r="AA484" s="137"/>
      <c r="AB484" s="137">
        <v>0</v>
      </c>
      <c r="AC484" s="137">
        <v>600000000</v>
      </c>
      <c r="AD484" s="137">
        <v>18120000</v>
      </c>
      <c r="AE484" s="137">
        <v>250000</v>
      </c>
      <c r="AF484" s="137">
        <v>250000</v>
      </c>
      <c r="AG484" s="137">
        <v>250000</v>
      </c>
      <c r="AH484" s="153"/>
      <c r="AI484" s="167">
        <v>0</v>
      </c>
      <c r="AJ484" s="153"/>
      <c r="AK484" s="153"/>
      <c r="AL484" s="154">
        <v>102.85</v>
      </c>
      <c r="AM484" s="154">
        <v>9.06E-2</v>
      </c>
      <c r="AN484" s="168" t="s">
        <v>1326</v>
      </c>
      <c r="AO484" s="168">
        <v>45751</v>
      </c>
      <c r="AP484" s="154">
        <v>0</v>
      </c>
      <c r="AQ484" s="168"/>
      <c r="AR484" s="155">
        <v>1.25E-3</v>
      </c>
      <c r="AS484" s="152">
        <v>5.2493049999999999E-2</v>
      </c>
      <c r="AT484" s="154">
        <v>0</v>
      </c>
      <c r="AU484" s="137">
        <v>7.6703099999999996E-2</v>
      </c>
      <c r="AV484" s="137">
        <v>0</v>
      </c>
      <c r="AW484" s="137">
        <v>22650</v>
      </c>
      <c r="AX484" s="137">
        <v>99999.999000000025</v>
      </c>
      <c r="AY484" s="137">
        <v>257125</v>
      </c>
      <c r="AZ484" s="137">
        <v>5261.34985536769</v>
      </c>
      <c r="BA484" s="137">
        <v>34138.576508037739</v>
      </c>
      <c r="BB484" s="137">
        <v>0</v>
      </c>
      <c r="BC484" s="137">
        <v>0</v>
      </c>
      <c r="BD484" s="137">
        <v>0</v>
      </c>
      <c r="BE484" s="137">
        <v>0</v>
      </c>
      <c r="BF484" s="137">
        <v>135707.53001740572</v>
      </c>
      <c r="BG484" s="137">
        <v>249999.99749999997</v>
      </c>
      <c r="BH484" s="137">
        <v>249999.99750000006</v>
      </c>
      <c r="BI484" s="137">
        <v>249999.99750000008</v>
      </c>
      <c r="BJ484" s="137">
        <v>0.97360000000000002</v>
      </c>
      <c r="BK484" s="137">
        <v>1.4705882352941176E-2</v>
      </c>
      <c r="BL484" s="113">
        <v>0</v>
      </c>
      <c r="BM484" s="113" t="s">
        <v>1663</v>
      </c>
      <c r="BN484" s="168">
        <v>0</v>
      </c>
      <c r="BO484" s="152">
        <v>0</v>
      </c>
      <c r="BP484" s="152">
        <v>0</v>
      </c>
      <c r="BQ484" s="137">
        <v>250000</v>
      </c>
      <c r="BR484" s="137">
        <v>0</v>
      </c>
      <c r="BS484" s="166" t="s">
        <v>1806</v>
      </c>
      <c r="BT484" s="168">
        <v>0.23228917683742561</v>
      </c>
      <c r="BU484" s="137">
        <v>35144.740894219889</v>
      </c>
      <c r="BV484" s="137">
        <v>17388.650144632309</v>
      </c>
      <c r="BW484" s="137">
        <v>0.49477246672466291</v>
      </c>
      <c r="BX484" s="89">
        <v>0.76771082316257433</v>
      </c>
      <c r="BY484" s="89">
        <v>0</v>
      </c>
      <c r="BZ484" s="153">
        <v>0</v>
      </c>
      <c r="CA484" s="153">
        <v>0</v>
      </c>
      <c r="CB484" s="153">
        <v>45751</v>
      </c>
      <c r="CC484" s="153">
        <v>45751</v>
      </c>
      <c r="CD484" s="153"/>
      <c r="CE484" s="153"/>
      <c r="CF484" s="153"/>
      <c r="CG484" s="34" t="s">
        <v>139</v>
      </c>
      <c r="CH484" s="34" t="s">
        <v>1333</v>
      </c>
    </row>
    <row r="485" spans="1:86" x14ac:dyDescent="0.3">
      <c r="A485" s="34">
        <v>20</v>
      </c>
      <c r="B485" s="34" t="s">
        <v>674</v>
      </c>
      <c r="C485" s="34" t="s">
        <v>1382</v>
      </c>
      <c r="D485" s="34" t="s">
        <v>675</v>
      </c>
      <c r="E485" s="34" t="s">
        <v>1336</v>
      </c>
      <c r="F485" s="34"/>
      <c r="G485" s="34"/>
      <c r="H485" s="34" t="s">
        <v>1456</v>
      </c>
      <c r="I485" s="34" t="s">
        <v>676</v>
      </c>
      <c r="J485" s="34" t="s">
        <v>1806</v>
      </c>
      <c r="K485" s="34"/>
      <c r="L485" s="34">
        <v>8.5000000000000006E-3</v>
      </c>
      <c r="M485" s="34">
        <v>0</v>
      </c>
      <c r="N485" s="153">
        <v>1</v>
      </c>
      <c r="O485" s="34">
        <v>0</v>
      </c>
      <c r="P485" s="34"/>
      <c r="Q485" s="153">
        <v>45646</v>
      </c>
      <c r="R485" s="153">
        <v>46759</v>
      </c>
      <c r="S485" s="34">
        <v>556</v>
      </c>
      <c r="T485" s="34"/>
      <c r="U485" s="153" t="s">
        <v>1325</v>
      </c>
      <c r="V485" s="153" t="s">
        <v>1807</v>
      </c>
      <c r="W485" s="34">
        <v>1</v>
      </c>
      <c r="X485" s="166"/>
      <c r="Y485" s="137"/>
      <c r="Z485" s="137"/>
      <c r="AA485" s="137"/>
      <c r="AB485" s="137">
        <v>0</v>
      </c>
      <c r="AC485" s="137">
        <v>200000000</v>
      </c>
      <c r="AD485" s="137">
        <v>24660000</v>
      </c>
      <c r="AE485" s="137">
        <v>250000</v>
      </c>
      <c r="AF485" s="137">
        <v>250000</v>
      </c>
      <c r="AG485" s="137">
        <v>250000</v>
      </c>
      <c r="AH485" s="153"/>
      <c r="AI485" s="167">
        <v>0</v>
      </c>
      <c r="AJ485" s="153"/>
      <c r="AK485" s="153"/>
      <c r="AL485" s="154">
        <v>107.2</v>
      </c>
      <c r="AM485" s="154">
        <v>0.12330000000000001</v>
      </c>
      <c r="AN485" s="168" t="s">
        <v>1326</v>
      </c>
      <c r="AO485" s="168">
        <v>45967</v>
      </c>
      <c r="AP485" s="154">
        <v>0</v>
      </c>
      <c r="AQ485" s="168"/>
      <c r="AR485" s="155">
        <v>1.25E-3</v>
      </c>
      <c r="AS485" s="152">
        <v>8.4869249999999993E-2</v>
      </c>
      <c r="AT485" s="154">
        <v>0</v>
      </c>
      <c r="AU485" s="137">
        <v>8.7041720000000003E-2</v>
      </c>
      <c r="AV485" s="137">
        <v>0</v>
      </c>
      <c r="AW485" s="137">
        <v>30825.000000000004</v>
      </c>
      <c r="AX485" s="137">
        <v>225000</v>
      </c>
      <c r="AY485" s="137">
        <v>268000</v>
      </c>
      <c r="AZ485" s="137">
        <v>1620.2317470258006</v>
      </c>
      <c r="BA485" s="137">
        <v>19394.051857852937</v>
      </c>
      <c r="BB485" s="137">
        <v>0</v>
      </c>
      <c r="BC485" s="137">
        <v>0</v>
      </c>
      <c r="BD485" s="137">
        <v>0</v>
      </c>
      <c r="BE485" s="137">
        <v>0</v>
      </c>
      <c r="BF485" s="137">
        <v>0</v>
      </c>
      <c r="BG485" s="137">
        <v>0</v>
      </c>
      <c r="BH485" s="137">
        <v>0</v>
      </c>
      <c r="BI485" s="137">
        <v>250000</v>
      </c>
      <c r="BJ485" s="137">
        <v>0.99219999999999997</v>
      </c>
      <c r="BK485" s="137">
        <v>1.4705882352941176E-2</v>
      </c>
      <c r="BL485" s="113">
        <v>0</v>
      </c>
      <c r="BM485" s="113" t="s">
        <v>1663</v>
      </c>
      <c r="BN485" s="168">
        <v>0</v>
      </c>
      <c r="BO485" s="152">
        <v>0</v>
      </c>
      <c r="BP485" s="152">
        <v>0</v>
      </c>
      <c r="BQ485" s="137">
        <v>250000</v>
      </c>
      <c r="BR485" s="137">
        <v>0</v>
      </c>
      <c r="BS485" s="166" t="s">
        <v>1806</v>
      </c>
      <c r="BT485" s="168">
        <v>5.2562262677236023E-2</v>
      </c>
      <c r="BU485" s="137">
        <v>115722.28165919411</v>
      </c>
      <c r="BV485" s="137">
        <v>29204.768252974201</v>
      </c>
      <c r="BW485" s="137">
        <v>0.25236944721659738</v>
      </c>
      <c r="BX485" s="89">
        <v>0.94743773732276393</v>
      </c>
      <c r="BY485" s="89">
        <v>0</v>
      </c>
      <c r="BZ485" s="153">
        <v>0</v>
      </c>
      <c r="CA485" s="153">
        <v>0</v>
      </c>
      <c r="CB485" s="153">
        <v>45967</v>
      </c>
      <c r="CC485" s="153">
        <v>45967</v>
      </c>
      <c r="CD485" s="153"/>
      <c r="CE485" s="153"/>
      <c r="CF485" s="153"/>
      <c r="CG485" s="34" t="s">
        <v>139</v>
      </c>
      <c r="CH485" s="34" t="s">
        <v>1333</v>
      </c>
    </row>
    <row r="486" spans="1:86" x14ac:dyDescent="0.3">
      <c r="A486" s="34">
        <v>21</v>
      </c>
      <c r="B486" s="34" t="s">
        <v>674</v>
      </c>
      <c r="C486" s="34" t="s">
        <v>1382</v>
      </c>
      <c r="D486" s="34" t="s">
        <v>675</v>
      </c>
      <c r="E486" s="34" t="s">
        <v>1336</v>
      </c>
      <c r="F486" s="34"/>
      <c r="G486" s="34"/>
      <c r="H486" s="34" t="s">
        <v>1456</v>
      </c>
      <c r="I486" s="34" t="s">
        <v>676</v>
      </c>
      <c r="J486" s="34" t="s">
        <v>1806</v>
      </c>
      <c r="K486" s="34"/>
      <c r="L486" s="34">
        <v>8.5000000000000006E-3</v>
      </c>
      <c r="M486" s="34">
        <v>0</v>
      </c>
      <c r="N486" s="153">
        <v>1</v>
      </c>
      <c r="O486" s="34">
        <v>0</v>
      </c>
      <c r="P486" s="34"/>
      <c r="Q486" s="153">
        <v>45646</v>
      </c>
      <c r="R486" s="153">
        <v>46759</v>
      </c>
      <c r="S486" s="34">
        <v>556</v>
      </c>
      <c r="T486" s="34"/>
      <c r="U486" s="153" t="s">
        <v>1325</v>
      </c>
      <c r="V486" s="153" t="s">
        <v>1807</v>
      </c>
      <c r="W486" s="34">
        <v>1</v>
      </c>
      <c r="X486" s="166"/>
      <c r="Y486" s="137"/>
      <c r="Z486" s="137"/>
      <c r="AA486" s="137"/>
      <c r="AB486" s="137">
        <v>0</v>
      </c>
      <c r="AC486" s="137">
        <v>200000000</v>
      </c>
      <c r="AD486" s="137">
        <v>24660000</v>
      </c>
      <c r="AE486" s="137">
        <v>250000</v>
      </c>
      <c r="AF486" s="137">
        <v>250000</v>
      </c>
      <c r="AG486" s="137">
        <v>250000</v>
      </c>
      <c r="AH486" s="153"/>
      <c r="AI486" s="167">
        <v>0</v>
      </c>
      <c r="AJ486" s="153"/>
      <c r="AK486" s="153"/>
      <c r="AL486" s="154">
        <v>107.15</v>
      </c>
      <c r="AM486" s="154">
        <v>0.12330000000000001</v>
      </c>
      <c r="AN486" s="168" t="s">
        <v>1326</v>
      </c>
      <c r="AO486" s="168">
        <v>45974</v>
      </c>
      <c r="AP486" s="154">
        <v>0</v>
      </c>
      <c r="AQ486" s="168"/>
      <c r="AR486" s="155">
        <v>1.25E-3</v>
      </c>
      <c r="AS486" s="152">
        <v>8.4869249999999993E-2</v>
      </c>
      <c r="AT486" s="154">
        <v>0</v>
      </c>
      <c r="AU486" s="137">
        <v>8.6807519999999999E-2</v>
      </c>
      <c r="AV486" s="137">
        <v>0</v>
      </c>
      <c r="AW486" s="137">
        <v>30825.000000000004</v>
      </c>
      <c r="AX486" s="137">
        <v>225000</v>
      </c>
      <c r="AY486" s="137">
        <v>267875</v>
      </c>
      <c r="AZ486" s="137">
        <v>1620.2317470258004</v>
      </c>
      <c r="BA486" s="137">
        <v>19394.051857852934</v>
      </c>
      <c r="BB486" s="137">
        <v>0</v>
      </c>
      <c r="BC486" s="137">
        <v>0</v>
      </c>
      <c r="BD486" s="137">
        <v>0</v>
      </c>
      <c r="BE486" s="137">
        <v>0</v>
      </c>
      <c r="BF486" s="137">
        <v>0</v>
      </c>
      <c r="BG486" s="137">
        <v>0</v>
      </c>
      <c r="BH486" s="137">
        <v>0</v>
      </c>
      <c r="BI486" s="137">
        <v>250000</v>
      </c>
      <c r="BJ486" s="137">
        <v>0.99219999999999997</v>
      </c>
      <c r="BK486" s="137">
        <v>1.4705882352941176E-2</v>
      </c>
      <c r="BL486" s="113">
        <v>0</v>
      </c>
      <c r="BM486" s="113" t="s">
        <v>1663</v>
      </c>
      <c r="BN486" s="168">
        <v>0</v>
      </c>
      <c r="BO486" s="152">
        <v>0</v>
      </c>
      <c r="BP486" s="152">
        <v>0</v>
      </c>
      <c r="BQ486" s="137">
        <v>250000</v>
      </c>
      <c r="BR486" s="137">
        <v>0</v>
      </c>
      <c r="BS486" s="166" t="s">
        <v>1806</v>
      </c>
      <c r="BT486" s="168">
        <v>5.2562262677236016E-2</v>
      </c>
      <c r="BU486" s="137">
        <v>115722.28165919411</v>
      </c>
      <c r="BV486" s="137">
        <v>29204.768252974201</v>
      </c>
      <c r="BW486" s="137">
        <v>0.25236944721659738</v>
      </c>
      <c r="BX486" s="89">
        <v>0.94743773732276393</v>
      </c>
      <c r="BY486" s="89">
        <v>0</v>
      </c>
      <c r="BZ486" s="153">
        <v>0</v>
      </c>
      <c r="CA486" s="153">
        <v>0</v>
      </c>
      <c r="CB486" s="153">
        <v>45974</v>
      </c>
      <c r="CC486" s="153">
        <v>45974</v>
      </c>
      <c r="CD486" s="153"/>
      <c r="CE486" s="153"/>
      <c r="CF486" s="153"/>
      <c r="CG486" s="34" t="s">
        <v>139</v>
      </c>
      <c r="CH486" s="34" t="s">
        <v>1333</v>
      </c>
    </row>
    <row r="487" spans="1:86" x14ac:dyDescent="0.3">
      <c r="A487" s="34">
        <v>22</v>
      </c>
      <c r="B487" s="34" t="s">
        <v>677</v>
      </c>
      <c r="C487" s="34" t="s">
        <v>1386</v>
      </c>
      <c r="D487" s="34" t="s">
        <v>159</v>
      </c>
      <c r="E487" s="34" t="s">
        <v>1336</v>
      </c>
      <c r="F487" s="34"/>
      <c r="G487" s="34"/>
      <c r="H487" s="34" t="s">
        <v>1456</v>
      </c>
      <c r="I487" s="34" t="s">
        <v>678</v>
      </c>
      <c r="J487" s="34" t="s">
        <v>1806</v>
      </c>
      <c r="K487" s="34"/>
      <c r="L487" s="34">
        <v>5.57E-2</v>
      </c>
      <c r="M487" s="34">
        <v>4.6699999999999998E-2</v>
      </c>
      <c r="N487" s="153">
        <v>1</v>
      </c>
      <c r="O487" s="34">
        <v>0</v>
      </c>
      <c r="P487" s="34"/>
      <c r="Q487" s="153">
        <v>45722</v>
      </c>
      <c r="R487" s="153">
        <v>46459</v>
      </c>
      <c r="S487" s="34">
        <v>256</v>
      </c>
      <c r="T487" s="34"/>
      <c r="U487" s="153" t="s">
        <v>1325</v>
      </c>
      <c r="V487" s="153" t="s">
        <v>1807</v>
      </c>
      <c r="W487" s="34">
        <v>1</v>
      </c>
      <c r="X487" s="166"/>
      <c r="Y487" s="137"/>
      <c r="Z487" s="137"/>
      <c r="AA487" s="137"/>
      <c r="AB487" s="137">
        <v>0</v>
      </c>
      <c r="AC487" s="137">
        <v>600000000</v>
      </c>
      <c r="AD487" s="137">
        <v>64260000</v>
      </c>
      <c r="AE487" s="137">
        <v>250002</v>
      </c>
      <c r="AF487" s="137">
        <v>250002</v>
      </c>
      <c r="AG487" s="137">
        <v>250000</v>
      </c>
      <c r="AH487" s="153"/>
      <c r="AI487" s="167">
        <v>0</v>
      </c>
      <c r="AJ487" s="153"/>
      <c r="AK487" s="153"/>
      <c r="AL487" s="154">
        <v>105.25</v>
      </c>
      <c r="AM487" s="154">
        <v>0.1071</v>
      </c>
      <c r="AN487" s="168" t="s">
        <v>1326</v>
      </c>
      <c r="AO487" s="168">
        <v>45974</v>
      </c>
      <c r="AP487" s="154">
        <v>0</v>
      </c>
      <c r="AQ487" s="168"/>
      <c r="AR487" s="155">
        <v>4.1667000000000001E-4</v>
      </c>
      <c r="AS487" s="152">
        <v>6.8969240000000001E-2</v>
      </c>
      <c r="AT487" s="154">
        <v>0</v>
      </c>
      <c r="AU487" s="137">
        <v>8.2521460000000005E-2</v>
      </c>
      <c r="AV487" s="137">
        <v>0</v>
      </c>
      <c r="AW487" s="137">
        <v>26775.214200000002</v>
      </c>
      <c r="AX487" s="137">
        <v>115801.86992676056</v>
      </c>
      <c r="AY487" s="137">
        <v>263127.10499999998</v>
      </c>
      <c r="AZ487" s="137">
        <v>12673.709967538414</v>
      </c>
      <c r="BA487" s="137">
        <v>54025.286597930484</v>
      </c>
      <c r="BB487" s="137">
        <v>0</v>
      </c>
      <c r="BC487" s="137">
        <v>0</v>
      </c>
      <c r="BD487" s="137">
        <v>152989.24569868445</v>
      </c>
      <c r="BE487" s="137">
        <v>250002</v>
      </c>
      <c r="BF487" s="137">
        <v>250002</v>
      </c>
      <c r="BG487" s="137">
        <v>250002</v>
      </c>
      <c r="BH487" s="137">
        <v>250002</v>
      </c>
      <c r="BI487" s="137">
        <v>250002.00000000006</v>
      </c>
      <c r="BJ487" s="137">
        <v>0.94589999999999996</v>
      </c>
      <c r="BK487" s="137">
        <v>1.4706E-2</v>
      </c>
      <c r="BL487" s="113">
        <v>0</v>
      </c>
      <c r="BM487" s="113" t="s">
        <v>1663</v>
      </c>
      <c r="BN487" s="168">
        <v>0</v>
      </c>
      <c r="BO487" s="152">
        <v>0</v>
      </c>
      <c r="BP487" s="152">
        <v>0</v>
      </c>
      <c r="BQ487" s="137">
        <v>250002</v>
      </c>
      <c r="BR487" s="137">
        <v>0</v>
      </c>
      <c r="BS487" s="166" t="s">
        <v>1806</v>
      </c>
      <c r="BT487" s="168">
        <v>0.47333738855909557</v>
      </c>
      <c r="BU487" s="137">
        <v>46172.591602656823</v>
      </c>
      <c r="BV487" s="137">
        <v>14101.504232461588</v>
      </c>
      <c r="BW487" s="137">
        <v>0.30540854959612385</v>
      </c>
      <c r="BX487" s="89">
        <v>0.52666261144090443</v>
      </c>
      <c r="BY487" s="89">
        <v>0</v>
      </c>
      <c r="BZ487" s="153">
        <v>0</v>
      </c>
      <c r="CA487" s="153">
        <v>0</v>
      </c>
      <c r="CB487" s="153">
        <v>45974</v>
      </c>
      <c r="CC487" s="153">
        <v>45974</v>
      </c>
      <c r="CD487" s="153"/>
      <c r="CE487" s="153"/>
      <c r="CF487" s="153"/>
      <c r="CG487" s="34" t="s">
        <v>139</v>
      </c>
      <c r="CH487" s="34" t="s">
        <v>1329</v>
      </c>
    </row>
    <row r="488" spans="1:86" x14ac:dyDescent="0.3">
      <c r="A488" s="34">
        <v>23</v>
      </c>
      <c r="B488" s="34" t="s">
        <v>679</v>
      </c>
      <c r="C488" s="34" t="s">
        <v>1365</v>
      </c>
      <c r="D488" s="34" t="s">
        <v>133</v>
      </c>
      <c r="E488" s="34" t="s">
        <v>1336</v>
      </c>
      <c r="F488" s="34" t="s">
        <v>1805</v>
      </c>
      <c r="G488" s="34"/>
      <c r="H488" s="34" t="s">
        <v>1456</v>
      </c>
      <c r="I488" s="34" t="s">
        <v>682</v>
      </c>
      <c r="J488" s="34" t="s">
        <v>1806</v>
      </c>
      <c r="K488" s="34"/>
      <c r="L488" s="34">
        <v>2.8400000000000002E-2</v>
      </c>
      <c r="M488" s="34">
        <v>2.12E-2</v>
      </c>
      <c r="N488" s="153">
        <v>1</v>
      </c>
      <c r="O488" s="34">
        <v>0</v>
      </c>
      <c r="P488" s="34"/>
      <c r="Q488" s="153">
        <v>45064</v>
      </c>
      <c r="R488" s="153">
        <v>46168</v>
      </c>
      <c r="S488" s="34">
        <v>-35</v>
      </c>
      <c r="T488" s="34"/>
      <c r="U488" s="153" t="s">
        <v>1325</v>
      </c>
      <c r="V488" s="153" t="s">
        <v>1809</v>
      </c>
      <c r="W488" s="34">
        <v>1</v>
      </c>
      <c r="X488" s="166"/>
      <c r="Y488" s="137"/>
      <c r="Z488" s="137"/>
      <c r="AA488" s="137"/>
      <c r="AB488" s="137">
        <v>0</v>
      </c>
      <c r="AC488" s="137">
        <v>250000000</v>
      </c>
      <c r="AD488" s="137">
        <v>19476000</v>
      </c>
      <c r="AE488" s="137">
        <v>249999.6</v>
      </c>
      <c r="AF488" s="137">
        <v>249999.6</v>
      </c>
      <c r="AG488" s="137">
        <v>250000</v>
      </c>
      <c r="AH488" s="153"/>
      <c r="AI488" s="167">
        <v>0</v>
      </c>
      <c r="AJ488" s="153"/>
      <c r="AK488" s="153"/>
      <c r="AL488" s="154">
        <v>104.6</v>
      </c>
      <c r="AM488" s="154">
        <v>0.1623</v>
      </c>
      <c r="AN488" s="168" t="s">
        <v>1326</v>
      </c>
      <c r="AO488" s="168">
        <v>45790</v>
      </c>
      <c r="AP488" s="154">
        <v>0</v>
      </c>
      <c r="AQ488" s="168"/>
      <c r="AR488" s="155">
        <v>2.08333E-3</v>
      </c>
      <c r="AS488" s="152">
        <v>0.12371485</v>
      </c>
      <c r="AT488" s="154">
        <v>0</v>
      </c>
      <c r="AU488" s="137">
        <v>0.11846673000000001</v>
      </c>
      <c r="AV488" s="137">
        <v>0</v>
      </c>
      <c r="AW488" s="137">
        <v>40574.935079999996</v>
      </c>
      <c r="AX488" s="137">
        <v>31011.030524501981</v>
      </c>
      <c r="AY488" s="137">
        <v>261499.5816</v>
      </c>
      <c r="AZ488" s="137">
        <v>6157.467029405334</v>
      </c>
      <c r="BA488" s="137">
        <v>37635.065276524721</v>
      </c>
      <c r="BB488" s="137">
        <v>0</v>
      </c>
      <c r="BC488" s="137">
        <v>0</v>
      </c>
      <c r="BD488" s="137">
        <v>0</v>
      </c>
      <c r="BE488" s="137">
        <v>0</v>
      </c>
      <c r="BF488" s="137">
        <v>249999.59999999998</v>
      </c>
      <c r="BG488" s="137">
        <v>249999.6</v>
      </c>
      <c r="BH488" s="137">
        <v>249999.6</v>
      </c>
      <c r="BI488" s="137">
        <v>249999.60000000003</v>
      </c>
      <c r="BJ488" s="137">
        <v>0.97250000000000003</v>
      </c>
      <c r="BK488" s="137">
        <v>1.4705858823529412E-2</v>
      </c>
      <c r="BL488" s="113">
        <v>0</v>
      </c>
      <c r="BM488" s="113" t="s">
        <v>1663</v>
      </c>
      <c r="BN488" s="168">
        <v>0</v>
      </c>
      <c r="BO488" s="152">
        <v>0</v>
      </c>
      <c r="BP488" s="152">
        <v>0</v>
      </c>
      <c r="BQ488" s="137">
        <v>249999.6</v>
      </c>
      <c r="BR488" s="137">
        <v>0</v>
      </c>
      <c r="BS488" s="166" t="s">
        <v>1806</v>
      </c>
      <c r="BT488" s="168">
        <v>0.15175543761844348</v>
      </c>
      <c r="BU488" s="137">
        <v>26888.654430477698</v>
      </c>
      <c r="BV488" s="137">
        <v>34417.46805059466</v>
      </c>
      <c r="BW488" s="137">
        <v>1.2799996422127846</v>
      </c>
      <c r="BX488" s="89">
        <v>0.84824456238155643</v>
      </c>
      <c r="BY488" s="89">
        <v>0</v>
      </c>
      <c r="BZ488" s="153">
        <v>0</v>
      </c>
      <c r="CA488" s="153">
        <v>0</v>
      </c>
      <c r="CB488" s="153">
        <v>45790</v>
      </c>
      <c r="CC488" s="153">
        <v>45790</v>
      </c>
      <c r="CD488" s="153"/>
      <c r="CE488" s="153"/>
      <c r="CF488" s="153"/>
      <c r="CG488" s="34" t="s">
        <v>139</v>
      </c>
      <c r="CH488" s="34" t="s">
        <v>1333</v>
      </c>
    </row>
    <row r="489" spans="1:86" x14ac:dyDescent="0.3">
      <c r="A489" s="34">
        <v>24</v>
      </c>
      <c r="B489" s="34" t="s">
        <v>695</v>
      </c>
      <c r="C489" s="34" t="s">
        <v>1351</v>
      </c>
      <c r="D489" s="34" t="s">
        <v>150</v>
      </c>
      <c r="E489" s="34" t="s">
        <v>1336</v>
      </c>
      <c r="F489" s="34" t="s">
        <v>1805</v>
      </c>
      <c r="G489" s="34"/>
      <c r="H489" s="34" t="s">
        <v>1456</v>
      </c>
      <c r="I489" s="34" t="s">
        <v>697</v>
      </c>
      <c r="J489" s="34" t="s">
        <v>1806</v>
      </c>
      <c r="K489" s="34"/>
      <c r="L489" s="34">
        <v>0.02</v>
      </c>
      <c r="M489" s="34">
        <v>0</v>
      </c>
      <c r="N489" s="153">
        <v>1</v>
      </c>
      <c r="O489" s="34">
        <v>0</v>
      </c>
      <c r="P489" s="34"/>
      <c r="Q489" s="153">
        <v>45391</v>
      </c>
      <c r="R489" s="153">
        <v>46545</v>
      </c>
      <c r="S489" s="34">
        <v>342</v>
      </c>
      <c r="T489" s="34"/>
      <c r="U489" s="153" t="s">
        <v>1325</v>
      </c>
      <c r="V489" s="153" t="s">
        <v>1809</v>
      </c>
      <c r="W489" s="34">
        <v>1</v>
      </c>
      <c r="X489" s="166"/>
      <c r="Y489" s="137"/>
      <c r="Z489" s="137"/>
      <c r="AA489" s="137"/>
      <c r="AB489" s="137">
        <v>0</v>
      </c>
      <c r="AC489" s="137">
        <v>300000000</v>
      </c>
      <c r="AD489" s="137">
        <v>27228600</v>
      </c>
      <c r="AE489" s="137">
        <v>250000.80000000002</v>
      </c>
      <c r="AF489" s="137">
        <v>250000.80000000002</v>
      </c>
      <c r="AG489" s="137">
        <v>250000</v>
      </c>
      <c r="AH489" s="153"/>
      <c r="AI489" s="167">
        <v>0</v>
      </c>
      <c r="AJ489" s="153"/>
      <c r="AK489" s="153"/>
      <c r="AL489" s="154">
        <v>102.6</v>
      </c>
      <c r="AM489" s="154">
        <v>0.12966</v>
      </c>
      <c r="AN489" s="168" t="s">
        <v>1326</v>
      </c>
      <c r="AO489" s="168">
        <v>45761</v>
      </c>
      <c r="AP489" s="154">
        <v>0</v>
      </c>
      <c r="AQ489" s="168"/>
      <c r="AR489" s="155">
        <v>1.1904800000000001E-3</v>
      </c>
      <c r="AS489" s="152">
        <v>9.1247229999999999E-2</v>
      </c>
      <c r="AT489" s="154">
        <v>0</v>
      </c>
      <c r="AU489" s="137">
        <v>0.11921872999999999</v>
      </c>
      <c r="AV489" s="137">
        <v>0</v>
      </c>
      <c r="AW489" s="137">
        <v>32415.103728000002</v>
      </c>
      <c r="AX489" s="137">
        <v>225000.72</v>
      </c>
      <c r="AY489" s="137">
        <v>256500.82080000002</v>
      </c>
      <c r="AZ489" s="137">
        <v>4326.6511753483437</v>
      </c>
      <c r="BA489" s="137">
        <v>31900.149926613598</v>
      </c>
      <c r="BB489" s="137">
        <v>0</v>
      </c>
      <c r="BC489" s="137">
        <v>0</v>
      </c>
      <c r="BD489" s="137">
        <v>0</v>
      </c>
      <c r="BE489" s="137">
        <v>0</v>
      </c>
      <c r="BF489" s="137">
        <v>4762.8987747345946</v>
      </c>
      <c r="BG489" s="137">
        <v>250000.80000000002</v>
      </c>
      <c r="BH489" s="137">
        <v>250000.80000000002</v>
      </c>
      <c r="BI489" s="137">
        <v>250000.80000000002</v>
      </c>
      <c r="BJ489" s="137">
        <v>0.98089999999999999</v>
      </c>
      <c r="BK489" s="137">
        <v>1.4705929411764707E-2</v>
      </c>
      <c r="BL489" s="113">
        <v>0</v>
      </c>
      <c r="BM489" s="113" t="s">
        <v>1663</v>
      </c>
      <c r="BN489" s="168">
        <v>0</v>
      </c>
      <c r="BO489" s="152">
        <v>0</v>
      </c>
      <c r="BP489" s="152">
        <v>0</v>
      </c>
      <c r="BQ489" s="137">
        <v>250000.80000000002</v>
      </c>
      <c r="BR489" s="137">
        <v>0</v>
      </c>
      <c r="BS489" s="166" t="s">
        <v>1806</v>
      </c>
      <c r="BT489" s="168">
        <v>0.13347639457377408</v>
      </c>
      <c r="BU489" s="137">
        <v>167233.54241453207</v>
      </c>
      <c r="BV489" s="137">
        <v>28088.452552651659</v>
      </c>
      <c r="BW489" s="137">
        <v>0.16795944250841188</v>
      </c>
      <c r="BX489" s="89">
        <v>0.86652360542622597</v>
      </c>
      <c r="BY489" s="89">
        <v>0</v>
      </c>
      <c r="BZ489" s="153">
        <v>0</v>
      </c>
      <c r="CA489" s="153">
        <v>0</v>
      </c>
      <c r="CB489" s="153">
        <v>45761</v>
      </c>
      <c r="CC489" s="153">
        <v>45761</v>
      </c>
      <c r="CD489" s="153"/>
      <c r="CE489" s="153"/>
      <c r="CF489" s="153"/>
      <c r="CG489" s="34" t="s">
        <v>139</v>
      </c>
      <c r="CH489" s="34" t="s">
        <v>1333</v>
      </c>
    </row>
    <row r="490" spans="1:86" x14ac:dyDescent="0.3">
      <c r="A490" s="34">
        <v>25</v>
      </c>
      <c r="B490" s="34" t="s">
        <v>698</v>
      </c>
      <c r="C490" s="34" t="s">
        <v>1351</v>
      </c>
      <c r="D490" s="34" t="s">
        <v>699</v>
      </c>
      <c r="E490" s="34" t="s">
        <v>1336</v>
      </c>
      <c r="F490" s="34" t="s">
        <v>1805</v>
      </c>
      <c r="G490" s="34"/>
      <c r="H490" s="34" t="s">
        <v>1456</v>
      </c>
      <c r="I490" s="34" t="s">
        <v>700</v>
      </c>
      <c r="J490" s="34" t="s">
        <v>1806</v>
      </c>
      <c r="K490" s="34"/>
      <c r="L490" s="34">
        <v>2.1999999999999999E-2</v>
      </c>
      <c r="M490" s="34">
        <v>0</v>
      </c>
      <c r="N490" s="153">
        <v>1</v>
      </c>
      <c r="O490" s="34">
        <v>0</v>
      </c>
      <c r="P490" s="34"/>
      <c r="Q490" s="153">
        <v>45112</v>
      </c>
      <c r="R490" s="153">
        <v>46178</v>
      </c>
      <c r="S490" s="34">
        <v>-25</v>
      </c>
      <c r="T490" s="34"/>
      <c r="U490" s="153" t="s">
        <v>1325</v>
      </c>
      <c r="V490" s="153" t="s">
        <v>1809</v>
      </c>
      <c r="W490" s="34">
        <v>1</v>
      </c>
      <c r="X490" s="166"/>
      <c r="Y490" s="137"/>
      <c r="Z490" s="137"/>
      <c r="AA490" s="137"/>
      <c r="AB490" s="137">
        <v>0</v>
      </c>
      <c r="AC490" s="137">
        <v>100000000</v>
      </c>
      <c r="AD490" s="137">
        <v>14446480</v>
      </c>
      <c r="AE490" s="137">
        <v>250000</v>
      </c>
      <c r="AF490" s="137">
        <v>250000</v>
      </c>
      <c r="AG490" s="137">
        <v>250000</v>
      </c>
      <c r="AH490" s="153"/>
      <c r="AI490" s="167">
        <v>0</v>
      </c>
      <c r="AJ490" s="153"/>
      <c r="AK490" s="153"/>
      <c r="AL490" s="154">
        <v>102.9</v>
      </c>
      <c r="AM490" s="154">
        <v>0.1444648</v>
      </c>
      <c r="AN490" s="168" t="s">
        <v>1326</v>
      </c>
      <c r="AO490" s="168">
        <v>45908</v>
      </c>
      <c r="AP490" s="154">
        <v>0</v>
      </c>
      <c r="AQ490" s="168"/>
      <c r="AR490" s="155">
        <v>2.5000000000000001E-3</v>
      </c>
      <c r="AS490" s="152">
        <v>0.10575252</v>
      </c>
      <c r="AT490" s="154">
        <v>0</v>
      </c>
      <c r="AU490" s="137">
        <v>0.10023182999999999</v>
      </c>
      <c r="AV490" s="137">
        <v>0</v>
      </c>
      <c r="AW490" s="137">
        <v>36116.199999999997</v>
      </c>
      <c r="AX490" s="137">
        <v>225000</v>
      </c>
      <c r="AY490" s="137">
        <v>257250</v>
      </c>
      <c r="AZ490" s="137">
        <v>5230.9689778766369</v>
      </c>
      <c r="BA490" s="137">
        <v>35499.774798738916</v>
      </c>
      <c r="BB490" s="137">
        <v>0</v>
      </c>
      <c r="BC490" s="137">
        <v>0</v>
      </c>
      <c r="BD490" s="137">
        <v>0</v>
      </c>
      <c r="BE490" s="137">
        <v>0</v>
      </c>
      <c r="BF490" s="137">
        <v>249999.99999999997</v>
      </c>
      <c r="BG490" s="137">
        <v>250000</v>
      </c>
      <c r="BH490" s="137">
        <v>250000</v>
      </c>
      <c r="BI490" s="137">
        <v>250000</v>
      </c>
      <c r="BJ490" s="137">
        <v>0.97850000000000004</v>
      </c>
      <c r="BK490" s="137">
        <v>1.4705882352941176E-2</v>
      </c>
      <c r="BL490" s="113">
        <v>0</v>
      </c>
      <c r="BM490" s="113" t="s">
        <v>1663</v>
      </c>
      <c r="BN490" s="168">
        <v>0</v>
      </c>
      <c r="BO490" s="152">
        <v>0</v>
      </c>
      <c r="BP490" s="152">
        <v>0</v>
      </c>
      <c r="BQ490" s="137">
        <v>250000</v>
      </c>
      <c r="BR490" s="137">
        <v>0</v>
      </c>
      <c r="BS490" s="166" t="s">
        <v>1806</v>
      </c>
      <c r="BT490" s="168">
        <v>0.14483719156158836</v>
      </c>
      <c r="BU490" s="137">
        <v>174922.27201389716</v>
      </c>
      <c r="BV490" s="137">
        <v>30885.23102212336</v>
      </c>
      <c r="BW490" s="137">
        <v>0.17656545771180929</v>
      </c>
      <c r="BX490" s="89">
        <v>0.85516280843841164</v>
      </c>
      <c r="BY490" s="89">
        <v>0</v>
      </c>
      <c r="BZ490" s="153">
        <v>0</v>
      </c>
      <c r="CA490" s="153">
        <v>0</v>
      </c>
      <c r="CB490" s="153">
        <v>45908</v>
      </c>
      <c r="CC490" s="153">
        <v>45908</v>
      </c>
      <c r="CD490" s="153"/>
      <c r="CE490" s="153"/>
      <c r="CF490" s="153"/>
      <c r="CG490" s="34" t="s">
        <v>139</v>
      </c>
      <c r="CH490" s="34" t="s">
        <v>1333</v>
      </c>
    </row>
    <row r="491" spans="1:86" x14ac:dyDescent="0.3">
      <c r="A491" s="34">
        <v>26</v>
      </c>
      <c r="B491" s="34" t="s">
        <v>709</v>
      </c>
      <c r="C491" s="34" t="s">
        <v>1327</v>
      </c>
      <c r="D491" s="34" t="s">
        <v>133</v>
      </c>
      <c r="E491" s="34" t="s">
        <v>1374</v>
      </c>
      <c r="F491" s="34" t="s">
        <v>1805</v>
      </c>
      <c r="G491" s="34"/>
      <c r="H491" s="34" t="s">
        <v>1456</v>
      </c>
      <c r="I491" s="34" t="s">
        <v>710</v>
      </c>
      <c r="J491" s="34" t="s">
        <v>1806</v>
      </c>
      <c r="K491" s="34"/>
      <c r="L491" s="34">
        <v>1.7000000000000001E-2</v>
      </c>
      <c r="M491" s="34">
        <v>1.43E-2</v>
      </c>
      <c r="N491" s="153">
        <v>1</v>
      </c>
      <c r="O491" s="34">
        <v>0</v>
      </c>
      <c r="P491" s="34"/>
      <c r="Q491" s="153">
        <v>45040</v>
      </c>
      <c r="R491" s="153">
        <v>46882</v>
      </c>
      <c r="S491" s="34">
        <v>679</v>
      </c>
      <c r="T491" s="34"/>
      <c r="U491" s="153" t="s">
        <v>1325</v>
      </c>
      <c r="V491" s="153" t="s">
        <v>1807</v>
      </c>
      <c r="W491" s="34">
        <v>1</v>
      </c>
      <c r="X491" s="166"/>
      <c r="Y491" s="137"/>
      <c r="Z491" s="137"/>
      <c r="AA491" s="137"/>
      <c r="AB491" s="137">
        <v>0</v>
      </c>
      <c r="AC491" s="137">
        <v>150000000</v>
      </c>
      <c r="AD491" s="137">
        <v>11692875</v>
      </c>
      <c r="AE491" s="137">
        <v>250000.5</v>
      </c>
      <c r="AF491" s="137">
        <v>250000.5</v>
      </c>
      <c r="AG491" s="137">
        <v>250000</v>
      </c>
      <c r="AH491" s="153"/>
      <c r="AI491" s="167">
        <v>0</v>
      </c>
      <c r="AJ491" s="153"/>
      <c r="AK491" s="153"/>
      <c r="AL491" s="154">
        <v>104.5</v>
      </c>
      <c r="AM491" s="154">
        <v>7.7952499999999994E-2</v>
      </c>
      <c r="AN491" s="168" t="s">
        <v>1326</v>
      </c>
      <c r="AO491" s="168">
        <v>45917</v>
      </c>
      <c r="AP491" s="154">
        <v>0</v>
      </c>
      <c r="AQ491" s="168"/>
      <c r="AR491" s="155">
        <v>1.6666700000000001E-3</v>
      </c>
      <c r="AS491" s="152">
        <v>3.9735449999999999E-2</v>
      </c>
      <c r="AT491" s="154">
        <v>0</v>
      </c>
      <c r="AU491" s="137">
        <v>6.1684509999999998E-2</v>
      </c>
      <c r="AV491" s="137">
        <v>0</v>
      </c>
      <c r="AW491" s="137">
        <v>19488.163976249998</v>
      </c>
      <c r="AX491" s="137">
        <v>0</v>
      </c>
      <c r="AY491" s="137">
        <v>261250.52249999999</v>
      </c>
      <c r="AZ491" s="137">
        <v>3849.7341215528413</v>
      </c>
      <c r="BA491" s="137">
        <v>30359.381513623888</v>
      </c>
      <c r="BB491" s="137">
        <v>0</v>
      </c>
      <c r="BC491" s="137">
        <v>0</v>
      </c>
      <c r="BD491" s="137">
        <v>0</v>
      </c>
      <c r="BE491" s="137">
        <v>0</v>
      </c>
      <c r="BF491" s="137">
        <v>0</v>
      </c>
      <c r="BG491" s="137">
        <v>250000.49999999997</v>
      </c>
      <c r="BH491" s="137">
        <v>250000.5</v>
      </c>
      <c r="BI491" s="137">
        <v>250000.5</v>
      </c>
      <c r="BJ491" s="137">
        <v>0.98350000000000004</v>
      </c>
      <c r="BK491" s="137">
        <v>1.4705911764705882E-2</v>
      </c>
      <c r="BL491" s="113">
        <v>0</v>
      </c>
      <c r="BM491" s="113" t="s">
        <v>1663</v>
      </c>
      <c r="BN491" s="168">
        <v>0</v>
      </c>
      <c r="BO491" s="152">
        <v>0</v>
      </c>
      <c r="BP491" s="152">
        <v>0</v>
      </c>
      <c r="BQ491" s="137">
        <v>250000.5</v>
      </c>
      <c r="BR491" s="137">
        <v>0</v>
      </c>
      <c r="BS491" s="166" t="s">
        <v>1806</v>
      </c>
      <c r="BT491" s="168">
        <v>0.19754216591385768</v>
      </c>
      <c r="BU491" s="137">
        <v>10000.02</v>
      </c>
      <c r="BV491" s="137">
        <v>15638.429854697157</v>
      </c>
      <c r="BW491" s="137">
        <v>1.5638398577900001</v>
      </c>
      <c r="BX491" s="89">
        <v>0.80245783408614235</v>
      </c>
      <c r="BY491" s="89">
        <v>0</v>
      </c>
      <c r="BZ491" s="153">
        <v>0</v>
      </c>
      <c r="CA491" s="153">
        <v>0</v>
      </c>
      <c r="CB491" s="153">
        <v>45917</v>
      </c>
      <c r="CC491" s="153">
        <v>45917</v>
      </c>
      <c r="CD491" s="153"/>
      <c r="CE491" s="153"/>
      <c r="CF491" s="153"/>
      <c r="CG491" s="34" t="s">
        <v>139</v>
      </c>
      <c r="CH491" s="34" t="s">
        <v>1329</v>
      </c>
    </row>
    <row r="492" spans="1:86" x14ac:dyDescent="0.3">
      <c r="A492" s="34">
        <v>27</v>
      </c>
      <c r="B492" s="34" t="s">
        <v>711</v>
      </c>
      <c r="C492" s="34" t="s">
        <v>1327</v>
      </c>
      <c r="D492" s="34" t="s">
        <v>150</v>
      </c>
      <c r="E492" s="34" t="s">
        <v>1328</v>
      </c>
      <c r="F492" s="34" t="s">
        <v>1805</v>
      </c>
      <c r="G492" s="34"/>
      <c r="H492" s="34" t="s">
        <v>1456</v>
      </c>
      <c r="I492" s="34" t="s">
        <v>714</v>
      </c>
      <c r="J492" s="34" t="s">
        <v>1806</v>
      </c>
      <c r="K492" s="34"/>
      <c r="L492" s="34">
        <v>8.0999999999999996E-3</v>
      </c>
      <c r="M492" s="34">
        <v>7.7000000000000002E-3</v>
      </c>
      <c r="N492" s="153">
        <v>1</v>
      </c>
      <c r="O492" s="34">
        <v>0</v>
      </c>
      <c r="P492" s="34"/>
      <c r="Q492" s="153">
        <v>45405</v>
      </c>
      <c r="R492" s="153">
        <v>47212</v>
      </c>
      <c r="S492" s="34">
        <v>1009</v>
      </c>
      <c r="T492" s="34"/>
      <c r="U492" s="153" t="s">
        <v>1325</v>
      </c>
      <c r="V492" s="153" t="s">
        <v>1807</v>
      </c>
      <c r="W492" s="34">
        <v>1</v>
      </c>
      <c r="X492" s="166"/>
      <c r="Y492" s="137"/>
      <c r="Z492" s="137"/>
      <c r="AA492" s="137"/>
      <c r="AB492" s="137">
        <v>0</v>
      </c>
      <c r="AC492" s="137">
        <v>150000000</v>
      </c>
      <c r="AD492" s="137">
        <v>9324720</v>
      </c>
      <c r="AE492" s="137">
        <v>250000.5</v>
      </c>
      <c r="AF492" s="137">
        <v>250000.5</v>
      </c>
      <c r="AG492" s="137">
        <v>250000</v>
      </c>
      <c r="AH492" s="153"/>
      <c r="AI492" s="167">
        <v>0</v>
      </c>
      <c r="AJ492" s="153"/>
      <c r="AK492" s="153"/>
      <c r="AL492" s="154">
        <v>101</v>
      </c>
      <c r="AM492" s="154">
        <v>6.2164799999999999E-2</v>
      </c>
      <c r="AN492" s="168" t="s">
        <v>1326</v>
      </c>
      <c r="AO492" s="168">
        <v>45749</v>
      </c>
      <c r="AP492" s="154">
        <v>0</v>
      </c>
      <c r="AQ492" s="168"/>
      <c r="AR492" s="155">
        <v>1.6666700000000001E-3</v>
      </c>
      <c r="AS492" s="152">
        <v>2.3430280000000001E-2</v>
      </c>
      <c r="AT492" s="154">
        <v>0</v>
      </c>
      <c r="AU492" s="137">
        <v>5.6722120000000001E-2</v>
      </c>
      <c r="AV492" s="137">
        <v>0</v>
      </c>
      <c r="AW492" s="137">
        <v>15541.2310824</v>
      </c>
      <c r="AX492" s="137">
        <v>0</v>
      </c>
      <c r="AY492" s="137">
        <v>252500.505</v>
      </c>
      <c r="AZ492" s="137">
        <v>1971.5092803013679</v>
      </c>
      <c r="BA492" s="137">
        <v>22005.247728234022</v>
      </c>
      <c r="BB492" s="137">
        <v>0</v>
      </c>
      <c r="BC492" s="137">
        <v>0</v>
      </c>
      <c r="BD492" s="137">
        <v>0</v>
      </c>
      <c r="BE492" s="137">
        <v>0</v>
      </c>
      <c r="BF492" s="137">
        <v>0</v>
      </c>
      <c r="BG492" s="137">
        <v>0</v>
      </c>
      <c r="BH492" s="137">
        <v>0</v>
      </c>
      <c r="BI492" s="137">
        <v>250000.5</v>
      </c>
      <c r="BJ492" s="137">
        <v>0.9919</v>
      </c>
      <c r="BK492" s="137">
        <v>1.4705911764705882E-2</v>
      </c>
      <c r="BL492" s="113">
        <v>0</v>
      </c>
      <c r="BM492" s="113" t="s">
        <v>1663</v>
      </c>
      <c r="BN492" s="168">
        <v>0</v>
      </c>
      <c r="BO492" s="152">
        <v>0</v>
      </c>
      <c r="BP492" s="152">
        <v>0</v>
      </c>
      <c r="BQ492" s="137">
        <v>250000.5</v>
      </c>
      <c r="BR492" s="137">
        <v>0</v>
      </c>
      <c r="BS492" s="166" t="s">
        <v>1806</v>
      </c>
      <c r="BT492" s="168">
        <v>0.12685669943702502</v>
      </c>
      <c r="BU492" s="137">
        <v>5000.0100000000011</v>
      </c>
      <c r="BV492" s="137">
        <v>13569.721802098631</v>
      </c>
      <c r="BW492" s="137">
        <v>2.7139389325418604</v>
      </c>
      <c r="BX492" s="89">
        <v>0.87314330056297496</v>
      </c>
      <c r="BY492" s="89">
        <v>0</v>
      </c>
      <c r="BZ492" s="153">
        <v>0</v>
      </c>
      <c r="CA492" s="153">
        <v>0</v>
      </c>
      <c r="CB492" s="153">
        <v>45749</v>
      </c>
      <c r="CC492" s="153">
        <v>45749</v>
      </c>
      <c r="CD492" s="153"/>
      <c r="CE492" s="153"/>
      <c r="CF492" s="153"/>
      <c r="CG492" s="34" t="s">
        <v>139</v>
      </c>
      <c r="CH492" s="34" t="s">
        <v>1329</v>
      </c>
    </row>
    <row r="493" spans="1:86" x14ac:dyDescent="0.3">
      <c r="A493" s="34">
        <v>28</v>
      </c>
      <c r="B493" s="34" t="s">
        <v>744</v>
      </c>
      <c r="C493" s="34" t="s">
        <v>1364</v>
      </c>
      <c r="D493" s="34" t="s">
        <v>159</v>
      </c>
      <c r="E493" s="34" t="s">
        <v>1336</v>
      </c>
      <c r="F493" s="34"/>
      <c r="G493" s="34"/>
      <c r="H493" s="34" t="s">
        <v>1456</v>
      </c>
      <c r="I493" s="34" t="s">
        <v>747</v>
      </c>
      <c r="J493" s="34" t="s">
        <v>1806</v>
      </c>
      <c r="K493" s="34"/>
      <c r="L493" s="34">
        <v>2.4199999999999999E-2</v>
      </c>
      <c r="M493" s="34">
        <v>0</v>
      </c>
      <c r="N493" s="153">
        <v>1</v>
      </c>
      <c r="O493" s="34">
        <v>0</v>
      </c>
      <c r="P493" s="34"/>
      <c r="Q493" s="153">
        <v>45791</v>
      </c>
      <c r="R493" s="153">
        <v>46911</v>
      </c>
      <c r="S493" s="34">
        <v>708</v>
      </c>
      <c r="T493" s="34"/>
      <c r="U493" s="153" t="s">
        <v>1325</v>
      </c>
      <c r="V493" s="153" t="s">
        <v>1807</v>
      </c>
      <c r="W493" s="34">
        <v>1</v>
      </c>
      <c r="X493" s="166"/>
      <c r="Y493" s="137"/>
      <c r="Z493" s="137"/>
      <c r="AA493" s="137"/>
      <c r="AB493" s="137">
        <v>0</v>
      </c>
      <c r="AC493" s="137">
        <v>1427000000</v>
      </c>
      <c r="AD493" s="137">
        <v>23900000</v>
      </c>
      <c r="AE493" s="137">
        <v>250000</v>
      </c>
      <c r="AF493" s="137">
        <v>250000</v>
      </c>
      <c r="AG493" s="137">
        <v>250000</v>
      </c>
      <c r="AH493" s="153"/>
      <c r="AI493" s="167">
        <v>0</v>
      </c>
      <c r="AJ493" s="153"/>
      <c r="AK493" s="153"/>
      <c r="AL493" s="154">
        <v>105.6</v>
      </c>
      <c r="AM493" s="154">
        <v>9.5600000000000004E-2</v>
      </c>
      <c r="AN493" s="168" t="s">
        <v>1326</v>
      </c>
      <c r="AO493" s="168">
        <v>45964</v>
      </c>
      <c r="AP493" s="154">
        <v>0</v>
      </c>
      <c r="AQ493" s="168"/>
      <c r="AR493" s="155">
        <v>1E-3</v>
      </c>
      <c r="AS493" s="152">
        <v>5.7469029999999997E-2</v>
      </c>
      <c r="AT493" s="154">
        <v>0</v>
      </c>
      <c r="AU493" s="137">
        <v>7.2376590000000005E-2</v>
      </c>
      <c r="AV493" s="137">
        <v>0</v>
      </c>
      <c r="AW493" s="137">
        <v>23900</v>
      </c>
      <c r="AX493" s="137">
        <v>18989.286842425248</v>
      </c>
      <c r="AY493" s="137">
        <v>264000</v>
      </c>
      <c r="AZ493" s="137">
        <v>5081.9171091265471</v>
      </c>
      <c r="BA493" s="137">
        <v>34300.39347682213</v>
      </c>
      <c r="BB493" s="137">
        <v>0</v>
      </c>
      <c r="BC493" s="137">
        <v>0</v>
      </c>
      <c r="BD493" s="137">
        <v>0</v>
      </c>
      <c r="BE493" s="137">
        <v>0</v>
      </c>
      <c r="BF493" s="137">
        <v>127382.79656987668</v>
      </c>
      <c r="BG493" s="137">
        <v>249999.99717000002</v>
      </c>
      <c r="BH493" s="137">
        <v>249999.99717000002</v>
      </c>
      <c r="BI493" s="137">
        <v>249999.99717000005</v>
      </c>
      <c r="BJ493" s="137">
        <v>0.9768</v>
      </c>
      <c r="BK493" s="137">
        <v>1.4705882352941176E-2</v>
      </c>
      <c r="BL493" s="113">
        <v>0</v>
      </c>
      <c r="BM493" s="113" t="s">
        <v>1663</v>
      </c>
      <c r="BN493" s="168">
        <v>0</v>
      </c>
      <c r="BO493" s="152">
        <v>0</v>
      </c>
      <c r="BP493" s="152">
        <v>0</v>
      </c>
      <c r="BQ493" s="137">
        <v>250000</v>
      </c>
      <c r="BR493" s="137">
        <v>0</v>
      </c>
      <c r="BS493" s="166" t="s">
        <v>1806</v>
      </c>
      <c r="BT493" s="168">
        <v>0.21263251502621536</v>
      </c>
      <c r="BU493" s="137">
        <v>26563.121932644783</v>
      </c>
      <c r="BV493" s="137">
        <v>18818.082890873455</v>
      </c>
      <c r="BW493" s="137">
        <v>0.7084288864309638</v>
      </c>
      <c r="BX493" s="89">
        <v>0.78736748497378473</v>
      </c>
      <c r="BY493" s="89">
        <v>0</v>
      </c>
      <c r="BZ493" s="153">
        <v>0</v>
      </c>
      <c r="CA493" s="153">
        <v>0</v>
      </c>
      <c r="CB493" s="153">
        <v>45964</v>
      </c>
      <c r="CC493" s="153">
        <v>45964</v>
      </c>
      <c r="CD493" s="153"/>
      <c r="CE493" s="153"/>
      <c r="CF493" s="153"/>
      <c r="CG493" s="34" t="s">
        <v>139</v>
      </c>
      <c r="CH493" s="34" t="s">
        <v>1329</v>
      </c>
    </row>
    <row r="494" spans="1:86" x14ac:dyDescent="0.3">
      <c r="A494" s="34">
        <v>29</v>
      </c>
      <c r="B494" s="34" t="s">
        <v>815</v>
      </c>
      <c r="C494" s="34" t="s">
        <v>1368</v>
      </c>
      <c r="D494" s="34" t="s">
        <v>150</v>
      </c>
      <c r="E494" s="34" t="s">
        <v>1336</v>
      </c>
      <c r="F494" s="34"/>
      <c r="G494" s="34"/>
      <c r="H494" s="34" t="s">
        <v>1456</v>
      </c>
      <c r="I494" s="34" t="s">
        <v>818</v>
      </c>
      <c r="J494" s="34" t="s">
        <v>1806</v>
      </c>
      <c r="K494" s="34"/>
      <c r="L494" s="34">
        <v>2.9600000000000001E-2</v>
      </c>
      <c r="M494" s="34">
        <v>2.1499999999999998E-2</v>
      </c>
      <c r="N494" s="153">
        <v>1</v>
      </c>
      <c r="O494" s="34">
        <v>0</v>
      </c>
      <c r="P494" s="34"/>
      <c r="Q494" s="153">
        <v>45593</v>
      </c>
      <c r="R494" s="153">
        <v>46742</v>
      </c>
      <c r="S494" s="34">
        <v>539</v>
      </c>
      <c r="T494" s="34"/>
      <c r="U494" s="153" t="s">
        <v>1325</v>
      </c>
      <c r="V494" s="153" t="s">
        <v>1807</v>
      </c>
      <c r="W494" s="34">
        <v>1</v>
      </c>
      <c r="X494" s="166"/>
      <c r="Y494" s="137"/>
      <c r="Z494" s="137"/>
      <c r="AA494" s="137"/>
      <c r="AB494" s="137">
        <v>0</v>
      </c>
      <c r="AC494" s="137">
        <v>95000000</v>
      </c>
      <c r="AD494" s="137">
        <v>9319500</v>
      </c>
      <c r="AE494" s="137">
        <v>250000.1</v>
      </c>
      <c r="AF494" s="137">
        <v>250000.1</v>
      </c>
      <c r="AG494" s="137">
        <v>250000</v>
      </c>
      <c r="AH494" s="153"/>
      <c r="AI494" s="167">
        <v>0</v>
      </c>
      <c r="AJ494" s="153"/>
      <c r="AK494" s="153"/>
      <c r="AL494" s="154">
        <v>101.85</v>
      </c>
      <c r="AM494" s="154">
        <v>9.8100000000000007E-2</v>
      </c>
      <c r="AN494" s="168" t="s">
        <v>1326</v>
      </c>
      <c r="AO494" s="168">
        <v>45797</v>
      </c>
      <c r="AP494" s="154">
        <v>0</v>
      </c>
      <c r="AQ494" s="168"/>
      <c r="AR494" s="155">
        <v>2.6315800000000001E-3</v>
      </c>
      <c r="AS494" s="152">
        <v>5.9943969999999999E-2</v>
      </c>
      <c r="AT494" s="154">
        <v>0</v>
      </c>
      <c r="AU494" s="137">
        <v>9.311324E-2</v>
      </c>
      <c r="AV494" s="137">
        <v>0</v>
      </c>
      <c r="AW494" s="137">
        <v>24525.009810000003</v>
      </c>
      <c r="AX494" s="137">
        <v>0</v>
      </c>
      <c r="AY494" s="137">
        <v>254625.10184999998</v>
      </c>
      <c r="AZ494" s="137">
        <v>6291.3599206475646</v>
      </c>
      <c r="BA494" s="137">
        <v>38089.307306749899</v>
      </c>
      <c r="BB494" s="137">
        <v>0</v>
      </c>
      <c r="BC494" s="137">
        <v>0</v>
      </c>
      <c r="BD494" s="137">
        <v>0</v>
      </c>
      <c r="BE494" s="137">
        <v>0</v>
      </c>
      <c r="BF494" s="137">
        <v>250000.09999999998</v>
      </c>
      <c r="BG494" s="137">
        <v>250000.1</v>
      </c>
      <c r="BH494" s="137">
        <v>250000.1</v>
      </c>
      <c r="BI494" s="137">
        <v>250000.1</v>
      </c>
      <c r="BJ494" s="137">
        <v>0.97130000000000005</v>
      </c>
      <c r="BK494" s="137">
        <v>1.4705888235294118E-2</v>
      </c>
      <c r="BL494" s="113">
        <v>0</v>
      </c>
      <c r="BM494" s="113" t="s">
        <v>1663</v>
      </c>
      <c r="BN494" s="168">
        <v>0</v>
      </c>
      <c r="BO494" s="152">
        <v>0</v>
      </c>
      <c r="BP494" s="152">
        <v>0</v>
      </c>
      <c r="BQ494" s="137">
        <v>250000.1</v>
      </c>
      <c r="BR494" s="137">
        <v>0</v>
      </c>
      <c r="BS494" s="166" t="s">
        <v>1806</v>
      </c>
      <c r="BT494" s="168">
        <v>0.25652833452006535</v>
      </c>
      <c r="BU494" s="137">
        <v>32500.013000000006</v>
      </c>
      <c r="BV494" s="137">
        <v>18233.64988935244</v>
      </c>
      <c r="BW494" s="137">
        <v>0.56103515679678151</v>
      </c>
      <c r="BX494" s="89">
        <v>0.74347166547993471</v>
      </c>
      <c r="BY494" s="89">
        <v>0</v>
      </c>
      <c r="BZ494" s="153">
        <v>0</v>
      </c>
      <c r="CA494" s="153">
        <v>0</v>
      </c>
      <c r="CB494" s="153">
        <v>45797</v>
      </c>
      <c r="CC494" s="153">
        <v>45797</v>
      </c>
      <c r="CD494" s="153"/>
      <c r="CE494" s="153"/>
      <c r="CF494" s="153"/>
      <c r="CG494" s="34" t="s">
        <v>139</v>
      </c>
      <c r="CH494" s="34" t="s">
        <v>1333</v>
      </c>
    </row>
    <row r="495" spans="1:86" x14ac:dyDescent="0.3">
      <c r="A495" s="34">
        <v>30</v>
      </c>
      <c r="B495" s="34" t="s">
        <v>856</v>
      </c>
      <c r="C495" s="34" t="s">
        <v>1337</v>
      </c>
      <c r="D495" s="34" t="s">
        <v>167</v>
      </c>
      <c r="E495" s="34" t="s">
        <v>1338</v>
      </c>
      <c r="F495" s="34" t="s">
        <v>1805</v>
      </c>
      <c r="G495" s="34"/>
      <c r="H495" s="34" t="s">
        <v>1456</v>
      </c>
      <c r="I495" s="34" t="s">
        <v>858</v>
      </c>
      <c r="J495" s="34" t="s">
        <v>1806</v>
      </c>
      <c r="K495" s="34"/>
      <c r="L495" s="34">
        <v>1.5900000000000001E-2</v>
      </c>
      <c r="M495" s="34">
        <v>0</v>
      </c>
      <c r="N495" s="153">
        <v>1</v>
      </c>
      <c r="O495" s="34">
        <v>0</v>
      </c>
      <c r="P495" s="34"/>
      <c r="Q495" s="153">
        <v>44650</v>
      </c>
      <c r="R495" s="153">
        <v>46119</v>
      </c>
      <c r="S495" s="34">
        <v>-84</v>
      </c>
      <c r="T495" s="34"/>
      <c r="U495" s="153" t="s">
        <v>1325</v>
      </c>
      <c r="V495" s="153" t="s">
        <v>1807</v>
      </c>
      <c r="W495" s="34">
        <v>1</v>
      </c>
      <c r="X495" s="166"/>
      <c r="Y495" s="137"/>
      <c r="Z495" s="137"/>
      <c r="AA495" s="137"/>
      <c r="AB495" s="137">
        <v>0</v>
      </c>
      <c r="AC495" s="137">
        <v>100000000</v>
      </c>
      <c r="AD495" s="137">
        <v>7992000.0000000019</v>
      </c>
      <c r="AE495" s="137">
        <v>249999.60000000003</v>
      </c>
      <c r="AF495" s="137">
        <v>249999.60000000003</v>
      </c>
      <c r="AG495" s="137">
        <v>250000</v>
      </c>
      <c r="AH495" s="153"/>
      <c r="AI495" s="167">
        <v>0</v>
      </c>
      <c r="AJ495" s="153"/>
      <c r="AK495" s="153"/>
      <c r="AL495" s="154">
        <v>101</v>
      </c>
      <c r="AM495" s="154">
        <v>6.6600000000000006E-2</v>
      </c>
      <c r="AN495" s="168" t="s">
        <v>1326</v>
      </c>
      <c r="AO495" s="168">
        <v>45751</v>
      </c>
      <c r="AP495" s="154">
        <v>0</v>
      </c>
      <c r="AQ495" s="168"/>
      <c r="AR495" s="155">
        <v>2.08333E-3</v>
      </c>
      <c r="AS495" s="152">
        <v>2.8000799999999999E-2</v>
      </c>
      <c r="AT495" s="154">
        <v>0</v>
      </c>
      <c r="AU495" s="137">
        <v>5.962858E-2</v>
      </c>
      <c r="AV495" s="137">
        <v>0</v>
      </c>
      <c r="AW495" s="137">
        <v>16649.973360000004</v>
      </c>
      <c r="AX495" s="137">
        <v>0</v>
      </c>
      <c r="AY495" s="137">
        <v>252499.59600000005</v>
      </c>
      <c r="AZ495" s="137">
        <v>3783.1094999501311</v>
      </c>
      <c r="BA495" s="137">
        <v>30259.525223829885</v>
      </c>
      <c r="BB495" s="137">
        <v>0</v>
      </c>
      <c r="BC495" s="137">
        <v>0</v>
      </c>
      <c r="BD495" s="137">
        <v>0</v>
      </c>
      <c r="BE495" s="137">
        <v>0</v>
      </c>
      <c r="BF495" s="137">
        <v>0</v>
      </c>
      <c r="BG495" s="137">
        <v>249999.59999999998</v>
      </c>
      <c r="BH495" s="137">
        <v>249999.6</v>
      </c>
      <c r="BI495" s="137">
        <v>249999.60000000003</v>
      </c>
      <c r="BJ495" s="137">
        <v>0.98429999999999995</v>
      </c>
      <c r="BK495" s="137">
        <v>1.4705858823529414E-2</v>
      </c>
      <c r="BL495" s="113">
        <v>0</v>
      </c>
      <c r="BM495" s="113" t="s">
        <v>1663</v>
      </c>
      <c r="BN495" s="168">
        <v>0</v>
      </c>
      <c r="BO495" s="152">
        <v>0</v>
      </c>
      <c r="BP495" s="152">
        <v>0</v>
      </c>
      <c r="BQ495" s="137">
        <v>249999.60000000003</v>
      </c>
      <c r="BR495" s="137">
        <v>0</v>
      </c>
      <c r="BS495" s="166" t="s">
        <v>1806</v>
      </c>
      <c r="BT495" s="168">
        <v>0.22721414732342432</v>
      </c>
      <c r="BU495" s="137">
        <v>0</v>
      </c>
      <c r="BV495" s="137">
        <v>12866.863860049873</v>
      </c>
      <c r="BW495" s="137">
        <v>0</v>
      </c>
      <c r="BX495" s="89">
        <v>0.77278585267657562</v>
      </c>
      <c r="BY495" s="89">
        <v>0</v>
      </c>
      <c r="BZ495" s="153">
        <v>0</v>
      </c>
      <c r="CA495" s="153">
        <v>0</v>
      </c>
      <c r="CB495" s="153">
        <v>45751</v>
      </c>
      <c r="CC495" s="153">
        <v>45751</v>
      </c>
      <c r="CD495" s="153"/>
      <c r="CE495" s="153"/>
      <c r="CF495" s="153"/>
      <c r="CG495" s="34" t="s">
        <v>139</v>
      </c>
      <c r="CH495" s="34" t="s">
        <v>1333</v>
      </c>
    </row>
    <row r="496" spans="1:86" x14ac:dyDescent="0.3">
      <c r="A496" s="34">
        <v>31</v>
      </c>
      <c r="B496" s="34" t="s">
        <v>876</v>
      </c>
      <c r="C496" s="34" t="s">
        <v>1359</v>
      </c>
      <c r="D496" s="34" t="s">
        <v>150</v>
      </c>
      <c r="E496" s="34" t="s">
        <v>1336</v>
      </c>
      <c r="F496" s="34" t="s">
        <v>1805</v>
      </c>
      <c r="G496" s="34"/>
      <c r="H496" s="34" t="s">
        <v>1456</v>
      </c>
      <c r="I496" s="34" t="s">
        <v>879</v>
      </c>
      <c r="J496" s="34" t="s">
        <v>1806</v>
      </c>
      <c r="K496" s="34"/>
      <c r="L496" s="34">
        <v>3.9699999999999999E-2</v>
      </c>
      <c r="M496" s="34">
        <v>0</v>
      </c>
      <c r="N496" s="153">
        <v>1</v>
      </c>
      <c r="O496" s="34">
        <v>0</v>
      </c>
      <c r="P496" s="34"/>
      <c r="Q496" s="153">
        <v>45393</v>
      </c>
      <c r="R496" s="153">
        <v>46517</v>
      </c>
      <c r="S496" s="34">
        <v>314</v>
      </c>
      <c r="T496" s="34"/>
      <c r="U496" s="153" t="s">
        <v>1325</v>
      </c>
      <c r="V496" s="153" t="s">
        <v>1809</v>
      </c>
      <c r="W496" s="34">
        <v>1</v>
      </c>
      <c r="X496" s="166"/>
      <c r="Y496" s="137"/>
      <c r="Z496" s="137"/>
      <c r="AA496" s="137"/>
      <c r="AB496" s="137">
        <v>0</v>
      </c>
      <c r="AC496" s="137">
        <v>125000000</v>
      </c>
      <c r="AD496" s="137">
        <v>14315000</v>
      </c>
      <c r="AE496" s="137">
        <v>250000</v>
      </c>
      <c r="AF496" s="137">
        <v>250000</v>
      </c>
      <c r="AG496" s="137">
        <v>250000</v>
      </c>
      <c r="AH496" s="153"/>
      <c r="AI496" s="167">
        <v>0</v>
      </c>
      <c r="AJ496" s="153"/>
      <c r="AK496" s="153"/>
      <c r="AL496" s="154">
        <v>102</v>
      </c>
      <c r="AM496" s="154">
        <v>0.11452</v>
      </c>
      <c r="AN496" s="168" t="s">
        <v>1326</v>
      </c>
      <c r="AO496" s="168">
        <v>45777</v>
      </c>
      <c r="AP496" s="154">
        <v>0</v>
      </c>
      <c r="AQ496" s="168"/>
      <c r="AR496" s="155">
        <v>2E-3</v>
      </c>
      <c r="AS496" s="152">
        <v>7.6309879999999997E-2</v>
      </c>
      <c r="AT496" s="154">
        <v>0</v>
      </c>
      <c r="AU496" s="137">
        <v>0.106922</v>
      </c>
      <c r="AV496" s="137">
        <v>0</v>
      </c>
      <c r="AW496" s="137">
        <v>28630</v>
      </c>
      <c r="AX496" s="137">
        <v>101619.04951041208</v>
      </c>
      <c r="AY496" s="137">
        <v>255000</v>
      </c>
      <c r="AZ496" s="137">
        <v>6876.8499797346558</v>
      </c>
      <c r="BA496" s="137">
        <v>38094.65689566332</v>
      </c>
      <c r="BB496" s="137">
        <v>0</v>
      </c>
      <c r="BC496" s="137">
        <v>0</v>
      </c>
      <c r="BD496" s="137">
        <v>0</v>
      </c>
      <c r="BE496" s="137">
        <v>0</v>
      </c>
      <c r="BF496" s="137">
        <v>225035.28833753764</v>
      </c>
      <c r="BG496" s="137">
        <v>250000</v>
      </c>
      <c r="BH496" s="137">
        <v>250000</v>
      </c>
      <c r="BI496" s="137">
        <v>250000</v>
      </c>
      <c r="BJ496" s="137">
        <v>0.96430000000000005</v>
      </c>
      <c r="BK496" s="137">
        <v>1.4705882352941176E-2</v>
      </c>
      <c r="BL496" s="113">
        <v>0</v>
      </c>
      <c r="BM496" s="113" t="s">
        <v>1663</v>
      </c>
      <c r="BN496" s="168">
        <v>0</v>
      </c>
      <c r="BO496" s="152">
        <v>0</v>
      </c>
      <c r="BP496" s="152">
        <v>0</v>
      </c>
      <c r="BQ496" s="137">
        <v>250000</v>
      </c>
      <c r="BR496" s="137">
        <v>0</v>
      </c>
      <c r="BS496" s="166" t="s">
        <v>1806</v>
      </c>
      <c r="BT496" s="168">
        <v>0.24019734473400822</v>
      </c>
      <c r="BU496" s="137">
        <v>41029.168087404236</v>
      </c>
      <c r="BV496" s="137">
        <v>21753.150020265344</v>
      </c>
      <c r="BW496" s="137">
        <v>0.53018745039930415</v>
      </c>
      <c r="BX496" s="89">
        <v>0.75980265526599178</v>
      </c>
      <c r="BY496" s="89">
        <v>0</v>
      </c>
      <c r="BZ496" s="153">
        <v>0</v>
      </c>
      <c r="CA496" s="153">
        <v>0</v>
      </c>
      <c r="CB496" s="153">
        <v>45777</v>
      </c>
      <c r="CC496" s="153">
        <v>45777</v>
      </c>
      <c r="CD496" s="153"/>
      <c r="CE496" s="153"/>
      <c r="CF496" s="153"/>
      <c r="CG496" s="34" t="s">
        <v>139</v>
      </c>
      <c r="CH496" s="34" t="s">
        <v>1333</v>
      </c>
    </row>
    <row r="497" spans="1:86" x14ac:dyDescent="0.3">
      <c r="A497" s="34">
        <v>32</v>
      </c>
      <c r="B497" s="34" t="s">
        <v>895</v>
      </c>
      <c r="C497" s="34" t="s">
        <v>1345</v>
      </c>
      <c r="D497" s="34" t="s">
        <v>150</v>
      </c>
      <c r="E497" s="34" t="s">
        <v>1336</v>
      </c>
      <c r="F497" s="34"/>
      <c r="G497" s="34"/>
      <c r="H497" s="34" t="s">
        <v>1456</v>
      </c>
      <c r="I497" s="34" t="s">
        <v>898</v>
      </c>
      <c r="J497" s="34" t="s">
        <v>1806</v>
      </c>
      <c r="K497" s="34"/>
      <c r="L497" s="34">
        <v>1.1299999999999999E-2</v>
      </c>
      <c r="M497" s="34">
        <v>0</v>
      </c>
      <c r="N497" s="153">
        <v>1</v>
      </c>
      <c r="O497" s="34">
        <v>0</v>
      </c>
      <c r="P497" s="34"/>
      <c r="Q497" s="153">
        <v>45630</v>
      </c>
      <c r="R497" s="153">
        <v>46762</v>
      </c>
      <c r="S497" s="34">
        <v>559</v>
      </c>
      <c r="T497" s="34"/>
      <c r="U497" s="153" t="s">
        <v>1325</v>
      </c>
      <c r="V497" s="153" t="s">
        <v>1807</v>
      </c>
      <c r="W497" s="34">
        <v>1</v>
      </c>
      <c r="X497" s="166"/>
      <c r="Y497" s="137"/>
      <c r="Z497" s="137"/>
      <c r="AA497" s="137"/>
      <c r="AB497" s="137">
        <v>0</v>
      </c>
      <c r="AC497" s="137">
        <v>100000000</v>
      </c>
      <c r="AD497" s="137">
        <v>7310000</v>
      </c>
      <c r="AE497" s="137">
        <v>250000</v>
      </c>
      <c r="AF497" s="137">
        <v>250000</v>
      </c>
      <c r="AG497" s="137">
        <v>250000</v>
      </c>
      <c r="AH497" s="153"/>
      <c r="AI497" s="167">
        <v>0</v>
      </c>
      <c r="AJ497" s="153"/>
      <c r="AK497" s="153"/>
      <c r="AL497" s="154">
        <v>103.1</v>
      </c>
      <c r="AM497" s="154">
        <v>7.3099999999999998E-2</v>
      </c>
      <c r="AN497" s="168" t="s">
        <v>1326</v>
      </c>
      <c r="AO497" s="168">
        <v>45957</v>
      </c>
      <c r="AP497" s="154">
        <v>0</v>
      </c>
      <c r="AQ497" s="168"/>
      <c r="AR497" s="155">
        <v>2.5000000000000001E-3</v>
      </c>
      <c r="AS497" s="152">
        <v>3.4997439999999998E-2</v>
      </c>
      <c r="AT497" s="154">
        <v>0</v>
      </c>
      <c r="AU497" s="137">
        <v>5.9052420000000001E-2</v>
      </c>
      <c r="AV497" s="137">
        <v>0</v>
      </c>
      <c r="AW497" s="137">
        <v>18275</v>
      </c>
      <c r="AX497" s="137">
        <v>0</v>
      </c>
      <c r="AY497" s="137">
        <v>257750</v>
      </c>
      <c r="AZ497" s="137">
        <v>2306.25</v>
      </c>
      <c r="BA497" s="137">
        <v>22853.282055047777</v>
      </c>
      <c r="BB497" s="137">
        <v>0</v>
      </c>
      <c r="BC497" s="137">
        <v>0</v>
      </c>
      <c r="BD497" s="137">
        <v>0</v>
      </c>
      <c r="BE497" s="137">
        <v>0</v>
      </c>
      <c r="BF497" s="137">
        <v>0</v>
      </c>
      <c r="BG497" s="137">
        <v>0</v>
      </c>
      <c r="BH497" s="137">
        <v>62500</v>
      </c>
      <c r="BI497" s="137">
        <v>250000</v>
      </c>
      <c r="BJ497" s="137">
        <v>0.98870000000000002</v>
      </c>
      <c r="BK497" s="137">
        <v>1.4705882352941176E-2</v>
      </c>
      <c r="BL497" s="113">
        <v>0</v>
      </c>
      <c r="BM497" s="113" t="s">
        <v>1663</v>
      </c>
      <c r="BN497" s="168">
        <v>0</v>
      </c>
      <c r="BO497" s="152">
        <v>0</v>
      </c>
      <c r="BP497" s="152">
        <v>0</v>
      </c>
      <c r="BQ497" s="137">
        <v>250000</v>
      </c>
      <c r="BR497" s="137">
        <v>0</v>
      </c>
      <c r="BS497" s="166" t="s">
        <v>1806</v>
      </c>
      <c r="BT497" s="168">
        <v>0.12619699042407662</v>
      </c>
      <c r="BU497" s="137">
        <v>6562.5</v>
      </c>
      <c r="BV497" s="137">
        <v>15968.75</v>
      </c>
      <c r="BW497" s="137">
        <v>2.4333333333333331</v>
      </c>
      <c r="BX497" s="89">
        <v>0.87380300957592338</v>
      </c>
      <c r="BY497" s="89">
        <v>0</v>
      </c>
      <c r="BZ497" s="153">
        <v>0</v>
      </c>
      <c r="CA497" s="153">
        <v>0</v>
      </c>
      <c r="CB497" s="153">
        <v>45957</v>
      </c>
      <c r="CC497" s="153">
        <v>45957</v>
      </c>
      <c r="CD497" s="153"/>
      <c r="CE497" s="153"/>
      <c r="CF497" s="153"/>
      <c r="CG497" s="34" t="s">
        <v>1347</v>
      </c>
      <c r="CH497" s="34" t="s">
        <v>1333</v>
      </c>
    </row>
    <row r="498" spans="1:86" x14ac:dyDescent="0.3">
      <c r="A498" s="34">
        <v>33</v>
      </c>
      <c r="B498" s="34" t="s">
        <v>895</v>
      </c>
      <c r="C498" s="34" t="s">
        <v>1345</v>
      </c>
      <c r="D498" s="34" t="s">
        <v>150</v>
      </c>
      <c r="E498" s="34" t="s">
        <v>1336</v>
      </c>
      <c r="F498" s="34"/>
      <c r="G498" s="34"/>
      <c r="H498" s="34" t="s">
        <v>1456</v>
      </c>
      <c r="I498" s="34" t="s">
        <v>898</v>
      </c>
      <c r="J498" s="34" t="s">
        <v>1806</v>
      </c>
      <c r="K498" s="34"/>
      <c r="L498" s="34">
        <v>1.1299999999999999E-2</v>
      </c>
      <c r="M498" s="34">
        <v>0</v>
      </c>
      <c r="N498" s="153">
        <v>1</v>
      </c>
      <c r="O498" s="34">
        <v>0</v>
      </c>
      <c r="P498" s="34"/>
      <c r="Q498" s="153">
        <v>45630</v>
      </c>
      <c r="R498" s="153">
        <v>46762</v>
      </c>
      <c r="S498" s="34">
        <v>559</v>
      </c>
      <c r="T498" s="34"/>
      <c r="U498" s="153" t="s">
        <v>1325</v>
      </c>
      <c r="V498" s="153" t="s">
        <v>1807</v>
      </c>
      <c r="W498" s="34">
        <v>1</v>
      </c>
      <c r="X498" s="166"/>
      <c r="Y498" s="137"/>
      <c r="Z498" s="137"/>
      <c r="AA498" s="137"/>
      <c r="AB498" s="137">
        <v>0</v>
      </c>
      <c r="AC498" s="137">
        <v>100000000</v>
      </c>
      <c r="AD498" s="137">
        <v>7310000</v>
      </c>
      <c r="AE498" s="137">
        <v>250000</v>
      </c>
      <c r="AF498" s="137">
        <v>250000</v>
      </c>
      <c r="AG498" s="137">
        <v>250000</v>
      </c>
      <c r="AH498" s="153"/>
      <c r="AI498" s="167">
        <v>0</v>
      </c>
      <c r="AJ498" s="153"/>
      <c r="AK498" s="153"/>
      <c r="AL498" s="154">
        <v>101.6</v>
      </c>
      <c r="AM498" s="154">
        <v>7.3099999999999998E-2</v>
      </c>
      <c r="AN498" s="168" t="s">
        <v>1326</v>
      </c>
      <c r="AO498" s="168">
        <v>45756</v>
      </c>
      <c r="AP498" s="154">
        <v>0</v>
      </c>
      <c r="AQ498" s="168"/>
      <c r="AR498" s="155">
        <v>2.5000000000000001E-3</v>
      </c>
      <c r="AS498" s="152">
        <v>3.4997439999999998E-2</v>
      </c>
      <c r="AT498" s="154">
        <v>0</v>
      </c>
      <c r="AU498" s="137">
        <v>6.9968119999999995E-2</v>
      </c>
      <c r="AV498" s="137">
        <v>0</v>
      </c>
      <c r="AW498" s="137">
        <v>18275</v>
      </c>
      <c r="AX498" s="137">
        <v>0</v>
      </c>
      <c r="AY498" s="137">
        <v>254000</v>
      </c>
      <c r="AZ498" s="137">
        <v>2306.25</v>
      </c>
      <c r="BA498" s="137">
        <v>22853.282055047777</v>
      </c>
      <c r="BB498" s="137">
        <v>0</v>
      </c>
      <c r="BC498" s="137">
        <v>0</v>
      </c>
      <c r="BD498" s="137">
        <v>0</v>
      </c>
      <c r="BE498" s="137">
        <v>0</v>
      </c>
      <c r="BF498" s="137">
        <v>0</v>
      </c>
      <c r="BG498" s="137">
        <v>0</v>
      </c>
      <c r="BH498" s="137">
        <v>62500</v>
      </c>
      <c r="BI498" s="137">
        <v>250000</v>
      </c>
      <c r="BJ498" s="137">
        <v>0.98870000000000002</v>
      </c>
      <c r="BK498" s="137">
        <v>1.4705882352941176E-2</v>
      </c>
      <c r="BL498" s="113">
        <v>0</v>
      </c>
      <c r="BM498" s="113" t="s">
        <v>1663</v>
      </c>
      <c r="BN498" s="168">
        <v>0</v>
      </c>
      <c r="BO498" s="152">
        <v>0</v>
      </c>
      <c r="BP498" s="152">
        <v>0</v>
      </c>
      <c r="BQ498" s="137">
        <v>250000</v>
      </c>
      <c r="BR498" s="137">
        <v>0</v>
      </c>
      <c r="BS498" s="166" t="s">
        <v>1806</v>
      </c>
      <c r="BT498" s="168">
        <v>0.12619699042407662</v>
      </c>
      <c r="BU498" s="137">
        <v>6562.5</v>
      </c>
      <c r="BV498" s="137">
        <v>15968.75</v>
      </c>
      <c r="BW498" s="137">
        <v>2.4333333333333331</v>
      </c>
      <c r="BX498" s="89">
        <v>0.87380300957592338</v>
      </c>
      <c r="BY498" s="89">
        <v>0</v>
      </c>
      <c r="BZ498" s="153">
        <v>0</v>
      </c>
      <c r="CA498" s="153">
        <v>0</v>
      </c>
      <c r="CB498" s="153">
        <v>45756</v>
      </c>
      <c r="CC498" s="153">
        <v>45756</v>
      </c>
      <c r="CD498" s="153"/>
      <c r="CE498" s="153"/>
      <c r="CF498" s="153"/>
      <c r="CG498" s="34" t="s">
        <v>1347</v>
      </c>
      <c r="CH498" s="34" t="s">
        <v>1333</v>
      </c>
    </row>
    <row r="499" spans="1:86" x14ac:dyDescent="0.3">
      <c r="A499" s="34">
        <v>34</v>
      </c>
      <c r="B499" s="34" t="s">
        <v>943</v>
      </c>
      <c r="C499" s="34" t="s">
        <v>1357</v>
      </c>
      <c r="D499" s="34" t="s">
        <v>133</v>
      </c>
      <c r="E499" s="34" t="s">
        <v>1336</v>
      </c>
      <c r="F499" s="34" t="s">
        <v>1805</v>
      </c>
      <c r="G499" s="34"/>
      <c r="H499" s="34" t="s">
        <v>1456</v>
      </c>
      <c r="I499" s="34" t="s">
        <v>946</v>
      </c>
      <c r="J499" s="34" t="s">
        <v>1806</v>
      </c>
      <c r="K499" s="34"/>
      <c r="L499" s="34">
        <v>6.7999999999999996E-3</v>
      </c>
      <c r="M499" s="34">
        <v>0</v>
      </c>
      <c r="N499" s="153">
        <v>1</v>
      </c>
      <c r="O499" s="34">
        <v>0</v>
      </c>
      <c r="P499" s="34"/>
      <c r="Q499" s="153">
        <v>45098</v>
      </c>
      <c r="R499" s="153">
        <v>46211</v>
      </c>
      <c r="S499" s="34">
        <v>8</v>
      </c>
      <c r="T499" s="34"/>
      <c r="U499" s="153" t="s">
        <v>1325</v>
      </c>
      <c r="V499" s="153" t="s">
        <v>1807</v>
      </c>
      <c r="W499" s="34">
        <v>1</v>
      </c>
      <c r="X499" s="166"/>
      <c r="Y499" s="137"/>
      <c r="Z499" s="137"/>
      <c r="AA499" s="137"/>
      <c r="AB499" s="137">
        <v>0</v>
      </c>
      <c r="AC499" s="137">
        <v>150000000</v>
      </c>
      <c r="AD499" s="137">
        <v>11677500</v>
      </c>
      <c r="AE499" s="137">
        <v>250000.5</v>
      </c>
      <c r="AF499" s="137">
        <v>250000.5</v>
      </c>
      <c r="AG499" s="137">
        <v>250000</v>
      </c>
      <c r="AH499" s="153"/>
      <c r="AI499" s="167">
        <v>0</v>
      </c>
      <c r="AJ499" s="153"/>
      <c r="AK499" s="153"/>
      <c r="AL499" s="154">
        <v>101.15</v>
      </c>
      <c r="AM499" s="154">
        <v>7.7850000000000003E-2</v>
      </c>
      <c r="AN499" s="168" t="s">
        <v>1326</v>
      </c>
      <c r="AO499" s="168">
        <v>45775</v>
      </c>
      <c r="AP499" s="154">
        <v>0</v>
      </c>
      <c r="AQ499" s="168"/>
      <c r="AR499" s="155">
        <v>1.6666700000000001E-3</v>
      </c>
      <c r="AS499" s="152">
        <v>3.8097329999999999E-2</v>
      </c>
      <c r="AT499" s="154">
        <v>0</v>
      </c>
      <c r="AU499" s="137">
        <v>6.9939169999999995E-2</v>
      </c>
      <c r="AV499" s="137">
        <v>0</v>
      </c>
      <c r="AW499" s="137">
        <v>19462.538925000001</v>
      </c>
      <c r="AX499" s="137">
        <v>75000.149999999994</v>
      </c>
      <c r="AY499" s="137">
        <v>252875.50575000004</v>
      </c>
      <c r="AZ499" s="137">
        <v>1609.9947633145068</v>
      </c>
      <c r="BA499" s="137">
        <v>19799.755023787482</v>
      </c>
      <c r="BB499" s="137">
        <v>0</v>
      </c>
      <c r="BC499" s="137">
        <v>0</v>
      </c>
      <c r="BD499" s="137">
        <v>0</v>
      </c>
      <c r="BE499" s="137">
        <v>0</v>
      </c>
      <c r="BF499" s="137">
        <v>0</v>
      </c>
      <c r="BG499" s="137">
        <v>0</v>
      </c>
      <c r="BH499" s="137">
        <v>0</v>
      </c>
      <c r="BI499" s="137">
        <v>250000.5</v>
      </c>
      <c r="BJ499" s="137">
        <v>0.99329999999999996</v>
      </c>
      <c r="BK499" s="137">
        <v>1.4705911764705882E-2</v>
      </c>
      <c r="BL499" s="113">
        <v>0</v>
      </c>
      <c r="BM499" s="113" t="s">
        <v>1663</v>
      </c>
      <c r="BN499" s="168">
        <v>0</v>
      </c>
      <c r="BO499" s="152">
        <v>0</v>
      </c>
      <c r="BP499" s="152">
        <v>0</v>
      </c>
      <c r="BQ499" s="137">
        <v>250000.5</v>
      </c>
      <c r="BR499" s="137">
        <v>0</v>
      </c>
      <c r="BS499" s="166" t="s">
        <v>1806</v>
      </c>
      <c r="BT499" s="168">
        <v>8.2722751102449324E-2</v>
      </c>
      <c r="BU499" s="137">
        <v>26619.050117120387</v>
      </c>
      <c r="BV499" s="137">
        <v>17852.544161685495</v>
      </c>
      <c r="BW499" s="137">
        <v>0.67066796460191491</v>
      </c>
      <c r="BX499" s="89">
        <v>0.91727724889755069</v>
      </c>
      <c r="BY499" s="89">
        <v>0</v>
      </c>
      <c r="BZ499" s="153">
        <v>0</v>
      </c>
      <c r="CA499" s="153">
        <v>0</v>
      </c>
      <c r="CB499" s="153">
        <v>45775</v>
      </c>
      <c r="CC499" s="153">
        <v>45775</v>
      </c>
      <c r="CD499" s="153"/>
      <c r="CE499" s="153"/>
      <c r="CF499" s="153"/>
      <c r="CG499" s="34" t="s">
        <v>139</v>
      </c>
      <c r="CH499" s="34" t="s">
        <v>1333</v>
      </c>
    </row>
    <row r="500" spans="1:86" x14ac:dyDescent="0.3">
      <c r="A500" s="34">
        <v>35</v>
      </c>
      <c r="B500" s="34" t="s">
        <v>947</v>
      </c>
      <c r="C500" s="34" t="s">
        <v>1363</v>
      </c>
      <c r="D500" s="34" t="s">
        <v>150</v>
      </c>
      <c r="E500" s="34" t="s">
        <v>1336</v>
      </c>
      <c r="F500" s="34"/>
      <c r="G500" s="34"/>
      <c r="H500" s="34" t="s">
        <v>1456</v>
      </c>
      <c r="I500" s="34" t="s">
        <v>950</v>
      </c>
      <c r="J500" s="34" t="s">
        <v>1806</v>
      </c>
      <c r="K500" s="34"/>
      <c r="L500" s="34">
        <v>1.8599999999999998E-2</v>
      </c>
      <c r="M500" s="34">
        <v>0</v>
      </c>
      <c r="N500" s="153">
        <v>1</v>
      </c>
      <c r="O500" s="34">
        <v>0</v>
      </c>
      <c r="P500" s="34"/>
      <c r="Q500" s="153">
        <v>45434</v>
      </c>
      <c r="R500" s="153">
        <v>39215</v>
      </c>
      <c r="S500" s="34">
        <v>-6988</v>
      </c>
      <c r="T500" s="34"/>
      <c r="U500" s="153" t="s">
        <v>1325</v>
      </c>
      <c r="V500" s="153" t="s">
        <v>1807</v>
      </c>
      <c r="W500" s="34">
        <v>1</v>
      </c>
      <c r="X500" s="166"/>
      <c r="Y500" s="137"/>
      <c r="Z500" s="137"/>
      <c r="AA500" s="137"/>
      <c r="AB500" s="137">
        <v>0</v>
      </c>
      <c r="AC500" s="137">
        <v>1454000000</v>
      </c>
      <c r="AD500" s="137">
        <v>64578213</v>
      </c>
      <c r="AE500" s="137">
        <v>250002</v>
      </c>
      <c r="AF500" s="137">
        <v>250002</v>
      </c>
      <c r="AG500" s="137">
        <v>250000</v>
      </c>
      <c r="AH500" s="153"/>
      <c r="AI500" s="167">
        <v>0</v>
      </c>
      <c r="AJ500" s="153"/>
      <c r="AK500" s="153"/>
      <c r="AL500" s="154">
        <v>107.75</v>
      </c>
      <c r="AM500" s="154">
        <v>0.14350714000000001</v>
      </c>
      <c r="AN500" s="168" t="s">
        <v>1326</v>
      </c>
      <c r="AO500" s="168">
        <v>45974</v>
      </c>
      <c r="AP500" s="154">
        <v>0</v>
      </c>
      <c r="AQ500" s="168"/>
      <c r="AR500" s="155">
        <v>5.5555999999999997E-4</v>
      </c>
      <c r="AS500" s="152">
        <v>0.10489572</v>
      </c>
      <c r="AT500" s="154">
        <v>0</v>
      </c>
      <c r="AU500" s="137">
        <v>8.8858129999999994E-2</v>
      </c>
      <c r="AV500" s="137">
        <v>0</v>
      </c>
      <c r="AW500" s="137">
        <v>35877.072014280006</v>
      </c>
      <c r="AX500" s="137">
        <v>225001.80062000494</v>
      </c>
      <c r="AY500" s="137">
        <v>269377.15500000003</v>
      </c>
      <c r="AZ500" s="137">
        <v>4211.6733811413251</v>
      </c>
      <c r="BA500" s="137">
        <v>31602.045836831938</v>
      </c>
      <c r="BB500" s="137">
        <v>0</v>
      </c>
      <c r="BC500" s="137">
        <v>0</v>
      </c>
      <c r="BD500" s="137">
        <v>0</v>
      </c>
      <c r="BE500" s="137">
        <v>0</v>
      </c>
      <c r="BF500" s="137">
        <v>0</v>
      </c>
      <c r="BG500" s="137">
        <v>250002.00068889433</v>
      </c>
      <c r="BH500" s="137">
        <v>250002.00068889436</v>
      </c>
      <c r="BI500" s="137">
        <v>250002.00068889442</v>
      </c>
      <c r="BJ500" s="137">
        <v>0.9819</v>
      </c>
      <c r="BK500" s="137">
        <v>1.4706E-2</v>
      </c>
      <c r="BL500" s="113">
        <v>0</v>
      </c>
      <c r="BM500" s="113" t="s">
        <v>1663</v>
      </c>
      <c r="BN500" s="168">
        <v>0</v>
      </c>
      <c r="BO500" s="152">
        <v>0</v>
      </c>
      <c r="BP500" s="152">
        <v>0</v>
      </c>
      <c r="BQ500" s="137">
        <v>250002</v>
      </c>
      <c r="BR500" s="137">
        <v>0</v>
      </c>
      <c r="BS500" s="166" t="s">
        <v>1806</v>
      </c>
      <c r="BT500" s="168">
        <v>0.11739178100891204</v>
      </c>
      <c r="BU500" s="137">
        <v>162266.44109590861</v>
      </c>
      <c r="BV500" s="137">
        <v>31665.39863313868</v>
      </c>
      <c r="BW500" s="137">
        <v>0.1951444699179829</v>
      </c>
      <c r="BX500" s="89">
        <v>0.88260821899108799</v>
      </c>
      <c r="BY500" s="89">
        <v>0</v>
      </c>
      <c r="BZ500" s="153">
        <v>0</v>
      </c>
      <c r="CA500" s="153">
        <v>0</v>
      </c>
      <c r="CB500" s="153">
        <v>45974</v>
      </c>
      <c r="CC500" s="153">
        <v>45974</v>
      </c>
      <c r="CD500" s="153"/>
      <c r="CE500" s="153"/>
      <c r="CF500" s="153"/>
      <c r="CG500" s="34" t="s">
        <v>139</v>
      </c>
      <c r="CH500" s="34" t="s">
        <v>1329</v>
      </c>
    </row>
    <row r="501" spans="1:86" x14ac:dyDescent="0.3">
      <c r="A501" s="34">
        <v>36</v>
      </c>
      <c r="B501" s="34" t="s">
        <v>947</v>
      </c>
      <c r="C501" s="34" t="s">
        <v>1363</v>
      </c>
      <c r="D501" s="34" t="s">
        <v>150</v>
      </c>
      <c r="E501" s="34" t="s">
        <v>1336</v>
      </c>
      <c r="F501" s="34" t="s">
        <v>1805</v>
      </c>
      <c r="G501" s="34"/>
      <c r="H501" s="34" t="s">
        <v>1456</v>
      </c>
      <c r="I501" s="34" t="s">
        <v>950</v>
      </c>
      <c r="J501" s="34" t="s">
        <v>1806</v>
      </c>
      <c r="K501" s="34"/>
      <c r="L501" s="34">
        <v>1.8599999999999998E-2</v>
      </c>
      <c r="M501" s="34">
        <v>0</v>
      </c>
      <c r="N501" s="153">
        <v>1</v>
      </c>
      <c r="O501" s="34">
        <v>0</v>
      </c>
      <c r="P501" s="34"/>
      <c r="Q501" s="153">
        <v>45434</v>
      </c>
      <c r="R501" s="153">
        <v>46520</v>
      </c>
      <c r="S501" s="34">
        <v>317</v>
      </c>
      <c r="T501" s="34"/>
      <c r="U501" s="153" t="s">
        <v>1325</v>
      </c>
      <c r="V501" s="153" t="s">
        <v>1807</v>
      </c>
      <c r="W501" s="34">
        <v>1</v>
      </c>
      <c r="X501" s="166"/>
      <c r="Y501" s="137"/>
      <c r="Z501" s="137"/>
      <c r="AA501" s="137"/>
      <c r="AB501" s="137">
        <v>0</v>
      </c>
      <c r="AC501" s="137">
        <v>1454000000</v>
      </c>
      <c r="AD501" s="137">
        <v>64578213</v>
      </c>
      <c r="AE501" s="137">
        <v>499999.5</v>
      </c>
      <c r="AF501" s="137">
        <v>499999.5</v>
      </c>
      <c r="AG501" s="137">
        <v>500000</v>
      </c>
      <c r="AH501" s="153"/>
      <c r="AI501" s="167">
        <v>0</v>
      </c>
      <c r="AJ501" s="153"/>
      <c r="AK501" s="153"/>
      <c r="AL501" s="154">
        <v>107.75</v>
      </c>
      <c r="AM501" s="154">
        <v>0.14350714000000001</v>
      </c>
      <c r="AN501" s="168" t="s">
        <v>1326</v>
      </c>
      <c r="AO501" s="168">
        <v>45944</v>
      </c>
      <c r="AP501" s="154">
        <v>0</v>
      </c>
      <c r="AQ501" s="168"/>
      <c r="AR501" s="155">
        <v>1.11111E-3</v>
      </c>
      <c r="AS501" s="152">
        <v>0.10489572</v>
      </c>
      <c r="AT501" s="154">
        <v>0</v>
      </c>
      <c r="AU501" s="137">
        <v>9.2212089999999997E-2</v>
      </c>
      <c r="AV501" s="137">
        <v>0</v>
      </c>
      <c r="AW501" s="137">
        <v>71753.498246429997</v>
      </c>
      <c r="AX501" s="137">
        <v>449999.55123999872</v>
      </c>
      <c r="AY501" s="137">
        <v>538749.46125000005</v>
      </c>
      <c r="AZ501" s="137">
        <v>8423.2709527682491</v>
      </c>
      <c r="BA501" s="137">
        <v>63203.522841389487</v>
      </c>
      <c r="BB501" s="137">
        <v>0</v>
      </c>
      <c r="BC501" s="137">
        <v>0</v>
      </c>
      <c r="BD501" s="137">
        <v>0</v>
      </c>
      <c r="BE501" s="137">
        <v>0</v>
      </c>
      <c r="BF501" s="137">
        <v>0</v>
      </c>
      <c r="BG501" s="137">
        <v>499999.50137777627</v>
      </c>
      <c r="BH501" s="137">
        <v>499999.50137777632</v>
      </c>
      <c r="BI501" s="137">
        <v>499999.50137777644</v>
      </c>
      <c r="BJ501" s="137">
        <v>0.9819</v>
      </c>
      <c r="BK501" s="137">
        <v>2.9411735294117648E-2</v>
      </c>
      <c r="BL501" s="113">
        <v>0</v>
      </c>
      <c r="BM501" s="113" t="s">
        <v>1663</v>
      </c>
      <c r="BN501" s="168">
        <v>0</v>
      </c>
      <c r="BO501" s="152">
        <v>0</v>
      </c>
      <c r="BP501" s="152">
        <v>0</v>
      </c>
      <c r="BQ501" s="137">
        <v>499999.5</v>
      </c>
      <c r="BR501" s="137">
        <v>0</v>
      </c>
      <c r="BS501" s="166" t="s">
        <v>1806</v>
      </c>
      <c r="BT501" s="168">
        <v>0.11739178100891183</v>
      </c>
      <c r="BU501" s="137">
        <v>324529.96141924401</v>
      </c>
      <c r="BV501" s="137">
        <v>63330.227293661752</v>
      </c>
      <c r="BW501" s="137">
        <v>0.1951444699179827</v>
      </c>
      <c r="BX501" s="89">
        <v>0.88260821899108821</v>
      </c>
      <c r="BY501" s="89">
        <v>0</v>
      </c>
      <c r="BZ501" s="153">
        <v>0</v>
      </c>
      <c r="CA501" s="153">
        <v>0</v>
      </c>
      <c r="CB501" s="153">
        <v>45944</v>
      </c>
      <c r="CC501" s="153">
        <v>45944</v>
      </c>
      <c r="CD501" s="153"/>
      <c r="CE501" s="153"/>
      <c r="CF501" s="153"/>
      <c r="CG501" s="34" t="s">
        <v>139</v>
      </c>
      <c r="CH501" s="34" t="s">
        <v>1329</v>
      </c>
    </row>
    <row r="502" spans="1:86" x14ac:dyDescent="0.3">
      <c r="A502" s="34">
        <v>37</v>
      </c>
      <c r="B502" s="34" t="s">
        <v>963</v>
      </c>
      <c r="C502" s="34" t="s">
        <v>1343</v>
      </c>
      <c r="D502" s="34" t="s">
        <v>150</v>
      </c>
      <c r="E502" s="34" t="s">
        <v>1336</v>
      </c>
      <c r="F502" s="34" t="s">
        <v>1805</v>
      </c>
      <c r="G502" s="34"/>
      <c r="H502" s="34" t="s">
        <v>1456</v>
      </c>
      <c r="I502" s="34" t="s">
        <v>966</v>
      </c>
      <c r="J502" s="34" t="s">
        <v>1806</v>
      </c>
      <c r="K502" s="34"/>
      <c r="L502" s="34">
        <v>2.5000000000000001E-3</v>
      </c>
      <c r="M502" s="34">
        <v>8.0000000000000004E-4</v>
      </c>
      <c r="N502" s="153">
        <v>1</v>
      </c>
      <c r="O502" s="34">
        <v>0</v>
      </c>
      <c r="P502" s="34"/>
      <c r="Q502" s="153">
        <v>45300</v>
      </c>
      <c r="R502" s="153">
        <v>46395</v>
      </c>
      <c r="S502" s="34">
        <v>192</v>
      </c>
      <c r="T502" s="34"/>
      <c r="U502" s="153" t="s">
        <v>1325</v>
      </c>
      <c r="V502" s="153" t="s">
        <v>1807</v>
      </c>
      <c r="W502" s="34">
        <v>1</v>
      </c>
      <c r="X502" s="166"/>
      <c r="Y502" s="137"/>
      <c r="Z502" s="137"/>
      <c r="AA502" s="137"/>
      <c r="AB502" s="137">
        <v>0</v>
      </c>
      <c r="AC502" s="137">
        <v>400000000</v>
      </c>
      <c r="AD502" s="137">
        <v>20017500</v>
      </c>
      <c r="AE502" s="137">
        <v>249999.45</v>
      </c>
      <c r="AF502" s="137">
        <v>249999.45</v>
      </c>
      <c r="AG502" s="137">
        <v>250000</v>
      </c>
      <c r="AH502" s="153"/>
      <c r="AI502" s="167">
        <v>0</v>
      </c>
      <c r="AJ502" s="153"/>
      <c r="AK502" s="153"/>
      <c r="AL502" s="154">
        <v>102.3</v>
      </c>
      <c r="AM502" s="154">
        <v>7.85E-2</v>
      </c>
      <c r="AN502" s="168" t="s">
        <v>1326</v>
      </c>
      <c r="AO502" s="168">
        <v>45756</v>
      </c>
      <c r="AP502" s="154">
        <v>0</v>
      </c>
      <c r="AQ502" s="168"/>
      <c r="AR502" s="155">
        <v>9.8039000000000004E-4</v>
      </c>
      <c r="AS502" s="152">
        <v>4.0195000000000002E-2</v>
      </c>
      <c r="AT502" s="154">
        <v>0</v>
      </c>
      <c r="AU502" s="137">
        <v>6.7969870000000002E-2</v>
      </c>
      <c r="AV502" s="137">
        <v>0</v>
      </c>
      <c r="AW502" s="137">
        <v>19624.956825000001</v>
      </c>
      <c r="AX502" s="137">
        <v>0</v>
      </c>
      <c r="AY502" s="137">
        <v>255749.43734999999</v>
      </c>
      <c r="AZ502" s="137">
        <v>407.35961204826799</v>
      </c>
      <c r="BA502" s="137">
        <v>9001.9858960103265</v>
      </c>
      <c r="BB502" s="137">
        <v>0</v>
      </c>
      <c r="BC502" s="137">
        <v>0</v>
      </c>
      <c r="BD502" s="137">
        <v>0</v>
      </c>
      <c r="BE502" s="137">
        <v>0</v>
      </c>
      <c r="BF502" s="137">
        <v>0</v>
      </c>
      <c r="BG502" s="137">
        <v>0</v>
      </c>
      <c r="BH502" s="137">
        <v>0</v>
      </c>
      <c r="BI502" s="137">
        <v>97412.904708811286</v>
      </c>
      <c r="BJ502" s="137">
        <v>0.99760000000000004</v>
      </c>
      <c r="BK502" s="137">
        <v>1.4705850000000001E-2</v>
      </c>
      <c r="BL502" s="113">
        <v>0</v>
      </c>
      <c r="BM502" s="113" t="s">
        <v>1663</v>
      </c>
      <c r="BN502" s="168">
        <v>0</v>
      </c>
      <c r="BO502" s="152">
        <v>0</v>
      </c>
      <c r="BP502" s="152">
        <v>0</v>
      </c>
      <c r="BQ502" s="137">
        <v>249999.45</v>
      </c>
      <c r="BR502" s="137">
        <v>0</v>
      </c>
      <c r="BS502" s="166" t="s">
        <v>1806</v>
      </c>
      <c r="BT502" s="168">
        <v>2.0757223349879547E-2</v>
      </c>
      <c r="BU502" s="137">
        <v>10290.008410126627</v>
      </c>
      <c r="BV502" s="137">
        <v>19217.597212951732</v>
      </c>
      <c r="BW502" s="137">
        <v>1.8675978140153184</v>
      </c>
      <c r="BX502" s="89">
        <v>0.97924277665012038</v>
      </c>
      <c r="BY502" s="89">
        <v>0</v>
      </c>
      <c r="BZ502" s="153">
        <v>0</v>
      </c>
      <c r="CA502" s="153">
        <v>0</v>
      </c>
      <c r="CB502" s="153">
        <v>45756</v>
      </c>
      <c r="CC502" s="153">
        <v>45756</v>
      </c>
      <c r="CD502" s="153"/>
      <c r="CE502" s="153"/>
      <c r="CF502" s="153"/>
      <c r="CG502" s="34" t="s">
        <v>139</v>
      </c>
      <c r="CH502" s="34" t="s">
        <v>1333</v>
      </c>
    </row>
    <row r="503" spans="1:86" x14ac:dyDescent="0.3">
      <c r="A503" s="34">
        <v>38</v>
      </c>
      <c r="B503" s="34" t="s">
        <v>968</v>
      </c>
      <c r="C503" s="34" t="s">
        <v>1371</v>
      </c>
      <c r="D503" s="34" t="s">
        <v>133</v>
      </c>
      <c r="E503" s="34" t="s">
        <v>1336</v>
      </c>
      <c r="F503" s="34" t="s">
        <v>1805</v>
      </c>
      <c r="G503" s="34"/>
      <c r="H503" s="34" t="s">
        <v>1456</v>
      </c>
      <c r="I503" s="34" t="s">
        <v>971</v>
      </c>
      <c r="J503" s="34" t="s">
        <v>1806</v>
      </c>
      <c r="K503" s="34"/>
      <c r="L503" s="34">
        <v>2.6100000000000002E-2</v>
      </c>
      <c r="M503" s="34">
        <v>0</v>
      </c>
      <c r="N503" s="153">
        <v>1</v>
      </c>
      <c r="O503" s="34">
        <v>0</v>
      </c>
      <c r="P503" s="34"/>
      <c r="Q503" s="153">
        <v>45077</v>
      </c>
      <c r="R503" s="153">
        <v>46178</v>
      </c>
      <c r="S503" s="34">
        <v>-25</v>
      </c>
      <c r="T503" s="34"/>
      <c r="U503" s="153" t="s">
        <v>1325</v>
      </c>
      <c r="V503" s="153" t="s">
        <v>1807</v>
      </c>
      <c r="W503" s="34">
        <v>1</v>
      </c>
      <c r="X503" s="166"/>
      <c r="Y503" s="137"/>
      <c r="Z503" s="137"/>
      <c r="AA503" s="137"/>
      <c r="AB503" s="137">
        <v>0</v>
      </c>
      <c r="AC503" s="137">
        <v>110000000</v>
      </c>
      <c r="AD503" s="137">
        <v>11616000</v>
      </c>
      <c r="AE503" s="137">
        <v>250000.30000000002</v>
      </c>
      <c r="AF503" s="137">
        <v>250000.30000000002</v>
      </c>
      <c r="AG503" s="137">
        <v>250000</v>
      </c>
      <c r="AH503" s="153"/>
      <c r="AI503" s="167">
        <v>0</v>
      </c>
      <c r="AJ503" s="153"/>
      <c r="AK503" s="153"/>
      <c r="AL503" s="154">
        <v>103.1</v>
      </c>
      <c r="AM503" s="154">
        <v>0.1056</v>
      </c>
      <c r="AN503" s="168" t="s">
        <v>1326</v>
      </c>
      <c r="AO503" s="168">
        <v>45866</v>
      </c>
      <c r="AP503" s="154">
        <v>0</v>
      </c>
      <c r="AQ503" s="168"/>
      <c r="AR503" s="155">
        <v>2.2727300000000001E-3</v>
      </c>
      <c r="AS503" s="152">
        <v>6.736876E-2</v>
      </c>
      <c r="AT503" s="154">
        <v>0</v>
      </c>
      <c r="AU503" s="137">
        <v>7.1632760000000004E-2</v>
      </c>
      <c r="AV503" s="137">
        <v>0</v>
      </c>
      <c r="AW503" s="137">
        <v>26400.031680000004</v>
      </c>
      <c r="AX503" s="137">
        <v>161473.03854848872</v>
      </c>
      <c r="AY503" s="137">
        <v>257750.30929999999</v>
      </c>
      <c r="AZ503" s="137">
        <v>2418.0765770121934</v>
      </c>
      <c r="BA503" s="137">
        <v>20263.852419467992</v>
      </c>
      <c r="BB503" s="137">
        <v>0</v>
      </c>
      <c r="BC503" s="137">
        <v>0</v>
      </c>
      <c r="BD503" s="137">
        <v>0</v>
      </c>
      <c r="BE503" s="137">
        <v>0</v>
      </c>
      <c r="BF503" s="137">
        <v>16828.870623719569</v>
      </c>
      <c r="BG503" s="137">
        <v>47300.586083561109</v>
      </c>
      <c r="BH503" s="137">
        <v>91898.996920673948</v>
      </c>
      <c r="BI503" s="137">
        <v>250000.30000000002</v>
      </c>
      <c r="BJ503" s="137">
        <v>0.98119999999999996</v>
      </c>
      <c r="BK503" s="137">
        <v>1.4705900000000001E-2</v>
      </c>
      <c r="BL503" s="113">
        <v>0</v>
      </c>
      <c r="BM503" s="113" t="s">
        <v>1663</v>
      </c>
      <c r="BN503" s="168">
        <v>0</v>
      </c>
      <c r="BO503" s="152">
        <v>0</v>
      </c>
      <c r="BP503" s="152">
        <v>0</v>
      </c>
      <c r="BQ503" s="137">
        <v>250000.30000000002</v>
      </c>
      <c r="BR503" s="137">
        <v>0</v>
      </c>
      <c r="BS503" s="166" t="s">
        <v>1806</v>
      </c>
      <c r="BT503" s="168">
        <v>9.159369982287055E-2</v>
      </c>
      <c r="BU503" s="137">
        <v>83455.59429459901</v>
      </c>
      <c r="BV503" s="137">
        <v>23981.955102987809</v>
      </c>
      <c r="BW503" s="137">
        <v>0.28736186358377952</v>
      </c>
      <c r="BX503" s="89">
        <v>0.90840630017712942</v>
      </c>
      <c r="BY503" s="89">
        <v>0</v>
      </c>
      <c r="BZ503" s="153">
        <v>0</v>
      </c>
      <c r="CA503" s="153">
        <v>0</v>
      </c>
      <c r="CB503" s="153">
        <v>45866</v>
      </c>
      <c r="CC503" s="153">
        <v>45866</v>
      </c>
      <c r="CD503" s="153"/>
      <c r="CE503" s="153"/>
      <c r="CF503" s="153"/>
      <c r="CG503" s="34" t="s">
        <v>139</v>
      </c>
      <c r="CH503" s="34" t="s">
        <v>1333</v>
      </c>
    </row>
    <row r="504" spans="1:86" x14ac:dyDescent="0.3">
      <c r="A504" s="34">
        <v>39</v>
      </c>
      <c r="B504" s="34" t="s">
        <v>985</v>
      </c>
      <c r="C504" s="34" t="s">
        <v>1366</v>
      </c>
      <c r="D504" s="34" t="s">
        <v>150</v>
      </c>
      <c r="E504" s="34" t="s">
        <v>1336</v>
      </c>
      <c r="F504" s="34" t="s">
        <v>1805</v>
      </c>
      <c r="G504" s="34"/>
      <c r="H504" s="34" t="s">
        <v>1456</v>
      </c>
      <c r="I504" s="34" t="s">
        <v>988</v>
      </c>
      <c r="J504" s="34" t="s">
        <v>1806</v>
      </c>
      <c r="K504" s="34"/>
      <c r="L504" s="34">
        <v>4.02E-2</v>
      </c>
      <c r="M504" s="34">
        <v>0</v>
      </c>
      <c r="N504" s="153">
        <v>1</v>
      </c>
      <c r="O504" s="34">
        <v>0</v>
      </c>
      <c r="P504" s="34"/>
      <c r="Q504" s="153">
        <v>45393</v>
      </c>
      <c r="R504" s="153">
        <v>46545</v>
      </c>
      <c r="S504" s="34">
        <v>342</v>
      </c>
      <c r="T504" s="34"/>
      <c r="U504" s="153" t="s">
        <v>1325</v>
      </c>
      <c r="V504" s="153" t="s">
        <v>1809</v>
      </c>
      <c r="W504" s="34">
        <v>1</v>
      </c>
      <c r="X504" s="166"/>
      <c r="Y504" s="137"/>
      <c r="Z504" s="137"/>
      <c r="AA504" s="137"/>
      <c r="AB504" s="137">
        <v>0</v>
      </c>
      <c r="AC504" s="137">
        <v>300000000</v>
      </c>
      <c r="AD504" s="137">
        <v>20347876.5</v>
      </c>
      <c r="AE504" s="137">
        <v>250000.5</v>
      </c>
      <c r="AF504" s="137">
        <v>250000.5</v>
      </c>
      <c r="AG504" s="137">
        <v>250000</v>
      </c>
      <c r="AH504" s="153"/>
      <c r="AI504" s="167">
        <v>0</v>
      </c>
      <c r="AJ504" s="153"/>
      <c r="AK504" s="153"/>
      <c r="AL504" s="154">
        <v>102.85</v>
      </c>
      <c r="AM504" s="154">
        <v>0.13565251</v>
      </c>
      <c r="AN504" s="168" t="s">
        <v>1326</v>
      </c>
      <c r="AO504" s="168">
        <v>45791</v>
      </c>
      <c r="AP504" s="154">
        <v>0</v>
      </c>
      <c r="AQ504" s="168"/>
      <c r="AR504" s="155">
        <v>1.6666700000000001E-3</v>
      </c>
      <c r="AS504" s="152">
        <v>9.6978149999999999E-2</v>
      </c>
      <c r="AT504" s="154">
        <v>0</v>
      </c>
      <c r="AU504" s="137">
        <v>0.11963621000000001</v>
      </c>
      <c r="AV504" s="137">
        <v>0</v>
      </c>
      <c r="AW504" s="137">
        <v>33913.195326255001</v>
      </c>
      <c r="AX504" s="137">
        <v>225000.45</v>
      </c>
      <c r="AY504" s="137">
        <v>257125.51424999998</v>
      </c>
      <c r="AZ504" s="137">
        <v>7180.8745190652307</v>
      </c>
      <c r="BA504" s="137">
        <v>40146.515262076849</v>
      </c>
      <c r="BB504" s="137">
        <v>0</v>
      </c>
      <c r="BC504" s="137">
        <v>0</v>
      </c>
      <c r="BD504" s="137">
        <v>0</v>
      </c>
      <c r="BE504" s="137">
        <v>880.47174042622578</v>
      </c>
      <c r="BF504" s="137">
        <v>250000.5</v>
      </c>
      <c r="BG504" s="137">
        <v>250000.5</v>
      </c>
      <c r="BH504" s="137">
        <v>250000.5</v>
      </c>
      <c r="BI504" s="137">
        <v>250000.5</v>
      </c>
      <c r="BJ504" s="137">
        <v>0.96740000000000004</v>
      </c>
      <c r="BK504" s="137">
        <v>1.4705911764705882E-2</v>
      </c>
      <c r="BL504" s="113">
        <v>0</v>
      </c>
      <c r="BM504" s="113" t="s">
        <v>1663</v>
      </c>
      <c r="BN504" s="168">
        <v>0</v>
      </c>
      <c r="BO504" s="152">
        <v>0</v>
      </c>
      <c r="BP504" s="152">
        <v>0</v>
      </c>
      <c r="BQ504" s="137">
        <v>250000.5</v>
      </c>
      <c r="BR504" s="137">
        <v>0</v>
      </c>
      <c r="BS504" s="166" t="s">
        <v>1806</v>
      </c>
      <c r="BT504" s="168">
        <v>0.21174278772563562</v>
      </c>
      <c r="BU504" s="137">
        <v>178526.45423190913</v>
      </c>
      <c r="BV504" s="137">
        <v>26732.320807189772</v>
      </c>
      <c r="BW504" s="137">
        <v>0.14973870915771395</v>
      </c>
      <c r="BX504" s="89">
        <v>0.7882572122743644</v>
      </c>
      <c r="BY504" s="89">
        <v>0</v>
      </c>
      <c r="BZ504" s="153">
        <v>0</v>
      </c>
      <c r="CA504" s="153">
        <v>0</v>
      </c>
      <c r="CB504" s="153">
        <v>45791</v>
      </c>
      <c r="CC504" s="153">
        <v>45791</v>
      </c>
      <c r="CD504" s="153"/>
      <c r="CE504" s="153"/>
      <c r="CF504" s="153"/>
      <c r="CG504" s="34" t="s">
        <v>139</v>
      </c>
      <c r="CH504" s="34" t="s">
        <v>1333</v>
      </c>
    </row>
    <row r="505" spans="1:86" x14ac:dyDescent="0.3">
      <c r="A505" s="34">
        <v>40</v>
      </c>
      <c r="B505" s="34" t="s">
        <v>989</v>
      </c>
      <c r="C505" s="34" t="s">
        <v>1360</v>
      </c>
      <c r="D505" s="34" t="s">
        <v>150</v>
      </c>
      <c r="E505" s="34" t="s">
        <v>1336</v>
      </c>
      <c r="F505" s="34" t="s">
        <v>1805</v>
      </c>
      <c r="G505" s="34"/>
      <c r="H505" s="34" t="s">
        <v>1456</v>
      </c>
      <c r="I505" s="34" t="s">
        <v>992</v>
      </c>
      <c r="J505" s="34" t="s">
        <v>1806</v>
      </c>
      <c r="K505" s="34"/>
      <c r="L505" s="34">
        <v>2.69E-2</v>
      </c>
      <c r="M505" s="34">
        <v>2.0500000000000001E-2</v>
      </c>
      <c r="N505" s="153">
        <v>1</v>
      </c>
      <c r="O505" s="34">
        <v>0</v>
      </c>
      <c r="P505" s="34"/>
      <c r="Q505" s="153">
        <v>45343</v>
      </c>
      <c r="R505" s="153">
        <v>46444</v>
      </c>
      <c r="S505" s="34">
        <v>241</v>
      </c>
      <c r="T505" s="34"/>
      <c r="U505" s="153" t="s">
        <v>1325</v>
      </c>
      <c r="V505" s="153" t="s">
        <v>1807</v>
      </c>
      <c r="W505" s="34">
        <v>1</v>
      </c>
      <c r="X505" s="166"/>
      <c r="Y505" s="137"/>
      <c r="Z505" s="137"/>
      <c r="AA505" s="137"/>
      <c r="AB505" s="137">
        <v>0</v>
      </c>
      <c r="AC505" s="137">
        <v>250000000</v>
      </c>
      <c r="AD505" s="137">
        <v>35075000</v>
      </c>
      <c r="AE505" s="137">
        <v>250000</v>
      </c>
      <c r="AF505" s="137">
        <v>250000</v>
      </c>
      <c r="AG505" s="137">
        <v>250000</v>
      </c>
      <c r="AH505" s="153"/>
      <c r="AI505" s="167">
        <v>0</v>
      </c>
      <c r="AJ505" s="153"/>
      <c r="AK505" s="153"/>
      <c r="AL505" s="154">
        <v>107.85</v>
      </c>
      <c r="AM505" s="154">
        <v>0.14030000000000001</v>
      </c>
      <c r="AN505" s="168" t="s">
        <v>1326</v>
      </c>
      <c r="AO505" s="168">
        <v>45939</v>
      </c>
      <c r="AP505" s="154">
        <v>0</v>
      </c>
      <c r="AQ505" s="168"/>
      <c r="AR505" s="155">
        <v>1E-3</v>
      </c>
      <c r="AS505" s="152">
        <v>0.10162388999999999</v>
      </c>
      <c r="AT505" s="154">
        <v>0</v>
      </c>
      <c r="AU505" s="137">
        <v>8.1237019999999993E-2</v>
      </c>
      <c r="AV505" s="137">
        <v>0</v>
      </c>
      <c r="AW505" s="137">
        <v>35075.000000000007</v>
      </c>
      <c r="AX505" s="137">
        <v>207327.99387701103</v>
      </c>
      <c r="AY505" s="137">
        <v>269625</v>
      </c>
      <c r="AZ505" s="137">
        <v>5917.4409070606689</v>
      </c>
      <c r="BA505" s="137">
        <v>37139.145924444631</v>
      </c>
      <c r="BB505" s="137">
        <v>0</v>
      </c>
      <c r="BC505" s="137">
        <v>0</v>
      </c>
      <c r="BD505" s="137">
        <v>0</v>
      </c>
      <c r="BE505" s="137">
        <v>0</v>
      </c>
      <c r="BF505" s="137">
        <v>249999.99999999997</v>
      </c>
      <c r="BG505" s="137">
        <v>250000</v>
      </c>
      <c r="BH505" s="137">
        <v>250000</v>
      </c>
      <c r="BI505" s="137">
        <v>250000</v>
      </c>
      <c r="BJ505" s="137">
        <v>0.97429999999999994</v>
      </c>
      <c r="BK505" s="137">
        <v>1.4705882352941176E-2</v>
      </c>
      <c r="BL505" s="113">
        <v>0</v>
      </c>
      <c r="BM505" s="113" t="s">
        <v>1663</v>
      </c>
      <c r="BN505" s="168">
        <v>0</v>
      </c>
      <c r="BO505" s="152">
        <v>0</v>
      </c>
      <c r="BP505" s="152">
        <v>0</v>
      </c>
      <c r="BQ505" s="137">
        <v>250000</v>
      </c>
      <c r="BR505" s="137">
        <v>0</v>
      </c>
      <c r="BS505" s="166" t="s">
        <v>1806</v>
      </c>
      <c r="BT505" s="168">
        <v>0.16870822258191498</v>
      </c>
      <c r="BU505" s="137">
        <v>169771.29863569594</v>
      </c>
      <c r="BV505" s="137">
        <v>29157.559092939337</v>
      </c>
      <c r="BW505" s="137">
        <v>0.17174610388948688</v>
      </c>
      <c r="BX505" s="89">
        <v>0.83129177741808502</v>
      </c>
      <c r="BY505" s="89">
        <v>0</v>
      </c>
      <c r="BZ505" s="153">
        <v>0</v>
      </c>
      <c r="CA505" s="153">
        <v>0</v>
      </c>
      <c r="CB505" s="153">
        <v>45939</v>
      </c>
      <c r="CC505" s="153">
        <v>45939</v>
      </c>
      <c r="CD505" s="153"/>
      <c r="CE505" s="153"/>
      <c r="CF505" s="153"/>
      <c r="CG505" s="34" t="s">
        <v>139</v>
      </c>
      <c r="CH505" s="34" t="s">
        <v>1333</v>
      </c>
    </row>
    <row r="506" spans="1:86" x14ac:dyDescent="0.3">
      <c r="A506" s="34">
        <v>41</v>
      </c>
      <c r="B506" s="34" t="s">
        <v>993</v>
      </c>
      <c r="C506" s="34" t="s">
        <v>1360</v>
      </c>
      <c r="D506" s="34" t="s">
        <v>150</v>
      </c>
      <c r="E506" s="34" t="s">
        <v>1332</v>
      </c>
      <c r="F506" s="34" t="s">
        <v>1805</v>
      </c>
      <c r="G506" s="34"/>
      <c r="H506" s="34" t="s">
        <v>1456</v>
      </c>
      <c r="I506" s="34" t="s">
        <v>994</v>
      </c>
      <c r="J506" s="34" t="s">
        <v>1806</v>
      </c>
      <c r="K506" s="34"/>
      <c r="L506" s="34">
        <v>3.2599999999999997E-2</v>
      </c>
      <c r="M506" s="34">
        <v>2.69E-2</v>
      </c>
      <c r="N506" s="153">
        <v>1</v>
      </c>
      <c r="O506" s="34">
        <v>0</v>
      </c>
      <c r="P506" s="34"/>
      <c r="Q506" s="153">
        <v>45343</v>
      </c>
      <c r="R506" s="153">
        <v>46444</v>
      </c>
      <c r="S506" s="34">
        <v>241</v>
      </c>
      <c r="T506" s="34"/>
      <c r="U506" s="153" t="s">
        <v>1325</v>
      </c>
      <c r="V506" s="153" t="s">
        <v>1807</v>
      </c>
      <c r="W506" s="34">
        <v>1</v>
      </c>
      <c r="X506" s="166"/>
      <c r="Y506" s="137"/>
      <c r="Z506" s="137"/>
      <c r="AA506" s="137"/>
      <c r="AB506" s="137">
        <v>0</v>
      </c>
      <c r="AC506" s="137">
        <v>200000000</v>
      </c>
      <c r="AD506" s="137">
        <v>23265000</v>
      </c>
      <c r="AE506" s="137">
        <v>250000.5</v>
      </c>
      <c r="AF506" s="137">
        <v>250000.5</v>
      </c>
      <c r="AG506" s="137">
        <v>250000</v>
      </c>
      <c r="AH506" s="153"/>
      <c r="AI506" s="167">
        <v>0</v>
      </c>
      <c r="AJ506" s="153"/>
      <c r="AK506" s="153"/>
      <c r="AL506" s="154">
        <v>108.35</v>
      </c>
      <c r="AM506" s="154">
        <v>0.15509999999999999</v>
      </c>
      <c r="AN506" s="168" t="s">
        <v>1326</v>
      </c>
      <c r="AO506" s="168">
        <v>45939</v>
      </c>
      <c r="AP506" s="154">
        <v>0</v>
      </c>
      <c r="AQ506" s="168"/>
      <c r="AR506" s="155">
        <v>1.6666700000000001E-3</v>
      </c>
      <c r="AS506" s="152">
        <v>0.11673172</v>
      </c>
      <c r="AT506" s="154">
        <v>0</v>
      </c>
      <c r="AU506" s="137">
        <v>9.1780929999999997E-2</v>
      </c>
      <c r="AV506" s="137">
        <v>0</v>
      </c>
      <c r="AW506" s="137">
        <v>38775.077550000002</v>
      </c>
      <c r="AX506" s="137">
        <v>225000.45</v>
      </c>
      <c r="AY506" s="137">
        <v>270875.54174999997</v>
      </c>
      <c r="AZ506" s="137">
        <v>7315.5323138773947</v>
      </c>
      <c r="BA506" s="137">
        <v>41391.508501947035</v>
      </c>
      <c r="BB506" s="137">
        <v>0</v>
      </c>
      <c r="BC506" s="137">
        <v>0</v>
      </c>
      <c r="BD506" s="137">
        <v>0</v>
      </c>
      <c r="BE506" s="137">
        <v>0</v>
      </c>
      <c r="BF506" s="137">
        <v>250000.5</v>
      </c>
      <c r="BG506" s="137">
        <v>250000.5</v>
      </c>
      <c r="BH506" s="137">
        <v>250000.5</v>
      </c>
      <c r="BI506" s="137">
        <v>250000.5</v>
      </c>
      <c r="BJ506" s="137">
        <v>0.96840000000000004</v>
      </c>
      <c r="BK506" s="137">
        <v>1.4705911764705882E-2</v>
      </c>
      <c r="BL506" s="113">
        <v>0</v>
      </c>
      <c r="BM506" s="113" t="s">
        <v>1663</v>
      </c>
      <c r="BN506" s="168">
        <v>0</v>
      </c>
      <c r="BO506" s="152">
        <v>0</v>
      </c>
      <c r="BP506" s="152">
        <v>0</v>
      </c>
      <c r="BQ506" s="137">
        <v>250000.5</v>
      </c>
      <c r="BR506" s="137">
        <v>0</v>
      </c>
      <c r="BS506" s="166" t="s">
        <v>1806</v>
      </c>
      <c r="BT506" s="168">
        <v>0.18866583321320513</v>
      </c>
      <c r="BU506" s="137">
        <v>179463.64418325492</v>
      </c>
      <c r="BV506" s="137">
        <v>31459.545236122605</v>
      </c>
      <c r="BW506" s="137">
        <v>0.17529759511624793</v>
      </c>
      <c r="BX506" s="89">
        <v>0.81133416678679482</v>
      </c>
      <c r="BY506" s="89">
        <v>0</v>
      </c>
      <c r="BZ506" s="153">
        <v>0</v>
      </c>
      <c r="CA506" s="153">
        <v>0</v>
      </c>
      <c r="CB506" s="153">
        <v>45939</v>
      </c>
      <c r="CC506" s="153">
        <v>45939</v>
      </c>
      <c r="CD506" s="153"/>
      <c r="CE506" s="153"/>
      <c r="CF506" s="153"/>
      <c r="CG506" s="34" t="s">
        <v>139</v>
      </c>
      <c r="CH506" s="34" t="s">
        <v>1333</v>
      </c>
    </row>
    <row r="507" spans="1:86" x14ac:dyDescent="0.3">
      <c r="A507" s="34">
        <v>42</v>
      </c>
      <c r="B507" s="34" t="s">
        <v>995</v>
      </c>
      <c r="C507" s="34" t="s">
        <v>1360</v>
      </c>
      <c r="D507" s="34" t="s">
        <v>159</v>
      </c>
      <c r="E507" s="34" t="s">
        <v>1336</v>
      </c>
      <c r="F507" s="34"/>
      <c r="G507" s="34"/>
      <c r="H507" s="34" t="s">
        <v>1456</v>
      </c>
      <c r="I507" s="34" t="s">
        <v>996</v>
      </c>
      <c r="J507" s="34" t="s">
        <v>1806</v>
      </c>
      <c r="K507" s="34"/>
      <c r="L507" s="34">
        <v>1.7000000000000001E-2</v>
      </c>
      <c r="M507" s="34">
        <v>1.44E-2</v>
      </c>
      <c r="N507" s="153">
        <v>1</v>
      </c>
      <c r="O507" s="34">
        <v>0</v>
      </c>
      <c r="P507" s="34"/>
      <c r="Q507" s="153">
        <v>45701</v>
      </c>
      <c r="R507" s="153">
        <v>46804</v>
      </c>
      <c r="S507" s="34">
        <v>601</v>
      </c>
      <c r="T507" s="34"/>
      <c r="U507" s="153" t="s">
        <v>1325</v>
      </c>
      <c r="V507" s="153" t="s">
        <v>1807</v>
      </c>
      <c r="W507" s="34">
        <v>1</v>
      </c>
      <c r="X507" s="166"/>
      <c r="Y507" s="137"/>
      <c r="Z507" s="137"/>
      <c r="AA507" s="137"/>
      <c r="AB507" s="137">
        <v>0</v>
      </c>
      <c r="AC507" s="137">
        <v>200000000</v>
      </c>
      <c r="AD507" s="137">
        <v>18060000</v>
      </c>
      <c r="AE507" s="137">
        <v>249999.75000000003</v>
      </c>
      <c r="AF507" s="137">
        <v>249999.75000000003</v>
      </c>
      <c r="AG507" s="137">
        <v>250000</v>
      </c>
      <c r="AH507" s="153"/>
      <c r="AI507" s="167">
        <v>0</v>
      </c>
      <c r="AJ507" s="153"/>
      <c r="AK507" s="153"/>
      <c r="AL507" s="154">
        <v>104.2</v>
      </c>
      <c r="AM507" s="154">
        <v>0.1032</v>
      </c>
      <c r="AN507" s="168" t="s">
        <v>1326</v>
      </c>
      <c r="AO507" s="168">
        <v>45957</v>
      </c>
      <c r="AP507" s="154">
        <v>0</v>
      </c>
      <c r="AQ507" s="168"/>
      <c r="AR507" s="155">
        <v>1.4285700000000001E-3</v>
      </c>
      <c r="AS507" s="152">
        <v>6.497E-2</v>
      </c>
      <c r="AT507" s="154">
        <v>0</v>
      </c>
      <c r="AU507" s="137">
        <v>8.3603849999999993E-2</v>
      </c>
      <c r="AV507" s="137">
        <v>0</v>
      </c>
      <c r="AW507" s="137">
        <v>25799.974200000001</v>
      </c>
      <c r="AX507" s="137">
        <v>182488.71787078277</v>
      </c>
      <c r="AY507" s="137">
        <v>260499.73950000003</v>
      </c>
      <c r="AZ507" s="137">
        <v>3909.5974537345605</v>
      </c>
      <c r="BA507" s="137">
        <v>30579.134360205946</v>
      </c>
      <c r="BB507" s="137">
        <v>0</v>
      </c>
      <c r="BC507" s="137">
        <v>0</v>
      </c>
      <c r="BD507" s="137">
        <v>0</v>
      </c>
      <c r="BE507" s="137">
        <v>0</v>
      </c>
      <c r="BF507" s="137">
        <v>0</v>
      </c>
      <c r="BG507" s="137">
        <v>249999.75000000003</v>
      </c>
      <c r="BH507" s="137">
        <v>249999.75000000003</v>
      </c>
      <c r="BI507" s="137">
        <v>249999.75000000003</v>
      </c>
      <c r="BJ507" s="137">
        <v>0.98329999999999995</v>
      </c>
      <c r="BK507" s="137">
        <v>1.4705867647058826E-2</v>
      </c>
      <c r="BL507" s="113">
        <v>0</v>
      </c>
      <c r="BM507" s="113" t="s">
        <v>1663</v>
      </c>
      <c r="BN507" s="168">
        <v>0</v>
      </c>
      <c r="BO507" s="152">
        <v>0</v>
      </c>
      <c r="BP507" s="152">
        <v>0</v>
      </c>
      <c r="BQ507" s="137">
        <v>249999.75000000003</v>
      </c>
      <c r="BR507" s="137">
        <v>0</v>
      </c>
      <c r="BS507" s="166" t="s">
        <v>1806</v>
      </c>
      <c r="BT507" s="168">
        <v>0.15153493656340788</v>
      </c>
      <c r="BU507" s="137">
        <v>155354.54240027015</v>
      </c>
      <c r="BV507" s="137">
        <v>21890.37674626544</v>
      </c>
      <c r="BW507" s="137">
        <v>0.14090593302296242</v>
      </c>
      <c r="BX507" s="89">
        <v>0.84846506343659212</v>
      </c>
      <c r="BY507" s="89">
        <v>0</v>
      </c>
      <c r="BZ507" s="153">
        <v>0</v>
      </c>
      <c r="CA507" s="153">
        <v>0</v>
      </c>
      <c r="CB507" s="153">
        <v>45957</v>
      </c>
      <c r="CC507" s="153">
        <v>45957</v>
      </c>
      <c r="CD507" s="153"/>
      <c r="CE507" s="153"/>
      <c r="CF507" s="153"/>
      <c r="CG507" s="34" t="s">
        <v>139</v>
      </c>
      <c r="CH507" s="34" t="s">
        <v>1333</v>
      </c>
    </row>
    <row r="508" spans="1:86" x14ac:dyDescent="0.3">
      <c r="A508" s="34">
        <v>43</v>
      </c>
      <c r="B508" s="34" t="s">
        <v>995</v>
      </c>
      <c r="C508" s="34" t="s">
        <v>1360</v>
      </c>
      <c r="D508" s="34" t="s">
        <v>159</v>
      </c>
      <c r="E508" s="34" t="s">
        <v>1336</v>
      </c>
      <c r="F508" s="34"/>
      <c r="G508" s="34"/>
      <c r="H508" s="34" t="s">
        <v>1456</v>
      </c>
      <c r="I508" s="34" t="s">
        <v>996</v>
      </c>
      <c r="J508" s="34" t="s">
        <v>1806</v>
      </c>
      <c r="K508" s="34"/>
      <c r="L508" s="34">
        <v>1.7000000000000001E-2</v>
      </c>
      <c r="M508" s="34">
        <v>1.44E-2</v>
      </c>
      <c r="N508" s="153">
        <v>1</v>
      </c>
      <c r="O508" s="34">
        <v>0</v>
      </c>
      <c r="P508" s="34"/>
      <c r="Q508" s="153">
        <v>45701</v>
      </c>
      <c r="R508" s="153">
        <v>46804</v>
      </c>
      <c r="S508" s="34">
        <v>601</v>
      </c>
      <c r="T508" s="34"/>
      <c r="U508" s="153" t="s">
        <v>1325</v>
      </c>
      <c r="V508" s="153" t="s">
        <v>1809</v>
      </c>
      <c r="W508" s="34">
        <v>1</v>
      </c>
      <c r="X508" s="166"/>
      <c r="Y508" s="137"/>
      <c r="Z508" s="137"/>
      <c r="AA508" s="137"/>
      <c r="AB508" s="137">
        <v>0</v>
      </c>
      <c r="AC508" s="137">
        <v>200000000</v>
      </c>
      <c r="AD508" s="137">
        <v>18060000</v>
      </c>
      <c r="AE508" s="137">
        <v>249999.75000000003</v>
      </c>
      <c r="AF508" s="137">
        <v>249999.75000000003</v>
      </c>
      <c r="AG508" s="137">
        <v>250000</v>
      </c>
      <c r="AH508" s="153"/>
      <c r="AI508" s="167">
        <v>0</v>
      </c>
      <c r="AJ508" s="153"/>
      <c r="AK508" s="153"/>
      <c r="AL508" s="154">
        <v>99.85</v>
      </c>
      <c r="AM508" s="154">
        <v>0.1032</v>
      </c>
      <c r="AN508" s="168" t="s">
        <v>1326</v>
      </c>
      <c r="AO508" s="168">
        <v>45784</v>
      </c>
      <c r="AP508" s="154">
        <v>0</v>
      </c>
      <c r="AQ508" s="168"/>
      <c r="AR508" s="155">
        <v>1.4285700000000001E-3</v>
      </c>
      <c r="AS508" s="152">
        <v>6.497E-2</v>
      </c>
      <c r="AT508" s="154">
        <v>0</v>
      </c>
      <c r="AU508" s="137">
        <v>0.10708301000000001</v>
      </c>
      <c r="AV508" s="137">
        <v>0</v>
      </c>
      <c r="AW508" s="137">
        <v>25799.974200000001</v>
      </c>
      <c r="AX508" s="137">
        <v>182488.71787078277</v>
      </c>
      <c r="AY508" s="137">
        <v>249624.750375</v>
      </c>
      <c r="AZ508" s="137">
        <v>3909.5974537345596</v>
      </c>
      <c r="BA508" s="137">
        <v>30579.134360205942</v>
      </c>
      <c r="BB508" s="137">
        <v>0</v>
      </c>
      <c r="BC508" s="137">
        <v>0</v>
      </c>
      <c r="BD508" s="137">
        <v>0</v>
      </c>
      <c r="BE508" s="137">
        <v>0</v>
      </c>
      <c r="BF508" s="137">
        <v>0</v>
      </c>
      <c r="BG508" s="137">
        <v>249999.75000000003</v>
      </c>
      <c r="BH508" s="137">
        <v>249999.75000000003</v>
      </c>
      <c r="BI508" s="137">
        <v>249999.75000000003</v>
      </c>
      <c r="BJ508" s="137">
        <v>0.98329999999999995</v>
      </c>
      <c r="BK508" s="137">
        <v>1.4705867647058826E-2</v>
      </c>
      <c r="BL508" s="113">
        <v>0</v>
      </c>
      <c r="BM508" s="113" t="s">
        <v>1663</v>
      </c>
      <c r="BN508" s="168">
        <v>0</v>
      </c>
      <c r="BO508" s="152">
        <v>0</v>
      </c>
      <c r="BP508" s="152">
        <v>0</v>
      </c>
      <c r="BQ508" s="137">
        <v>249999.75000000003</v>
      </c>
      <c r="BR508" s="137">
        <v>0</v>
      </c>
      <c r="BS508" s="166" t="s">
        <v>1806</v>
      </c>
      <c r="BT508" s="168">
        <v>0.15153493656340786</v>
      </c>
      <c r="BU508" s="137">
        <v>155354.54240027015</v>
      </c>
      <c r="BV508" s="137">
        <v>21890.37674626544</v>
      </c>
      <c r="BW508" s="137">
        <v>0.14090593302296242</v>
      </c>
      <c r="BX508" s="89">
        <v>0.84846506343659212</v>
      </c>
      <c r="BY508" s="89">
        <v>0</v>
      </c>
      <c r="BZ508" s="153">
        <v>0</v>
      </c>
      <c r="CA508" s="153">
        <v>0</v>
      </c>
      <c r="CB508" s="153">
        <v>45784</v>
      </c>
      <c r="CC508" s="153">
        <v>45784</v>
      </c>
      <c r="CD508" s="153"/>
      <c r="CE508" s="153"/>
      <c r="CF508" s="153"/>
      <c r="CG508" s="34" t="s">
        <v>139</v>
      </c>
      <c r="CH508" s="34" t="s">
        <v>1333</v>
      </c>
    </row>
    <row r="509" spans="1:86" x14ac:dyDescent="0.3">
      <c r="A509" s="34">
        <v>44</v>
      </c>
      <c r="B509" s="34" t="s">
        <v>1000</v>
      </c>
      <c r="C509" s="34" t="s">
        <v>1353</v>
      </c>
      <c r="D509" s="34" t="s">
        <v>133</v>
      </c>
      <c r="E509" s="34" t="s">
        <v>1336</v>
      </c>
      <c r="F509" s="34"/>
      <c r="G509" s="34"/>
      <c r="H509" s="34" t="s">
        <v>1456</v>
      </c>
      <c r="I509" s="34" t="s">
        <v>1003</v>
      </c>
      <c r="J509" s="34" t="s">
        <v>1806</v>
      </c>
      <c r="K509" s="34"/>
      <c r="L509" s="34">
        <v>9.7000000000000003E-3</v>
      </c>
      <c r="M509" s="34">
        <v>6.0000000000000001E-3</v>
      </c>
      <c r="N509" s="153">
        <v>1</v>
      </c>
      <c r="O509" s="34">
        <v>0</v>
      </c>
      <c r="P509" s="34"/>
      <c r="Q509" s="153">
        <v>45287</v>
      </c>
      <c r="R509" s="153">
        <v>46030</v>
      </c>
      <c r="S509" s="34">
        <v>-173</v>
      </c>
      <c r="T509" s="34"/>
      <c r="U509" s="153" t="s">
        <v>1325</v>
      </c>
      <c r="V509" s="153" t="s">
        <v>1807</v>
      </c>
      <c r="W509" s="34">
        <v>1</v>
      </c>
      <c r="X509" s="166"/>
      <c r="Y509" s="137"/>
      <c r="Z509" s="137"/>
      <c r="AA509" s="137"/>
      <c r="AB509" s="137">
        <v>0</v>
      </c>
      <c r="AC509" s="137">
        <v>150000000</v>
      </c>
      <c r="AD509" s="137">
        <v>12256230</v>
      </c>
      <c r="AE509" s="137">
        <v>250000.5</v>
      </c>
      <c r="AF509" s="137">
        <v>250000.5</v>
      </c>
      <c r="AG509" s="137">
        <v>250000</v>
      </c>
      <c r="AH509" s="153"/>
      <c r="AI509" s="167">
        <v>0</v>
      </c>
      <c r="AJ509" s="153"/>
      <c r="AK509" s="153"/>
      <c r="AL509" s="154">
        <v>102.4</v>
      </c>
      <c r="AM509" s="154">
        <v>8.1708199999999995E-2</v>
      </c>
      <c r="AN509" s="168" t="s">
        <v>1326</v>
      </c>
      <c r="AO509" s="168">
        <v>45763</v>
      </c>
      <c r="AP509" s="154">
        <v>0</v>
      </c>
      <c r="AQ509" s="168"/>
      <c r="AR509" s="155">
        <v>1.6666700000000001E-3</v>
      </c>
      <c r="AS509" s="152">
        <v>4.3428769999999998E-2</v>
      </c>
      <c r="AT509" s="154">
        <v>0</v>
      </c>
      <c r="AU509" s="137">
        <v>6.8990380000000004E-2</v>
      </c>
      <c r="AV509" s="137">
        <v>0</v>
      </c>
      <c r="AW509" s="137">
        <v>20427.090854099999</v>
      </c>
      <c r="AX509" s="137">
        <v>0</v>
      </c>
      <c r="AY509" s="137">
        <v>256000.51200000002</v>
      </c>
      <c r="AZ509" s="137">
        <v>1946.8788937500001</v>
      </c>
      <c r="BA509" s="137">
        <v>20829.125148716455</v>
      </c>
      <c r="BB509" s="137">
        <v>0</v>
      </c>
      <c r="BC509" s="137">
        <v>0</v>
      </c>
      <c r="BD509" s="137">
        <v>0</v>
      </c>
      <c r="BE509" s="137">
        <v>0</v>
      </c>
      <c r="BF509" s="137">
        <v>0</v>
      </c>
      <c r="BG509" s="137">
        <v>0</v>
      </c>
      <c r="BH509" s="137">
        <v>0</v>
      </c>
      <c r="BI509" s="137">
        <v>250000.5</v>
      </c>
      <c r="BJ509" s="137">
        <v>0.99029999999999996</v>
      </c>
      <c r="BK509" s="137">
        <v>1.4705911764705882E-2</v>
      </c>
      <c r="BL509" s="113">
        <v>0</v>
      </c>
      <c r="BM509" s="113" t="s">
        <v>1663</v>
      </c>
      <c r="BN509" s="168">
        <v>0</v>
      </c>
      <c r="BO509" s="152">
        <v>0</v>
      </c>
      <c r="BP509" s="152">
        <v>0</v>
      </c>
      <c r="BQ509" s="137">
        <v>250000.5</v>
      </c>
      <c r="BR509" s="137">
        <v>0</v>
      </c>
      <c r="BS509" s="166" t="s">
        <v>1806</v>
      </c>
      <c r="BT509" s="168">
        <v>9.5308671589877159E-2</v>
      </c>
      <c r="BU509" s="137">
        <v>18750.037499999999</v>
      </c>
      <c r="BV509" s="137">
        <v>18480.21196035</v>
      </c>
      <c r="BW509" s="137">
        <v>0.98560933333333334</v>
      </c>
      <c r="BX509" s="89">
        <v>0.9046913284101229</v>
      </c>
      <c r="BY509" s="89">
        <v>0</v>
      </c>
      <c r="BZ509" s="153">
        <v>0</v>
      </c>
      <c r="CA509" s="153">
        <v>0</v>
      </c>
      <c r="CB509" s="153">
        <v>45763</v>
      </c>
      <c r="CC509" s="153">
        <v>45763</v>
      </c>
      <c r="CD509" s="153"/>
      <c r="CE509" s="153"/>
      <c r="CF509" s="153"/>
      <c r="CG509" s="34" t="s">
        <v>1347</v>
      </c>
      <c r="CH509" s="34" t="s">
        <v>1333</v>
      </c>
    </row>
    <row r="510" spans="1:86" x14ac:dyDescent="0.3">
      <c r="A510" s="34">
        <v>45</v>
      </c>
      <c r="B510" s="34" t="s">
        <v>1028</v>
      </c>
      <c r="C510" s="34" t="s">
        <v>1339</v>
      </c>
      <c r="D510" s="34" t="s">
        <v>528</v>
      </c>
      <c r="E510" s="34" t="s">
        <v>1340</v>
      </c>
      <c r="F510" s="34" t="s">
        <v>1808</v>
      </c>
      <c r="G510" s="34"/>
      <c r="H510" s="34" t="s">
        <v>1456</v>
      </c>
      <c r="I510" s="34" t="s">
        <v>1029</v>
      </c>
      <c r="J510" s="34" t="s">
        <v>1806</v>
      </c>
      <c r="K510" s="34"/>
      <c r="L510" s="34">
        <v>8.5000000000000006E-3</v>
      </c>
      <c r="M510" s="34">
        <v>7.7000000000000002E-3</v>
      </c>
      <c r="N510" s="153">
        <v>1</v>
      </c>
      <c r="O510" s="34">
        <v>0</v>
      </c>
      <c r="P510" s="34"/>
      <c r="Q510" s="153">
        <v>45267</v>
      </c>
      <c r="R510" s="153">
        <v>46363</v>
      </c>
      <c r="S510" s="34">
        <v>160</v>
      </c>
      <c r="T510" s="34"/>
      <c r="U510" s="153" t="s">
        <v>1325</v>
      </c>
      <c r="V510" s="153" t="s">
        <v>1807</v>
      </c>
      <c r="W510" s="34">
        <v>1</v>
      </c>
      <c r="X510" s="166"/>
      <c r="Y510" s="137"/>
      <c r="Z510" s="137"/>
      <c r="AA510" s="137"/>
      <c r="AB510" s="137">
        <v>0</v>
      </c>
      <c r="AC510" s="137">
        <v>1000000000</v>
      </c>
      <c r="AD510" s="137">
        <v>27960000</v>
      </c>
      <c r="AE510" s="137">
        <v>249999</v>
      </c>
      <c r="AF510" s="137">
        <v>249999</v>
      </c>
      <c r="AG510" s="137">
        <v>250000</v>
      </c>
      <c r="AH510" s="153"/>
      <c r="AI510" s="167">
        <v>0</v>
      </c>
      <c r="AJ510" s="153"/>
      <c r="AK510" s="153"/>
      <c r="AL510" s="154">
        <v>103.95</v>
      </c>
      <c r="AM510" s="154">
        <v>9.3200000000000005E-2</v>
      </c>
      <c r="AN510" s="168" t="s">
        <v>1326</v>
      </c>
      <c r="AO510" s="168">
        <v>45751</v>
      </c>
      <c r="AP510" s="154">
        <v>0</v>
      </c>
      <c r="AQ510" s="168"/>
      <c r="AR510" s="155">
        <v>8.3332999999999996E-4</v>
      </c>
      <c r="AS510" s="152">
        <v>5.500062E-2</v>
      </c>
      <c r="AT510" s="154">
        <v>0</v>
      </c>
      <c r="AU510" s="137">
        <v>7.1253140000000006E-2</v>
      </c>
      <c r="AV510" s="137">
        <v>0</v>
      </c>
      <c r="AW510" s="137">
        <v>23299.906800000001</v>
      </c>
      <c r="AX510" s="137">
        <v>0</v>
      </c>
      <c r="AY510" s="137">
        <v>259873.96050000002</v>
      </c>
      <c r="AZ510" s="137">
        <v>2019.6864694769981</v>
      </c>
      <c r="BA510" s="137">
        <v>22128.200213811611</v>
      </c>
      <c r="BB510" s="137">
        <v>0</v>
      </c>
      <c r="BC510" s="137">
        <v>0</v>
      </c>
      <c r="BD510" s="137">
        <v>0</v>
      </c>
      <c r="BE510" s="137">
        <v>0</v>
      </c>
      <c r="BF510" s="137">
        <v>0</v>
      </c>
      <c r="BG510" s="137">
        <v>0</v>
      </c>
      <c r="BH510" s="137">
        <v>0</v>
      </c>
      <c r="BI510" s="137">
        <v>249999</v>
      </c>
      <c r="BJ510" s="137">
        <v>0.99150000000000005</v>
      </c>
      <c r="BK510" s="137">
        <v>1.4705823529411764E-2</v>
      </c>
      <c r="BL510" s="113">
        <v>0</v>
      </c>
      <c r="BM510" s="113" t="s">
        <v>1663</v>
      </c>
      <c r="BN510" s="168">
        <v>0</v>
      </c>
      <c r="BO510" s="152">
        <v>0</v>
      </c>
      <c r="BP510" s="152">
        <v>0</v>
      </c>
      <c r="BQ510" s="137">
        <v>249999</v>
      </c>
      <c r="BR510" s="137">
        <v>0</v>
      </c>
      <c r="BS510" s="166" t="s">
        <v>1806</v>
      </c>
      <c r="BT510" s="168">
        <v>8.6682169453012492E-2</v>
      </c>
      <c r="BU510" s="137">
        <v>24999.9</v>
      </c>
      <c r="BV510" s="137">
        <v>21280.220330523003</v>
      </c>
      <c r="BW510" s="137">
        <v>0.8512122180697923</v>
      </c>
      <c r="BX510" s="89">
        <v>0.91331783054698756</v>
      </c>
      <c r="BY510" s="89">
        <v>0</v>
      </c>
      <c r="BZ510" s="153">
        <v>0</v>
      </c>
      <c r="CA510" s="153">
        <v>0</v>
      </c>
      <c r="CB510" s="153">
        <v>45751</v>
      </c>
      <c r="CC510" s="153">
        <v>45751</v>
      </c>
      <c r="CD510" s="153"/>
      <c r="CE510" s="153"/>
      <c r="CF510" s="153"/>
      <c r="CG510" s="34" t="s">
        <v>139</v>
      </c>
      <c r="CH510" s="34" t="s">
        <v>1329</v>
      </c>
    </row>
    <row r="511" spans="1:86" x14ac:dyDescent="0.3">
      <c r="A511" s="34">
        <v>46</v>
      </c>
      <c r="B511" s="34" t="s">
        <v>1057</v>
      </c>
      <c r="C511" s="34" t="s">
        <v>1370</v>
      </c>
      <c r="D511" s="34" t="s">
        <v>150</v>
      </c>
      <c r="E511" s="34" t="s">
        <v>1336</v>
      </c>
      <c r="F511" s="34" t="s">
        <v>1805</v>
      </c>
      <c r="G511" s="34"/>
      <c r="H511" s="34" t="s">
        <v>1456</v>
      </c>
      <c r="I511" s="34" t="s">
        <v>1058</v>
      </c>
      <c r="J511" s="34" t="s">
        <v>1806</v>
      </c>
      <c r="K511" s="34"/>
      <c r="L511" s="34">
        <v>8.7599999999999997E-2</v>
      </c>
      <c r="M511" s="34">
        <v>6.7799999999999999E-2</v>
      </c>
      <c r="N511" s="153">
        <v>1</v>
      </c>
      <c r="O511" s="34">
        <v>0</v>
      </c>
      <c r="P511" s="34"/>
      <c r="Q511" s="153">
        <v>45358</v>
      </c>
      <c r="R511" s="153">
        <v>46458</v>
      </c>
      <c r="S511" s="34">
        <v>255</v>
      </c>
      <c r="T511" s="34"/>
      <c r="U511" s="153" t="s">
        <v>1325</v>
      </c>
      <c r="V511" s="153" t="s">
        <v>1809</v>
      </c>
      <c r="W511" s="34">
        <v>1</v>
      </c>
      <c r="X511" s="166"/>
      <c r="Y511" s="137"/>
      <c r="Z511" s="137"/>
      <c r="AA511" s="137"/>
      <c r="AB511" s="137">
        <v>0</v>
      </c>
      <c r="AC511" s="137">
        <v>2000000000</v>
      </c>
      <c r="AD511" s="137">
        <v>86307500</v>
      </c>
      <c r="AE511" s="137">
        <v>250002.00000000003</v>
      </c>
      <c r="AF511" s="137">
        <v>250002.00000000003</v>
      </c>
      <c r="AG511" s="137">
        <v>250000</v>
      </c>
      <c r="AH511" s="153"/>
      <c r="AI511" s="167">
        <v>0</v>
      </c>
      <c r="AJ511" s="153"/>
      <c r="AK511" s="153"/>
      <c r="AL511" s="154">
        <v>102.8</v>
      </c>
      <c r="AM511" s="154">
        <v>0.1817</v>
      </c>
      <c r="AN511" s="168" t="s">
        <v>1326</v>
      </c>
      <c r="AO511" s="168">
        <v>45834</v>
      </c>
      <c r="AP511" s="154">
        <v>0</v>
      </c>
      <c r="AQ511" s="168"/>
      <c r="AR511" s="155">
        <v>5.2632000000000004E-4</v>
      </c>
      <c r="AS511" s="152">
        <v>0.14337499000000001</v>
      </c>
      <c r="AT511" s="154">
        <v>0</v>
      </c>
      <c r="AU511" s="137">
        <v>0.16562574999999999</v>
      </c>
      <c r="AV511" s="137">
        <v>0</v>
      </c>
      <c r="AW511" s="137">
        <v>45425.363400000002</v>
      </c>
      <c r="AX511" s="137">
        <v>183276.96928285187</v>
      </c>
      <c r="AY511" s="137">
        <v>257002.05600000001</v>
      </c>
      <c r="AZ511" s="137">
        <v>19510.311225751422</v>
      </c>
      <c r="BA511" s="137">
        <v>65472.040861610862</v>
      </c>
      <c r="BB511" s="137">
        <v>0</v>
      </c>
      <c r="BC511" s="137">
        <v>0</v>
      </c>
      <c r="BD511" s="137">
        <v>250002.00000000003</v>
      </c>
      <c r="BE511" s="137">
        <v>250002.00000000003</v>
      </c>
      <c r="BF511" s="137">
        <v>250002.00000000003</v>
      </c>
      <c r="BG511" s="137">
        <v>250002.00000000003</v>
      </c>
      <c r="BH511" s="137">
        <v>250002.00000000006</v>
      </c>
      <c r="BI511" s="137">
        <v>250002.00000000006</v>
      </c>
      <c r="BJ511" s="137">
        <v>0.91549999999999998</v>
      </c>
      <c r="BK511" s="137">
        <v>1.4706000000000002E-2</v>
      </c>
      <c r="BL511" s="113">
        <v>0</v>
      </c>
      <c r="BM511" s="113" t="s">
        <v>1663</v>
      </c>
      <c r="BN511" s="168">
        <v>0</v>
      </c>
      <c r="BO511" s="152">
        <v>0</v>
      </c>
      <c r="BP511" s="152">
        <v>0</v>
      </c>
      <c r="BQ511" s="137">
        <v>250002.00000000003</v>
      </c>
      <c r="BR511" s="137">
        <v>0</v>
      </c>
      <c r="BS511" s="166" t="s">
        <v>1806</v>
      </c>
      <c r="BT511" s="168">
        <v>0.42950258986263656</v>
      </c>
      <c r="BU511" s="137">
        <v>153672.33674402323</v>
      </c>
      <c r="BV511" s="137">
        <v>25915.05217424858</v>
      </c>
      <c r="BW511" s="137">
        <v>0.16863836864416323</v>
      </c>
      <c r="BX511" s="89">
        <v>0.57049741013736344</v>
      </c>
      <c r="BY511" s="89">
        <v>0</v>
      </c>
      <c r="BZ511" s="153">
        <v>0</v>
      </c>
      <c r="CA511" s="153">
        <v>0</v>
      </c>
      <c r="CB511" s="153">
        <v>45834</v>
      </c>
      <c r="CC511" s="153">
        <v>45834</v>
      </c>
      <c r="CD511" s="153"/>
      <c r="CE511" s="153"/>
      <c r="CF511" s="153"/>
      <c r="CG511" s="34" t="s">
        <v>139</v>
      </c>
      <c r="CH511" s="34" t="s">
        <v>1333</v>
      </c>
    </row>
    <row r="512" spans="1:86" x14ac:dyDescent="0.3">
      <c r="A512" s="34">
        <v>47</v>
      </c>
      <c r="B512" s="34" t="s">
        <v>1061</v>
      </c>
      <c r="C512" s="34" t="s">
        <v>1354</v>
      </c>
      <c r="D512" s="34" t="s">
        <v>133</v>
      </c>
      <c r="E512" s="34" t="s">
        <v>1336</v>
      </c>
      <c r="F512" s="34" t="s">
        <v>1805</v>
      </c>
      <c r="G512" s="34"/>
      <c r="H512" s="34" t="s">
        <v>1456</v>
      </c>
      <c r="I512" s="34" t="s">
        <v>1064</v>
      </c>
      <c r="J512" s="34" t="s">
        <v>1806</v>
      </c>
      <c r="K512" s="34"/>
      <c r="L512" s="34">
        <v>1.7600000000000001E-2</v>
      </c>
      <c r="M512" s="34">
        <v>0</v>
      </c>
      <c r="N512" s="153">
        <v>1</v>
      </c>
      <c r="O512" s="34">
        <v>0</v>
      </c>
      <c r="P512" s="34"/>
      <c r="Q512" s="153">
        <v>45287</v>
      </c>
      <c r="R512" s="153">
        <v>46395</v>
      </c>
      <c r="S512" s="34">
        <v>192</v>
      </c>
      <c r="T512" s="34"/>
      <c r="U512" s="153" t="s">
        <v>1325</v>
      </c>
      <c r="V512" s="153" t="s">
        <v>1807</v>
      </c>
      <c r="W512" s="34">
        <v>1</v>
      </c>
      <c r="X512" s="166"/>
      <c r="Y512" s="137"/>
      <c r="Z512" s="137"/>
      <c r="AA512" s="137"/>
      <c r="AB512" s="137">
        <v>0</v>
      </c>
      <c r="AC512" s="137">
        <v>301000000</v>
      </c>
      <c r="AD512" s="137">
        <v>20180000</v>
      </c>
      <c r="AE512" s="137">
        <v>250000</v>
      </c>
      <c r="AF512" s="137">
        <v>250000</v>
      </c>
      <c r="AG512" s="137">
        <v>250000</v>
      </c>
      <c r="AH512" s="153"/>
      <c r="AI512" s="167">
        <v>0</v>
      </c>
      <c r="AJ512" s="153"/>
      <c r="AK512" s="153"/>
      <c r="AL512" s="154">
        <v>103.1</v>
      </c>
      <c r="AM512" s="154">
        <v>0.1009</v>
      </c>
      <c r="AN512" s="168" t="s">
        <v>1326</v>
      </c>
      <c r="AO512" s="168">
        <v>45770</v>
      </c>
      <c r="AP512" s="154">
        <v>0</v>
      </c>
      <c r="AQ512" s="168"/>
      <c r="AR512" s="155">
        <v>1.25E-3</v>
      </c>
      <c r="AS512" s="152">
        <v>6.2344139999999999E-2</v>
      </c>
      <c r="AT512" s="154">
        <v>0</v>
      </c>
      <c r="AU512" s="137">
        <v>8.4681469999999995E-2</v>
      </c>
      <c r="AV512" s="137">
        <v>0</v>
      </c>
      <c r="AW512" s="137">
        <v>25225.000000000004</v>
      </c>
      <c r="AX512" s="137">
        <v>206719.34497433816</v>
      </c>
      <c r="AY512" s="137">
        <v>257750</v>
      </c>
      <c r="AZ512" s="137">
        <v>3592.3576575519787</v>
      </c>
      <c r="BA512" s="137">
        <v>28646.09637168363</v>
      </c>
      <c r="BB512" s="137">
        <v>0</v>
      </c>
      <c r="BC512" s="137">
        <v>0</v>
      </c>
      <c r="BD512" s="137">
        <v>0</v>
      </c>
      <c r="BE512" s="137">
        <v>0</v>
      </c>
      <c r="BF512" s="137">
        <v>0</v>
      </c>
      <c r="BG512" s="137">
        <v>175034.94974073794</v>
      </c>
      <c r="BH512" s="137">
        <v>250000.00103749998</v>
      </c>
      <c r="BI512" s="137">
        <v>250000.00103749998</v>
      </c>
      <c r="BJ512" s="137">
        <v>0.9829</v>
      </c>
      <c r="BK512" s="137">
        <v>1.4705882352941176E-2</v>
      </c>
      <c r="BL512" s="113">
        <v>0</v>
      </c>
      <c r="BM512" s="113" t="s">
        <v>1663</v>
      </c>
      <c r="BN512" s="168">
        <v>0</v>
      </c>
      <c r="BO512" s="152">
        <v>0</v>
      </c>
      <c r="BP512" s="152">
        <v>0</v>
      </c>
      <c r="BQ512" s="137">
        <v>250000</v>
      </c>
      <c r="BR512" s="137">
        <v>0</v>
      </c>
      <c r="BS512" s="166" t="s">
        <v>1806</v>
      </c>
      <c r="BT512" s="168">
        <v>0.14241259296539061</v>
      </c>
      <c r="BU512" s="137">
        <v>105601.10053939025</v>
      </c>
      <c r="BV512" s="137">
        <v>21632.642342448024</v>
      </c>
      <c r="BW512" s="137">
        <v>0.20485243271095302</v>
      </c>
      <c r="BX512" s="89">
        <v>0.85758740703460934</v>
      </c>
      <c r="BY512" s="89">
        <v>0</v>
      </c>
      <c r="BZ512" s="153">
        <v>0</v>
      </c>
      <c r="CA512" s="153">
        <v>0</v>
      </c>
      <c r="CB512" s="153">
        <v>45770</v>
      </c>
      <c r="CC512" s="153">
        <v>45770</v>
      </c>
      <c r="CD512" s="153"/>
      <c r="CE512" s="153"/>
      <c r="CF512" s="153"/>
      <c r="CG512" s="34" t="s">
        <v>139</v>
      </c>
      <c r="CH512" s="34" t="s">
        <v>1333</v>
      </c>
    </row>
    <row r="513" spans="1:86" x14ac:dyDescent="0.3">
      <c r="A513" s="34">
        <v>48</v>
      </c>
      <c r="B513" s="34" t="s">
        <v>1061</v>
      </c>
      <c r="C513" s="34" t="s">
        <v>1354</v>
      </c>
      <c r="D513" s="34" t="s">
        <v>133</v>
      </c>
      <c r="E513" s="34" t="s">
        <v>1336</v>
      </c>
      <c r="F513" s="34" t="s">
        <v>1805</v>
      </c>
      <c r="G513" s="34"/>
      <c r="H513" s="34" t="s">
        <v>1456</v>
      </c>
      <c r="I513" s="34" t="s">
        <v>1064</v>
      </c>
      <c r="J513" s="34" t="s">
        <v>1806</v>
      </c>
      <c r="K513" s="34"/>
      <c r="L513" s="34">
        <v>1.7600000000000001E-2</v>
      </c>
      <c r="M513" s="34">
        <v>0</v>
      </c>
      <c r="N513" s="153">
        <v>1</v>
      </c>
      <c r="O513" s="34">
        <v>0</v>
      </c>
      <c r="P513" s="34"/>
      <c r="Q513" s="153">
        <v>45287</v>
      </c>
      <c r="R513" s="153">
        <v>46395</v>
      </c>
      <c r="S513" s="34">
        <v>192</v>
      </c>
      <c r="T513" s="34"/>
      <c r="U513" s="153" t="s">
        <v>1325</v>
      </c>
      <c r="V513" s="153" t="s">
        <v>1807</v>
      </c>
      <c r="W513" s="34">
        <v>1</v>
      </c>
      <c r="X513" s="166"/>
      <c r="Y513" s="137"/>
      <c r="Z513" s="137"/>
      <c r="AA513" s="137"/>
      <c r="AB513" s="137">
        <v>0</v>
      </c>
      <c r="AC513" s="137">
        <v>301000000</v>
      </c>
      <c r="AD513" s="137">
        <v>20180000</v>
      </c>
      <c r="AE513" s="137">
        <v>250000</v>
      </c>
      <c r="AF513" s="137">
        <v>250000</v>
      </c>
      <c r="AG513" s="137">
        <v>250000</v>
      </c>
      <c r="AH513" s="153"/>
      <c r="AI513" s="167">
        <v>0</v>
      </c>
      <c r="AJ513" s="153"/>
      <c r="AK513" s="153"/>
      <c r="AL513" s="154">
        <v>103.6</v>
      </c>
      <c r="AM513" s="154">
        <v>0.1009</v>
      </c>
      <c r="AN513" s="168" t="s">
        <v>1326</v>
      </c>
      <c r="AO513" s="168">
        <v>45889</v>
      </c>
      <c r="AP513" s="154">
        <v>0</v>
      </c>
      <c r="AQ513" s="168"/>
      <c r="AR513" s="155">
        <v>1.25E-3</v>
      </c>
      <c r="AS513" s="152">
        <v>6.2344139999999999E-2</v>
      </c>
      <c r="AT513" s="154">
        <v>0</v>
      </c>
      <c r="AU513" s="137">
        <v>7.6477260000000005E-2</v>
      </c>
      <c r="AV513" s="137">
        <v>0</v>
      </c>
      <c r="AW513" s="137">
        <v>25225.000000000004</v>
      </c>
      <c r="AX513" s="137">
        <v>206719.34497433816</v>
      </c>
      <c r="AY513" s="137">
        <v>259000</v>
      </c>
      <c r="AZ513" s="137">
        <v>3592.3576575519787</v>
      </c>
      <c r="BA513" s="137">
        <v>28646.09637168363</v>
      </c>
      <c r="BB513" s="137">
        <v>0</v>
      </c>
      <c r="BC513" s="137">
        <v>0</v>
      </c>
      <c r="BD513" s="137">
        <v>0</v>
      </c>
      <c r="BE513" s="137">
        <v>0</v>
      </c>
      <c r="BF513" s="137">
        <v>0</v>
      </c>
      <c r="BG513" s="137">
        <v>175034.94974073794</v>
      </c>
      <c r="BH513" s="137">
        <v>250000.00103749998</v>
      </c>
      <c r="BI513" s="137">
        <v>250000.00103749998</v>
      </c>
      <c r="BJ513" s="137">
        <v>0.9829</v>
      </c>
      <c r="BK513" s="137">
        <v>1.4705882352941176E-2</v>
      </c>
      <c r="BL513" s="113">
        <v>0</v>
      </c>
      <c r="BM513" s="113" t="s">
        <v>1663</v>
      </c>
      <c r="BN513" s="168">
        <v>0</v>
      </c>
      <c r="BO513" s="152">
        <v>0</v>
      </c>
      <c r="BP513" s="152">
        <v>0</v>
      </c>
      <c r="BQ513" s="137">
        <v>250000</v>
      </c>
      <c r="BR513" s="137">
        <v>0</v>
      </c>
      <c r="BS513" s="166" t="s">
        <v>1806</v>
      </c>
      <c r="BT513" s="168">
        <v>0.14241259296539061</v>
      </c>
      <c r="BU513" s="137">
        <v>105601.10053939025</v>
      </c>
      <c r="BV513" s="137">
        <v>21632.642342448024</v>
      </c>
      <c r="BW513" s="137">
        <v>0.20485243271095302</v>
      </c>
      <c r="BX513" s="89">
        <v>0.85758740703460934</v>
      </c>
      <c r="BY513" s="89">
        <v>0</v>
      </c>
      <c r="BZ513" s="153">
        <v>0</v>
      </c>
      <c r="CA513" s="153">
        <v>0</v>
      </c>
      <c r="CB513" s="153">
        <v>45889</v>
      </c>
      <c r="CC513" s="153">
        <v>45889</v>
      </c>
      <c r="CD513" s="153"/>
      <c r="CE513" s="153"/>
      <c r="CF513" s="153"/>
      <c r="CG513" s="34" t="s">
        <v>139</v>
      </c>
      <c r="CH513" s="34" t="s">
        <v>1333</v>
      </c>
    </row>
    <row r="514" spans="1:86" x14ac:dyDescent="0.3">
      <c r="A514" s="34">
        <v>49</v>
      </c>
      <c r="B514" s="34" t="s">
        <v>1095</v>
      </c>
      <c r="C514" s="34" t="s">
        <v>1358</v>
      </c>
      <c r="D514" s="34" t="s">
        <v>133</v>
      </c>
      <c r="E514" s="34" t="s">
        <v>1332</v>
      </c>
      <c r="F514" s="34" t="s">
        <v>1805</v>
      </c>
      <c r="G514" s="34"/>
      <c r="H514" s="34" t="s">
        <v>1456</v>
      </c>
      <c r="I514" s="34" t="s">
        <v>1098</v>
      </c>
      <c r="J514" s="34" t="s">
        <v>1806</v>
      </c>
      <c r="K514" s="34"/>
      <c r="L514" s="34">
        <v>9.7000000000000003E-3</v>
      </c>
      <c r="M514" s="34">
        <v>0</v>
      </c>
      <c r="N514" s="153">
        <v>1</v>
      </c>
      <c r="O514" s="34">
        <v>0</v>
      </c>
      <c r="P514" s="34"/>
      <c r="Q514" s="153">
        <v>45126</v>
      </c>
      <c r="R514" s="153">
        <v>46241</v>
      </c>
      <c r="S514" s="34">
        <v>38</v>
      </c>
      <c r="T514" s="34"/>
      <c r="U514" s="153" t="s">
        <v>1325</v>
      </c>
      <c r="V514" s="153" t="s">
        <v>1807</v>
      </c>
      <c r="W514" s="34">
        <v>1</v>
      </c>
      <c r="X514" s="166"/>
      <c r="Y514" s="137"/>
      <c r="Z514" s="137"/>
      <c r="AA514" s="137"/>
      <c r="AB514" s="137">
        <v>0</v>
      </c>
      <c r="AC514" s="137">
        <v>150000000</v>
      </c>
      <c r="AD514" s="137">
        <v>15765000</v>
      </c>
      <c r="AE514" s="137">
        <v>250000.5</v>
      </c>
      <c r="AF514" s="137">
        <v>250000.5</v>
      </c>
      <c r="AG514" s="137">
        <v>250000</v>
      </c>
      <c r="AH514" s="153"/>
      <c r="AI514" s="167">
        <v>0</v>
      </c>
      <c r="AJ514" s="153"/>
      <c r="AK514" s="153"/>
      <c r="AL514" s="154">
        <v>103.15</v>
      </c>
      <c r="AM514" s="154">
        <v>0.1051</v>
      </c>
      <c r="AN514" s="168" t="s">
        <v>1326</v>
      </c>
      <c r="AO514" s="168">
        <v>45960</v>
      </c>
      <c r="AP514" s="154">
        <v>0</v>
      </c>
      <c r="AQ514" s="168"/>
      <c r="AR514" s="155">
        <v>1.6666700000000001E-3</v>
      </c>
      <c r="AS514" s="152">
        <v>6.6826479999999994E-2</v>
      </c>
      <c r="AT514" s="154">
        <v>0</v>
      </c>
      <c r="AU514" s="137">
        <v>6.3872529999999997E-2</v>
      </c>
      <c r="AV514" s="137">
        <v>0</v>
      </c>
      <c r="AW514" s="137">
        <v>26275.05255</v>
      </c>
      <c r="AX514" s="137">
        <v>0</v>
      </c>
      <c r="AY514" s="137">
        <v>257875.51575000002</v>
      </c>
      <c r="AZ514" s="137">
        <v>2083.8866123087114</v>
      </c>
      <c r="BA514" s="137">
        <v>22268.934105389217</v>
      </c>
      <c r="BB514" s="137">
        <v>0</v>
      </c>
      <c r="BC514" s="137">
        <v>0</v>
      </c>
      <c r="BD514" s="137">
        <v>0</v>
      </c>
      <c r="BE514" s="137">
        <v>0</v>
      </c>
      <c r="BF514" s="137">
        <v>0</v>
      </c>
      <c r="BG514" s="137">
        <v>0</v>
      </c>
      <c r="BH514" s="137">
        <v>0</v>
      </c>
      <c r="BI514" s="137">
        <v>250000.5</v>
      </c>
      <c r="BJ514" s="137">
        <v>0.99080000000000001</v>
      </c>
      <c r="BK514" s="137">
        <v>1.4705911764705882E-2</v>
      </c>
      <c r="BL514" s="113">
        <v>0</v>
      </c>
      <c r="BM514" s="113" t="s">
        <v>1663</v>
      </c>
      <c r="BN514" s="168">
        <v>0</v>
      </c>
      <c r="BO514" s="152">
        <v>0</v>
      </c>
      <c r="BP514" s="152">
        <v>0</v>
      </c>
      <c r="BQ514" s="137">
        <v>250000.5</v>
      </c>
      <c r="BR514" s="137">
        <v>0</v>
      </c>
      <c r="BS514" s="166" t="s">
        <v>1806</v>
      </c>
      <c r="BT514" s="168">
        <v>7.9310464112038903E-2</v>
      </c>
      <c r="BU514" s="137">
        <v>24804.642572945639</v>
      </c>
      <c r="BV514" s="137">
        <v>24191.16593769129</v>
      </c>
      <c r="BW514" s="137">
        <v>0.97526766880634408</v>
      </c>
      <c r="BX514" s="89">
        <v>0.9206895358879611</v>
      </c>
      <c r="BY514" s="89">
        <v>0</v>
      </c>
      <c r="BZ514" s="153">
        <v>0</v>
      </c>
      <c r="CA514" s="153">
        <v>0</v>
      </c>
      <c r="CB514" s="153">
        <v>45960</v>
      </c>
      <c r="CC514" s="153">
        <v>45960</v>
      </c>
      <c r="CD514" s="153"/>
      <c r="CE514" s="153"/>
      <c r="CF514" s="153"/>
      <c r="CG514" s="34" t="s">
        <v>139</v>
      </c>
      <c r="CH514" s="34" t="s">
        <v>1329</v>
      </c>
    </row>
    <row r="515" spans="1:86" x14ac:dyDescent="0.3">
      <c r="A515" s="34">
        <v>50</v>
      </c>
      <c r="B515" s="34" t="s">
        <v>1099</v>
      </c>
      <c r="C515" s="34" t="s">
        <v>1358</v>
      </c>
      <c r="D515" s="34" t="s">
        <v>133</v>
      </c>
      <c r="E515" s="34" t="s">
        <v>1336</v>
      </c>
      <c r="F515" s="34" t="s">
        <v>1805</v>
      </c>
      <c r="G515" s="34"/>
      <c r="H515" s="34" t="s">
        <v>1456</v>
      </c>
      <c r="I515" s="34" t="s">
        <v>1100</v>
      </c>
      <c r="J515" s="34" t="s">
        <v>1806</v>
      </c>
      <c r="K515" s="34"/>
      <c r="L515" s="34">
        <v>7.0000000000000001E-3</v>
      </c>
      <c r="M515" s="34">
        <v>0</v>
      </c>
      <c r="N515" s="153">
        <v>1</v>
      </c>
      <c r="O515" s="34">
        <v>0</v>
      </c>
      <c r="P515" s="34"/>
      <c r="Q515" s="153">
        <v>45126</v>
      </c>
      <c r="R515" s="153">
        <v>46241</v>
      </c>
      <c r="S515" s="34">
        <v>38</v>
      </c>
      <c r="T515" s="34"/>
      <c r="U515" s="153" t="s">
        <v>1325</v>
      </c>
      <c r="V515" s="153" t="s">
        <v>1807</v>
      </c>
      <c r="W515" s="34">
        <v>1</v>
      </c>
      <c r="X515" s="166"/>
      <c r="Y515" s="137"/>
      <c r="Z515" s="137"/>
      <c r="AA515" s="137"/>
      <c r="AB515" s="137">
        <v>0</v>
      </c>
      <c r="AC515" s="137">
        <v>300000000</v>
      </c>
      <c r="AD515" s="137">
        <v>10040000</v>
      </c>
      <c r="AE515" s="137">
        <v>250000</v>
      </c>
      <c r="AF515" s="137">
        <v>250000</v>
      </c>
      <c r="AG515" s="137">
        <v>250000</v>
      </c>
      <c r="AH515" s="153"/>
      <c r="AI515" s="167">
        <v>0</v>
      </c>
      <c r="AJ515" s="153"/>
      <c r="AK515" s="153"/>
      <c r="AL515" s="154">
        <v>101.95</v>
      </c>
      <c r="AM515" s="154">
        <v>0.1004</v>
      </c>
      <c r="AN515" s="168" t="s">
        <v>1326</v>
      </c>
      <c r="AO515" s="168">
        <v>45777</v>
      </c>
      <c r="AP515" s="154">
        <v>0</v>
      </c>
      <c r="AQ515" s="168"/>
      <c r="AR515" s="155">
        <v>2.5000000000000001E-3</v>
      </c>
      <c r="AS515" s="152">
        <v>6.1561049999999999E-2</v>
      </c>
      <c r="AT515" s="154">
        <v>0</v>
      </c>
      <c r="AU515" s="137">
        <v>8.6950429999999995E-2</v>
      </c>
      <c r="AV515" s="137">
        <v>0</v>
      </c>
      <c r="AW515" s="137">
        <v>25100.000000000004</v>
      </c>
      <c r="AX515" s="137">
        <v>54489.477017878948</v>
      </c>
      <c r="AY515" s="137">
        <v>254875</v>
      </c>
      <c r="AZ515" s="137">
        <v>962.19950362076759</v>
      </c>
      <c r="BA515" s="137">
        <v>13617.280628733686</v>
      </c>
      <c r="BB515" s="137">
        <v>0</v>
      </c>
      <c r="BC515" s="137">
        <v>0</v>
      </c>
      <c r="BD515" s="137">
        <v>0</v>
      </c>
      <c r="BE515" s="137">
        <v>0</v>
      </c>
      <c r="BF515" s="137">
        <v>0</v>
      </c>
      <c r="BG515" s="137">
        <v>0</v>
      </c>
      <c r="BH515" s="137">
        <v>0</v>
      </c>
      <c r="BI515" s="137">
        <v>233793.04499264315</v>
      </c>
      <c r="BJ515" s="137">
        <v>0.99380000000000002</v>
      </c>
      <c r="BK515" s="137">
        <v>1.4705882352941176E-2</v>
      </c>
      <c r="BL515" s="113">
        <v>0</v>
      </c>
      <c r="BM515" s="113" t="s">
        <v>1663</v>
      </c>
      <c r="BN515" s="168">
        <v>0</v>
      </c>
      <c r="BO515" s="152">
        <v>0</v>
      </c>
      <c r="BP515" s="152">
        <v>0</v>
      </c>
      <c r="BQ515" s="137">
        <v>250000</v>
      </c>
      <c r="BR515" s="137">
        <v>0</v>
      </c>
      <c r="BS515" s="166" t="s">
        <v>1806</v>
      </c>
      <c r="BT515" s="168">
        <v>3.8334641578516633E-2</v>
      </c>
      <c r="BU515" s="137">
        <v>18980.321468488484</v>
      </c>
      <c r="BV515" s="137">
        <v>24137.800496379237</v>
      </c>
      <c r="BW515" s="137">
        <v>1.2717276963118513</v>
      </c>
      <c r="BX515" s="89">
        <v>0.96166535842148337</v>
      </c>
      <c r="BY515" s="89">
        <v>0</v>
      </c>
      <c r="BZ515" s="153">
        <v>0</v>
      </c>
      <c r="CA515" s="153">
        <v>0</v>
      </c>
      <c r="CB515" s="153">
        <v>45777</v>
      </c>
      <c r="CC515" s="153">
        <v>45777</v>
      </c>
      <c r="CD515" s="153"/>
      <c r="CE515" s="153"/>
      <c r="CF515" s="153"/>
      <c r="CG515" s="34" t="s">
        <v>139</v>
      </c>
      <c r="CH515" s="34" t="s">
        <v>1333</v>
      </c>
    </row>
    <row r="516" spans="1:86" x14ac:dyDescent="0.3">
      <c r="A516" s="34">
        <v>51</v>
      </c>
      <c r="B516" s="34" t="s">
        <v>1114</v>
      </c>
      <c r="C516" s="34" t="s">
        <v>1342</v>
      </c>
      <c r="D516" s="34" t="s">
        <v>150</v>
      </c>
      <c r="E516" s="34" t="s">
        <v>1336</v>
      </c>
      <c r="F516" s="34" t="s">
        <v>1805</v>
      </c>
      <c r="G516" s="34"/>
      <c r="H516" s="34" t="s">
        <v>1456</v>
      </c>
      <c r="I516" s="34" t="s">
        <v>1117</v>
      </c>
      <c r="J516" s="34" t="s">
        <v>1806</v>
      </c>
      <c r="K516" s="34"/>
      <c r="L516" s="34">
        <v>1.4999999999999999E-2</v>
      </c>
      <c r="M516" s="34">
        <v>9.1999999999999998E-3</v>
      </c>
      <c r="N516" s="153">
        <v>1</v>
      </c>
      <c r="O516" s="34">
        <v>0</v>
      </c>
      <c r="P516" s="34"/>
      <c r="Q516" s="153">
        <v>45649</v>
      </c>
      <c r="R516" s="153">
        <v>46849</v>
      </c>
      <c r="S516" s="34">
        <v>646</v>
      </c>
      <c r="T516" s="34"/>
      <c r="U516" s="153" t="s">
        <v>1325</v>
      </c>
      <c r="V516" s="153" t="s">
        <v>1807</v>
      </c>
      <c r="W516" s="34">
        <v>1</v>
      </c>
      <c r="X516" s="166"/>
      <c r="Y516" s="137"/>
      <c r="Z516" s="137"/>
      <c r="AA516" s="137"/>
      <c r="AB516" s="137">
        <v>0</v>
      </c>
      <c r="AC516" s="137">
        <v>300000000</v>
      </c>
      <c r="AD516" s="137">
        <v>17920000</v>
      </c>
      <c r="AE516" s="137">
        <v>250000</v>
      </c>
      <c r="AF516" s="137">
        <v>250000</v>
      </c>
      <c r="AG516" s="137">
        <v>250000</v>
      </c>
      <c r="AH516" s="153"/>
      <c r="AI516" s="167">
        <v>0</v>
      </c>
      <c r="AJ516" s="153"/>
      <c r="AK516" s="153"/>
      <c r="AL516" s="154">
        <v>100.65</v>
      </c>
      <c r="AM516" s="154">
        <v>8.9599999999999999E-2</v>
      </c>
      <c r="AN516" s="168" t="s">
        <v>1326</v>
      </c>
      <c r="AO516" s="168">
        <v>45755</v>
      </c>
      <c r="AP516" s="154">
        <v>0</v>
      </c>
      <c r="AQ516" s="168"/>
      <c r="AR516" s="155">
        <v>1.25E-3</v>
      </c>
      <c r="AS516" s="152">
        <v>5.1341879999999999E-2</v>
      </c>
      <c r="AT516" s="154">
        <v>0</v>
      </c>
      <c r="AU516" s="137">
        <v>9.0424110000000002E-2</v>
      </c>
      <c r="AV516" s="137">
        <v>0</v>
      </c>
      <c r="AW516" s="137">
        <v>22400</v>
      </c>
      <c r="AX516" s="137">
        <v>225000.00112500001</v>
      </c>
      <c r="AY516" s="137">
        <v>251625</v>
      </c>
      <c r="AZ516" s="137">
        <v>2970.2306110109021</v>
      </c>
      <c r="BA516" s="137">
        <v>25886.92579951205</v>
      </c>
      <c r="BB516" s="137">
        <v>0</v>
      </c>
      <c r="BC516" s="137">
        <v>0</v>
      </c>
      <c r="BD516" s="137">
        <v>0</v>
      </c>
      <c r="BE516" s="137">
        <v>0</v>
      </c>
      <c r="BF516" s="137">
        <v>0</v>
      </c>
      <c r="BG516" s="137">
        <v>75931.153607653789</v>
      </c>
      <c r="BH516" s="137">
        <v>212102.31331062448</v>
      </c>
      <c r="BI516" s="137">
        <v>250000.00125</v>
      </c>
      <c r="BJ516" s="137">
        <v>0.98550000000000004</v>
      </c>
      <c r="BK516" s="137">
        <v>1.4705882352941176E-2</v>
      </c>
      <c r="BL516" s="113">
        <v>0</v>
      </c>
      <c r="BM516" s="113" t="s">
        <v>1663</v>
      </c>
      <c r="BN516" s="168">
        <v>0</v>
      </c>
      <c r="BO516" s="152">
        <v>0</v>
      </c>
      <c r="BP516" s="152">
        <v>0</v>
      </c>
      <c r="BQ516" s="137">
        <v>250000</v>
      </c>
      <c r="BR516" s="137">
        <v>0</v>
      </c>
      <c r="BS516" s="166" t="s">
        <v>1806</v>
      </c>
      <c r="BT516" s="168">
        <v>0.13259958084870099</v>
      </c>
      <c r="BU516" s="137">
        <v>133642.68509595143</v>
      </c>
      <c r="BV516" s="137">
        <v>19429.769388989098</v>
      </c>
      <c r="BW516" s="137">
        <v>0.14538595490684064</v>
      </c>
      <c r="BX516" s="89">
        <v>0.86740041915129906</v>
      </c>
      <c r="BY516" s="89">
        <v>0</v>
      </c>
      <c r="BZ516" s="153">
        <v>0</v>
      </c>
      <c r="CA516" s="153">
        <v>0</v>
      </c>
      <c r="CB516" s="153">
        <v>45755</v>
      </c>
      <c r="CC516" s="153">
        <v>45755</v>
      </c>
      <c r="CD516" s="153"/>
      <c r="CE516" s="153"/>
      <c r="CF516" s="153"/>
      <c r="CG516" s="34" t="s">
        <v>139</v>
      </c>
      <c r="CH516" s="34" t="s">
        <v>1333</v>
      </c>
    </row>
    <row r="517" spans="1:86" x14ac:dyDescent="0.3">
      <c r="A517" s="34">
        <v>52</v>
      </c>
      <c r="B517" s="34" t="s">
        <v>1120</v>
      </c>
      <c r="C517" s="34" t="s">
        <v>1331</v>
      </c>
      <c r="D517" s="34" t="s">
        <v>159</v>
      </c>
      <c r="E517" s="34" t="s">
        <v>1332</v>
      </c>
      <c r="F517" s="34" t="s">
        <v>1805</v>
      </c>
      <c r="G517" s="34"/>
      <c r="H517" s="34" t="s">
        <v>1456</v>
      </c>
      <c r="I517" s="34" t="s">
        <v>1121</v>
      </c>
      <c r="J517" s="34" t="s">
        <v>1806</v>
      </c>
      <c r="K517" s="34"/>
      <c r="L517" s="34">
        <v>3.3399999999999999E-2</v>
      </c>
      <c r="M517" s="34">
        <v>3.1300000000000001E-2</v>
      </c>
      <c r="N517" s="153">
        <v>1</v>
      </c>
      <c r="O517" s="34">
        <v>0</v>
      </c>
      <c r="P517" s="34"/>
      <c r="Q517" s="153">
        <v>45686</v>
      </c>
      <c r="R517" s="153">
        <v>46850</v>
      </c>
      <c r="S517" s="34">
        <v>647</v>
      </c>
      <c r="T517" s="34"/>
      <c r="U517" s="153" t="s">
        <v>1325</v>
      </c>
      <c r="V517" s="153" t="s">
        <v>1809</v>
      </c>
      <c r="W517" s="34">
        <v>1</v>
      </c>
      <c r="X517" s="166"/>
      <c r="Y517" s="137"/>
      <c r="Z517" s="137"/>
      <c r="AA517" s="137"/>
      <c r="AB517" s="137">
        <v>5000000</v>
      </c>
      <c r="AC517" s="137">
        <v>5000000</v>
      </c>
      <c r="AD517" s="137">
        <v>3142943.6999999997</v>
      </c>
      <c r="AE517" s="137">
        <v>249999.9</v>
      </c>
      <c r="AF517" s="137">
        <v>249999.9</v>
      </c>
      <c r="AG517" s="137">
        <v>250000</v>
      </c>
      <c r="AH517" s="153"/>
      <c r="AI517" s="167">
        <v>0</v>
      </c>
      <c r="AJ517" s="153"/>
      <c r="AK517" s="153"/>
      <c r="AL517" s="154">
        <v>100.2</v>
      </c>
      <c r="AM517" s="154">
        <v>0.10476479</v>
      </c>
      <c r="AN517" s="168" t="s">
        <v>1326</v>
      </c>
      <c r="AO517" s="168">
        <v>45751</v>
      </c>
      <c r="AP517" s="154">
        <v>0</v>
      </c>
      <c r="AQ517" s="168"/>
      <c r="AR517" s="155">
        <v>8.3333299999999999E-3</v>
      </c>
      <c r="AS517" s="152">
        <v>6.6102750000000002E-2</v>
      </c>
      <c r="AT517" s="154">
        <v>0</v>
      </c>
      <c r="AU517" s="137">
        <v>0.10367698</v>
      </c>
      <c r="AV517" s="137">
        <v>0</v>
      </c>
      <c r="AW517" s="137">
        <v>26191.187023521001</v>
      </c>
      <c r="AX517" s="137">
        <v>99999.96</v>
      </c>
      <c r="AY517" s="137">
        <v>250499.89980000001</v>
      </c>
      <c r="AZ517" s="137">
        <v>7224.1725552252974</v>
      </c>
      <c r="BA517" s="137">
        <v>40913.053250054196</v>
      </c>
      <c r="BB517" s="137">
        <v>0</v>
      </c>
      <c r="BC517" s="137">
        <v>0</v>
      </c>
      <c r="BD517" s="137">
        <v>0</v>
      </c>
      <c r="BE517" s="137">
        <v>0</v>
      </c>
      <c r="BF517" s="137">
        <v>249999.89999999994</v>
      </c>
      <c r="BG517" s="137">
        <v>249999.9</v>
      </c>
      <c r="BH517" s="137">
        <v>249999.9</v>
      </c>
      <c r="BI517" s="137">
        <v>249999.90000000005</v>
      </c>
      <c r="BJ517" s="137">
        <v>0.96840000000000004</v>
      </c>
      <c r="BK517" s="137">
        <v>1.4705876470588235E-2</v>
      </c>
      <c r="BL517" s="113">
        <v>0</v>
      </c>
      <c r="BM517" s="113" t="s">
        <v>1663</v>
      </c>
      <c r="BN517" s="168">
        <v>0</v>
      </c>
      <c r="BO517" s="152">
        <v>0</v>
      </c>
      <c r="BP517" s="152">
        <v>0</v>
      </c>
      <c r="BQ517" s="137">
        <v>249999.9</v>
      </c>
      <c r="BR517" s="137">
        <v>0</v>
      </c>
      <c r="BS517" s="166" t="s">
        <v>1806</v>
      </c>
      <c r="BT517" s="168">
        <v>0.27582455689150814</v>
      </c>
      <c r="BU517" s="137">
        <v>96612.757012710237</v>
      </c>
      <c r="BV517" s="137">
        <v>18967.014468295703</v>
      </c>
      <c r="BW517" s="137">
        <v>0.19631997941845744</v>
      </c>
      <c r="BX517" s="89">
        <v>0.72417544310849191</v>
      </c>
      <c r="BY517" s="89">
        <v>0</v>
      </c>
      <c r="BZ517" s="153">
        <v>0</v>
      </c>
      <c r="CA517" s="153">
        <v>0</v>
      </c>
      <c r="CB517" s="153">
        <v>45751</v>
      </c>
      <c r="CC517" s="153">
        <v>45751</v>
      </c>
      <c r="CD517" s="153"/>
      <c r="CE517" s="153"/>
      <c r="CF517" s="153"/>
      <c r="CG517" s="34" t="s">
        <v>1334</v>
      </c>
      <c r="CH517" s="34" t="s">
        <v>1333</v>
      </c>
    </row>
    <row r="518" spans="1:86" x14ac:dyDescent="0.3">
      <c r="A518" s="34">
        <v>53</v>
      </c>
      <c r="B518" s="34" t="s">
        <v>1129</v>
      </c>
      <c r="C518" s="34" t="s">
        <v>1364</v>
      </c>
      <c r="D518" s="34" t="s">
        <v>133</v>
      </c>
      <c r="E518" s="34" t="s">
        <v>1336</v>
      </c>
      <c r="F518" s="34" t="s">
        <v>1805</v>
      </c>
      <c r="G518" s="34"/>
      <c r="H518" s="34" t="s">
        <v>1456</v>
      </c>
      <c r="I518" s="34" t="s">
        <v>1132</v>
      </c>
      <c r="J518" s="34" t="s">
        <v>1806</v>
      </c>
      <c r="K518" s="34"/>
      <c r="L518" s="34">
        <v>3.1199999999999999E-2</v>
      </c>
      <c r="M518" s="34">
        <v>0</v>
      </c>
      <c r="N518" s="153">
        <v>1</v>
      </c>
      <c r="O518" s="34">
        <v>0</v>
      </c>
      <c r="P518" s="34"/>
      <c r="Q518" s="153">
        <v>45035</v>
      </c>
      <c r="R518" s="153">
        <v>46180</v>
      </c>
      <c r="S518" s="34">
        <v>-23</v>
      </c>
      <c r="T518" s="34"/>
      <c r="U518" s="153" t="s">
        <v>1325</v>
      </c>
      <c r="V518" s="153" t="s">
        <v>1809</v>
      </c>
      <c r="W518" s="34">
        <v>1</v>
      </c>
      <c r="X518" s="166"/>
      <c r="Y518" s="137"/>
      <c r="Z518" s="137"/>
      <c r="AA518" s="137"/>
      <c r="AB518" s="137">
        <v>0</v>
      </c>
      <c r="AC518" s="137">
        <v>1000000000</v>
      </c>
      <c r="AD518" s="137">
        <v>64449999.999999993</v>
      </c>
      <c r="AE518" s="137">
        <v>250000</v>
      </c>
      <c r="AF518" s="137">
        <v>250000</v>
      </c>
      <c r="AG518" s="137">
        <v>250000</v>
      </c>
      <c r="AH518" s="153"/>
      <c r="AI518" s="167">
        <v>0</v>
      </c>
      <c r="AJ518" s="153"/>
      <c r="AK518" s="153"/>
      <c r="AL518" s="154">
        <v>102.5</v>
      </c>
      <c r="AM518" s="154">
        <v>0.12889999999999999</v>
      </c>
      <c r="AN518" s="168" t="s">
        <v>1326</v>
      </c>
      <c r="AO518" s="168">
        <v>45789</v>
      </c>
      <c r="AP518" s="154">
        <v>0</v>
      </c>
      <c r="AQ518" s="168"/>
      <c r="AR518" s="155">
        <v>5.0000000000000001E-4</v>
      </c>
      <c r="AS518" s="152">
        <v>9.0592530000000004E-2</v>
      </c>
      <c r="AT518" s="154">
        <v>0</v>
      </c>
      <c r="AU518" s="137">
        <v>0.10738033</v>
      </c>
      <c r="AV518" s="137">
        <v>0</v>
      </c>
      <c r="AW518" s="137">
        <v>32224.999999999996</v>
      </c>
      <c r="AX518" s="137">
        <v>50000.000000000015</v>
      </c>
      <c r="AY518" s="137">
        <v>256250</v>
      </c>
      <c r="AZ518" s="137">
        <v>6860.180985328615</v>
      </c>
      <c r="BA518" s="137">
        <v>40030.556094788604</v>
      </c>
      <c r="BB518" s="137">
        <v>0</v>
      </c>
      <c r="BC518" s="137">
        <v>0</v>
      </c>
      <c r="BD518" s="137">
        <v>0</v>
      </c>
      <c r="BE518" s="137">
        <v>0</v>
      </c>
      <c r="BF518" s="137">
        <v>250000</v>
      </c>
      <c r="BG518" s="137">
        <v>250000</v>
      </c>
      <c r="BH518" s="137">
        <v>250000</v>
      </c>
      <c r="BI518" s="137">
        <v>250000.00000000003</v>
      </c>
      <c r="BJ518" s="137">
        <v>0.97030000000000005</v>
      </c>
      <c r="BK518" s="137">
        <v>1.4705882352941176E-2</v>
      </c>
      <c r="BL518" s="113">
        <v>0</v>
      </c>
      <c r="BM518" s="113" t="s">
        <v>1663</v>
      </c>
      <c r="BN518" s="168">
        <v>0</v>
      </c>
      <c r="BO518" s="152">
        <v>0</v>
      </c>
      <c r="BP518" s="152">
        <v>0</v>
      </c>
      <c r="BQ518" s="137">
        <v>250000</v>
      </c>
      <c r="BR518" s="137">
        <v>0</v>
      </c>
      <c r="BS518" s="166" t="s">
        <v>1806</v>
      </c>
      <c r="BT518" s="168">
        <v>0.21288381645705556</v>
      </c>
      <c r="BU518" s="137">
        <v>33995.533988158699</v>
      </c>
      <c r="BV518" s="137">
        <v>25364.819014671382</v>
      </c>
      <c r="BW518" s="137">
        <v>0.74612209425821752</v>
      </c>
      <c r="BX518" s="89">
        <v>0.78711618354294444</v>
      </c>
      <c r="BY518" s="89">
        <v>0</v>
      </c>
      <c r="BZ518" s="153">
        <v>0</v>
      </c>
      <c r="CA518" s="153">
        <v>0</v>
      </c>
      <c r="CB518" s="153">
        <v>45789</v>
      </c>
      <c r="CC518" s="153">
        <v>45789</v>
      </c>
      <c r="CD518" s="153"/>
      <c r="CE518" s="153"/>
      <c r="CF518" s="153"/>
      <c r="CG518" s="34" t="s">
        <v>139</v>
      </c>
      <c r="CH518" s="34" t="s">
        <v>1329</v>
      </c>
    </row>
    <row r="519" spans="1:86" x14ac:dyDescent="0.3">
      <c r="A519" s="34">
        <v>54</v>
      </c>
      <c r="B519" s="34" t="s">
        <v>1137</v>
      </c>
      <c r="C519" s="34" t="s">
        <v>1364</v>
      </c>
      <c r="D519" s="34" t="s">
        <v>150</v>
      </c>
      <c r="E519" s="34" t="s">
        <v>1376</v>
      </c>
      <c r="F519" s="34" t="s">
        <v>1805</v>
      </c>
      <c r="G519" s="34"/>
      <c r="H519" s="34" t="s">
        <v>1456</v>
      </c>
      <c r="I519" s="34" t="s">
        <v>1138</v>
      </c>
      <c r="J519" s="34" t="s">
        <v>1806</v>
      </c>
      <c r="K519" s="34"/>
      <c r="L519" s="34">
        <v>5.96E-2</v>
      </c>
      <c r="M519" s="34">
        <v>0</v>
      </c>
      <c r="N519" s="153">
        <v>1</v>
      </c>
      <c r="O519" s="34">
        <v>0</v>
      </c>
      <c r="P519" s="34"/>
      <c r="Q519" s="153">
        <v>45393</v>
      </c>
      <c r="R519" s="153">
        <v>46180</v>
      </c>
      <c r="S519" s="34">
        <v>-23</v>
      </c>
      <c r="T519" s="34"/>
      <c r="U519" s="153" t="s">
        <v>1325</v>
      </c>
      <c r="V519" s="153" t="s">
        <v>1807</v>
      </c>
      <c r="W519" s="34">
        <v>1</v>
      </c>
      <c r="X519" s="166"/>
      <c r="Y519" s="137"/>
      <c r="Z519" s="137"/>
      <c r="AA519" s="137"/>
      <c r="AB519" s="137">
        <v>0</v>
      </c>
      <c r="AC519" s="137">
        <v>1800000000</v>
      </c>
      <c r="AD519" s="137">
        <v>62760000.000000007</v>
      </c>
      <c r="AE519" s="137">
        <v>250000</v>
      </c>
      <c r="AF519" s="137">
        <v>250000</v>
      </c>
      <c r="AG519" s="137">
        <v>250000</v>
      </c>
      <c r="AH519" s="153"/>
      <c r="AI519" s="167">
        <v>0</v>
      </c>
      <c r="AJ519" s="153"/>
      <c r="AK519" s="153"/>
      <c r="AL519" s="154">
        <v>105.2</v>
      </c>
      <c r="AM519" s="154">
        <v>0.15690000000000001</v>
      </c>
      <c r="AN519" s="168" t="s">
        <v>1326</v>
      </c>
      <c r="AO519" s="168">
        <v>45929</v>
      </c>
      <c r="AP519" s="154">
        <v>0</v>
      </c>
      <c r="AQ519" s="168"/>
      <c r="AR519" s="155">
        <v>6.2500000000000001E-4</v>
      </c>
      <c r="AS519" s="152">
        <v>0.11854834</v>
      </c>
      <c r="AT519" s="154">
        <v>0</v>
      </c>
      <c r="AU519" s="137">
        <v>8.1617250000000002E-2</v>
      </c>
      <c r="AV519" s="137">
        <v>0</v>
      </c>
      <c r="AW519" s="137">
        <v>39225</v>
      </c>
      <c r="AX519" s="137">
        <v>58972.760333974824</v>
      </c>
      <c r="AY519" s="137">
        <v>263000</v>
      </c>
      <c r="AZ519" s="137">
        <v>10708.708348830984</v>
      </c>
      <c r="BA519" s="137">
        <v>47574.124469893461</v>
      </c>
      <c r="BB519" s="137">
        <v>0</v>
      </c>
      <c r="BC519" s="137">
        <v>0</v>
      </c>
      <c r="BD519" s="137">
        <v>61876.886980303585</v>
      </c>
      <c r="BE519" s="137">
        <v>136414.31495542533</v>
      </c>
      <c r="BF519" s="137">
        <v>249999.9975</v>
      </c>
      <c r="BG519" s="137">
        <v>249999.9975</v>
      </c>
      <c r="BH519" s="137">
        <v>249999.9975</v>
      </c>
      <c r="BI519" s="137">
        <v>249999.99750000006</v>
      </c>
      <c r="BJ519" s="137">
        <v>0.94699999999999995</v>
      </c>
      <c r="BK519" s="137">
        <v>1.4705882352941176E-2</v>
      </c>
      <c r="BL519" s="113">
        <v>0</v>
      </c>
      <c r="BM519" s="113" t="s">
        <v>1663</v>
      </c>
      <c r="BN519" s="168">
        <v>0</v>
      </c>
      <c r="BO519" s="152">
        <v>0</v>
      </c>
      <c r="BP519" s="152">
        <v>0</v>
      </c>
      <c r="BQ519" s="137">
        <v>250000</v>
      </c>
      <c r="BR519" s="137">
        <v>0</v>
      </c>
      <c r="BS519" s="166" t="s">
        <v>1806</v>
      </c>
      <c r="BT519" s="168">
        <v>0.2730072236795662</v>
      </c>
      <c r="BU519" s="137">
        <v>38818.213903479787</v>
      </c>
      <c r="BV519" s="137">
        <v>28516.291651169016</v>
      </c>
      <c r="BW519" s="137">
        <v>0.73461112152336117</v>
      </c>
      <c r="BX519" s="89">
        <v>0.7269927763204338</v>
      </c>
      <c r="BY519" s="89">
        <v>0</v>
      </c>
      <c r="BZ519" s="153">
        <v>0</v>
      </c>
      <c r="CA519" s="153">
        <v>0</v>
      </c>
      <c r="CB519" s="153">
        <v>45929</v>
      </c>
      <c r="CC519" s="153">
        <v>45929</v>
      </c>
      <c r="CD519" s="153"/>
      <c r="CE519" s="153"/>
      <c r="CF519" s="153"/>
      <c r="CG519" s="34" t="s">
        <v>139</v>
      </c>
      <c r="CH519" s="34" t="s">
        <v>1329</v>
      </c>
    </row>
    <row r="520" spans="1:86" x14ac:dyDescent="0.3">
      <c r="A520" s="34">
        <v>55</v>
      </c>
      <c r="B520" s="34" t="s">
        <v>1197</v>
      </c>
      <c r="C520" s="34" t="s">
        <v>1339</v>
      </c>
      <c r="D520" s="34" t="s">
        <v>133</v>
      </c>
      <c r="E520" s="34" t="s">
        <v>1332</v>
      </c>
      <c r="F520" s="34" t="s">
        <v>1805</v>
      </c>
      <c r="G520" s="34"/>
      <c r="H520" s="34" t="s">
        <v>1456</v>
      </c>
      <c r="I520" s="34" t="s">
        <v>1200</v>
      </c>
      <c r="J520" s="34" t="s">
        <v>1806</v>
      </c>
      <c r="K520" s="34"/>
      <c r="L520" s="34">
        <v>1.17E-2</v>
      </c>
      <c r="M520" s="34">
        <v>1.0500000000000001E-2</v>
      </c>
      <c r="N520" s="153">
        <v>1</v>
      </c>
      <c r="O520" s="34">
        <v>0</v>
      </c>
      <c r="P520" s="34"/>
      <c r="Q520" s="153">
        <v>45090</v>
      </c>
      <c r="R520" s="153">
        <v>45096</v>
      </c>
      <c r="S520" s="34">
        <v>-1107</v>
      </c>
      <c r="T520" s="34"/>
      <c r="U520" s="153" t="s">
        <v>1325</v>
      </c>
      <c r="V520" s="153" t="s">
        <v>1807</v>
      </c>
      <c r="W520" s="34">
        <v>1</v>
      </c>
      <c r="X520" s="166"/>
      <c r="Y520" s="137"/>
      <c r="Z520" s="137"/>
      <c r="AA520" s="137"/>
      <c r="AB520" s="137">
        <v>0</v>
      </c>
      <c r="AC520" s="137">
        <v>500000000</v>
      </c>
      <c r="AD520" s="137">
        <v>23760000</v>
      </c>
      <c r="AE520" s="137">
        <v>249999.75</v>
      </c>
      <c r="AF520" s="137">
        <v>249999.75</v>
      </c>
      <c r="AG520" s="137">
        <v>250000</v>
      </c>
      <c r="AH520" s="153"/>
      <c r="AI520" s="167">
        <v>0</v>
      </c>
      <c r="AJ520" s="153"/>
      <c r="AK520" s="153"/>
      <c r="AL520" s="154">
        <v>102.35</v>
      </c>
      <c r="AM520" s="154">
        <v>0.1056</v>
      </c>
      <c r="AN520" s="168" t="s">
        <v>1326</v>
      </c>
      <c r="AO520" s="168">
        <v>45960</v>
      </c>
      <c r="AP520" s="154">
        <v>0</v>
      </c>
      <c r="AQ520" s="168"/>
      <c r="AR520" s="155">
        <v>1.11111E-3</v>
      </c>
      <c r="AS520" s="152">
        <v>6.7427589999999996E-2</v>
      </c>
      <c r="AT520" s="154">
        <v>0</v>
      </c>
      <c r="AU520" s="137">
        <v>6.7771029999999996E-2</v>
      </c>
      <c r="AV520" s="137">
        <v>0</v>
      </c>
      <c r="AW520" s="137">
        <v>26399.973600000001</v>
      </c>
      <c r="AX520" s="137">
        <v>0</v>
      </c>
      <c r="AY520" s="137">
        <v>255874.74412499997</v>
      </c>
      <c r="AZ520" s="137">
        <v>2754.6681951954238</v>
      </c>
      <c r="BA520" s="137">
        <v>25871.412725310027</v>
      </c>
      <c r="BB520" s="137">
        <v>0</v>
      </c>
      <c r="BC520" s="137">
        <v>0</v>
      </c>
      <c r="BD520" s="137">
        <v>0</v>
      </c>
      <c r="BE520" s="137">
        <v>0</v>
      </c>
      <c r="BF520" s="137">
        <v>0</v>
      </c>
      <c r="BG520" s="137">
        <v>0</v>
      </c>
      <c r="BH520" s="137">
        <v>249999.74999999997</v>
      </c>
      <c r="BI520" s="137">
        <v>249999.75000000003</v>
      </c>
      <c r="BJ520" s="137">
        <v>0.98850000000000005</v>
      </c>
      <c r="BK520" s="137">
        <v>1.4705867647058824E-2</v>
      </c>
      <c r="BL520" s="113">
        <v>0</v>
      </c>
      <c r="BM520" s="113" t="s">
        <v>1663</v>
      </c>
      <c r="BN520" s="168">
        <v>0</v>
      </c>
      <c r="BO520" s="152">
        <v>0</v>
      </c>
      <c r="BP520" s="152">
        <v>0</v>
      </c>
      <c r="BQ520" s="137">
        <v>249999.75</v>
      </c>
      <c r="BR520" s="137">
        <v>0</v>
      </c>
      <c r="BS520" s="166" t="s">
        <v>1806</v>
      </c>
      <c r="BT520" s="168">
        <v>0.10434359658584748</v>
      </c>
      <c r="BU520" s="137">
        <v>24999.974999999999</v>
      </c>
      <c r="BV520" s="137">
        <v>23645.305404804578</v>
      </c>
      <c r="BW520" s="137">
        <v>0.94581316200534515</v>
      </c>
      <c r="BX520" s="89">
        <v>0.89565640341415254</v>
      </c>
      <c r="BY520" s="89">
        <v>0</v>
      </c>
      <c r="BZ520" s="153">
        <v>0</v>
      </c>
      <c r="CA520" s="153">
        <v>0</v>
      </c>
      <c r="CB520" s="153">
        <v>45960</v>
      </c>
      <c r="CC520" s="153">
        <v>45960</v>
      </c>
      <c r="CD520" s="153"/>
      <c r="CE520" s="153"/>
      <c r="CF520" s="153"/>
      <c r="CG520" s="34" t="s">
        <v>139</v>
      </c>
      <c r="CH520" s="34" t="s">
        <v>1329</v>
      </c>
    </row>
    <row r="521" spans="1:86" x14ac:dyDescent="0.3">
      <c r="A521" s="34">
        <v>56</v>
      </c>
      <c r="B521" s="34" t="s">
        <v>1209</v>
      </c>
      <c r="C521" s="34" t="s">
        <v>1367</v>
      </c>
      <c r="D521" s="34" t="s">
        <v>133</v>
      </c>
      <c r="E521" s="34" t="s">
        <v>1336</v>
      </c>
      <c r="F521" s="34" t="s">
        <v>1805</v>
      </c>
      <c r="G521" s="34"/>
      <c r="H521" s="34" t="s">
        <v>1456</v>
      </c>
      <c r="I521" s="34" t="s">
        <v>1212</v>
      </c>
      <c r="J521" s="34" t="s">
        <v>1806</v>
      </c>
      <c r="K521" s="34"/>
      <c r="L521" s="34">
        <v>4.82E-2</v>
      </c>
      <c r="M521" s="34">
        <v>0</v>
      </c>
      <c r="N521" s="153">
        <v>1</v>
      </c>
      <c r="O521" s="34">
        <v>0</v>
      </c>
      <c r="P521" s="34"/>
      <c r="Q521" s="153">
        <v>44980</v>
      </c>
      <c r="R521" s="153">
        <v>46080</v>
      </c>
      <c r="S521" s="34">
        <v>-123</v>
      </c>
      <c r="T521" s="34"/>
      <c r="U521" s="153" t="s">
        <v>1325</v>
      </c>
      <c r="V521" s="153" t="s">
        <v>1809</v>
      </c>
      <c r="W521" s="34">
        <v>1</v>
      </c>
      <c r="X521" s="166"/>
      <c r="Y521" s="137"/>
      <c r="Z521" s="137"/>
      <c r="AA521" s="137"/>
      <c r="AB521" s="137">
        <v>0</v>
      </c>
      <c r="AC521" s="137">
        <v>250000000</v>
      </c>
      <c r="AD521" s="137">
        <v>12720000</v>
      </c>
      <c r="AE521" s="137">
        <v>249999.74999999997</v>
      </c>
      <c r="AF521" s="137">
        <v>249999.74999999997</v>
      </c>
      <c r="AG521" s="137">
        <v>250000</v>
      </c>
      <c r="AH521" s="153"/>
      <c r="AI521" s="167">
        <v>0</v>
      </c>
      <c r="AJ521" s="153"/>
      <c r="AK521" s="153"/>
      <c r="AL521" s="154">
        <v>103.75</v>
      </c>
      <c r="AM521" s="154">
        <v>0.1696</v>
      </c>
      <c r="AN521" s="168" t="s">
        <v>1326</v>
      </c>
      <c r="AO521" s="168">
        <v>45793</v>
      </c>
      <c r="AP521" s="154">
        <v>0</v>
      </c>
      <c r="AQ521" s="168"/>
      <c r="AR521" s="155">
        <v>3.3333299999999998E-3</v>
      </c>
      <c r="AS521" s="152">
        <v>0.13251341999999999</v>
      </c>
      <c r="AT521" s="154">
        <v>0</v>
      </c>
      <c r="AU521" s="137">
        <v>0.12295012</v>
      </c>
      <c r="AV521" s="137">
        <v>0</v>
      </c>
      <c r="AW521" s="137">
        <v>42399.957599999994</v>
      </c>
      <c r="AX521" s="137">
        <v>249999.74999999994</v>
      </c>
      <c r="AY521" s="137">
        <v>259374.74062499998</v>
      </c>
      <c r="AZ521" s="137">
        <v>11088.686028890952</v>
      </c>
      <c r="BA521" s="137">
        <v>50713.269872656412</v>
      </c>
      <c r="BB521" s="137">
        <v>0</v>
      </c>
      <c r="BC521" s="137">
        <v>0</v>
      </c>
      <c r="BD521" s="137">
        <v>0</v>
      </c>
      <c r="BE521" s="137">
        <v>249999.74999999988</v>
      </c>
      <c r="BF521" s="137">
        <v>249999.74999999997</v>
      </c>
      <c r="BG521" s="137">
        <v>249999.74999999997</v>
      </c>
      <c r="BH521" s="137">
        <v>249999.74999999997</v>
      </c>
      <c r="BI521" s="137">
        <v>249999.75000000003</v>
      </c>
      <c r="BJ521" s="137">
        <v>0.95330000000000004</v>
      </c>
      <c r="BK521" s="137">
        <v>1.4705867647058822E-2</v>
      </c>
      <c r="BL521" s="113">
        <v>0</v>
      </c>
      <c r="BM521" s="113" t="s">
        <v>1663</v>
      </c>
      <c r="BN521" s="168">
        <v>0</v>
      </c>
      <c r="BO521" s="152">
        <v>0</v>
      </c>
      <c r="BP521" s="152">
        <v>0</v>
      </c>
      <c r="BQ521" s="137">
        <v>249999.74999999997</v>
      </c>
      <c r="BR521" s="137">
        <v>0</v>
      </c>
      <c r="BS521" s="166" t="s">
        <v>1806</v>
      </c>
      <c r="BT521" s="168">
        <v>0.26152587541481298</v>
      </c>
      <c r="BU521" s="137">
        <v>247499.75249999994</v>
      </c>
      <c r="BV521" s="137">
        <v>31311.271571109042</v>
      </c>
      <c r="BW521" s="137">
        <v>0.12651031467641186</v>
      </c>
      <c r="BX521" s="89">
        <v>0.73847412458518702</v>
      </c>
      <c r="BY521" s="89">
        <v>0</v>
      </c>
      <c r="BZ521" s="153">
        <v>0</v>
      </c>
      <c r="CA521" s="153">
        <v>0</v>
      </c>
      <c r="CB521" s="153">
        <v>45793</v>
      </c>
      <c r="CC521" s="153">
        <v>45793</v>
      </c>
      <c r="CD521" s="153"/>
      <c r="CE521" s="153"/>
      <c r="CF521" s="153"/>
      <c r="CG521" s="34" t="s">
        <v>1334</v>
      </c>
      <c r="CH521" s="34" t="s">
        <v>1329</v>
      </c>
    </row>
    <row r="522" spans="1:86" x14ac:dyDescent="0.3">
      <c r="A522" s="34">
        <v>57</v>
      </c>
      <c r="B522" s="34" t="s">
        <v>1220</v>
      </c>
      <c r="C522" s="34" t="s">
        <v>1384</v>
      </c>
      <c r="D522" s="34" t="s">
        <v>159</v>
      </c>
      <c r="E522" s="34" t="s">
        <v>1336</v>
      </c>
      <c r="F522" s="34"/>
      <c r="G522" s="34"/>
      <c r="H522" s="34" t="s">
        <v>1456</v>
      </c>
      <c r="I522" s="34" t="s">
        <v>1221</v>
      </c>
      <c r="J522" s="34" t="s">
        <v>1806</v>
      </c>
      <c r="K522" s="34"/>
      <c r="L522" s="34">
        <v>3.2500000000000001E-2</v>
      </c>
      <c r="M522" s="34">
        <v>0</v>
      </c>
      <c r="N522" s="153">
        <v>1</v>
      </c>
      <c r="O522" s="34">
        <v>0</v>
      </c>
      <c r="P522" s="34"/>
      <c r="Q522" s="153">
        <v>45839</v>
      </c>
      <c r="R522" s="153">
        <v>46212</v>
      </c>
      <c r="S522" s="34">
        <v>9</v>
      </c>
      <c r="T522" s="34"/>
      <c r="U522" s="153" t="s">
        <v>1325</v>
      </c>
      <c r="V522" s="153" t="s">
        <v>1807</v>
      </c>
      <c r="W522" s="34">
        <v>1</v>
      </c>
      <c r="X522" s="166"/>
      <c r="Y522" s="137"/>
      <c r="Z522" s="137"/>
      <c r="AA522" s="137"/>
      <c r="AB522" s="137">
        <v>0</v>
      </c>
      <c r="AC522" s="137">
        <v>300000000</v>
      </c>
      <c r="AD522" s="137">
        <v>7575535.5</v>
      </c>
      <c r="AE522" s="137">
        <v>500000.25000000006</v>
      </c>
      <c r="AF522" s="137">
        <v>500000.25000000006</v>
      </c>
      <c r="AG522" s="137">
        <v>500000</v>
      </c>
      <c r="AH522" s="153"/>
      <c r="AI522" s="167">
        <v>0</v>
      </c>
      <c r="AJ522" s="153"/>
      <c r="AK522" s="153"/>
      <c r="AL522" s="154">
        <v>104.75</v>
      </c>
      <c r="AM522" s="154">
        <v>0.10100714</v>
      </c>
      <c r="AN522" s="168" t="s">
        <v>1326</v>
      </c>
      <c r="AO522" s="168">
        <v>45974</v>
      </c>
      <c r="AP522" s="154">
        <v>0</v>
      </c>
      <c r="AQ522" s="168"/>
      <c r="AR522" s="155">
        <v>6.6666700000000004E-3</v>
      </c>
      <c r="AS522" s="152">
        <v>6.2334960000000002E-2</v>
      </c>
      <c r="AT522" s="154">
        <v>0</v>
      </c>
      <c r="AU522" s="137">
        <v>8.5719829999999997E-2</v>
      </c>
      <c r="AV522" s="137">
        <v>0</v>
      </c>
      <c r="AW522" s="137">
        <v>50503.595251785002</v>
      </c>
      <c r="AX522" s="137">
        <v>500000.25000000012</v>
      </c>
      <c r="AY522" s="137">
        <v>523750.26187500008</v>
      </c>
      <c r="AZ522" s="137">
        <v>14612.071643274809</v>
      </c>
      <c r="BA522" s="137">
        <v>82684.879848297554</v>
      </c>
      <c r="BB522" s="137">
        <v>0</v>
      </c>
      <c r="BC522" s="137">
        <v>0</v>
      </c>
      <c r="BD522" s="137">
        <v>0</v>
      </c>
      <c r="BE522" s="137">
        <v>0</v>
      </c>
      <c r="BF522" s="137">
        <v>500000.25000000006</v>
      </c>
      <c r="BG522" s="137">
        <v>500000.25000000006</v>
      </c>
      <c r="BH522" s="137">
        <v>500000.25000000006</v>
      </c>
      <c r="BI522" s="137">
        <v>500000.25000000012</v>
      </c>
      <c r="BJ522" s="137">
        <v>0.96809999999999996</v>
      </c>
      <c r="BK522" s="137">
        <v>2.9411779411764708E-2</v>
      </c>
      <c r="BL522" s="113">
        <v>0</v>
      </c>
      <c r="BM522" s="113" t="s">
        <v>1663</v>
      </c>
      <c r="BN522" s="168">
        <v>0</v>
      </c>
      <c r="BO522" s="152">
        <v>0</v>
      </c>
      <c r="BP522" s="152">
        <v>0</v>
      </c>
      <c r="BQ522" s="137">
        <v>500000.25000000006</v>
      </c>
      <c r="BR522" s="137">
        <v>0</v>
      </c>
      <c r="BS522" s="166" t="s">
        <v>1806</v>
      </c>
      <c r="BT522" s="168">
        <v>0.28932735521949515</v>
      </c>
      <c r="BU522" s="137">
        <v>437719.05264696648</v>
      </c>
      <c r="BV522" s="137">
        <v>35891.523608510193</v>
      </c>
      <c r="BW522" s="137">
        <v>8.1996713169023933E-2</v>
      </c>
      <c r="BX522" s="89">
        <v>0.71067264478050485</v>
      </c>
      <c r="BY522" s="89">
        <v>0</v>
      </c>
      <c r="BZ522" s="153">
        <v>0</v>
      </c>
      <c r="CA522" s="153">
        <v>0</v>
      </c>
      <c r="CB522" s="153">
        <v>45974</v>
      </c>
      <c r="CC522" s="153">
        <v>45974</v>
      </c>
      <c r="CD522" s="153"/>
      <c r="CE522" s="153"/>
      <c r="CF522" s="153"/>
      <c r="CG522" s="34" t="s">
        <v>1334</v>
      </c>
      <c r="CH522" s="34" t="s">
        <v>1329</v>
      </c>
    </row>
    <row r="523" spans="1:86" x14ac:dyDescent="0.3">
      <c r="A523" s="34">
        <v>58</v>
      </c>
      <c r="B523" s="34" t="s">
        <v>1286</v>
      </c>
      <c r="C523" s="34" t="s">
        <v>1378</v>
      </c>
      <c r="D523" s="34" t="s">
        <v>159</v>
      </c>
      <c r="E523" s="34" t="s">
        <v>1336</v>
      </c>
      <c r="F523" s="34"/>
      <c r="G523" s="34"/>
      <c r="H523" s="34" t="s">
        <v>1456</v>
      </c>
      <c r="I523" s="34" t="s">
        <v>1287</v>
      </c>
      <c r="J523" s="34" t="s">
        <v>1806</v>
      </c>
      <c r="K523" s="34"/>
      <c r="L523" s="34">
        <v>0.25969999999999999</v>
      </c>
      <c r="M523" s="34">
        <v>0</v>
      </c>
      <c r="N523" s="153">
        <v>1</v>
      </c>
      <c r="O523" s="34">
        <v>0</v>
      </c>
      <c r="P523" s="34"/>
      <c r="Q523" s="153">
        <v>45807</v>
      </c>
      <c r="R523" s="153">
        <v>46545</v>
      </c>
      <c r="S523" s="34">
        <v>342</v>
      </c>
      <c r="T523" s="34"/>
      <c r="U523" s="153" t="s">
        <v>1325</v>
      </c>
      <c r="V523" s="153" t="s">
        <v>1809</v>
      </c>
      <c r="W523" s="34">
        <v>1</v>
      </c>
      <c r="X523" s="166"/>
      <c r="Y523" s="137"/>
      <c r="Z523" s="137"/>
      <c r="AA523" s="137"/>
      <c r="AB523" s="137">
        <v>0</v>
      </c>
      <c r="AC523" s="137">
        <v>30000000000</v>
      </c>
      <c r="AD523" s="137">
        <v>31379831.100000001</v>
      </c>
      <c r="AE523" s="137">
        <v>500000.4</v>
      </c>
      <c r="AF523" s="137">
        <v>500000.4</v>
      </c>
      <c r="AG523" s="137">
        <v>500000</v>
      </c>
      <c r="AH523" s="153"/>
      <c r="AI523" s="167">
        <v>0</v>
      </c>
      <c r="AJ523" s="153"/>
      <c r="AK523" s="153"/>
      <c r="AL523" s="154">
        <v>116</v>
      </c>
      <c r="AM523" s="154">
        <v>0.34866479</v>
      </c>
      <c r="AN523" s="168" t="s">
        <v>1326</v>
      </c>
      <c r="AO523" s="168">
        <v>45951</v>
      </c>
      <c r="AP523" s="154">
        <v>0</v>
      </c>
      <c r="AQ523" s="168"/>
      <c r="AR523" s="155">
        <v>5.5555600000000002E-3</v>
      </c>
      <c r="AS523" s="152">
        <v>0.3093301</v>
      </c>
      <c r="AT523" s="154">
        <v>0</v>
      </c>
      <c r="AU523" s="137">
        <v>0.22882463</v>
      </c>
      <c r="AV523" s="137">
        <v>0</v>
      </c>
      <c r="AW523" s="137">
        <v>174332.53446591599</v>
      </c>
      <c r="AX523" s="137">
        <v>408085.31656932889</v>
      </c>
      <c r="AY523" s="137">
        <v>580000.46400000004</v>
      </c>
      <c r="AZ523" s="137">
        <v>84085.178995733382</v>
      </c>
      <c r="BA523" s="137">
        <v>167841.81017796148</v>
      </c>
      <c r="BB523" s="137">
        <v>148249.43542327339</v>
      </c>
      <c r="BC523" s="137">
        <v>486654.30163354403</v>
      </c>
      <c r="BD523" s="137">
        <v>500000.4</v>
      </c>
      <c r="BE523" s="137">
        <v>500000.4</v>
      </c>
      <c r="BF523" s="137">
        <v>500000.40000000008</v>
      </c>
      <c r="BG523" s="137">
        <v>500000.40000000014</v>
      </c>
      <c r="BH523" s="137">
        <v>500000.40000000014</v>
      </c>
      <c r="BI523" s="137">
        <v>500000.40000000026</v>
      </c>
      <c r="BJ523" s="137">
        <v>0.81069999999999998</v>
      </c>
      <c r="BK523" s="137">
        <v>2.9411788235294119E-2</v>
      </c>
      <c r="BL523" s="113">
        <v>0</v>
      </c>
      <c r="BM523" s="113" t="s">
        <v>1663</v>
      </c>
      <c r="BN523" s="168">
        <v>0</v>
      </c>
      <c r="BO523" s="152">
        <v>0</v>
      </c>
      <c r="BP523" s="152">
        <v>0</v>
      </c>
      <c r="BQ523" s="137">
        <v>500000.4</v>
      </c>
      <c r="BR523" s="137">
        <v>0</v>
      </c>
      <c r="BS523" s="166" t="s">
        <v>1806</v>
      </c>
      <c r="BT523" s="168">
        <v>0.48232637271830059</v>
      </c>
      <c r="BU523" s="137">
        <v>377337.72518629854</v>
      </c>
      <c r="BV523" s="137">
        <v>90247.355470182607</v>
      </c>
      <c r="BW523" s="137">
        <v>0.23916865302992388</v>
      </c>
      <c r="BX523" s="89">
        <v>0.51767362728169941</v>
      </c>
      <c r="BY523" s="89">
        <v>0</v>
      </c>
      <c r="BZ523" s="153">
        <v>0</v>
      </c>
      <c r="CA523" s="153">
        <v>0</v>
      </c>
      <c r="CB523" s="153">
        <v>45951</v>
      </c>
      <c r="CC523" s="153">
        <v>45951</v>
      </c>
      <c r="CD523" s="153"/>
      <c r="CE523" s="153"/>
      <c r="CF523" s="153"/>
      <c r="CG523" s="34" t="s">
        <v>1334</v>
      </c>
      <c r="CH523" s="34" t="s">
        <v>1329</v>
      </c>
    </row>
  </sheetData>
  <sortState xmlns:xlrd2="http://schemas.microsoft.com/office/spreadsheetml/2017/richdata2" ref="A124:CC181">
    <sortCondition ref="A124:A181"/>
  </sortState>
  <mergeCells count="2">
    <mergeCell ref="A188:A189"/>
    <mergeCell ref="B188:B1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ILS Data</vt:lpstr>
      <vt:lpstr>ETF</vt:lpstr>
      <vt:lpstr>Bound Portfolio Report</vt:lpstr>
      <vt:lpstr>id 103</vt:lpstr>
      <vt:lpstr>id 106</vt:lpstr>
      <vt:lpstr>id 107</vt:lpstr>
      <vt:lpstr>id 108</vt:lpstr>
      <vt:lpstr>ID 109</vt:lpstr>
      <vt:lpstr>ID 110</vt:lpstr>
      <vt:lpstr>ID 111</vt:lpstr>
      <vt:lpstr>ID 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raghavan</dc:creator>
  <cp:lastModifiedBy>sindhu raghavan</cp:lastModifiedBy>
  <dcterms:created xsi:type="dcterms:W3CDTF">2026-06-30T05:53:54Z</dcterms:created>
  <dcterms:modified xsi:type="dcterms:W3CDTF">2026-07-03T06:15:08Z</dcterms:modified>
</cp:coreProperties>
</file>