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B539EAC9-DC2F-4413-B2B8-CA102FF08CEF}" xr6:coauthVersionLast="47" xr6:coauthVersionMax="47" xr10:uidLastSave="{00000000-0000-0000-0000-000000000000}"/>
  <bookViews>
    <workbookView xWindow="-108" yWindow="-108" windowWidth="23256" windowHeight="12456" tabRatio="857"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Mali, Akshaya - Personal View" guid="{D56A7A4B-BFD7-4A85-A4E7-6E1C9DD24B18}" mergeInterval="0" personalView="1" maximized="1" xWindow="-8" yWindow="-8" windowWidth="1382" windowHeight="754" tabRatio="926" activeSheetId="7"/>
    <customWorkbookView name="Manghnani, Vijay - Personal View" guid="{5FFA5C24-F31B-48DC-9A7B-9DABB8F4304A}" mergeInterval="0" personalView="1" maximized="1" xWindow="-8" yWindow="-8" windowWidth="2064" windowHeight="1138" tabRatio="926" activeSheetId="10"/>
    <customWorkbookView name="Belambe, Mandar - Personal View" guid="{C32C0BC3-A762-4E97-BB37-2FAA4746F4FA}" mergeInterval="0" personalView="1" maximized="1" xWindow="-8" yWindow="-8" windowWidth="1382" windowHeight="754" tabRatio="92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23" i="73" l="1"/>
  <c r="D24" i="73"/>
  <c r="D25" i="73"/>
  <c r="D26" i="73"/>
  <c r="D27" i="73"/>
  <c r="D28" i="73"/>
  <c r="D29" i="73"/>
  <c r="D30" i="73"/>
  <c r="D31" i="73" l="1"/>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<sst xmlns="http://schemas.openxmlformats.org/spreadsheetml/2006/main" count="4161" uniqueCount="1386">
  <si>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</si>
  <si>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</si>
  <si>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</si>
  <si>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</si>
  <si>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</si>
  <si>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</si>
  <si>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</si>
  <si>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</si>
  <si>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</si>
  <si>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</si>
  <si>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</si>
  <si>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</si>
  <si>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</si>
  <si>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</si>
  <si>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</si>
  <si>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</si>
  <si>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</si>
  <si>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</si>
  <si>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</si>
  <si>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</si>
  <si>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</si>
  <si>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</si>
  <si>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</si>
  <si>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</si>
  <si>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</si>
  <si>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</si>
  <si>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</si>
  <si>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</si>
  <si>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</si>
  <si>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</si>
  <si>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</si>
  <si>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</si>
  <si>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</si>
  <si>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</si>
  <si>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</si>
  <si>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</si>
  <si>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</si>
  <si>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</si>
  <si>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</si>
  <si>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</si>
  <si>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</si>
  <si>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</si>
  <si>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</si>
  <si>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</si>
  <si>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</si>
  <si>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</si>
  <si>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</si>
  <si>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</si>
  <si>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</si>
  <si>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</si>
  <si>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</si>
  <si>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</si>
  <si>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</si>
  <si>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</si>
  <si>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</si>
  <si>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</si>
  <si>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</si>
  <si>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</si>
  <si>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</si>
  <si>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</si>
  <si>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</si>
  <si>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</si>
  <si>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</si>
  <si>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</si>
  <si>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</si>
  <si>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</si>
  <si>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</si>
  <si>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</si>
  <si>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</si>
  <si>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</si>
  <si>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</si>
  <si>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</si>
  <si>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</si>
  <si>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</si>
  <si>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</si>
  <si>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</si>
  <si>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</si>
  <si>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</si>
  <si>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</si>
  <si>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</si>
  <si>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</si>
  <si>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</si>
  <si>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</si>
  <si>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</si>
  <si>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</si>
  <si>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</si>
  <si>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</si>
  <si>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</si>
  <si>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</si>
  <si>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</si>
  <si>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</si>
  <si>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</si>
  <si>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</si>
  <si>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</si>
  <si>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</si>
  <si>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</si>
  <si>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</si>
  <si>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</si>
  <si>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</si>
  <si>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</si>
  <si>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</si>
  <si>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</si>
  <si>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</si>
  <si>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</si>
  <si>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</si>
  <si>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</si>
  <si>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</si>
  <si>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</si>
  <si>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</si>
  <si>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</si>
  <si>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</si>
  <si>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</si>
  <si>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</si>
  <si>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</si>
  <si>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</si>
  <si>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</si>
  <si>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</si>
  <si>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</si>
  <si>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</si>
  <si>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</si>
  <si>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</si>
  <si>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</si>
  <si>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</si>
  <si>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</si>
  <si>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</si>
  <si>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</si>
  <si>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</si>
  <si>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</si>
  <si>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</si>
  <si>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</si>
  <si>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</si>
  <si>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</si>
  <si>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</si>
  <si>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</si>
  <si>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</si>
  <si>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</si>
  <si>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</si>
  <si>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</si>
  <si>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</si>
  <si>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</si>
  <si>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</si>
  <si>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</si>
  <si>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</si>
  <si>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</si>
  <si>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</si>
  <si>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</si>
  <si>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</si>
  <si>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</si>
  <si>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</si>
  <si>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</si>
  <si>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</si>
  <si>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</si>
  <si>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</si>
  <si>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</si>
  <si>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</si>
  <si>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</si>
  <si>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</si>
  <si>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</si>
  <si>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</si>
  <si>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</si>
  <si>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</si>
  <si>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</si>
  <si>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</si>
  <si>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</si>
  <si>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</si>
  <si>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</si>
  <si>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</si>
  <si>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</si>
  <si>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</si>
  <si>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</si>
  <si>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</si>
  <si>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</si>
  <si>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</si>
  <si>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</si>
  <si>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</si>
  <si>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</si>
  <si>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</si>
  <si>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</si>
  <si>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</si>
  <si>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</si>
  <si>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</si>
  <si>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</si>
  <si>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</si>
  <si>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</si>
  <si>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</si>
  <si>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</si>
  <si>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</si>
  <si>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</si>
  <si>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</si>
  <si>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</si>
  <si>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</si>
  <si>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</si>
  <si>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</si>
  <si>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</si>
  <si>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</si>
  <si>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</si>
  <si>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</si>
  <si>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</si>
  <si>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</si>
  <si>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</si>
  <si>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</si>
  <si>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</si>
  <si>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</si>
  <si>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</si>
  <si>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</si>
  <si>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</si>
  <si>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</si>
  <si>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</si>
  <si>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</si>
  <si>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</si>
  <si>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</si>
  <si>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</si>
  <si>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</si>
  <si>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</si>
  <si>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</si>
  <si>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</si>
  <si>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</si>
  <si>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</si>
  <si>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</si>
  <si>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</si>
  <si>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</si>
  <si>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</si>
  <si>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</si>
  <si>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</si>
  <si>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</si>
  <si>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</si>
  <si>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</si>
  <si>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</si>
  <si>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</si>
  <si>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</si>
  <si>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</si>
  <si>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</si>
  <si>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</si>
  <si>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</si>
  <si>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</si>
  <si>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</si>
  <si>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</si>
  <si>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</si>
  <si>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</si>
  <si>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</si>
  <si>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</si>
  <si>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</si>
  <si>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</si>
  <si>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</si>
  <si>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</si>
  <si>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</si>
  <si>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</si>
  <si>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</si>
  <si>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</si>
  <si>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</si>
  <si>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</si>
  <si>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</si>
  <si>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</si>
  <si>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</si>
  <si>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</si>
  <si>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</si>
  <si>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</si>
  <si>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</si>
  <si>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</si>
  <si>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</si>
  <si>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</si>
  <si>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</si>
  <si>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</si>
  <si>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</si>
  <si>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</si>
  <si>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</si>
  <si>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</si>
  <si>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</si>
  <si>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</si>
  <si>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</si>
  <si>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</si>
  <si>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</si>
  <si>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</si>
  <si>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</si>
  <si>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</si>
  <si>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</si>
  <si>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</si>
  <si>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</si>
  <si>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</si>
  <si>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</si>
  <si>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</si>
  <si>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</si>
  <si>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</si>
  <si>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</si>
  <si>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</si>
  <si>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</si>
  <si>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</si>
  <si>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</si>
  <si>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</si>
  <si>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</si>
  <si>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</si>
  <si>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</si>
  <si>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</si>
  <si>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</si>
  <si>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</si>
  <si>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</si>
  <si>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</si>
  <si>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</si>
  <si>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</si>
  <si>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</si>
  <si>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</si>
  <si>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</si>
  <si>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</si>
  <si>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</si>
  <si>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</si>
  <si>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</si>
  <si>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</si>
  <si>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</si>
  <si>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</si>
  <si>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</si>
  <si>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</si>
  <si>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</si>
  <si>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</si>
  <si>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</si>
  <si>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</si>
  <si>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</si>
  <si>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</si>
  <si>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</si>
  <si>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</si>
  <si>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</si>
  <si>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</si>
  <si>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</si>
  <si>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</si>
  <si>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</si>
  <si>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</si>
  <si>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</si>
  <si>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</si>
  <si>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</si>
  <si>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</si>
  <si>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</si>
  <si>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</si>
  <si>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</si>
  <si>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</si>
  <si>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</si>
  <si>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</si>
  <si>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</si>
  <si>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</si>
  <si>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</si>
  <si>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</si>
  <si>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</si>
  <si>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</si>
  <si>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</si>
  <si>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</si>
  <si>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</si>
  <si>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</si>
  <si>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</si>
  <si>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</si>
  <si>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</si>
  <si>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</si>
  <si>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</si>
  <si>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</si>
  <si>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</si>
  <si>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</si>
  <si>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</si>
  <si>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</si>
  <si>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</si>
  <si>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</si>
  <si>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</si>
  <si>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</si>
  <si>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</si>
  <si>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</si>
  <si>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</si>
  <si>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</si>
  <si>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</si>
  <si>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</si>
  <si>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</si>
  <si>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</si>
  <si>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</si>
  <si>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</si>
  <si>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</si>
  <si>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</si>
  <si>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</si>
  <si>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</si>
  <si>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</si>
  <si>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</si>
  <si>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</si>
  <si>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</si>
  <si>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</si>
  <si>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</si>
  <si>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</si>
  <si>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</si>
  <si>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</si>
  <si>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</si>
  <si>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</si>
  <si>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</si>
  <si>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</si>
  <si>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</si>
  <si>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</si>
  <si>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</si>
  <si>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</si>
  <si>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</si>
  <si>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</si>
  <si>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</si>
  <si>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</si>
  <si>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</si>
  <si>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</si>
  <si>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</si>
  <si>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</si>
  <si>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</si>
  <si>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</si>
  <si>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</si>
  <si>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</si>
  <si>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</si>
  <si>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</si>
  <si>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</si>
  <si>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</si>
  <si>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</si>
  <si>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</si>
  <si>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</si>
  <si>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</si>
  <si>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</si>
  <si>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</si>
  <si>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</si>
  <si>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</si>
  <si>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</si>
  <si>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</si>
  <si>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</si>
  <si>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</si>
  <si>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</si>
  <si>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</si>
  <si>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</si>
  <si>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</si>
  <si>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</si>
  <si>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</si>
  <si>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</si>
  <si>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</si>
  <si>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</si>
  <si>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</si>
  <si>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</si>
  <si>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</si>
  <si>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</si>
  <si>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</si>
  <si>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</si>
  <si>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</si>
  <si>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</si>
  <si>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</si>
  <si>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</si>
  <si>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</si>
  <si>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</si>
  <si>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</si>
  <si>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</si>
  <si>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</si>
  <si>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</si>
  <si>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</si>
  <si>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</si>
  <si>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</si>
  <si>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</si>
  <si>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</si>
  <si>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</si>
  <si>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</si>
  <si>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</si>
  <si>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</si>
  <si>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</si>
  <si>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</si>
  <si>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</si>
  <si>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</si>
  <si>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</si>
  <si>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</si>
  <si>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</si>
  <si>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</si>
  <si>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</si>
  <si>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</si>
  <si>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</si>
  <si>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</si>
  <si>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</si>
  <si>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</si>
  <si>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</si>
  <si>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</si>
  <si>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</si>
  <si>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</si>
  <si>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</si>
  <si>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</si>
  <si>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</si>
  <si>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</si>
  <si>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</si>
  <si>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</si>
  <si>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</si>
  <si>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</si>
  <si>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</si>
  <si>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</si>
  <si>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</si>
  <si>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</si>
  <si>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</si>
  <si>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</si>
  <si>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</si>
  <si>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</si>
  <si>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</si>
  <si>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</si>
  <si>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</si>
  <si>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</si>
  <si>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</si>
  <si>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</si>
  <si>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</si>
  <si>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</si>
  <si>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</si>
  <si>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</si>
  <si>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</si>
  <si>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</si>
  <si>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</si>
  <si>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</si>
  <si>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</si>
  <si>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</si>
  <si>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</si>
  <si>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</si>
  <si>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</si>
  <si>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</si>
  <si>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</si>
  <si>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</si>
  <si>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</si>
  <si>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</si>
  <si>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</si>
  <si>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</si>
  <si>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</si>
  <si>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</si>
  <si>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</si>
  <si>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</si>
  <si>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</si>
  <si>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</si>
  <si>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</si>
  <si>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</si>
  <si>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</si>
  <si>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</si>
  <si>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</si>
  <si>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</si>
  <si>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</si>
  <si>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</si>
  <si>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</si>
  <si>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</si>
  <si>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</si>
  <si>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</si>
  <si>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</si>
  <si>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</si>
  <si>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</si>
  <si>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</si>
  <si>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</si>
  <si>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</si>
  <si>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</si>
  <si>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</si>
  <si>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</si>
  <si>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</si>
  <si>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</si>
  <si>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</si>
  <si>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</si>
  <si>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</si>
  <si>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</si>
  <si>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</si>
  <si>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</si>
  <si>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</si>
  <si>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</si>
  <si>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</si>
  <si>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</si>
  <si>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</si>
  <si>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</si>
  <si>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</si>
  <si>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</si>
  <si>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</si>
  <si>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</si>
  <si>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</si>
  <si>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</si>
  <si>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</si>
  <si>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</si>
  <si>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</si>
  <si>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</si>
  <si>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</si>
  <si>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</si>
  <si>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</si>
  <si>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</si>
  <si>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</si>
  <si>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</si>
  <si>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</si>
  <si>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</si>
  <si>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</si>
  <si>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</si>
  <si>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</si>
  <si>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</si>
  <si>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</si>
  <si>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</si>
  <si>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</si>
  <si>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</si>
  <si>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</si>
  <si>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</si>
  <si>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</si>
  <si>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</si>
  <si>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</si>
  <si>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</si>
  <si>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</si>
  <si>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</si>
  <si>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</si>
  <si>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</si>
  <si>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</si>
  <si>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</si>
  <si>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</si>
  <si>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</si>
  <si>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</si>
  <si>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</si>
  <si>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</si>
  <si>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</si>
  <si>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</si>
  <si>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</si>
  <si>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</si>
  <si>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</si>
  <si>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</si>
  <si>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</si>
  <si>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</si>
  <si>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</si>
  <si>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</si>
  <si>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</si>
  <si>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</si>
  <si>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</si>
  <si>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</si>
  <si>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</si>
  <si>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</si>
  <si>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</si>
  <si>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</si>
  <si>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</si>
  <si>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</si>
  <si>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</si>
  <si>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</si>
  <si>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</si>
  <si>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</si>
  <si>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</si>
  <si>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</si>
  <si>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</si>
  <si>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</si>
  <si>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</si>
  <si>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</si>
  <si>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</si>
  <si>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</si>
  <si>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</si>
  <si>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</si>
  <si>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</si>
  <si>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</si>
  <si>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</si>
  <si>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</si>
  <si>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</si>
  <si>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</si>
  <si>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</si>
  <si>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</si>
  <si>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</si>
  <si>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</si>
  <si>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</si>
  <si>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</si>
  <si>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</si>
  <si>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</si>
  <si>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</si>
  <si>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</si>
  <si>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</si>
  <si>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</si>
  <si>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</si>
  <si>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</si>
  <si>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</si>
  <si>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</si>
  <si>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</si>
  <si>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</si>
  <si>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</si>
  <si>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</si>
  <si>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</si>
  <si>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</si>
  <si>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</si>
  <si>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</si>
  <si>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</si>
  <si>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</si>
  <si>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</si>
  <si>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</si>
  <si>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</si>
  <si>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</si>
  <si>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</si>
  <si>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</si>
  <si>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</si>
  <si>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</si>
  <si>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</si>
  <si>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</si>
  <si>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</si>
  <si>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</si>
  <si>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</si>
  <si>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</si>
  <si>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</si>
  <si>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</si>
  <si>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</si>
  <si>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</si>
  <si>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</si>
  <si>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</si>
  <si>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</si>
  <si>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</si>
  <si>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</si>
  <si>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</si>
  <si>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</si>
  <si>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</si>
  <si>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</si>
  <si>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</si>
  <si>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</si>
  <si>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</si>
  <si>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</si>
  <si>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</si>
  <si>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</si>
  <si>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</si>
  <si>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</si>
  <si>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</si>
  <si>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</si>
  <si>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</si>
  <si>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</si>
  <si>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</si>
  <si>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</si>
  <si>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</si>
  <si>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</si>
  <si>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</si>
  <si>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</si>
  <si>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</si>
  <si>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</si>
  <si>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</si>
  <si>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</si>
  <si>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</si>
  <si>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</si>
  <si>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</si>
  <si>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</si>
  <si>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</si>
  <si>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</si>
  <si>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</si>
  <si>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</si>
  <si>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</si>
  <si>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</si>
  <si>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</si>
  <si>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</si>
  <si>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</si>
  <si>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</si>
  <si>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</si>
  <si>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</si>
  <si>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</si>
  <si>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</si>
  <si>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</si>
  <si>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</si>
  <si>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</si>
  <si>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</si>
  <si>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</si>
  <si>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</si>
  <si>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</si>
  <si>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</si>
  <si>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</si>
  <si>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</si>
  <si>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</si>
  <si>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</si>
  <si>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</si>
  <si>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</si>
  <si>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</si>
  <si>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</si>
  <si>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</si>
  <si>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</si>
  <si>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</si>
  <si>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</si>
  <si>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</si>
  <si>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</si>
  <si>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</si>
  <si>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</si>
  <si>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</si>
  <si>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</si>
  <si>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</si>
  <si>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</si>
  <si>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</si>
  <si>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</si>
  <si>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</si>
  <si>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</si>
  <si>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</si>
  <si>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</si>
  <si>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</si>
  <si>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</si>
  <si>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</si>
  <si>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</si>
  <si>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</si>
  <si>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</si>
  <si>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</si>
  <si>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</si>
  <si>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</si>
  <si>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</si>
  <si>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</si>
  <si>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</si>
  <si>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</si>
  <si>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</si>
  <si>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</si>
  <si>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</si>
  <si>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</si>
  <si>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</si>
  <si>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</si>
  <si>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</si>
  <si>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</si>
  <si>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</si>
  <si>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</si>
  <si>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</si>
  <si>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</si>
  <si>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</si>
  <si>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</si>
  <si>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</si>
  <si>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</si>
  <si>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</si>
  <si>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</si>
  <si>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</si>
  <si>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</si>
  <si>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</si>
  <si>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</si>
  <si>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</si>
  <si>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</si>
  <si>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</si>
  <si>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</si>
  <si>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</si>
  <si>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</si>
  <si>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</si>
  <si>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</si>
  <si>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</si>
  <si>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</si>
  <si>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</si>
  <si>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</si>
  <si>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</si>
  <si>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</si>
  <si>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</si>
  <si>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</si>
  <si>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</si>
  <si>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</si>
  <si>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</si>
  <si>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</si>
  <si>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</si>
  <si>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</si>
  <si>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</si>
  <si>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</si>
  <si>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</si>
  <si>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</si>
  <si>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</si>
  <si>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</si>
  <si>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</si>
  <si>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</si>
  <si>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</si>
  <si>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</si>
  <si>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</si>
  <si>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</si>
  <si>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</si>
  <si>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</si>
  <si>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</si>
  <si>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</si>
  <si>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</si>
  <si>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</si>
  <si>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</si>
  <si>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</si>
  <si>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</si>
  <si>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</si>
  <si>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</si>
  <si>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</si>
  <si>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</si>
  <si>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</si>
  <si>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</si>
  <si>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</si>
  <si>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</si>
  <si>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</si>
  <si>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</si>
  <si>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</si>
  <si>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</si>
  <si>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</si>
  <si>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</si>
  <si>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</si>
  <si>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</si>
  <si>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</si>
  <si>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</si>
  <si>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</si>
  <si>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</si>
  <si>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</si>
  <si>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</si>
  <si>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</si>
  <si>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</si>
  <si>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</si>
  <si>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</si>
  <si>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</si>
  <si>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</si>
  <si>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</si>
  <si>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</si>
  <si>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</si>
  <si>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</si>
  <si>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</si>
  <si>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</si>
  <si>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</si>
  <si>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</si>
  <si>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</si>
  <si>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</si>
  <si>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</si>
  <si>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</si>
  <si>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</si>
  <si>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</si>
  <si>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</si>
  <si>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</si>
  <si>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</si>
  <si>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</si>
  <si>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</si>
  <si>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</si>
  <si>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</si>
  <si>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</si>
  <si>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</si>
  <si>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</si>
  <si>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</si>
  <si>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</si>
  <si>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</si>
  <si>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</si>
  <si>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</si>
  <si>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</si>
  <si>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</si>
  <si>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</si>
  <si>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</si>
  <si>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</si>
  <si>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</si>
  <si>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</si>
  <si>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</si>
  <si>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</si>
  <si>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</si>
  <si>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</si>
  <si>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</si>
  <si>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</si>
  <si>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</si>
  <si>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</si>
  <si>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</si>
  <si>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</si>
  <si>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</si>
  <si>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</si>
  <si>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</si>
  <si>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</si>
  <si>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</si>
  <si>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</si>
  <si>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</si>
  <si>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</si>
  <si>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</si>
  <si>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</si>
  <si>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</si>
  <si>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</si>
  <si>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</si>
  <si>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</si>
  <si>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</si>
  <si>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</si>
  <si>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</si>
  <si>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</si>
  <si>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</si>
  <si>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</si>
  <si>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</si>
  <si>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</si>
  <si>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</si>
  <si>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</si>
  <si>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</si>
  <si>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</si>
  <si>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</si>
  <si>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</si>
  <si>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</si>
  <si>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</si>
  <si>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</si>
  <si>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</si>
  <si>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</si>
  <si>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</si>
  <si>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</si>
  <si>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</si>
  <si>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</si>
  <si>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</si>
  <si>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</si>
  <si>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</si>
  <si>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</si>
  <si>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</si>
  <si>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</si>
  <si>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</si>
  <si>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</si>
  <si>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</si>
  <si>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</si>
  <si>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</si>
  <si>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</si>
  <si>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</si>
  <si>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</si>
  <si>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</si>
  <si>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</si>
  <si>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</si>
  <si>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</si>
  <si>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</si>
  <si>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</si>
  <si>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</si>
  <si>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</si>
  <si>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</si>
  <si>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</si>
  <si>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</si>
  <si>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</si>
  <si>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</si>
  <si>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</si>
  <si>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</si>
  <si>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</si>
  <si>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</si>
  <si>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</si>
  <si>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</si>
  <si>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</si>
  <si>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</si>
  <si>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</si>
  <si>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</si>
  <si>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</si>
  <si>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</si>
  <si>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</si>
  <si>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</si>
  <si>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</si>
  <si>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</si>
  <si>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</si>
  <si>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</si>
  <si>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</si>
  <si>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</si>
  <si>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</si>
  <si>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</si>
  <si>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</si>
  <si>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</si>
  <si>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</si>
  <si>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</si>
  <si>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</si>
  <si>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</si>
  <si>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</si>
  <si>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</si>
  <si>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</si>
  <si>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</si>
  <si>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</si>
  <si>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</si>
  <si>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</si>
  <si>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</si>
  <si>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</si>
  <si>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</si>
  <si>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</si>
  <si>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</si>
  <si>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</si>
  <si>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</si>
  <si>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</si>
  <si>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</si>
  <si>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</si>
  <si>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</si>
  <si>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</si>
  <si>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</si>
  <si>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</si>
  <si>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</si>
  <si>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</si>
  <si>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</si>
  <si>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</si>
  <si>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</si>
  <si>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</si>
  <si>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</si>
  <si>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</si>
  <si>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</si>
  <si>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</si>
  <si>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</si>
  <si>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</si>
  <si>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</si>
  <si>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</si>
  <si>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</si>
  <si>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</si>
  <si>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</si>
  <si>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</si>
  <si>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</si>
  <si>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</si>
  <si>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</si>
  <si>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</si>
  <si>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</si>
  <si>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</si>
  <si>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</si>
  <si>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</si>
  <si>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</si>
  <si>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</si>
  <si>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</si>
  <si>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</si>
  <si>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</si>
  <si>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</si>
  <si>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</si>
  <si>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</si>
  <si>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</si>
  <si>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</si>
  <si>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</si>
  <si>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</si>
  <si>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</si>
  <si>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</si>
  <si>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</si>
  <si>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</si>
  <si>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</si>
  <si>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</si>
  <si>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</si>
  <si>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</si>
  <si>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</si>
  <si>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</si>
  <si>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</si>
  <si>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</si>
  <si>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</si>
  <si>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</si>
  <si>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</si>
  <si>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</si>
  <si>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</si>
  <si>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</si>
  <si>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</si>
  <si>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</si>
  <si>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</si>
  <si>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</si>
  <si>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</si>
  <si>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</si>
  <si>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</si>
  <si>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</si>
  <si>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</si>
  <si>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</si>
  <si>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</si>
  <si>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</si>
  <si>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</si>
  <si>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</si>
  <si>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</si>
  <si>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</si>
  <si>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</si>
  <si>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</si>
  <si>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</si>
  <si>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</si>
  <si>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</si>
  <si>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</si>
  <si>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</si>
  <si>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</si>
  <si>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</si>
  <si>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</si>
  <si>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</si>
  <si>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</si>
  <si>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</si>
  <si>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</si>
  <si>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</si>
  <si>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</si>
  <si>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</si>
  <si>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</si>
  <si>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</si>
  <si>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</si>
  <si>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</si>
  <si>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</si>
  <si>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</si>
  <si>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</si>
  <si>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</si>
  <si>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</si>
  <si>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</si>
  <si>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</si>
  <si>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</si>
  <si>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</si>
  <si>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</si>
  <si>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</si>
  <si>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</si>
  <si>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</si>
  <si>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</si>
  <si>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</si>
  <si>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</si>
  <si>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</si>
  <si>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</si>
  <si>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</si>
  <si>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</si>
  <si>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</si>
  <si>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</si>
  <si>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</si>
  <si>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</si>
  <si>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</si>
  <si>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</si>
  <si>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</si>
  <si>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</si>
  <si>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</si>
  <si>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</si>
  <si>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</si>
  <si>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</si>
  <si>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</si>
  <si>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</si>
  <si>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</si>
  <si>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</si>
  <si>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</si>
  <si>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</si>
  <si>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</si>
  <si>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</si>
  <si>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</si>
  <si>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</si>
  <si>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</si>
  <si>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</si>
  <si>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</si>
  <si>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</si>
  <si>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</si>
  <si>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</si>
  <si>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</si>
  <si>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</si>
  <si>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</si>
  <si>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</si>
  <si>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</si>
  <si>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</si>
  <si>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</si>
  <si>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</si>
  <si>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</si>
  <si>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</si>
  <si>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</si>
  <si>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</si>
  <si>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</si>
  <si>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</si>
  <si>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</si>
  <si>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</si>
  <si>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</si>
  <si>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</si>
  <si>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</si>
  <si>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</si>
  <si>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</si>
  <si>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</si>
  <si>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</si>
  <si>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</si>
  <si>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</si>
  <si>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</si>
  <si>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</si>
  <si>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</si>
  <si>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</si>
  <si>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</si>
  <si>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</si>
  <si>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</si>
  <si>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</si>
  <si>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</si>
  <si>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</si>
  <si>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</si>
  <si>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</si>
  <si>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</si>
  <si>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</si>
  <si>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</si>
  <si>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</si>
  <si>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</si>
  <si>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</si>
  <si>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</si>
  <si>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</si>
  <si>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</si>
  <si>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</si>
  <si>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</si>
  <si>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</si>
  <si>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</si>
  <si>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</si>
  <si>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</si>
  <si>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</si>
  <si>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</si>
  <si>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</si>
  <si>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</si>
  <si>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</si>
  <si>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</si>
  <si>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</si>
  <si>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</si>
  <si>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</si>
  <si>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</si>
  <si>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</si>
  <si>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</si>
  <si>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</si>
  <si>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</si>
  <si>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</si>
  <si>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</si>
  <si>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</si>
  <si>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</si>
  <si>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</si>
  <si>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</si>
  <si>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</si>
  <si>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</si>
  <si>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</si>
  <si>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</si>
  <si>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</si>
  <si>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</si>
  <si>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</si>
  <si>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</si>
  <si>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</si>
  <si>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</si>
  <si>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</si>
  <si>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</si>
  <si>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</si>
  <si>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</si>
  <si>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</si>
  <si>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</si>
  <si>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</si>
  <si>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</si>
  <si>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</si>
  <si>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</si>
  <si>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</si>
  <si>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</si>
  <si>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</si>
  <si>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</si>
  <si>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</si>
  <si>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</si>
  <si>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</si>
  <si>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</si>
  <si>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</si>
  <si>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</si>
  <si>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</si>
  <si>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</si>
  <si>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</si>
  <si>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</si>
  <si>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</si>
  <si>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</si>
  <si>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</si>
  <si>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</si>
  <si>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</si>
  <si>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</si>
  <si>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</si>
  <si>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</si>
  <si>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</si>
  <si>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</si>
  <si>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</si>
  <si>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</si>
  <si>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</si>
  <si>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</si>
  <si>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</si>
  <si>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</si>
  <si>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</si>
  <si>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</si>
  <si>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</si>
  <si>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</si>
  <si>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</si>
  <si>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</si>
  <si>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</si>
  <si>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</si>
  <si>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</si>
  <si>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</si>
  <si>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</si>
  <si>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</si>
  <si>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</si>
  <si>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</si>
  <si>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</si>
  <si>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</si>
  <si>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</si>
  <si>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</si>
  <si>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</si>
  <si>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</si>
  <si>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</si>
  <si>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</si>
  <si>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</si>
  <si>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</si>
  <si>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</si>
  <si>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</si>
  <si>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</si>
  <si>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</si>
  <si>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</si>
  <si>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</si>
  <si>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</si>
  <si>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</si>
  <si>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</si>
  <si>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</si>
  <si>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</si>
  <si>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</si>
  <si>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</si>
  <si>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</si>
  <si>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</si>
  <si>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</si>
  <si>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</si>
  <si>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</si>
  <si>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</si>
  <si>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</si>
  <si>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</si>
  <si>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</si>
  <si>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</si>
  <si>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</si>
  <si>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</si>
  <si>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</si>
  <si>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</si>
  <si>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</si>
  <si>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</si>
  <si>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</si>
  <si>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</si>
  <si>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</si>
  <si>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</si>
  <si>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</si>
  <si>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</si>
  <si>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</si>
  <si>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</si>
  <si>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</si>
  <si>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</si>
  <si>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</si>
  <si>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</si>
  <si>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</si>
  <si>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</si>
  <si>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</si>
  <si>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</si>
  <si>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</si>
  <si>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</si>
  <si>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</si>
  <si>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</si>
  <si>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</si>
  <si>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</si>
  <si>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</si>
  <si>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</si>
  <si>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</si>
  <si>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</si>
  <si>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</si>
  <si>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</si>
  <si>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</si>
  <si>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OPt17</t>
  </si>
  <si>
    <t>ci17</t>
  </si>
  <si>
    <t>OPt18</t>
  </si>
  <si>
    <t>ci18</t>
  </si>
  <si>
    <t>OPt19</t>
  </si>
  <si>
    <t>ci19</t>
  </si>
  <si>
    <t>OPt20</t>
  </si>
  <si>
    <t>ci20</t>
  </si>
  <si>
    <t>OPt21</t>
  </si>
  <si>
    <t>ci21</t>
  </si>
  <si>
    <t>UI Testcase 6</t>
  </si>
  <si>
    <t>TC 6</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</si>
  <si>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('OPt21','ci21','CB-Winston Re Ltd. Series 2025-1 Class A','2025-1','Class A','','','LOD','Tower Hill Ins Exch','','975660AC5','2/13/2025','2/21/2028','','Cat Bond',0,200000000,250000,'',99.85,0.1032,'Buy','5/7/2025',0,'',1.42857142857143E-03,6.49700005425526E-02,0,0.10708301,0,'0',0,'0',0,'5/7/2025','5/7/2025',5/7/2025,5/7/2025,5/7/2025,'Indemnity','Occurrence',0,0,'0',1,1,110,'USD')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</si>
</sst>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0">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0" fillId="0" borderId="12" xfId="0"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7" zoomScale="130" zoomScaleNormal="130" workbookViewId="0">
      <selection activeCell="AA38" sqref="AA17:AA38"/>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21.5546875"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294" customFormat="1" ht="12" x14ac:dyDescent="0.25">
      <c r="A33" s="289" t="s">
        <v>540</v>
      </c>
      <c r="B33" s="289" t="s">
        <v>747</v>
      </c>
      <c r="C33" s="289" t="s">
        <v>234</v>
      </c>
      <c r="D33" s="289">
        <v>45770</v>
      </c>
      <c r="E33" s="289">
        <v>45771</v>
      </c>
      <c r="F33" s="289" t="s">
        <v>309</v>
      </c>
      <c r="G33" s="289" t="s">
        <v>394</v>
      </c>
      <c r="H33" s="289" t="s">
        <v>540</v>
      </c>
      <c r="I33" s="289" t="s">
        <v>395</v>
      </c>
      <c r="J33" s="289" t="s">
        <v>312</v>
      </c>
      <c r="K33" s="289" t="s">
        <v>305</v>
      </c>
      <c r="L33" s="289" t="s">
        <v>396</v>
      </c>
      <c r="M33" s="289" t="s">
        <v>321</v>
      </c>
      <c r="N33" s="134">
        <v>200000000</v>
      </c>
      <c r="O33" s="289" t="s">
        <v>397</v>
      </c>
      <c r="P33" s="290">
        <v>1.4500000000000001E-2</v>
      </c>
      <c r="Q33" s="290">
        <v>6.2344141903376588E-2</v>
      </c>
      <c r="R33" s="290">
        <v>0.1009</v>
      </c>
      <c r="S33" s="291">
        <v>102.5</v>
      </c>
      <c r="T33" s="292">
        <v>103.1</v>
      </c>
      <c r="U33" s="134">
        <v>250000</v>
      </c>
      <c r="V33" s="134" t="s">
        <v>28</v>
      </c>
      <c r="W33" s="292">
        <v>1</v>
      </c>
      <c r="X33" s="134">
        <v>998.26000000000931</v>
      </c>
      <c r="Y33" s="134">
        <v>23</v>
      </c>
      <c r="Z33" s="134">
        <v>257750</v>
      </c>
      <c r="AA33" s="134">
        <v>258748.26</v>
      </c>
      <c r="AB33" s="134">
        <v>257437.5</v>
      </c>
      <c r="AC33" s="292">
        <v>1.1506849315068493</v>
      </c>
      <c r="AD33" s="293">
        <v>8.4681469999999995E-2</v>
      </c>
      <c r="AE33" s="293">
        <v>4.2981474551666635E-2</v>
      </c>
      <c r="AF33" s="290">
        <v>2.8481474551666636E-2</v>
      </c>
      <c r="AG33" s="290">
        <v>0.33735464293040995</v>
      </c>
      <c r="AH33" s="292">
        <v>2.9642396242528712</v>
      </c>
      <c r="AI33" s="134">
        <v>25225</v>
      </c>
      <c r="AJ33" s="134">
        <v>3625</v>
      </c>
      <c r="AK33" s="294">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95" t="s">
        <v>583</v>
      </c>
      <c r="B25" s="19"/>
      <c r="C25" s="180"/>
      <c r="D25" s="180"/>
      <c r="E25" s="198"/>
    </row>
    <row r="26" spans="1:5" ht="18.75" customHeight="1" x14ac:dyDescent="0.3">
      <c r="A26" s="296"/>
      <c r="B26" t="s">
        <v>549</v>
      </c>
      <c r="C26" s="178" t="s">
        <v>584</v>
      </c>
      <c r="D26" s="178"/>
      <c r="E26" s="195"/>
    </row>
    <row r="27" spans="1:5" ht="18.75" customHeight="1" x14ac:dyDescent="0.3">
      <c r="A27" s="296"/>
      <c r="B27" t="s">
        <v>551</v>
      </c>
      <c r="C27" s="178" t="s">
        <v>585</v>
      </c>
      <c r="D27" s="178"/>
      <c r="E27" s="195"/>
    </row>
    <row r="28" spans="1:5" ht="18.75" customHeight="1" x14ac:dyDescent="0.3">
      <c r="A28" s="296"/>
      <c r="B28" t="s">
        <v>553</v>
      </c>
      <c r="C28" s="178" t="s">
        <v>586</v>
      </c>
      <c r="D28" s="178"/>
      <c r="E28" s="195"/>
    </row>
    <row r="29" spans="1:5" ht="18.75" customHeight="1" x14ac:dyDescent="0.3">
      <c r="A29" s="296"/>
      <c r="B29" t="s">
        <v>555</v>
      </c>
      <c r="C29" s="178" t="s">
        <v>587</v>
      </c>
      <c r="D29" s="178"/>
      <c r="E29" s="195"/>
    </row>
    <row r="30" spans="1:5" ht="18.75" customHeight="1" x14ac:dyDescent="0.3">
      <c r="A30" s="296"/>
      <c r="B30" t="s">
        <v>557</v>
      </c>
      <c r="C30" s="178" t="s">
        <v>588</v>
      </c>
      <c r="D30" s="178"/>
      <c r="E30" s="195"/>
    </row>
    <row r="31" spans="1:5" ht="18.75" customHeight="1" x14ac:dyDescent="0.3">
      <c r="A31" s="296"/>
      <c r="B31" t="s">
        <v>559</v>
      </c>
      <c r="C31" s="178" t="s">
        <v>589</v>
      </c>
      <c r="D31" s="178"/>
      <c r="E31" s="195"/>
    </row>
    <row r="32" spans="1:5" ht="18.75" customHeight="1" thickBot="1" x14ac:dyDescent="0.35">
      <c r="A32" s="297"/>
      <c r="B32" s="12" t="s">
        <v>561</v>
      </c>
      <c r="C32" s="179" t="s">
        <v>590</v>
      </c>
      <c r="D32" s="179"/>
      <c r="E32" s="196"/>
    </row>
    <row r="33" spans="1:5" ht="18.75" customHeight="1" thickBot="1" x14ac:dyDescent="0.35"/>
    <row r="34" spans="1:5" ht="18.75" customHeight="1" x14ac:dyDescent="0.3">
      <c r="A34" s="295" t="s">
        <v>591</v>
      </c>
      <c r="B34" s="19" t="s">
        <v>549</v>
      </c>
      <c r="C34" s="180" t="s">
        <v>592</v>
      </c>
      <c r="D34" s="180"/>
      <c r="E34" s="198"/>
    </row>
    <row r="35" spans="1:5" ht="18.75" customHeight="1" x14ac:dyDescent="0.3">
      <c r="A35" s="296"/>
      <c r="B35" t="s">
        <v>551</v>
      </c>
      <c r="C35" s="178" t="s">
        <v>22</v>
      </c>
      <c r="D35" s="178"/>
      <c r="E35" s="195"/>
    </row>
    <row r="36" spans="1:5" ht="18.75" customHeight="1" x14ac:dyDescent="0.3">
      <c r="A36" s="296"/>
      <c r="B36" t="s">
        <v>553</v>
      </c>
      <c r="C36" s="178" t="s">
        <v>119</v>
      </c>
      <c r="D36" s="178"/>
      <c r="E36" s="195"/>
    </row>
    <row r="37" spans="1:5" ht="18.75" customHeight="1" x14ac:dyDescent="0.3">
      <c r="A37" s="296"/>
      <c r="B37" t="s">
        <v>557</v>
      </c>
      <c r="C37" s="178" t="s">
        <v>593</v>
      </c>
      <c r="D37" s="178"/>
      <c r="E37" s="195"/>
    </row>
    <row r="38" spans="1:5" ht="18.75" customHeight="1" x14ac:dyDescent="0.3">
      <c r="A38" s="296"/>
      <c r="B38" t="s">
        <v>559</v>
      </c>
      <c r="C38" s="178" t="s">
        <v>594</v>
      </c>
      <c r="D38" s="178"/>
      <c r="E38" s="195"/>
    </row>
    <row r="39" spans="1:5" ht="18.75" customHeight="1" x14ac:dyDescent="0.3">
      <c r="A39" s="296"/>
      <c r="B39" t="s">
        <v>561</v>
      </c>
      <c r="C39" s="178" t="s">
        <v>25</v>
      </c>
      <c r="D39" s="178"/>
      <c r="E39" s="195"/>
    </row>
    <row r="40" spans="1:5" ht="18.75" customHeight="1" x14ac:dyDescent="0.3">
      <c r="A40" s="296"/>
      <c r="B40" t="s">
        <v>563</v>
      </c>
      <c r="C40" s="178" t="s">
        <v>26</v>
      </c>
      <c r="D40" s="178"/>
      <c r="E40" s="195"/>
    </row>
    <row r="41" spans="1:5" ht="18.75" customHeight="1" x14ac:dyDescent="0.3">
      <c r="A41" s="296"/>
      <c r="B41" t="s">
        <v>565</v>
      </c>
      <c r="C41" s="178" t="s">
        <v>595</v>
      </c>
      <c r="D41" s="178"/>
      <c r="E41" s="195"/>
    </row>
    <row r="42" spans="1:5" ht="18.75" customHeight="1" x14ac:dyDescent="0.3">
      <c r="A42" s="296"/>
      <c r="B42" t="s">
        <v>567</v>
      </c>
      <c r="C42" s="178" t="s">
        <v>596</v>
      </c>
      <c r="D42" s="178"/>
      <c r="E42" s="195"/>
    </row>
    <row r="43" spans="1:5" ht="18.75" customHeight="1" x14ac:dyDescent="0.3">
      <c r="A43" s="296"/>
      <c r="B43" t="s">
        <v>568</v>
      </c>
      <c r="C43" s="178" t="s">
        <v>597</v>
      </c>
      <c r="D43" s="178"/>
      <c r="E43" s="195"/>
    </row>
    <row r="44" spans="1:5" ht="18.75" customHeight="1" x14ac:dyDescent="0.3">
      <c r="A44" s="296"/>
      <c r="B44" t="s">
        <v>598</v>
      </c>
      <c r="C44" s="178" t="s">
        <v>212</v>
      </c>
      <c r="D44" s="178"/>
      <c r="E44" s="195"/>
    </row>
    <row r="45" spans="1:5" ht="18.75" customHeight="1" x14ac:dyDescent="0.3">
      <c r="A45" s="296"/>
      <c r="B45" t="s">
        <v>570</v>
      </c>
      <c r="C45" s="178" t="s">
        <v>599</v>
      </c>
      <c r="D45" s="178"/>
      <c r="E45" s="195"/>
    </row>
    <row r="46" spans="1:5" ht="18.75" customHeight="1" thickBot="1" x14ac:dyDescent="0.35">
      <c r="A46" s="297"/>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8" t="s">
        <v>603</v>
      </c>
      <c r="B51" s="19"/>
      <c r="C51" s="180"/>
      <c r="D51" s="180"/>
      <c r="E51" s="198"/>
    </row>
    <row r="52" spans="1:5" ht="18.75" customHeight="1" thickBot="1" x14ac:dyDescent="0.35">
      <c r="A52" s="299"/>
      <c r="B52" s="12">
        <v>1</v>
      </c>
      <c r="C52" s="179" t="s">
        <v>604</v>
      </c>
      <c r="D52" s="179"/>
      <c r="E52" s="196"/>
    </row>
    <row r="54" spans="1:5" ht="18.75" customHeight="1" thickBot="1" x14ac:dyDescent="0.35"/>
    <row r="55" spans="1:5" ht="18.75" customHeight="1" x14ac:dyDescent="0.3">
      <c r="A55" s="295" t="s">
        <v>605</v>
      </c>
      <c r="B55" s="19">
        <v>1</v>
      </c>
      <c r="C55" s="180" t="s">
        <v>606</v>
      </c>
      <c r="D55" s="180"/>
      <c r="E55" s="198"/>
    </row>
    <row r="56" spans="1:5" ht="18.75" customHeight="1" x14ac:dyDescent="0.3">
      <c r="A56" s="296"/>
      <c r="B56">
        <v>2</v>
      </c>
      <c r="C56" s="178" t="s">
        <v>607</v>
      </c>
      <c r="D56" s="178"/>
      <c r="E56" s="195"/>
    </row>
    <row r="57" spans="1:5" ht="18.75" customHeight="1" x14ac:dyDescent="0.3">
      <c r="A57" s="296"/>
      <c r="B57">
        <v>3</v>
      </c>
      <c r="C57" s="178" t="s">
        <v>608</v>
      </c>
      <c r="D57" s="178"/>
      <c r="E57" s="195"/>
    </row>
    <row r="58" spans="1:5" ht="18.75" customHeight="1" x14ac:dyDescent="0.3">
      <c r="A58" s="296"/>
      <c r="B58">
        <v>4</v>
      </c>
      <c r="C58" s="178" t="s">
        <v>609</v>
      </c>
      <c r="D58" s="178"/>
      <c r="E58" s="195"/>
    </row>
    <row r="59" spans="1:5" ht="18.75" customHeight="1" x14ac:dyDescent="0.3">
      <c r="A59" s="296"/>
      <c r="B59" t="s">
        <v>549</v>
      </c>
      <c r="C59" s="178" t="s">
        <v>123</v>
      </c>
      <c r="D59" s="178"/>
      <c r="E59" s="195"/>
    </row>
    <row r="60" spans="1:5" ht="18.75" customHeight="1" x14ac:dyDescent="0.3">
      <c r="A60" s="296"/>
      <c r="B60" t="s">
        <v>551</v>
      </c>
      <c r="C60" s="178" t="s">
        <v>124</v>
      </c>
      <c r="D60" s="178"/>
      <c r="E60" s="195"/>
    </row>
    <row r="61" spans="1:5" ht="18.75" customHeight="1" x14ac:dyDescent="0.3">
      <c r="A61" s="296"/>
      <c r="B61" t="s">
        <v>553</v>
      </c>
      <c r="C61" s="178" t="s">
        <v>125</v>
      </c>
      <c r="D61" s="178"/>
      <c r="E61" s="195"/>
    </row>
    <row r="62" spans="1:5" ht="18.75" customHeight="1" x14ac:dyDescent="0.3">
      <c r="A62" s="296"/>
      <c r="B62" t="s">
        <v>555</v>
      </c>
      <c r="C62" s="178" t="s">
        <v>2</v>
      </c>
      <c r="D62" s="178"/>
      <c r="E62" s="195"/>
    </row>
    <row r="63" spans="1:5" ht="18.75" customHeight="1" x14ac:dyDescent="0.3">
      <c r="A63" s="296"/>
      <c r="B63" t="s">
        <v>557</v>
      </c>
      <c r="C63" s="178" t="s">
        <v>610</v>
      </c>
      <c r="D63" s="178"/>
      <c r="E63" s="195"/>
    </row>
    <row r="64" spans="1:5" ht="18.75" customHeight="1" x14ac:dyDescent="0.3">
      <c r="A64" s="296"/>
      <c r="B64" t="s">
        <v>559</v>
      </c>
      <c r="C64" s="178" t="s">
        <v>611</v>
      </c>
      <c r="D64" s="178"/>
      <c r="E64" s="195"/>
    </row>
    <row r="65" spans="1:5" ht="18.75" customHeight="1" x14ac:dyDescent="0.3">
      <c r="A65" s="296"/>
      <c r="B65" t="s">
        <v>561</v>
      </c>
      <c r="C65" s="178" t="s">
        <v>612</v>
      </c>
      <c r="D65" s="178"/>
      <c r="E65" s="195"/>
    </row>
    <row r="66" spans="1:5" ht="18.75" customHeight="1" x14ac:dyDescent="0.3">
      <c r="A66" s="296"/>
      <c r="B66" t="s">
        <v>563</v>
      </c>
      <c r="C66" s="178" t="s">
        <v>613</v>
      </c>
      <c r="D66" s="178"/>
      <c r="E66" s="195"/>
    </row>
    <row r="67" spans="1:5" ht="18.75" customHeight="1" x14ac:dyDescent="0.3">
      <c r="A67" s="296"/>
      <c r="B67" t="s">
        <v>565</v>
      </c>
      <c r="C67" s="178" t="s">
        <v>175</v>
      </c>
      <c r="D67" s="178"/>
      <c r="E67" s="195"/>
    </row>
    <row r="68" spans="1:5" ht="18.75" customHeight="1" x14ac:dyDescent="0.3">
      <c r="A68" s="296"/>
      <c r="B68" t="s">
        <v>567</v>
      </c>
      <c r="C68" s="178" t="s">
        <v>614</v>
      </c>
      <c r="D68" s="178"/>
      <c r="E68" s="195"/>
    </row>
    <row r="69" spans="1:5" ht="18.75" customHeight="1" x14ac:dyDescent="0.3">
      <c r="A69" s="296"/>
      <c r="B69" t="s">
        <v>568</v>
      </c>
      <c r="C69" s="178" t="s">
        <v>169</v>
      </c>
      <c r="D69" s="178"/>
      <c r="E69" s="195"/>
    </row>
    <row r="70" spans="1:5" ht="18.75" customHeight="1" x14ac:dyDescent="0.3">
      <c r="A70" s="296"/>
      <c r="B70" t="s">
        <v>598</v>
      </c>
      <c r="C70" s="178" t="s">
        <v>171</v>
      </c>
      <c r="D70" s="178"/>
      <c r="E70" s="195"/>
    </row>
    <row r="71" spans="1:5" ht="18.75" customHeight="1" x14ac:dyDescent="0.3">
      <c r="A71" s="296"/>
      <c r="B71" t="s">
        <v>570</v>
      </c>
      <c r="C71" s="178" t="s">
        <v>615</v>
      </c>
      <c r="D71" s="178"/>
      <c r="E71" s="195"/>
    </row>
    <row r="72" spans="1:5" ht="18.75" customHeight="1" x14ac:dyDescent="0.3">
      <c r="A72" s="296"/>
      <c r="B72" t="s">
        <v>572</v>
      </c>
      <c r="C72" s="178" t="s">
        <v>616</v>
      </c>
      <c r="D72" s="178"/>
      <c r="E72" s="195"/>
    </row>
    <row r="73" spans="1:5" ht="18.75" customHeight="1" x14ac:dyDescent="0.3">
      <c r="A73" s="296"/>
      <c r="B73" t="s">
        <v>574</v>
      </c>
      <c r="C73" s="178" t="s">
        <v>5</v>
      </c>
      <c r="D73" s="178"/>
      <c r="E73" s="195"/>
    </row>
    <row r="74" spans="1:5" ht="18.75" customHeight="1" x14ac:dyDescent="0.3">
      <c r="A74" s="296"/>
      <c r="B74" t="s">
        <v>576</v>
      </c>
      <c r="C74" s="178" t="s">
        <v>617</v>
      </c>
      <c r="D74" s="178"/>
      <c r="E74" s="195"/>
    </row>
    <row r="75" spans="1:5" ht="18.75" customHeight="1" x14ac:dyDescent="0.3">
      <c r="A75" s="296"/>
      <c r="B75" t="s">
        <v>578</v>
      </c>
      <c r="C75" s="178" t="s">
        <v>136</v>
      </c>
      <c r="D75" s="178"/>
      <c r="E75" s="195"/>
    </row>
    <row r="76" spans="1:5" ht="18.75" customHeight="1" x14ac:dyDescent="0.3">
      <c r="A76" s="296"/>
      <c r="B76" t="s">
        <v>580</v>
      </c>
      <c r="C76" s="178" t="s">
        <v>137</v>
      </c>
      <c r="D76" s="178"/>
      <c r="E76" s="195"/>
    </row>
    <row r="77" spans="1:5" ht="18.75" customHeight="1" x14ac:dyDescent="0.3">
      <c r="A77" s="296"/>
      <c r="B77" t="s">
        <v>618</v>
      </c>
      <c r="C77" s="178" t="s">
        <v>619</v>
      </c>
      <c r="D77" s="178"/>
      <c r="E77" s="195"/>
    </row>
    <row r="78" spans="1:5" ht="18.75" customHeight="1" x14ac:dyDescent="0.3">
      <c r="A78" s="296"/>
      <c r="B78" t="s">
        <v>620</v>
      </c>
      <c r="C78" s="178" t="s">
        <v>139</v>
      </c>
      <c r="D78" s="178"/>
      <c r="E78" s="195"/>
    </row>
    <row r="79" spans="1:5" ht="18.75" customHeight="1" x14ac:dyDescent="0.3">
      <c r="A79" s="296"/>
      <c r="B79" t="s">
        <v>621</v>
      </c>
      <c r="C79" s="178" t="s">
        <v>140</v>
      </c>
      <c r="D79" s="178"/>
      <c r="E79" s="195"/>
    </row>
    <row r="80" spans="1:5" ht="18.75" customHeight="1" thickBot="1" x14ac:dyDescent="0.35">
      <c r="A80" s="297"/>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2"/>
  <sheetViews>
    <sheetView topLeftCell="AF1" zoomScale="110" zoomScaleNormal="110" workbookViewId="0">
      <selection activeCell="AI17" sqref="AI17:AI21"/>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2.44140625" bestFit="1"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364</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707</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45" x14ac:dyDescent="0.3">
      <c r="A17" t="s">
        <v>1373</v>
      </c>
      <c r="B17" t="s">
        <v>1374</v>
      </c>
      <c r="C17" t="s">
        <v>223</v>
      </c>
      <c r="D17" t="s">
        <v>1353</v>
      </c>
      <c r="E17" t="s">
        <v>1354</v>
      </c>
      <c r="F17" s="81" t="s">
        <v>1350</v>
      </c>
      <c r="H17" s="81" t="s">
        <v>229</v>
      </c>
      <c r="I17" t="s">
        <v>395</v>
      </c>
      <c r="K17" t="s">
        <v>707</v>
      </c>
      <c r="L17" s="77">
        <v>45287</v>
      </c>
      <c r="M17" s="77">
        <v>46395</v>
      </c>
      <c r="O17" t="s">
        <v>747</v>
      </c>
      <c r="P17" s="82">
        <v>0</v>
      </c>
      <c r="Q17" s="82">
        <v>301000000</v>
      </c>
      <c r="R17">
        <v>250000</v>
      </c>
      <c r="T17">
        <v>103.6</v>
      </c>
      <c r="U17" s="84">
        <v>0.1009</v>
      </c>
      <c r="V17" t="s">
        <v>234</v>
      </c>
      <c r="W17" s="17">
        <v>45889</v>
      </c>
      <c r="Z17" s="86">
        <v>1.25E-3</v>
      </c>
      <c r="AA17">
        <v>6.2344141903376588E-2</v>
      </c>
      <c r="AB17">
        <v>0</v>
      </c>
      <c r="AC17" s="89">
        <v>7.6477260000000005E-2</v>
      </c>
      <c r="AD17" s="81">
        <v>0</v>
      </c>
      <c r="AE17" s="81">
        <v>0</v>
      </c>
      <c r="AF17" s="81">
        <v>0</v>
      </c>
      <c r="AG17" s="81">
        <v>0</v>
      </c>
      <c r="AH17" s="81">
        <v>0</v>
      </c>
      <c r="AI17" s="77">
        <v>45889</v>
      </c>
      <c r="AJ17" s="77">
        <v>45889</v>
      </c>
      <c r="AK17" s="77">
        <v>45889</v>
      </c>
      <c r="AL17" s="77">
        <v>45889</v>
      </c>
      <c r="AM17" s="77">
        <v>45889</v>
      </c>
      <c r="AN17" t="s">
        <v>305</v>
      </c>
      <c r="AO17" t="s">
        <v>312</v>
      </c>
      <c r="AP17" s="81">
        <v>0</v>
      </c>
      <c r="AQ17" s="81">
        <v>0</v>
      </c>
      <c r="AR17" s="81">
        <v>0</v>
      </c>
      <c r="AS17" s="81">
        <v>1</v>
      </c>
    </row>
    <row r="18" spans="1:45" x14ac:dyDescent="0.3">
      <c r="A18" t="s">
        <v>1375</v>
      </c>
      <c r="B18" t="s">
        <v>1376</v>
      </c>
      <c r="C18" t="s">
        <v>1167</v>
      </c>
      <c r="D18" t="s">
        <v>1353</v>
      </c>
      <c r="E18" t="s">
        <v>1354</v>
      </c>
      <c r="F18" s="81" t="s">
        <v>1350</v>
      </c>
      <c r="H18" s="81" t="s">
        <v>229</v>
      </c>
      <c r="I18" t="s">
        <v>400</v>
      </c>
      <c r="K18" t="s">
        <v>398</v>
      </c>
      <c r="L18" s="77">
        <v>45098</v>
      </c>
      <c r="M18" s="77">
        <v>46211</v>
      </c>
      <c r="O18" t="s">
        <v>747</v>
      </c>
      <c r="P18" s="82">
        <v>0</v>
      </c>
      <c r="Q18" s="82">
        <v>150000000</v>
      </c>
      <c r="R18">
        <v>250000</v>
      </c>
      <c r="T18">
        <v>101.15</v>
      </c>
      <c r="U18" s="84">
        <v>7.7850000000000003E-2</v>
      </c>
      <c r="V18" t="s">
        <v>234</v>
      </c>
      <c r="W18" s="17">
        <v>45775</v>
      </c>
      <c r="Z18" s="86">
        <v>1.6666666666666668E-3</v>
      </c>
      <c r="AA18">
        <v>3.8097325757443325E-2</v>
      </c>
      <c r="AB18">
        <v>0</v>
      </c>
      <c r="AC18" s="89">
        <v>6.9939169999999995E-2</v>
      </c>
      <c r="AD18" s="81">
        <v>0</v>
      </c>
      <c r="AE18" s="81">
        <v>0</v>
      </c>
      <c r="AF18" s="81">
        <v>0</v>
      </c>
      <c r="AG18" s="81">
        <v>0</v>
      </c>
      <c r="AH18" s="81">
        <v>0</v>
      </c>
      <c r="AI18" s="77">
        <v>45775</v>
      </c>
      <c r="AJ18" s="77">
        <v>45775</v>
      </c>
      <c r="AK18" s="77">
        <v>45775</v>
      </c>
      <c r="AL18" s="77">
        <v>45775</v>
      </c>
      <c r="AM18" s="77">
        <v>45775</v>
      </c>
      <c r="AN18" t="s">
        <v>305</v>
      </c>
      <c r="AO18" t="s">
        <v>312</v>
      </c>
      <c r="AP18" s="81">
        <v>0</v>
      </c>
      <c r="AQ18" s="81">
        <v>0</v>
      </c>
      <c r="AR18" s="81">
        <v>0</v>
      </c>
      <c r="AS18" s="81">
        <v>1</v>
      </c>
    </row>
    <row r="19" spans="1:45" x14ac:dyDescent="0.3">
      <c r="A19" t="s">
        <v>1377</v>
      </c>
      <c r="B19" t="s">
        <v>1378</v>
      </c>
      <c r="C19" t="s">
        <v>1237</v>
      </c>
      <c r="D19" t="s">
        <v>1353</v>
      </c>
      <c r="E19" t="s">
        <v>1354</v>
      </c>
      <c r="F19" s="81" t="s">
        <v>1350</v>
      </c>
      <c r="H19" s="81" t="s">
        <v>229</v>
      </c>
      <c r="I19" t="s">
        <v>406</v>
      </c>
      <c r="K19" t="s">
        <v>404</v>
      </c>
      <c r="L19" s="77">
        <v>45126</v>
      </c>
      <c r="M19" s="77">
        <v>46241</v>
      </c>
      <c r="O19" t="s">
        <v>747</v>
      </c>
      <c r="P19" s="82">
        <v>0</v>
      </c>
      <c r="Q19" s="82">
        <v>300000000</v>
      </c>
      <c r="R19">
        <v>250000</v>
      </c>
      <c r="T19">
        <v>101.95</v>
      </c>
      <c r="U19" s="84">
        <v>0.1004</v>
      </c>
      <c r="V19" t="s">
        <v>234</v>
      </c>
      <c r="W19" s="17">
        <v>45777</v>
      </c>
      <c r="Z19" s="86">
        <v>2.5000000000000001E-3</v>
      </c>
      <c r="AA19">
        <v>6.1561047014999995E-2</v>
      </c>
      <c r="AB19">
        <v>0</v>
      </c>
      <c r="AC19" s="89">
        <v>8.6950429999999995E-2</v>
      </c>
      <c r="AD19" s="81">
        <v>0</v>
      </c>
      <c r="AE19" s="81">
        <v>0</v>
      </c>
      <c r="AF19" s="81">
        <v>0</v>
      </c>
      <c r="AG19" s="81">
        <v>0</v>
      </c>
      <c r="AH19" s="81">
        <v>0</v>
      </c>
      <c r="AI19" s="77">
        <v>45777</v>
      </c>
      <c r="AJ19" s="77">
        <v>45777</v>
      </c>
      <c r="AK19" s="77">
        <v>45777</v>
      </c>
      <c r="AL19" s="77">
        <v>45777</v>
      </c>
      <c r="AM19" s="77">
        <v>45777</v>
      </c>
      <c r="AN19" t="s">
        <v>305</v>
      </c>
      <c r="AO19" t="s">
        <v>312</v>
      </c>
      <c r="AP19" s="81">
        <v>0</v>
      </c>
      <c r="AQ19" s="81">
        <v>0</v>
      </c>
      <c r="AR19" s="81">
        <v>0</v>
      </c>
      <c r="AS19" s="81">
        <v>1</v>
      </c>
    </row>
    <row r="20" spans="1:45" x14ac:dyDescent="0.3">
      <c r="A20" t="s">
        <v>1379</v>
      </c>
      <c r="B20" t="s">
        <v>1380</v>
      </c>
      <c r="C20" t="s">
        <v>1140</v>
      </c>
      <c r="D20" t="s">
        <v>1348</v>
      </c>
      <c r="E20" t="s">
        <v>1354</v>
      </c>
      <c r="F20" s="81" t="s">
        <v>1350</v>
      </c>
      <c r="H20" s="81" t="s">
        <v>229</v>
      </c>
      <c r="I20" t="s">
        <v>411</v>
      </c>
      <c r="K20" t="s">
        <v>409</v>
      </c>
      <c r="L20" s="77">
        <v>45393</v>
      </c>
      <c r="M20" s="235">
        <v>46517</v>
      </c>
      <c r="O20" t="s">
        <v>747</v>
      </c>
      <c r="P20" s="82">
        <v>0</v>
      </c>
      <c r="Q20" s="82">
        <v>125000000</v>
      </c>
      <c r="R20" s="288">
        <v>250000</v>
      </c>
      <c r="T20">
        <v>102</v>
      </c>
      <c r="U20" s="84">
        <v>0.11452000122070313</v>
      </c>
      <c r="V20" t="s">
        <v>234</v>
      </c>
      <c r="W20" s="17">
        <v>45777</v>
      </c>
      <c r="Z20" s="86">
        <v>2E-3</v>
      </c>
      <c r="AA20">
        <v>7.6309884370243677E-2</v>
      </c>
      <c r="AB20">
        <v>0</v>
      </c>
      <c r="AC20" s="89">
        <v>0.106922</v>
      </c>
      <c r="AD20" s="81">
        <v>0</v>
      </c>
      <c r="AE20" s="81">
        <v>0</v>
      </c>
      <c r="AF20" s="81">
        <v>0</v>
      </c>
      <c r="AG20" s="81">
        <v>0</v>
      </c>
      <c r="AH20" s="81">
        <v>0</v>
      </c>
      <c r="AI20" s="77">
        <v>45777</v>
      </c>
      <c r="AJ20" s="77">
        <v>45777</v>
      </c>
      <c r="AK20" s="77">
        <v>45777</v>
      </c>
      <c r="AL20" s="77">
        <v>45777</v>
      </c>
      <c r="AM20" s="77">
        <v>45777</v>
      </c>
      <c r="AN20" t="s">
        <v>305</v>
      </c>
      <c r="AO20" t="s">
        <v>312</v>
      </c>
      <c r="AP20" s="81">
        <v>0</v>
      </c>
      <c r="AQ20" s="81">
        <v>0</v>
      </c>
      <c r="AR20" s="81">
        <v>0</v>
      </c>
      <c r="AS20" s="81">
        <v>1</v>
      </c>
    </row>
    <row r="21" spans="1:45" x14ac:dyDescent="0.3">
      <c r="A21" t="s">
        <v>1381</v>
      </c>
      <c r="B21" t="s">
        <v>1382</v>
      </c>
      <c r="C21" t="s">
        <v>224</v>
      </c>
      <c r="D21" t="s">
        <v>1351</v>
      </c>
      <c r="E21" t="s">
        <v>1354</v>
      </c>
      <c r="F21" s="81" t="s">
        <v>1360</v>
      </c>
      <c r="H21" s="81" t="s">
        <v>229</v>
      </c>
      <c r="I21" t="s">
        <v>417</v>
      </c>
      <c r="K21" t="s">
        <v>415</v>
      </c>
      <c r="L21" s="235">
        <v>45701</v>
      </c>
      <c r="M21" s="235">
        <v>46804</v>
      </c>
      <c r="O21" t="s">
        <v>747</v>
      </c>
      <c r="P21" s="82">
        <v>0</v>
      </c>
      <c r="Q21" s="82">
        <v>200000000</v>
      </c>
      <c r="R21">
        <v>250000</v>
      </c>
      <c r="T21">
        <v>99.85</v>
      </c>
      <c r="U21" s="84">
        <v>0.1032</v>
      </c>
      <c r="V21" t="s">
        <v>234</v>
      </c>
      <c r="W21" s="17">
        <v>45784</v>
      </c>
      <c r="Z21" s="86">
        <v>1.4285714285714286E-3</v>
      </c>
      <c r="AA21">
        <v>6.4970000542552628E-2</v>
      </c>
      <c r="AB21">
        <v>0</v>
      </c>
      <c r="AC21" s="89">
        <v>0.10708301000000001</v>
      </c>
      <c r="AD21" s="81">
        <v>0</v>
      </c>
      <c r="AE21" s="81">
        <v>0</v>
      </c>
      <c r="AF21" s="81">
        <v>0</v>
      </c>
      <c r="AG21" s="81">
        <v>0</v>
      </c>
      <c r="AH21" s="81">
        <v>0</v>
      </c>
      <c r="AI21" s="77">
        <v>45784</v>
      </c>
      <c r="AJ21" s="77">
        <v>45784</v>
      </c>
      <c r="AK21" s="77">
        <v>45784</v>
      </c>
      <c r="AL21" s="77">
        <v>45784</v>
      </c>
      <c r="AM21" s="77">
        <v>45784</v>
      </c>
      <c r="AN21" t="s">
        <v>305</v>
      </c>
      <c r="AO21" t="s">
        <v>312</v>
      </c>
      <c r="AP21" s="81">
        <v>0</v>
      </c>
      <c r="AQ21" s="81">
        <v>0</v>
      </c>
      <c r="AR21" s="81">
        <v>0</v>
      </c>
      <c r="AS21" s="81">
        <v>1</v>
      </c>
    </row>
    <row r="22" spans="1:45" x14ac:dyDescent="0.3">
      <c r="AJ22" s="77"/>
      <c r="AK22" s="77"/>
      <c r="AL22" s="77"/>
      <c r="AM22" s="77"/>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J15" sqref="J15"/>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1383</v>
      </c>
      <c r="D2" s="71">
        <v>6000000</v>
      </c>
      <c r="E2" s="71">
        <v>5109504</v>
      </c>
      <c r="F2" s="12" t="s">
        <v>28</v>
      </c>
      <c r="G2" s="16">
        <v>46203</v>
      </c>
      <c r="H2" s="13" t="s">
        <v>1384</v>
      </c>
      <c r="AB2" t="s">
        <v>185</v>
      </c>
    </row>
    <row r="3" spans="1:28" x14ac:dyDescent="0.3">
      <c r="D3" s="85"/>
    </row>
    <row r="4" spans="1:28" x14ac:dyDescent="0.3">
      <c r="A4" s="4"/>
      <c r="B4" s="4"/>
      <c r="D4" s="1"/>
      <c r="E4" s="4"/>
    </row>
    <row r="5" spans="1:28" x14ac:dyDescent="0.3">
      <c r="A5" t="s">
        <v>1385</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C2" sqref="C2"/>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v>
      </c>
      <c r="C2" s="23">
        <v>0</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6"/>
  <sheetViews>
    <sheetView zoomScaleNormal="100" workbookViewId="0">
      <selection activeCell="C20" sqref="C20"/>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91"/>
  <sheetViews>
    <sheetView topLeftCell="A36" workbookViewId="0">
      <selection activeCell="C47" sqref="C47"/>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287" t="s">
        <v>360</v>
      </c>
      <c r="C4" s="73"/>
      <c r="D4" s="73">
        <v>0.3</v>
      </c>
      <c r="E4" s="73"/>
      <c r="F4" s="73"/>
      <c r="K4" s="5" t="s">
        <v>7</v>
      </c>
      <c r="L4" s="44">
        <v>0.4</v>
      </c>
      <c r="M4" s="45">
        <v>0</v>
      </c>
      <c r="N4" s="46">
        <v>0.7</v>
      </c>
      <c r="Q4" s="5" t="s">
        <v>7</v>
      </c>
      <c r="R4" s="47">
        <v>0.4</v>
      </c>
      <c r="S4" s="47">
        <v>0</v>
      </c>
      <c r="T4" s="48">
        <v>0.7</v>
      </c>
    </row>
    <row r="5" spans="1:20" x14ac:dyDescent="0.3">
      <c r="A5" s="73" t="s">
        <v>2</v>
      </c>
      <c r="B5" s="287" t="s">
        <v>343</v>
      </c>
      <c r="C5" s="73"/>
      <c r="D5" s="73">
        <v>0.3</v>
      </c>
      <c r="E5" s="73"/>
      <c r="F5" s="73"/>
      <c r="K5" s="5" t="s">
        <v>43</v>
      </c>
      <c r="L5" s="44">
        <v>0.4</v>
      </c>
      <c r="M5" s="45">
        <v>0</v>
      </c>
      <c r="N5" s="46">
        <v>0.7</v>
      </c>
      <c r="Q5" s="5" t="s">
        <v>43</v>
      </c>
      <c r="R5" s="47">
        <v>0.4</v>
      </c>
      <c r="S5" s="47">
        <v>0</v>
      </c>
      <c r="T5" s="48">
        <v>0.7</v>
      </c>
    </row>
    <row r="6" spans="1:20" x14ac:dyDescent="0.3">
      <c r="A6" s="73" t="s">
        <v>2</v>
      </c>
      <c r="B6" s="287" t="s">
        <v>331</v>
      </c>
      <c r="C6" s="73"/>
      <c r="D6" s="73">
        <v>0.3</v>
      </c>
      <c r="E6" s="73"/>
      <c r="F6" s="73"/>
      <c r="K6" s="5" t="s">
        <v>42</v>
      </c>
      <c r="L6" s="44">
        <v>0.05</v>
      </c>
      <c r="M6" s="45">
        <v>0</v>
      </c>
      <c r="N6" s="46">
        <v>0.3</v>
      </c>
      <c r="Q6" s="5" t="s">
        <v>42</v>
      </c>
      <c r="R6" s="47">
        <v>0.1</v>
      </c>
      <c r="S6" s="47">
        <v>0</v>
      </c>
      <c r="T6" s="48">
        <v>0.5</v>
      </c>
    </row>
    <row r="7" spans="1:20" x14ac:dyDescent="0.3">
      <c r="A7" s="73" t="s">
        <v>2</v>
      </c>
      <c r="B7" s="287" t="s">
        <v>337</v>
      </c>
      <c r="C7" s="73"/>
      <c r="D7" s="73">
        <v>0.3</v>
      </c>
      <c r="E7" s="73"/>
      <c r="F7" s="73"/>
      <c r="K7" s="5" t="s">
        <v>29</v>
      </c>
      <c r="L7" s="44">
        <v>0.1</v>
      </c>
      <c r="M7" s="45">
        <v>0.1</v>
      </c>
      <c r="N7" s="50">
        <v>0.75</v>
      </c>
      <c r="Q7" s="5" t="s">
        <v>29</v>
      </c>
      <c r="R7" s="47">
        <v>0.1</v>
      </c>
      <c r="S7" s="47">
        <v>0.1</v>
      </c>
      <c r="T7" s="48">
        <v>0.75</v>
      </c>
    </row>
    <row r="8" spans="1:20" x14ac:dyDescent="0.3">
      <c r="A8" s="73" t="s">
        <v>2</v>
      </c>
      <c r="B8" s="287" t="s">
        <v>311</v>
      </c>
      <c r="C8" s="73"/>
      <c r="D8" s="73">
        <v>0.3</v>
      </c>
      <c r="E8" s="73"/>
      <c r="F8" s="73"/>
      <c r="K8" s="5" t="s">
        <v>40</v>
      </c>
      <c r="L8" s="44">
        <v>0.1</v>
      </c>
      <c r="M8" s="45">
        <v>-0.3</v>
      </c>
      <c r="N8" s="51">
        <v>0.15</v>
      </c>
      <c r="Q8" s="5" t="s">
        <v>40</v>
      </c>
      <c r="R8" s="47">
        <v>0.1</v>
      </c>
      <c r="S8" s="47">
        <v>-0.3</v>
      </c>
      <c r="T8" s="48">
        <v>0.15</v>
      </c>
    </row>
    <row r="9" spans="1:20" ht="15" thickBot="1" x14ac:dyDescent="0.35">
      <c r="A9" s="73" t="s">
        <v>2</v>
      </c>
      <c r="B9" s="287" t="s">
        <v>325</v>
      </c>
      <c r="C9" s="73"/>
      <c r="D9" s="73">
        <v>0.3</v>
      </c>
      <c r="E9" s="73"/>
      <c r="F9" s="73"/>
      <c r="K9" s="6" t="s">
        <v>32</v>
      </c>
      <c r="L9" s="12"/>
      <c r="M9" s="52">
        <v>2.5000000000000001E-2</v>
      </c>
      <c r="N9" s="13"/>
      <c r="Q9" s="6" t="s">
        <v>32</v>
      </c>
      <c r="R9" s="52"/>
      <c r="S9" s="52">
        <v>2.5000000000000001E-2</v>
      </c>
      <c r="T9" s="53"/>
    </row>
    <row r="10" spans="1:20" x14ac:dyDescent="0.3">
      <c r="A10" s="73" t="s">
        <v>2</v>
      </c>
      <c r="B10" s="287" t="s">
        <v>319</v>
      </c>
      <c r="C10" s="73"/>
      <c r="D10" s="73">
        <v>0.3</v>
      </c>
      <c r="E10" s="73"/>
      <c r="F10" s="73"/>
      <c r="L10" s="45"/>
      <c r="M10" s="45"/>
      <c r="N10" s="45"/>
      <c r="R10" s="45"/>
      <c r="S10" s="45"/>
      <c r="T10" s="45"/>
    </row>
    <row r="11" spans="1:20" ht="15" thickBot="1" x14ac:dyDescent="0.35">
      <c r="A11" s="73" t="s">
        <v>2</v>
      </c>
      <c r="B11" s="287" t="s">
        <v>366</v>
      </c>
      <c r="C11" s="73"/>
      <c r="D11" s="73">
        <v>0.3</v>
      </c>
      <c r="E11" s="73"/>
      <c r="F11" s="73"/>
      <c r="K11" t="s">
        <v>193</v>
      </c>
      <c r="L11" t="s">
        <v>194</v>
      </c>
      <c r="Q11" t="s">
        <v>195</v>
      </c>
      <c r="R11" s="45" t="s">
        <v>194</v>
      </c>
      <c r="S11" s="45"/>
      <c r="T11" s="45"/>
    </row>
    <row r="12" spans="1:20" x14ac:dyDescent="0.3">
      <c r="A12" s="73" t="s">
        <v>2</v>
      </c>
      <c r="B12" s="287" t="s">
        <v>349</v>
      </c>
      <c r="C12" s="73"/>
      <c r="D12" s="73">
        <v>0.3</v>
      </c>
      <c r="E12" s="73"/>
      <c r="F12" s="73"/>
      <c r="K12" s="18" t="s">
        <v>33</v>
      </c>
      <c r="L12" s="54">
        <v>0.15</v>
      </c>
      <c r="Q12" s="18" t="s">
        <v>33</v>
      </c>
      <c r="R12" s="55">
        <v>0.15</v>
      </c>
      <c r="S12" s="45"/>
      <c r="T12" s="45"/>
    </row>
    <row r="13" spans="1:20" ht="15" thickBot="1" x14ac:dyDescent="0.35">
      <c r="A13" s="73" t="s">
        <v>2</v>
      </c>
      <c r="B13" s="287" t="s">
        <v>303</v>
      </c>
      <c r="C13" s="73"/>
      <c r="D13" s="73">
        <v>0.3</v>
      </c>
      <c r="E13" s="73"/>
      <c r="F13" s="73"/>
      <c r="K13" s="6" t="s">
        <v>34</v>
      </c>
      <c r="L13" s="56">
        <v>0.3</v>
      </c>
      <c r="Q13" s="6" t="s">
        <v>34</v>
      </c>
      <c r="R13" s="53">
        <v>0.3</v>
      </c>
      <c r="S13" s="45"/>
      <c r="T13" s="45"/>
    </row>
    <row r="14" spans="1:20" ht="15" thickBot="1" x14ac:dyDescent="0.35">
      <c r="A14" s="73" t="s">
        <v>2</v>
      </c>
      <c r="B14" s="73" t="s">
        <v>373</v>
      </c>
      <c r="C14" s="73"/>
      <c r="D14" s="73">
        <v>0.3</v>
      </c>
      <c r="E14" s="73"/>
      <c r="F14" s="73"/>
      <c r="L14" s="44"/>
      <c r="R14" s="45"/>
      <c r="S14" s="45"/>
      <c r="T14" s="45"/>
    </row>
    <row r="15" spans="1:20" x14ac:dyDescent="0.3">
      <c r="A15" s="73" t="s">
        <v>2</v>
      </c>
      <c r="B15" s="73" t="s">
        <v>379</v>
      </c>
      <c r="C15" s="73"/>
      <c r="D15" s="73">
        <v>0.3</v>
      </c>
      <c r="E15" s="73"/>
      <c r="F15" s="73"/>
      <c r="K15" s="39" t="s">
        <v>196</v>
      </c>
      <c r="L15" s="54" t="s">
        <v>194</v>
      </c>
      <c r="Q15" s="39" t="s">
        <v>196</v>
      </c>
      <c r="R15" s="43" t="s">
        <v>194</v>
      </c>
      <c r="S15" s="45"/>
      <c r="T15" s="45"/>
    </row>
    <row r="16" spans="1:20" x14ac:dyDescent="0.3">
      <c r="A16" s="73" t="s">
        <v>2</v>
      </c>
      <c r="B16" s="73" t="s">
        <v>385</v>
      </c>
      <c r="C16" s="73"/>
      <c r="D16" s="73">
        <v>0.3</v>
      </c>
      <c r="E16" s="73"/>
      <c r="F16" s="73"/>
      <c r="K16" s="5" t="s">
        <v>8</v>
      </c>
      <c r="L16" s="50">
        <v>0.1</v>
      </c>
      <c r="Q16" s="5" t="s">
        <v>8</v>
      </c>
      <c r="R16" s="48">
        <v>0.15</v>
      </c>
      <c r="S16" s="45"/>
      <c r="T16" s="45"/>
    </row>
    <row r="17" spans="1:20" x14ac:dyDescent="0.3">
      <c r="A17" s="73" t="s">
        <v>2</v>
      </c>
      <c r="B17" s="73" t="s">
        <v>390</v>
      </c>
      <c r="C17" s="73"/>
      <c r="D17" s="73">
        <v>0.3</v>
      </c>
      <c r="E17" s="73"/>
      <c r="F17" s="73"/>
      <c r="K17" s="5" t="s">
        <v>40</v>
      </c>
      <c r="L17" s="50">
        <v>0.3</v>
      </c>
      <c r="Q17" s="5" t="s">
        <v>40</v>
      </c>
      <c r="R17" s="48">
        <v>0.15</v>
      </c>
      <c r="S17" s="45"/>
      <c r="T17" s="45"/>
    </row>
    <row r="18" spans="1:20" x14ac:dyDescent="0.3">
      <c r="A18" s="73" t="s">
        <v>2</v>
      </c>
      <c r="B18" s="73" t="s">
        <v>395</v>
      </c>
      <c r="C18" s="73"/>
      <c r="D18" s="73">
        <v>0.3</v>
      </c>
      <c r="E18" s="73"/>
      <c r="F18" s="73"/>
      <c r="K18" s="5" t="s">
        <v>41</v>
      </c>
      <c r="L18" s="50">
        <v>0.3</v>
      </c>
      <c r="Q18" s="5" t="s">
        <v>41</v>
      </c>
      <c r="R18" s="48">
        <v>0.15</v>
      </c>
      <c r="S18" s="45"/>
      <c r="T18" s="45"/>
    </row>
    <row r="19" spans="1:20" x14ac:dyDescent="0.3">
      <c r="A19" s="73" t="s">
        <v>2</v>
      </c>
      <c r="B19" s="73" t="s">
        <v>400</v>
      </c>
      <c r="C19" s="73"/>
      <c r="D19" s="73">
        <v>0.3</v>
      </c>
      <c r="E19" s="73"/>
      <c r="F19" s="73"/>
      <c r="K19" s="5" t="s">
        <v>7</v>
      </c>
      <c r="L19" s="50">
        <v>0.3</v>
      </c>
      <c r="Q19" s="5" t="s">
        <v>7</v>
      </c>
      <c r="R19" s="48">
        <v>0.3</v>
      </c>
      <c r="S19" s="45"/>
      <c r="T19" s="45"/>
    </row>
    <row r="20" spans="1:20" x14ac:dyDescent="0.3">
      <c r="A20" s="73" t="s">
        <v>2</v>
      </c>
      <c r="B20" s="73" t="s">
        <v>406</v>
      </c>
      <c r="C20" s="73"/>
      <c r="D20" s="73">
        <v>0.3</v>
      </c>
      <c r="E20" s="73"/>
      <c r="F20" s="73"/>
      <c r="K20" s="5" t="s">
        <v>42</v>
      </c>
      <c r="L20" s="50">
        <v>0.3</v>
      </c>
      <c r="Q20" s="5" t="s">
        <v>29</v>
      </c>
      <c r="R20" s="48">
        <v>0.3</v>
      </c>
      <c r="S20" s="45"/>
      <c r="T20" s="45"/>
    </row>
    <row r="21" spans="1:20" x14ac:dyDescent="0.3">
      <c r="A21" s="73" t="s">
        <v>2</v>
      </c>
      <c r="B21" s="73" t="s">
        <v>411</v>
      </c>
      <c r="C21" s="73"/>
      <c r="D21" s="73">
        <v>0.3</v>
      </c>
      <c r="E21" s="73"/>
      <c r="F21" s="73"/>
      <c r="K21" s="5" t="s">
        <v>43</v>
      </c>
      <c r="L21" s="50">
        <v>0.3</v>
      </c>
      <c r="Q21" s="5" t="s">
        <v>42</v>
      </c>
      <c r="R21" s="48">
        <v>0.15</v>
      </c>
      <c r="S21" s="45"/>
      <c r="T21" s="45"/>
    </row>
    <row r="22" spans="1:20" x14ac:dyDescent="0.3">
      <c r="A22" s="73" t="s">
        <v>2</v>
      </c>
      <c r="B22" s="73" t="s">
        <v>417</v>
      </c>
      <c r="C22" s="73"/>
      <c r="D22" s="73">
        <v>0.3</v>
      </c>
      <c r="E22" s="73"/>
      <c r="F22" s="73"/>
      <c r="K22" s="5" t="s">
        <v>35</v>
      </c>
      <c r="L22" s="50">
        <v>0.3</v>
      </c>
      <c r="Q22" s="5" t="s">
        <v>35</v>
      </c>
      <c r="R22" s="48">
        <v>0.3</v>
      </c>
      <c r="S22" s="45"/>
      <c r="T22" s="45"/>
    </row>
    <row r="23" spans="1:20" ht="15" thickBot="1" x14ac:dyDescent="0.35">
      <c r="A23" s="73" t="s">
        <v>93</v>
      </c>
      <c r="B23" s="73" t="s">
        <v>8</v>
      </c>
      <c r="C23" s="73"/>
      <c r="D23" s="73">
        <f>IF(BoundPortfolio!$A$2=1,Guidelines!L2,Guidelines!R2)</f>
        <v>0.05</v>
      </c>
      <c r="E23" s="73"/>
      <c r="F23" s="73"/>
      <c r="K23" s="6" t="s">
        <v>29</v>
      </c>
      <c r="L23" s="57">
        <v>0.3</v>
      </c>
      <c r="M23" s="45"/>
      <c r="N23" s="45"/>
      <c r="Q23" s="6" t="s">
        <v>43</v>
      </c>
      <c r="R23" s="53">
        <v>0.3</v>
      </c>
      <c r="S23" s="45"/>
      <c r="T23" s="58"/>
    </row>
    <row r="24" spans="1:20" ht="15" thickBot="1" x14ac:dyDescent="0.35">
      <c r="A24" s="73" t="s">
        <v>93</v>
      </c>
      <c r="B24" s="73" t="s">
        <v>41</v>
      </c>
      <c r="C24" s="73"/>
      <c r="D24" s="73">
        <f>IF(BoundPortfolio!$A$2=1,Guidelines!L3,Guidelines!R3)</f>
        <v>2.5000000000000001E-2</v>
      </c>
      <c r="E24" s="73"/>
      <c r="F24" s="73"/>
      <c r="L24" s="45"/>
      <c r="M24" s="45"/>
      <c r="N24" s="45"/>
      <c r="R24" s="45"/>
      <c r="S24" s="45"/>
      <c r="T24" s="45"/>
    </row>
    <row r="25" spans="1:20" x14ac:dyDescent="0.3">
      <c r="A25" s="73" t="s">
        <v>93</v>
      </c>
      <c r="B25" s="73" t="s">
        <v>7</v>
      </c>
      <c r="C25" s="73"/>
      <c r="D25" s="73">
        <f>IF(BoundPortfolio!$A$2=1,Guidelines!L4,Guidelines!R4)</f>
        <v>0.4</v>
      </c>
      <c r="E25" s="73"/>
      <c r="F25" s="73"/>
      <c r="K25" s="18"/>
      <c r="L25" s="42" t="s">
        <v>197</v>
      </c>
      <c r="M25" s="43" t="s">
        <v>198</v>
      </c>
      <c r="N25" s="58"/>
      <c r="Q25" s="18"/>
      <c r="R25" s="42" t="s">
        <v>197</v>
      </c>
      <c r="S25" s="43" t="s">
        <v>198</v>
      </c>
      <c r="T25" s="45"/>
    </row>
    <row r="26" spans="1:20" ht="15" thickBot="1" x14ac:dyDescent="0.35">
      <c r="A26" s="73" t="s">
        <v>93</v>
      </c>
      <c r="B26" s="73" t="s">
        <v>43</v>
      </c>
      <c r="C26" s="73"/>
      <c r="D26" s="73">
        <f>IF(BoundPortfolio!$A$2=1,Guidelines!L5,Guidelines!R5)</f>
        <v>0.4</v>
      </c>
      <c r="E26" s="73"/>
      <c r="F26" s="73"/>
      <c r="K26" s="5"/>
      <c r="L26" s="58" t="s">
        <v>199</v>
      </c>
      <c r="M26" s="59" t="s">
        <v>200</v>
      </c>
      <c r="N26" s="58"/>
      <c r="Q26" s="60" t="s">
        <v>201</v>
      </c>
      <c r="R26" s="58" t="s">
        <v>199</v>
      </c>
      <c r="S26" s="59" t="s">
        <v>200</v>
      </c>
      <c r="T26" s="58"/>
    </row>
    <row r="27" spans="1:20" x14ac:dyDescent="0.3">
      <c r="A27" s="73" t="s">
        <v>93</v>
      </c>
      <c r="B27" s="73" t="s">
        <v>42</v>
      </c>
      <c r="C27" s="73"/>
      <c r="D27" s="73">
        <f>IF(BoundPortfolio!$A$2=1,Guidelines!L6,Guidelines!R6)</f>
        <v>0.05</v>
      </c>
      <c r="E27" s="73"/>
      <c r="F27" s="73"/>
      <c r="K27" s="61" t="s">
        <v>13</v>
      </c>
      <c r="L27" s="62">
        <v>0.35</v>
      </c>
      <c r="M27" s="63">
        <v>0.5</v>
      </c>
      <c r="N27" s="64"/>
      <c r="Q27" s="61" t="s">
        <v>13</v>
      </c>
      <c r="R27" s="62">
        <v>0.45</v>
      </c>
      <c r="S27" s="63">
        <v>0.75</v>
      </c>
      <c r="T27" s="64"/>
    </row>
    <row r="28" spans="1:20" x14ac:dyDescent="0.3">
      <c r="A28" s="73" t="s">
        <v>93</v>
      </c>
      <c r="B28" s="73" t="s">
        <v>29</v>
      </c>
      <c r="C28" s="73"/>
      <c r="D28" s="73">
        <f>IF(BoundPortfolio!$A$2=1,Guidelines!L7,Guidelines!R7)</f>
        <v>0.1</v>
      </c>
      <c r="E28" s="73"/>
      <c r="F28" s="73"/>
      <c r="K28" s="65" t="s">
        <v>16</v>
      </c>
      <c r="L28" s="66">
        <v>0.3</v>
      </c>
      <c r="M28" s="67">
        <v>0.5</v>
      </c>
      <c r="N28" s="64"/>
      <c r="Q28" s="65" t="s">
        <v>16</v>
      </c>
      <c r="R28" s="66">
        <v>0.4</v>
      </c>
      <c r="S28" s="67">
        <v>0.65</v>
      </c>
      <c r="T28" s="64"/>
    </row>
    <row r="29" spans="1:20" x14ac:dyDescent="0.3">
      <c r="A29" s="73" t="s">
        <v>93</v>
      </c>
      <c r="B29" s="73" t="s">
        <v>40</v>
      </c>
      <c r="C29" s="73"/>
      <c r="D29" s="73">
        <f>IF(BoundPortfolio!$A$2=1,Guidelines!L8,Guidelines!R8)</f>
        <v>0.1</v>
      </c>
      <c r="E29" s="73"/>
      <c r="F29" s="73"/>
      <c r="K29" s="65" t="s">
        <v>12</v>
      </c>
      <c r="L29" s="66">
        <v>0.3</v>
      </c>
      <c r="M29" s="67">
        <v>0.5</v>
      </c>
      <c r="N29" s="64"/>
      <c r="Q29" s="65" t="s">
        <v>12</v>
      </c>
      <c r="R29" s="66">
        <v>0.4</v>
      </c>
      <c r="S29" s="67">
        <v>0.65</v>
      </c>
      <c r="T29" s="64"/>
    </row>
    <row r="30" spans="1:20" x14ac:dyDescent="0.3">
      <c r="A30" s="73" t="s">
        <v>93</v>
      </c>
      <c r="B30" s="73" t="s">
        <v>32</v>
      </c>
      <c r="C30" s="73"/>
      <c r="D30" s="73">
        <f>IF(BoundPortfolio!$A$2=1,Guidelines!L9,Guidelines!R9)</f>
        <v>0</v>
      </c>
      <c r="E30" s="73"/>
      <c r="F30" s="73"/>
      <c r="K30" s="65" t="s">
        <v>18</v>
      </c>
      <c r="L30" s="66">
        <v>0.3</v>
      </c>
      <c r="M30" s="67">
        <v>0.5</v>
      </c>
      <c r="N30" s="64"/>
      <c r="Q30" s="65" t="s">
        <v>18</v>
      </c>
      <c r="R30" s="66">
        <v>0.3</v>
      </c>
      <c r="S30" s="67">
        <v>0.5</v>
      </c>
      <c r="T30" s="64"/>
    </row>
    <row r="31" spans="1:20" x14ac:dyDescent="0.3">
      <c r="A31" s="73" t="s">
        <v>84</v>
      </c>
      <c r="B31" s="73" t="s">
        <v>13</v>
      </c>
      <c r="C31" s="73"/>
      <c r="D31" s="73">
        <f>IF(BoundPortfolio!$A$2=1,Guidelines!L27,Guidelines!R27)</f>
        <v>0.35</v>
      </c>
      <c r="E31" s="73" t="s">
        <v>87</v>
      </c>
      <c r="F31" s="73">
        <v>100</v>
      </c>
      <c r="K31" s="65" t="s">
        <v>19</v>
      </c>
      <c r="L31" s="66">
        <v>0.3</v>
      </c>
      <c r="M31" s="67">
        <v>0.5</v>
      </c>
      <c r="N31" s="64"/>
      <c r="Q31" s="65" t="s">
        <v>19</v>
      </c>
      <c r="R31" s="66">
        <v>0.45</v>
      </c>
      <c r="S31" s="67">
        <v>0.65</v>
      </c>
      <c r="T31" s="64"/>
    </row>
    <row r="32" spans="1:20" ht="15" thickBot="1" x14ac:dyDescent="0.35">
      <c r="A32" s="5" t="s">
        <v>84</v>
      </c>
      <c r="B32" t="s">
        <v>16</v>
      </c>
      <c r="D32">
        <v>0.15</v>
      </c>
      <c r="E32" t="s">
        <v>87</v>
      </c>
      <c r="F32" s="11">
        <v>100</v>
      </c>
      <c r="K32" s="65" t="s">
        <v>17</v>
      </c>
      <c r="L32" s="66">
        <v>0.3</v>
      </c>
      <c r="M32" s="67">
        <v>0.5</v>
      </c>
      <c r="N32" s="64"/>
      <c r="Q32" s="65" t="s">
        <v>17</v>
      </c>
      <c r="R32" s="66">
        <v>0.4</v>
      </c>
      <c r="S32" s="67">
        <v>0.65</v>
      </c>
      <c r="T32" s="64"/>
    </row>
    <row r="33" spans="1:20" x14ac:dyDescent="0.3">
      <c r="A33" s="5" t="s">
        <v>84</v>
      </c>
      <c r="B33" t="s">
        <v>12</v>
      </c>
      <c r="D33">
        <v>0.15</v>
      </c>
      <c r="E33" t="s">
        <v>87</v>
      </c>
      <c r="F33" s="11">
        <v>100</v>
      </c>
      <c r="K33" s="61" t="s">
        <v>15</v>
      </c>
      <c r="L33" s="66">
        <v>0.2</v>
      </c>
      <c r="M33" s="67">
        <v>0.35</v>
      </c>
      <c r="N33" s="64"/>
      <c r="Q33" s="61" t="s">
        <v>15</v>
      </c>
      <c r="R33" s="66">
        <v>0.3</v>
      </c>
      <c r="S33" s="67">
        <v>0.5</v>
      </c>
      <c r="T33" s="64"/>
    </row>
    <row r="34" spans="1:20" x14ac:dyDescent="0.3">
      <c r="A34" s="5" t="s">
        <v>84</v>
      </c>
      <c r="B34" t="s">
        <v>18</v>
      </c>
      <c r="D34">
        <v>0.15</v>
      </c>
      <c r="E34" t="s">
        <v>87</v>
      </c>
      <c r="F34" s="11">
        <v>100</v>
      </c>
      <c r="K34" s="65" t="s">
        <v>14</v>
      </c>
      <c r="L34" s="66">
        <v>0.2</v>
      </c>
      <c r="M34" s="67">
        <v>0.3</v>
      </c>
      <c r="N34" s="64"/>
      <c r="Q34" s="65" t="s">
        <v>14</v>
      </c>
      <c r="R34" s="66">
        <v>0.3</v>
      </c>
      <c r="S34" s="67">
        <v>0.45</v>
      </c>
      <c r="T34" s="64"/>
    </row>
    <row r="35" spans="1:20" x14ac:dyDescent="0.3">
      <c r="A35" s="5" t="s">
        <v>84</v>
      </c>
      <c r="B35" t="s">
        <v>19</v>
      </c>
      <c r="D35">
        <v>0.15</v>
      </c>
      <c r="E35" t="s">
        <v>87</v>
      </c>
      <c r="F35" s="11">
        <v>100</v>
      </c>
      <c r="K35" s="5" t="s">
        <v>36</v>
      </c>
      <c r="L35" s="66">
        <v>0.3</v>
      </c>
      <c r="M35" s="67">
        <v>0.5</v>
      </c>
      <c r="N35" s="64"/>
      <c r="Q35" s="5" t="s">
        <v>36</v>
      </c>
      <c r="R35" s="66">
        <v>0.45</v>
      </c>
      <c r="S35" s="67">
        <v>0.65</v>
      </c>
      <c r="T35" s="64"/>
    </row>
    <row r="36" spans="1:20" x14ac:dyDescent="0.3">
      <c r="A36" s="5" t="s">
        <v>84</v>
      </c>
      <c r="B36" t="s">
        <v>17</v>
      </c>
      <c r="D36">
        <v>0.15</v>
      </c>
      <c r="E36" t="s">
        <v>87</v>
      </c>
      <c r="F36" s="11">
        <v>100</v>
      </c>
      <c r="K36" s="5" t="s">
        <v>37</v>
      </c>
      <c r="L36" s="66">
        <v>0.2</v>
      </c>
      <c r="M36" s="67">
        <v>0.3</v>
      </c>
      <c r="N36" s="64"/>
      <c r="Q36" s="5" t="s">
        <v>37</v>
      </c>
      <c r="R36" s="66">
        <v>0.3</v>
      </c>
      <c r="S36" s="67">
        <v>0.45</v>
      </c>
      <c r="T36" s="64"/>
    </row>
    <row r="37" spans="1:20" x14ac:dyDescent="0.3">
      <c r="A37" s="5" t="s">
        <v>84</v>
      </c>
      <c r="B37" t="s">
        <v>15</v>
      </c>
      <c r="D37">
        <v>0.15</v>
      </c>
      <c r="E37" t="s">
        <v>87</v>
      </c>
      <c r="F37" s="11">
        <v>100</v>
      </c>
      <c r="K37" s="65" t="s">
        <v>9</v>
      </c>
      <c r="L37" s="66">
        <v>0.15</v>
      </c>
      <c r="M37" s="67">
        <v>0.25</v>
      </c>
      <c r="N37" s="64"/>
      <c r="Q37" s="65" t="s">
        <v>9</v>
      </c>
      <c r="R37" s="66">
        <v>0.2</v>
      </c>
      <c r="S37" s="67">
        <v>0.35</v>
      </c>
      <c r="T37" s="64"/>
    </row>
    <row r="38" spans="1:20" x14ac:dyDescent="0.3">
      <c r="A38" s="5" t="s">
        <v>84</v>
      </c>
      <c r="B38" t="s">
        <v>14</v>
      </c>
      <c r="D38">
        <v>0.15</v>
      </c>
      <c r="E38" t="s">
        <v>87</v>
      </c>
      <c r="F38" s="11">
        <v>100</v>
      </c>
      <c r="K38" s="65" t="s">
        <v>10</v>
      </c>
      <c r="L38" s="66">
        <v>0.15</v>
      </c>
      <c r="M38" s="67">
        <v>0.25</v>
      </c>
      <c r="N38" s="64"/>
      <c r="Q38" s="65" t="s">
        <v>10</v>
      </c>
      <c r="R38" s="66">
        <v>0.2</v>
      </c>
      <c r="S38" s="67">
        <v>0.35</v>
      </c>
      <c r="T38" s="64"/>
    </row>
    <row r="39" spans="1:20" x14ac:dyDescent="0.3">
      <c r="A39" s="5" t="s">
        <v>84</v>
      </c>
      <c r="B39" t="s">
        <v>36</v>
      </c>
      <c r="D39">
        <v>0.15</v>
      </c>
      <c r="E39" t="s">
        <v>87</v>
      </c>
      <c r="F39" s="11">
        <v>100</v>
      </c>
      <c r="K39" s="65" t="s">
        <v>11</v>
      </c>
      <c r="L39" s="66">
        <v>0.15</v>
      </c>
      <c r="M39" s="67">
        <v>0.25</v>
      </c>
      <c r="N39" s="64"/>
      <c r="Q39" s="65" t="s">
        <v>11</v>
      </c>
      <c r="R39" s="66">
        <v>0.2</v>
      </c>
      <c r="S39" s="67">
        <v>0.35</v>
      </c>
      <c r="T39" s="64"/>
    </row>
    <row r="40" spans="1:20" ht="15" thickBot="1" x14ac:dyDescent="0.35">
      <c r="A40" s="5" t="s">
        <v>84</v>
      </c>
      <c r="B40" t="s">
        <v>37</v>
      </c>
      <c r="D40">
        <v>0.15</v>
      </c>
      <c r="E40" t="s">
        <v>87</v>
      </c>
      <c r="F40" s="11">
        <v>100</v>
      </c>
      <c r="K40" s="6" t="s">
        <v>38</v>
      </c>
      <c r="L40" s="68">
        <v>0.15</v>
      </c>
      <c r="M40" s="69">
        <v>0.25</v>
      </c>
      <c r="N40" s="64"/>
      <c r="Q40" s="6" t="s">
        <v>38</v>
      </c>
      <c r="R40" s="68">
        <v>0.2</v>
      </c>
      <c r="S40" s="69">
        <v>0.35</v>
      </c>
      <c r="T40" s="64"/>
    </row>
    <row r="41" spans="1:20" x14ac:dyDescent="0.3">
      <c r="A41" s="5" t="s">
        <v>84</v>
      </c>
      <c r="B41" t="s">
        <v>9</v>
      </c>
      <c r="D41">
        <v>0.15</v>
      </c>
      <c r="E41" t="s">
        <v>87</v>
      </c>
      <c r="F41" s="11">
        <v>100</v>
      </c>
    </row>
    <row r="42" spans="1:20" x14ac:dyDescent="0.3">
      <c r="A42" s="5" t="s">
        <v>84</v>
      </c>
      <c r="B42" t="s">
        <v>10</v>
      </c>
      <c r="D42">
        <v>0.15</v>
      </c>
      <c r="E42" t="s">
        <v>87</v>
      </c>
      <c r="F42" s="11">
        <v>100</v>
      </c>
    </row>
    <row r="43" spans="1:20" x14ac:dyDescent="0.3">
      <c r="A43" s="5" t="s">
        <v>84</v>
      </c>
      <c r="B43" t="s">
        <v>11</v>
      </c>
      <c r="D43">
        <v>0.15</v>
      </c>
      <c r="E43" t="s">
        <v>87</v>
      </c>
      <c r="F43" s="11">
        <v>100</v>
      </c>
    </row>
    <row r="44" spans="1:20" x14ac:dyDescent="0.3">
      <c r="A44" s="5" t="s">
        <v>84</v>
      </c>
      <c r="B44" t="s">
        <v>38</v>
      </c>
      <c r="D44">
        <v>0.15</v>
      </c>
      <c r="E44" t="s">
        <v>87</v>
      </c>
      <c r="F44" s="11">
        <v>100</v>
      </c>
    </row>
    <row r="45" spans="1:20" x14ac:dyDescent="0.3">
      <c r="A45" s="5" t="s">
        <v>84</v>
      </c>
      <c r="B45" t="s">
        <v>13</v>
      </c>
      <c r="D45">
        <v>0.2</v>
      </c>
      <c r="E45" t="s">
        <v>88</v>
      </c>
      <c r="F45" s="11">
        <v>500</v>
      </c>
    </row>
    <row r="46" spans="1:20" x14ac:dyDescent="0.3">
      <c r="A46" s="5" t="s">
        <v>84</v>
      </c>
      <c r="B46" t="s">
        <v>16</v>
      </c>
      <c r="D46">
        <v>0.2</v>
      </c>
      <c r="E46" t="s">
        <v>88</v>
      </c>
      <c r="F46" s="11">
        <v>500</v>
      </c>
    </row>
    <row r="47" spans="1:20" x14ac:dyDescent="0.3">
      <c r="A47" s="5" t="s">
        <v>84</v>
      </c>
      <c r="B47" t="s">
        <v>12</v>
      </c>
      <c r="D47">
        <v>0.2</v>
      </c>
      <c r="E47" t="s">
        <v>88</v>
      </c>
      <c r="F47" s="11">
        <v>500</v>
      </c>
    </row>
    <row r="48" spans="1:20" x14ac:dyDescent="0.3">
      <c r="A48" s="5" t="s">
        <v>84</v>
      </c>
      <c r="B48" t="s">
        <v>18</v>
      </c>
      <c r="D48">
        <v>0.2</v>
      </c>
      <c r="E48" t="s">
        <v>88</v>
      </c>
      <c r="F48" s="11">
        <v>500</v>
      </c>
    </row>
    <row r="49" spans="1:6" x14ac:dyDescent="0.3">
      <c r="A49" s="5" t="s">
        <v>84</v>
      </c>
      <c r="B49" t="s">
        <v>19</v>
      </c>
      <c r="D49">
        <v>0.2</v>
      </c>
      <c r="E49" t="s">
        <v>88</v>
      </c>
      <c r="F49" s="11">
        <v>500</v>
      </c>
    </row>
    <row r="50" spans="1:6" x14ac:dyDescent="0.3">
      <c r="A50" s="5" t="s">
        <v>84</v>
      </c>
      <c r="B50" t="s">
        <v>17</v>
      </c>
      <c r="D50">
        <v>0.2</v>
      </c>
      <c r="E50" t="s">
        <v>88</v>
      </c>
      <c r="F50" s="11">
        <v>500</v>
      </c>
    </row>
    <row r="51" spans="1:6" x14ac:dyDescent="0.3">
      <c r="A51" s="5" t="s">
        <v>84</v>
      </c>
      <c r="B51" t="s">
        <v>15</v>
      </c>
      <c r="D51">
        <v>0.2</v>
      </c>
      <c r="E51" t="s">
        <v>88</v>
      </c>
      <c r="F51" s="11">
        <v>500</v>
      </c>
    </row>
    <row r="52" spans="1:6" x14ac:dyDescent="0.3">
      <c r="A52" s="5" t="s">
        <v>84</v>
      </c>
      <c r="B52" t="s">
        <v>14</v>
      </c>
      <c r="D52">
        <v>0.2</v>
      </c>
      <c r="E52" t="s">
        <v>88</v>
      </c>
      <c r="F52" s="11">
        <v>500</v>
      </c>
    </row>
    <row r="53" spans="1:6" x14ac:dyDescent="0.3">
      <c r="A53" s="5" t="s">
        <v>84</v>
      </c>
      <c r="B53" t="s">
        <v>36</v>
      </c>
      <c r="D53">
        <v>0.2</v>
      </c>
      <c r="E53" t="s">
        <v>88</v>
      </c>
      <c r="F53" s="11">
        <v>500</v>
      </c>
    </row>
    <row r="54" spans="1:6" x14ac:dyDescent="0.3">
      <c r="A54" s="5" t="s">
        <v>84</v>
      </c>
      <c r="B54" t="s">
        <v>37</v>
      </c>
      <c r="D54">
        <v>0.2</v>
      </c>
      <c r="E54" t="s">
        <v>88</v>
      </c>
      <c r="F54" s="11">
        <v>500</v>
      </c>
    </row>
    <row r="55" spans="1:6" x14ac:dyDescent="0.3">
      <c r="A55" s="5" t="s">
        <v>84</v>
      </c>
      <c r="B55" t="s">
        <v>9</v>
      </c>
      <c r="D55">
        <v>0.2</v>
      </c>
      <c r="E55" t="s">
        <v>88</v>
      </c>
      <c r="F55" s="11">
        <v>500</v>
      </c>
    </row>
    <row r="56" spans="1:6" x14ac:dyDescent="0.3">
      <c r="A56" s="5" t="s">
        <v>84</v>
      </c>
      <c r="B56" t="s">
        <v>10</v>
      </c>
      <c r="D56">
        <v>0.2</v>
      </c>
      <c r="E56" t="s">
        <v>88</v>
      </c>
      <c r="F56" s="11">
        <v>500</v>
      </c>
    </row>
    <row r="57" spans="1:6" x14ac:dyDescent="0.3">
      <c r="A57" s="5" t="s">
        <v>84</v>
      </c>
      <c r="B57" t="s">
        <v>11</v>
      </c>
      <c r="D57">
        <v>0.2</v>
      </c>
      <c r="E57" t="s">
        <v>88</v>
      </c>
      <c r="F57" s="11">
        <v>500</v>
      </c>
    </row>
    <row r="58" spans="1:6" x14ac:dyDescent="0.3">
      <c r="A58" s="5" t="s">
        <v>84</v>
      </c>
      <c r="B58" t="s">
        <v>38</v>
      </c>
      <c r="D58">
        <v>0.2</v>
      </c>
      <c r="E58" t="s">
        <v>88</v>
      </c>
      <c r="F58" s="11">
        <v>500</v>
      </c>
    </row>
    <row r="59" spans="1:6" x14ac:dyDescent="0.3">
      <c r="A59" s="5" t="s">
        <v>84</v>
      </c>
      <c r="B59" t="s">
        <v>241</v>
      </c>
      <c r="D59">
        <v>0.4</v>
      </c>
      <c r="E59" t="s">
        <v>87</v>
      </c>
      <c r="F59" s="11">
        <v>100</v>
      </c>
    </row>
    <row r="60" spans="1:6" x14ac:dyDescent="0.3">
      <c r="A60" s="5" t="s">
        <v>84</v>
      </c>
      <c r="B60" t="s">
        <v>241</v>
      </c>
      <c r="D60">
        <v>0.65</v>
      </c>
      <c r="E60" t="s">
        <v>88</v>
      </c>
      <c r="F60" s="11">
        <v>500</v>
      </c>
    </row>
    <row r="61" spans="1:6" x14ac:dyDescent="0.3">
      <c r="A61" s="5" t="s">
        <v>84</v>
      </c>
      <c r="B61" t="s">
        <v>242</v>
      </c>
      <c r="D61">
        <v>0.65</v>
      </c>
      <c r="E61" t="s">
        <v>88</v>
      </c>
      <c r="F61" s="11">
        <v>500</v>
      </c>
    </row>
    <row r="62" spans="1:6" x14ac:dyDescent="0.3">
      <c r="A62" s="5" t="s">
        <v>84</v>
      </c>
      <c r="B62" t="s">
        <v>242</v>
      </c>
      <c r="D62">
        <v>0.4</v>
      </c>
      <c r="E62" t="s">
        <v>87</v>
      </c>
      <c r="F62" s="11">
        <v>100</v>
      </c>
    </row>
    <row r="63" spans="1:6" x14ac:dyDescent="0.3">
      <c r="A63" s="5" t="s">
        <v>84</v>
      </c>
      <c r="B63" t="s">
        <v>243</v>
      </c>
      <c r="D63">
        <v>0.4</v>
      </c>
      <c r="E63" t="s">
        <v>87</v>
      </c>
      <c r="F63" s="11">
        <v>100</v>
      </c>
    </row>
    <row r="64" spans="1:6" x14ac:dyDescent="0.3">
      <c r="A64" s="5" t="s">
        <v>84</v>
      </c>
      <c r="B64" t="s">
        <v>243</v>
      </c>
      <c r="D64">
        <v>0.65</v>
      </c>
      <c r="E64" t="s">
        <v>88</v>
      </c>
      <c r="F64" s="11">
        <v>500</v>
      </c>
    </row>
    <row r="65" spans="1:6" x14ac:dyDescent="0.3">
      <c r="A65" s="5" t="s">
        <v>84</v>
      </c>
      <c r="B65" t="s">
        <v>244</v>
      </c>
      <c r="D65">
        <v>0.65</v>
      </c>
      <c r="E65" t="s">
        <v>88</v>
      </c>
      <c r="F65" s="11">
        <v>500</v>
      </c>
    </row>
    <row r="66" spans="1:6" x14ac:dyDescent="0.3">
      <c r="A66" s="5" t="s">
        <v>84</v>
      </c>
      <c r="B66" t="s">
        <v>244</v>
      </c>
      <c r="D66">
        <v>0.4</v>
      </c>
      <c r="E66" t="s">
        <v>87</v>
      </c>
      <c r="F66" s="11">
        <v>100</v>
      </c>
    </row>
    <row r="67" spans="1:6" x14ac:dyDescent="0.3">
      <c r="A67" s="5" t="s">
        <v>84</v>
      </c>
      <c r="B67" t="s">
        <v>245</v>
      </c>
      <c r="D67">
        <v>0.3</v>
      </c>
      <c r="E67" t="s">
        <v>87</v>
      </c>
      <c r="F67" s="11">
        <v>100</v>
      </c>
    </row>
    <row r="68" spans="1:6" x14ac:dyDescent="0.3">
      <c r="A68" s="5" t="s">
        <v>84</v>
      </c>
      <c r="B68" t="s">
        <v>245</v>
      </c>
      <c r="D68">
        <v>0.45</v>
      </c>
      <c r="E68" t="s">
        <v>88</v>
      </c>
      <c r="F68" s="11">
        <v>500</v>
      </c>
    </row>
    <row r="69" spans="1:6" x14ac:dyDescent="0.3">
      <c r="A69" s="5" t="s">
        <v>84</v>
      </c>
      <c r="B69" t="s">
        <v>246</v>
      </c>
      <c r="D69">
        <v>0.45</v>
      </c>
      <c r="E69" t="s">
        <v>88</v>
      </c>
      <c r="F69" s="11">
        <v>500</v>
      </c>
    </row>
    <row r="70" spans="1:6" x14ac:dyDescent="0.3">
      <c r="A70" s="5" t="s">
        <v>84</v>
      </c>
      <c r="B70" t="s">
        <v>246</v>
      </c>
      <c r="D70">
        <v>0.3</v>
      </c>
      <c r="E70" t="s">
        <v>87</v>
      </c>
      <c r="F70" s="11">
        <v>100</v>
      </c>
    </row>
    <row r="71" spans="1:6" x14ac:dyDescent="0.3">
      <c r="A71" s="5" t="s">
        <v>84</v>
      </c>
      <c r="B71" t="s">
        <v>247</v>
      </c>
      <c r="D71">
        <v>0.3</v>
      </c>
      <c r="E71" t="s">
        <v>87</v>
      </c>
      <c r="F71" s="11">
        <v>100</v>
      </c>
    </row>
    <row r="72" spans="1:6" x14ac:dyDescent="0.3">
      <c r="A72" s="5" t="s">
        <v>84</v>
      </c>
      <c r="B72" t="s">
        <v>247</v>
      </c>
      <c r="D72">
        <v>0.45</v>
      </c>
      <c r="E72" t="s">
        <v>88</v>
      </c>
      <c r="F72" s="11">
        <v>500</v>
      </c>
    </row>
    <row r="73" spans="1:6" x14ac:dyDescent="0.3">
      <c r="A73" s="5" t="s">
        <v>84</v>
      </c>
      <c r="B73" t="s">
        <v>248</v>
      </c>
      <c r="D73">
        <v>0.3</v>
      </c>
      <c r="E73" t="s">
        <v>87</v>
      </c>
      <c r="F73" s="11">
        <v>100</v>
      </c>
    </row>
    <row r="74" spans="1:6" x14ac:dyDescent="0.3">
      <c r="A74" s="5" t="s">
        <v>84</v>
      </c>
      <c r="B74" t="s">
        <v>249</v>
      </c>
      <c r="D74">
        <v>0.2</v>
      </c>
      <c r="E74" t="s">
        <v>87</v>
      </c>
      <c r="F74" s="11">
        <v>100</v>
      </c>
    </row>
    <row r="75" spans="1:6" x14ac:dyDescent="0.3">
      <c r="A75" s="5" t="s">
        <v>84</v>
      </c>
      <c r="B75" t="s">
        <v>250</v>
      </c>
      <c r="D75">
        <v>0.2</v>
      </c>
      <c r="E75" t="s">
        <v>87</v>
      </c>
      <c r="F75" s="11">
        <v>100</v>
      </c>
    </row>
    <row r="76" spans="1:6" x14ac:dyDescent="0.3">
      <c r="A76" s="5" t="s">
        <v>84</v>
      </c>
      <c r="B76" t="s">
        <v>251</v>
      </c>
      <c r="D76">
        <v>0.2</v>
      </c>
      <c r="E76" t="s">
        <v>87</v>
      </c>
      <c r="F76" s="11">
        <v>100</v>
      </c>
    </row>
    <row r="77" spans="1:6" x14ac:dyDescent="0.3">
      <c r="A77" s="5" t="s">
        <v>84</v>
      </c>
      <c r="B77" t="s">
        <v>252</v>
      </c>
      <c r="D77">
        <v>0.2</v>
      </c>
      <c r="E77" t="s">
        <v>87</v>
      </c>
      <c r="F77" s="11">
        <v>100</v>
      </c>
    </row>
    <row r="78" spans="1:6" x14ac:dyDescent="0.3">
      <c r="A78" s="5" t="s">
        <v>84</v>
      </c>
      <c r="B78" t="s">
        <v>248</v>
      </c>
      <c r="D78">
        <v>0.45</v>
      </c>
      <c r="E78" t="s">
        <v>88</v>
      </c>
      <c r="F78" s="11">
        <v>500</v>
      </c>
    </row>
    <row r="79" spans="1:6" x14ac:dyDescent="0.3">
      <c r="A79" s="5" t="s">
        <v>84</v>
      </c>
      <c r="B79" t="s">
        <v>249</v>
      </c>
      <c r="D79">
        <v>0.35</v>
      </c>
      <c r="E79" t="s">
        <v>88</v>
      </c>
      <c r="F79" s="11">
        <v>500</v>
      </c>
    </row>
    <row r="80" spans="1:6" x14ac:dyDescent="0.3">
      <c r="A80" s="5" t="s">
        <v>84</v>
      </c>
      <c r="B80" t="s">
        <v>250</v>
      </c>
      <c r="D80">
        <v>0.35</v>
      </c>
      <c r="E80" t="s">
        <v>88</v>
      </c>
      <c r="F80" s="11">
        <v>500</v>
      </c>
    </row>
    <row r="81" spans="1:6" x14ac:dyDescent="0.3">
      <c r="A81" s="5" t="s">
        <v>84</v>
      </c>
      <c r="B81" t="s">
        <v>251</v>
      </c>
      <c r="D81">
        <v>0.35</v>
      </c>
      <c r="E81" t="s">
        <v>88</v>
      </c>
      <c r="F81" s="11">
        <v>500</v>
      </c>
    </row>
    <row r="82" spans="1:6" x14ac:dyDescent="0.3">
      <c r="A82" s="5" t="s">
        <v>84</v>
      </c>
      <c r="B82" t="s">
        <v>252</v>
      </c>
      <c r="D82">
        <v>0.35</v>
      </c>
      <c r="E82" t="s">
        <v>88</v>
      </c>
      <c r="F82" s="11">
        <v>500</v>
      </c>
    </row>
    <row r="83" spans="1:6" x14ac:dyDescent="0.3">
      <c r="A83" s="5" t="s">
        <v>84</v>
      </c>
      <c r="B83" t="s">
        <v>253</v>
      </c>
      <c r="D83">
        <v>0.45</v>
      </c>
      <c r="E83" t="s">
        <v>87</v>
      </c>
      <c r="F83" s="11">
        <v>100</v>
      </c>
    </row>
    <row r="84" spans="1:6" x14ac:dyDescent="0.3">
      <c r="A84" s="5" t="s">
        <v>84</v>
      </c>
      <c r="B84" t="s">
        <v>253</v>
      </c>
      <c r="D84">
        <v>0.45</v>
      </c>
      <c r="E84" t="s">
        <v>88</v>
      </c>
      <c r="F84" s="11">
        <v>500</v>
      </c>
    </row>
    <row r="85" spans="1:6" x14ac:dyDescent="0.3">
      <c r="A85" s="5" t="s">
        <v>204</v>
      </c>
      <c r="B85" t="s">
        <v>8</v>
      </c>
      <c r="D85">
        <v>0.5</v>
      </c>
      <c r="F85" s="11"/>
    </row>
    <row r="86" spans="1:6" x14ac:dyDescent="0.3">
      <c r="A86" s="5" t="s">
        <v>204</v>
      </c>
      <c r="B86" t="s">
        <v>41</v>
      </c>
      <c r="D86">
        <v>0.3</v>
      </c>
      <c r="F86" s="11"/>
    </row>
    <row r="87" spans="1:6" x14ac:dyDescent="0.3">
      <c r="A87" s="5" t="s">
        <v>204</v>
      </c>
      <c r="B87" t="s">
        <v>7</v>
      </c>
      <c r="D87">
        <v>0.7</v>
      </c>
      <c r="F87" s="11"/>
    </row>
    <row r="88" spans="1:6" x14ac:dyDescent="0.3">
      <c r="A88" s="5" t="s">
        <v>204</v>
      </c>
      <c r="B88" t="s">
        <v>43</v>
      </c>
      <c r="D88">
        <v>0.7</v>
      </c>
      <c r="F88" s="11"/>
    </row>
    <row r="89" spans="1:6" x14ac:dyDescent="0.3">
      <c r="A89" s="5" t="s">
        <v>204</v>
      </c>
      <c r="B89" t="s">
        <v>42</v>
      </c>
      <c r="D89">
        <v>0.3</v>
      </c>
      <c r="F89" s="11"/>
    </row>
    <row r="90" spans="1:6" x14ac:dyDescent="0.3">
      <c r="A90" s="5" t="s">
        <v>204</v>
      </c>
      <c r="B90" t="s">
        <v>29</v>
      </c>
      <c r="D90">
        <v>0.75</v>
      </c>
      <c r="F90" s="11"/>
    </row>
    <row r="91" spans="1:6" ht="15" thickBot="1" x14ac:dyDescent="0.35">
      <c r="A91" s="6" t="s">
        <v>204</v>
      </c>
      <c r="B91" s="12" t="s">
        <v>40</v>
      </c>
      <c r="C91" s="12"/>
      <c r="D91" s="12">
        <v>0.15</v>
      </c>
      <c r="E91" s="12"/>
      <c r="F91"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2026-06-30T11:06:51Z</dcterms:modified>
</cp:coreProperties>
</file>