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65302C39-21D5-4B18-8DAD-E780A48BD96D}" xr6:coauthVersionLast="47" xr6:coauthVersionMax="47" xr10:uidLastSave="{00000000-0000-0000-0000-000000000000}"/>
  <bookViews>
    <workbookView xWindow="-108" yWindow="-108" windowWidth="23256" windowHeight="12456" tabRatio="857" activeTab="6"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Belambe, Mandar - Personal View" guid="{C32C0BC3-A762-4E97-BB37-2FAA4746F4FA}" mergeInterval="0" personalView="1" maximized="1" xWindow="-8" yWindow="-8" windowWidth="1382" windowHeight="754" tabRatio="926" activeSheetId="3"/>
    <customWorkbookView name="Manghnani, Vijay - Personal View" guid="{5FFA5C24-F31B-48DC-9A7B-9DABB8F4304A}" mergeInterval="0" personalView="1" maximized="1" xWindow="-8" yWindow="-8" windowWidth="2064" windowHeight="1138" tabRatio="926" activeSheetId="10"/>
    <customWorkbookView name="Mali, Akshaya - Personal View" guid="{D56A7A4B-BFD7-4A85-A4E7-6E1C9DD24B18}" mergeInterval="0" personalView="1" maximized="1" xWindow="-8" yWindow="-8" windowWidth="1382" windowHeight="754" tabRatio="926"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19" i="73" l="1"/>
  <c r="D20" i="73"/>
  <c r="D21" i="73"/>
  <c r="D22" i="73"/>
  <c r="D23" i="73"/>
  <c r="D24" i="73"/>
  <c r="D25" i="73"/>
  <c r="D26" i="73"/>
  <c r="D42" i="73" l="1"/>
  <c r="D43" i="73"/>
  <c r="D44" i="73"/>
  <c r="D45" i="73"/>
  <c r="D46" i="73"/>
  <c r="D47" i="73"/>
  <c r="D48" i="73"/>
  <c r="D49" i="73"/>
  <c r="D50" i="73"/>
  <c r="D51" i="73"/>
  <c r="D52" i="73"/>
  <c r="D53" i="73"/>
  <c r="D54" i="73"/>
  <c r="D41" i="73"/>
  <c r="D28" i="73"/>
  <c r="D29" i="73"/>
  <c r="D30" i="73"/>
  <c r="D31" i="73"/>
  <c r="D32" i="73"/>
  <c r="D33" i="73"/>
  <c r="D34" i="73"/>
  <c r="D35" i="73"/>
  <c r="D36" i="73"/>
  <c r="D37" i="73"/>
  <c r="D38" i="73"/>
  <c r="D39" i="73"/>
  <c r="D40" i="73"/>
  <c r="D27" i="73"/>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<sst xmlns="http://schemas.openxmlformats.org/spreadsheetml/2006/main" count="4088" uniqueCount="1376">
  <si>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</si>
  <si>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</si>
  <si>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</si>
  <si>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</si>
  <si>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</si>
  <si>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</si>
  <si>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</si>
  <si>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</si>
  <si>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</si>
  <si>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</si>
  <si>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</si>
  <si>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</si>
  <si>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</si>
  <si>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</si>
  <si>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</si>
  <si>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</si>
  <si>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</si>
  <si>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</si>
  <si>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</si>
  <si>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</si>
  <si>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</si>
  <si>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</si>
  <si>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</si>
  <si>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</si>
  <si>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</si>
  <si>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</si>
  <si>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</si>
  <si>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</si>
  <si>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</si>
  <si>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</si>
  <si>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</si>
  <si>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</si>
  <si>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</si>
  <si>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</si>
  <si>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</si>
  <si>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</si>
  <si>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</si>
  <si>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</si>
  <si>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</si>
  <si>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</si>
  <si>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</si>
  <si>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</si>
  <si>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</si>
  <si>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</si>
  <si>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</si>
  <si>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</si>
  <si>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</si>
  <si>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</si>
  <si>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</si>
  <si>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</si>
  <si>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</si>
  <si>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</si>
  <si>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</si>
  <si>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</si>
  <si>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</si>
  <si>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</si>
  <si>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</si>
  <si>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</si>
  <si>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</si>
  <si>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</si>
  <si>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</si>
  <si>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</si>
  <si>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</si>
  <si>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</si>
  <si>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</si>
  <si>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</si>
  <si>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</si>
  <si>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</si>
  <si>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</si>
  <si>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</si>
  <si>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</si>
  <si>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</si>
  <si>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</si>
  <si>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</si>
  <si>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</si>
  <si>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</si>
  <si>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</si>
  <si>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</si>
  <si>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</si>
  <si>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</si>
  <si>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</si>
  <si>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</si>
  <si>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</si>
  <si>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</si>
  <si>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</si>
  <si>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</si>
  <si>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</si>
  <si>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</si>
  <si>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</si>
  <si>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</si>
  <si>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</si>
  <si>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</si>
  <si>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</si>
  <si>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</si>
  <si>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</si>
  <si>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</si>
  <si>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</si>
  <si>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</si>
  <si>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</si>
  <si>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</si>
  <si>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</si>
  <si>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</si>
  <si>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</si>
  <si>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</si>
  <si>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</si>
  <si>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</si>
  <si>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</si>
  <si>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</si>
  <si>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</si>
  <si>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</si>
  <si>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</si>
  <si>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</si>
  <si>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</si>
  <si>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</si>
  <si>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</si>
  <si>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</si>
  <si>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</si>
  <si>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</si>
  <si>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</si>
  <si>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</si>
  <si>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</si>
  <si>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</si>
  <si>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</si>
  <si>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</si>
  <si>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</si>
  <si>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</si>
  <si>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</si>
  <si>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</si>
  <si>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</si>
  <si>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</si>
  <si>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</si>
  <si>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</si>
  <si>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</si>
  <si>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</si>
  <si>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</si>
  <si>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</si>
  <si>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</si>
  <si>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</si>
  <si>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</si>
  <si>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</si>
  <si>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</si>
  <si>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</si>
  <si>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</si>
  <si>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</si>
  <si>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</si>
  <si>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</si>
  <si>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</si>
  <si>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</si>
  <si>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</si>
  <si>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</si>
  <si>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</si>
  <si>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</si>
  <si>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</si>
  <si>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</si>
  <si>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</si>
  <si>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</si>
  <si>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</si>
  <si>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</si>
  <si>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</si>
  <si>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</si>
  <si>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</si>
  <si>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</si>
  <si>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</si>
  <si>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</si>
  <si>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</si>
  <si>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</si>
  <si>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</si>
  <si>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</si>
  <si>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</si>
  <si>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</si>
  <si>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</si>
  <si>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</si>
  <si>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</si>
  <si>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</si>
  <si>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</si>
  <si>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</si>
  <si>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</si>
  <si>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</si>
  <si>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</si>
  <si>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</si>
  <si>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</si>
  <si>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</si>
  <si>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</si>
  <si>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</si>
  <si>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</si>
  <si>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</si>
  <si>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</si>
  <si>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</si>
  <si>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</si>
  <si>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</si>
  <si>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</si>
  <si>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</si>
  <si>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</si>
  <si>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</si>
  <si>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</si>
  <si>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</si>
  <si>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</si>
  <si>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</si>
  <si>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</si>
  <si>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</si>
  <si>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</si>
  <si>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</si>
  <si>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</si>
  <si>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</si>
  <si>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</si>
  <si>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</si>
  <si>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</si>
  <si>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</si>
  <si>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</si>
  <si>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</si>
  <si>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</si>
  <si>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</si>
  <si>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</si>
  <si>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</si>
  <si>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</si>
  <si>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</si>
  <si>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</si>
  <si>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</si>
  <si>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</si>
  <si>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</si>
  <si>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</si>
  <si>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</si>
  <si>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</si>
  <si>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</si>
  <si>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</si>
  <si>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</si>
  <si>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</si>
  <si>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</si>
  <si>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</si>
  <si>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</si>
  <si>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</si>
  <si>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</si>
  <si>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</si>
  <si>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</si>
  <si>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</si>
  <si>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</si>
  <si>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</si>
  <si>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</si>
  <si>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</si>
  <si>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</si>
  <si>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</si>
  <si>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</si>
  <si>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</si>
  <si>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</si>
  <si>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</si>
  <si>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</si>
  <si>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</si>
  <si>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</si>
  <si>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</si>
  <si>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</si>
  <si>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</si>
  <si>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</si>
  <si>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</si>
  <si>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</si>
  <si>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</si>
  <si>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</si>
  <si>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</si>
  <si>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</si>
  <si>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</si>
  <si>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</si>
  <si>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</si>
  <si>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</si>
  <si>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</si>
  <si>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</si>
  <si>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</si>
  <si>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</si>
  <si>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</si>
  <si>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</si>
  <si>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</si>
  <si>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</si>
  <si>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</si>
  <si>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</si>
  <si>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</si>
  <si>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</si>
  <si>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</si>
  <si>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</si>
  <si>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</si>
  <si>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</si>
  <si>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</si>
  <si>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</si>
  <si>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</si>
  <si>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</si>
  <si>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</si>
  <si>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</si>
  <si>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</si>
  <si>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</si>
  <si>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</si>
  <si>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</si>
  <si>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</si>
  <si>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</si>
  <si>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</si>
  <si>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</si>
  <si>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</si>
  <si>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</si>
  <si>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</si>
  <si>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</si>
  <si>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</si>
  <si>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</si>
  <si>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</si>
  <si>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</si>
  <si>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</si>
  <si>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</si>
  <si>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</si>
  <si>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</si>
  <si>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</si>
  <si>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</si>
  <si>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</si>
  <si>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</si>
  <si>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</si>
  <si>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</si>
  <si>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</si>
  <si>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</si>
  <si>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</si>
  <si>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</si>
  <si>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</si>
  <si>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</si>
  <si>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</si>
  <si>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</si>
  <si>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</si>
  <si>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</si>
  <si>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</si>
  <si>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</si>
  <si>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</si>
  <si>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</si>
  <si>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</si>
  <si>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</si>
  <si>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</si>
  <si>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</si>
  <si>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</si>
  <si>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</si>
  <si>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</si>
  <si>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</si>
  <si>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</si>
  <si>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</si>
  <si>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</si>
  <si>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</si>
  <si>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</si>
  <si>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</si>
  <si>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</si>
  <si>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</si>
  <si>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</si>
  <si>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</si>
  <si>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</si>
  <si>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</si>
  <si>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</si>
  <si>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</si>
  <si>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</si>
  <si>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</si>
  <si>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</si>
  <si>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</si>
  <si>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</si>
  <si>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</si>
  <si>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</si>
  <si>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</si>
  <si>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</si>
  <si>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</si>
  <si>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</si>
  <si>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</si>
  <si>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</si>
  <si>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</si>
  <si>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</si>
  <si>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</si>
  <si>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</si>
  <si>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</si>
  <si>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</si>
  <si>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</si>
  <si>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</si>
  <si>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</si>
  <si>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</si>
  <si>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</si>
  <si>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</si>
  <si>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</si>
  <si>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</si>
  <si>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</si>
  <si>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</si>
  <si>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</si>
  <si>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</si>
  <si>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</si>
  <si>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</si>
  <si>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</si>
  <si>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</si>
  <si>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</si>
  <si>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</si>
  <si>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</si>
  <si>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</si>
  <si>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</si>
  <si>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</si>
  <si>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</si>
  <si>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</si>
  <si>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</si>
  <si>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</si>
  <si>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</si>
  <si>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</si>
  <si>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</si>
  <si>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</si>
  <si>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</si>
  <si>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</si>
  <si>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</si>
  <si>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</si>
  <si>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</si>
  <si>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</si>
  <si>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</si>
  <si>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</si>
  <si>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</si>
  <si>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</si>
  <si>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</si>
  <si>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</si>
  <si>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</si>
  <si>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</si>
  <si>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</si>
  <si>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</si>
  <si>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</si>
  <si>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</si>
  <si>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</si>
  <si>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</si>
  <si>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</si>
  <si>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</si>
  <si>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</si>
  <si>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</si>
  <si>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</si>
  <si>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</si>
  <si>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</si>
  <si>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</si>
  <si>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</si>
  <si>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</si>
  <si>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</si>
  <si>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</si>
  <si>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</si>
  <si>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</si>
  <si>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</si>
  <si>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</si>
  <si>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</si>
  <si>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</si>
  <si>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</si>
  <si>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</si>
  <si>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</si>
  <si>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</si>
  <si>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</si>
  <si>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</si>
  <si>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</si>
  <si>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</si>
  <si>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</si>
  <si>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</si>
  <si>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</si>
  <si>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</si>
  <si>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</si>
  <si>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</si>
  <si>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</si>
  <si>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</si>
  <si>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</si>
  <si>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</si>
  <si>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</si>
  <si>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</si>
  <si>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</si>
  <si>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</si>
  <si>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</si>
  <si>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</si>
  <si>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</si>
  <si>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</si>
  <si>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</si>
  <si>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</si>
  <si>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</si>
  <si>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</si>
  <si>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</si>
  <si>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</si>
  <si>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</si>
  <si>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</si>
  <si>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</si>
  <si>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</si>
  <si>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</si>
  <si>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</si>
  <si>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</si>
  <si>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</si>
  <si>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</si>
  <si>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</si>
  <si>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</si>
  <si>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</si>
  <si>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</si>
  <si>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</si>
  <si>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</si>
  <si>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</si>
  <si>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</si>
  <si>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</si>
  <si>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</si>
  <si>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</si>
  <si>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</si>
  <si>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</si>
  <si>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</si>
  <si>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</si>
  <si>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</si>
  <si>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</si>
  <si>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</si>
  <si>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</si>
  <si>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</si>
  <si>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</si>
  <si>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</si>
  <si>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</si>
  <si>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</si>
  <si>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</si>
  <si>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</si>
  <si>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</si>
  <si>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</si>
  <si>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</si>
  <si>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</si>
  <si>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</si>
  <si>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</si>
  <si>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</si>
  <si>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</si>
  <si>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</si>
  <si>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</si>
  <si>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</si>
  <si>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</si>
  <si>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</si>
  <si>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</si>
  <si>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</si>
  <si>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</si>
  <si>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</si>
  <si>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</si>
  <si>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</si>
  <si>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</si>
  <si>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</si>
  <si>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</si>
  <si>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</si>
  <si>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</si>
  <si>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</si>
  <si>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</si>
  <si>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</si>
  <si>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</si>
  <si>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</si>
  <si>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</si>
  <si>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</si>
  <si>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</si>
  <si>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</si>
  <si>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</si>
  <si>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</si>
  <si>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</si>
  <si>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</si>
  <si>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</si>
  <si>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</si>
  <si>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</si>
  <si>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</si>
  <si>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</si>
  <si>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</si>
  <si>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</si>
  <si>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</si>
  <si>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</si>
  <si>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</si>
  <si>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</si>
  <si>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</si>
  <si>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</si>
  <si>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</si>
  <si>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</si>
  <si>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</si>
  <si>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</si>
  <si>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</si>
  <si>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</si>
  <si>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</si>
  <si>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</si>
  <si>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</si>
  <si>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</si>
  <si>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</si>
  <si>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</si>
  <si>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</si>
  <si>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</si>
  <si>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</si>
  <si>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</si>
  <si>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</si>
  <si>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</si>
  <si>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</si>
  <si>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</si>
  <si>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</si>
  <si>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</si>
  <si>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</si>
  <si>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</si>
  <si>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</si>
  <si>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</si>
  <si>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</si>
  <si>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</si>
  <si>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</si>
  <si>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</si>
  <si>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</si>
  <si>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</si>
  <si>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</si>
  <si>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</si>
  <si>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</si>
  <si>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</si>
  <si>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</si>
  <si>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</si>
  <si>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</si>
  <si>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</si>
  <si>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</si>
  <si>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</si>
  <si>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</si>
  <si>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</si>
  <si>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</si>
  <si>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</si>
  <si>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</si>
  <si>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</si>
  <si>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</si>
  <si>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</si>
  <si>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</si>
  <si>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</si>
  <si>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</si>
  <si>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</si>
  <si>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</si>
  <si>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</si>
  <si>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</si>
  <si>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</si>
  <si>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</si>
  <si>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</si>
  <si>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</si>
  <si>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</si>
  <si>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</si>
  <si>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</si>
  <si>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</si>
  <si>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</si>
  <si>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</si>
  <si>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</si>
  <si>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</si>
  <si>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</si>
  <si>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</si>
  <si>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</si>
  <si>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</si>
  <si>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</si>
  <si>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</si>
  <si>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</si>
  <si>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</si>
  <si>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</si>
  <si>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</si>
  <si>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</si>
  <si>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</si>
  <si>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</si>
  <si>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</si>
  <si>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</si>
  <si>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</si>
  <si>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</si>
  <si>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</si>
  <si>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</si>
  <si>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</si>
  <si>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</si>
  <si>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</si>
  <si>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</si>
  <si>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</si>
  <si>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</si>
  <si>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</si>
  <si>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</si>
  <si>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</si>
  <si>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</si>
  <si>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</si>
  <si>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</si>
  <si>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</si>
  <si>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</si>
  <si>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</si>
  <si>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</si>
  <si>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</si>
  <si>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</si>
  <si>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</si>
  <si>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</si>
  <si>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</si>
  <si>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</si>
  <si>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</si>
  <si>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</si>
  <si>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</si>
  <si>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</si>
  <si>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</si>
  <si>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</si>
  <si>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</si>
  <si>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</si>
  <si>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</si>
  <si>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</si>
  <si>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</si>
  <si>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</si>
  <si>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</si>
  <si>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</si>
  <si>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</si>
  <si>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</si>
  <si>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</si>
  <si>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</si>
  <si>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</si>
  <si>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</si>
  <si>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</si>
  <si>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</si>
  <si>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</si>
  <si>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</si>
  <si>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</si>
  <si>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</si>
  <si>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</si>
  <si>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</si>
  <si>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</si>
  <si>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</si>
  <si>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</si>
  <si>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</si>
  <si>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</si>
  <si>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</si>
  <si>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</si>
  <si>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</si>
  <si>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</si>
  <si>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</si>
  <si>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</si>
  <si>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</si>
  <si>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</si>
  <si>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</si>
  <si>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</si>
  <si>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</si>
  <si>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</si>
  <si>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</si>
  <si>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</si>
  <si>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</si>
  <si>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</si>
  <si>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</si>
  <si>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</si>
  <si>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</si>
  <si>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</si>
  <si>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</si>
  <si>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</si>
  <si>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</si>
  <si>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</si>
  <si>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</si>
  <si>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</si>
  <si>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</si>
  <si>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</si>
  <si>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</si>
  <si>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</si>
  <si>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</si>
  <si>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</si>
  <si>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</si>
  <si>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</si>
  <si>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</si>
  <si>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</si>
  <si>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</si>
  <si>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</si>
  <si>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</si>
  <si>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</si>
  <si>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</si>
  <si>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</si>
  <si>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</si>
  <si>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</si>
  <si>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</si>
  <si>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</si>
  <si>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</si>
  <si>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</si>
  <si>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</si>
  <si>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</si>
  <si>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</si>
  <si>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</si>
  <si>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</si>
  <si>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</si>
  <si>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</si>
  <si>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</si>
  <si>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</si>
  <si>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</si>
  <si>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</si>
  <si>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</si>
  <si>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</si>
  <si>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</si>
  <si>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</si>
  <si>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</si>
  <si>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</si>
  <si>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</si>
  <si>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</si>
  <si>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</si>
  <si>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</si>
  <si>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</si>
  <si>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</si>
  <si>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</si>
  <si>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</si>
  <si>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</si>
  <si>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</si>
  <si>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</si>
  <si>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</si>
  <si>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</si>
  <si>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</si>
  <si>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</si>
  <si>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</si>
  <si>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</si>
  <si>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</si>
  <si>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</si>
  <si>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</si>
  <si>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</si>
  <si>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</si>
  <si>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</si>
  <si>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</si>
  <si>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</si>
  <si>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</si>
  <si>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</si>
  <si>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</si>
  <si>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</si>
  <si>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</si>
  <si>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</si>
  <si>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</si>
  <si>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</si>
  <si>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</si>
  <si>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</si>
  <si>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</si>
  <si>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</si>
  <si>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</si>
  <si>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</si>
  <si>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</si>
  <si>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</si>
  <si>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</si>
  <si>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</si>
  <si>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</si>
  <si>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</si>
  <si>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</si>
  <si>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</si>
  <si>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</si>
  <si>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</si>
  <si>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</si>
  <si>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</si>
  <si>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</si>
  <si>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</si>
  <si>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</si>
  <si>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</si>
  <si>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</si>
  <si>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</si>
  <si>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</si>
  <si>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</si>
  <si>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</si>
  <si>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</si>
  <si>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</si>
  <si>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</si>
  <si>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</si>
  <si>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</si>
  <si>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</si>
  <si>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</si>
  <si>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</si>
  <si>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</si>
  <si>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</si>
  <si>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</si>
  <si>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</si>
  <si>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</si>
  <si>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</si>
  <si>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</si>
  <si>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</si>
  <si>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</si>
  <si>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</si>
  <si>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</si>
  <si>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</si>
  <si>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</si>
  <si>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</si>
  <si>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</si>
  <si>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</si>
  <si>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</si>
  <si>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</si>
  <si>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</si>
  <si>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</si>
  <si>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</si>
  <si>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</si>
  <si>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</si>
  <si>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</si>
  <si>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</si>
  <si>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</si>
  <si>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</si>
  <si>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</si>
  <si>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</si>
  <si>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</si>
  <si>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</si>
  <si>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</si>
  <si>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</si>
  <si>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</si>
  <si>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</si>
  <si>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</si>
  <si>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</si>
  <si>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</si>
  <si>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</si>
  <si>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</si>
  <si>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</si>
  <si>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</si>
  <si>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</si>
  <si>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</si>
  <si>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</si>
  <si>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</si>
  <si>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</si>
  <si>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</si>
  <si>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</si>
  <si>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</si>
  <si>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</si>
  <si>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</si>
  <si>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</si>
  <si>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</si>
  <si>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</si>
  <si>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</si>
  <si>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</si>
  <si>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</si>
  <si>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</si>
  <si>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</si>
  <si>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</si>
  <si>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</si>
  <si>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</si>
  <si>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</si>
  <si>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</si>
  <si>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</si>
  <si>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</si>
  <si>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</si>
  <si>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</si>
  <si>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</si>
  <si>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</si>
  <si>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</si>
  <si>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</si>
  <si>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</si>
  <si>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</si>
  <si>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</si>
  <si>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</si>
  <si>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</si>
  <si>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</si>
  <si>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</si>
  <si>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</si>
  <si>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</si>
  <si>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</si>
  <si>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</si>
  <si>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</si>
  <si>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</si>
  <si>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</si>
  <si>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</si>
  <si>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</si>
  <si>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</si>
  <si>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</si>
  <si>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</si>
  <si>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</si>
  <si>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</si>
  <si>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</si>
  <si>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</si>
  <si>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</si>
  <si>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</si>
  <si>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</si>
  <si>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</si>
  <si>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</si>
  <si>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</si>
  <si>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</si>
  <si>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</si>
  <si>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</si>
  <si>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</si>
  <si>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</si>
  <si>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</si>
  <si>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</si>
  <si>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</si>
  <si>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</si>
  <si>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</si>
  <si>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</si>
  <si>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</si>
  <si>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</si>
  <si>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</si>
  <si>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</si>
  <si>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</si>
  <si>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</si>
  <si>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</si>
  <si>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</si>
  <si>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</si>
  <si>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</si>
  <si>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</si>
  <si>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</si>
  <si>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</si>
  <si>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</si>
  <si>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</si>
  <si>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</si>
  <si>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</si>
  <si>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</si>
  <si>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</si>
  <si>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</si>
  <si>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</si>
  <si>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</si>
  <si>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</si>
  <si>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</si>
  <si>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</si>
  <si>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</si>
  <si>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</si>
  <si>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</si>
  <si>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</si>
  <si>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</si>
  <si>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</si>
  <si>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</si>
  <si>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</si>
  <si>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</si>
  <si>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</si>
  <si>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</si>
  <si>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</si>
  <si>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</si>
  <si>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</si>
  <si>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</si>
  <si>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</si>
  <si>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</si>
  <si>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</si>
  <si>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</si>
  <si>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</si>
  <si>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</si>
  <si>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</si>
  <si>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</si>
  <si>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</si>
  <si>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</si>
  <si>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</si>
  <si>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</si>
  <si>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</si>
  <si>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</si>
  <si>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</si>
  <si>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</si>
  <si>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</si>
  <si>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</si>
  <si>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</si>
  <si>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</si>
  <si>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</si>
  <si>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</si>
  <si>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</si>
  <si>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</si>
  <si>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</si>
  <si>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</si>
  <si>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</si>
  <si>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</si>
  <si>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</si>
  <si>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</si>
  <si>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</si>
  <si>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</si>
  <si>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</si>
  <si>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</si>
  <si>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</si>
  <si>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</si>
  <si>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</si>
  <si>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</si>
  <si>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</si>
  <si>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</si>
  <si>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</si>
  <si>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</si>
  <si>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</si>
  <si>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</si>
  <si>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</si>
  <si>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</si>
  <si>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</si>
  <si>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</si>
  <si>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</si>
  <si>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</si>
  <si>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</si>
  <si>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</si>
  <si>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</si>
  <si>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</si>
  <si>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</si>
  <si>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</si>
  <si>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</si>
  <si>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</si>
  <si>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</si>
  <si>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</si>
  <si>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</si>
  <si>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</si>
  <si>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</si>
  <si>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</si>
  <si>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</si>
  <si>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</si>
  <si>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</si>
  <si>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</si>
  <si>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</si>
  <si>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</si>
  <si>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</si>
  <si>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</si>
  <si>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</si>
  <si>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</si>
  <si>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</si>
  <si>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</si>
  <si>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</si>
  <si>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</si>
  <si>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</si>
  <si>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</si>
  <si>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</si>
  <si>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</si>
  <si>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</si>
  <si>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</si>
  <si>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</si>
  <si>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</si>
  <si>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</si>
  <si>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</si>
  <si>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</si>
  <si>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</si>
  <si>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</si>
  <si>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</si>
  <si>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</si>
  <si>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</si>
  <si>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</si>
  <si>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</si>
  <si>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</si>
  <si>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</si>
  <si>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</si>
  <si>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</si>
  <si>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</si>
  <si>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</si>
  <si>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</si>
  <si>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</si>
  <si>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</si>
  <si>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</si>
  <si>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</si>
  <si>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</si>
  <si>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</si>
  <si>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</si>
  <si>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</si>
  <si>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</si>
  <si>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</si>
  <si>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</si>
  <si>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</si>
  <si>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</si>
  <si>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</si>
  <si>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</si>
  <si>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</si>
  <si>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</si>
  <si>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</si>
  <si>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</si>
  <si>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</si>
  <si>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</si>
  <si>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</si>
  <si>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</si>
  <si>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</si>
  <si>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</si>
  <si>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</si>
  <si>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</si>
  <si>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</si>
  <si>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</si>
  <si>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</si>
  <si>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</si>
  <si>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</si>
  <si>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</si>
  <si>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</si>
  <si>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</si>
  <si>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</si>
  <si>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</si>
  <si>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</si>
  <si>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</si>
  <si>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</si>
  <si>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</si>
  <si>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</si>
  <si>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</si>
  <si>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</si>
  <si>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</si>
  <si>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</si>
  <si>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</si>
  <si>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</si>
  <si>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</si>
  <si>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</si>
  <si>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</si>
  <si>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</si>
  <si>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</si>
  <si>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</si>
  <si>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</si>
  <si>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</si>
  <si>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</si>
  <si>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</si>
  <si>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</si>
  <si>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</si>
  <si>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</si>
  <si>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</si>
  <si>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</si>
  <si>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</si>
  <si>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</si>
  <si>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</si>
  <si>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</si>
  <si>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</si>
  <si>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</si>
  <si>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</si>
  <si>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</si>
  <si>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</si>
  <si>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</si>
  <si>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</si>
  <si>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</si>
  <si>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</si>
  <si>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</si>
  <si>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</si>
  <si>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</si>
  <si>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</si>
  <si>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</si>
  <si>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</si>
  <si>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</si>
  <si>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</si>
  <si>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</si>
  <si>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</si>
  <si>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</si>
  <si>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</si>
  <si>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</si>
  <si>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</si>
  <si>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</si>
  <si>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</si>
  <si>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</si>
  <si>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</si>
  <si>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</si>
  <si>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</si>
  <si>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</si>
  <si>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</si>
  <si>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</si>
  <si>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</si>
  <si>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</si>
  <si>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</si>
  <si>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</si>
  <si>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</si>
  <si>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</si>
  <si>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</si>
  <si>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</si>
  <si>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</si>
  <si>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</si>
  <si>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</si>
  <si>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</si>
  <si>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</si>
  <si>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</si>
  <si>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</si>
  <si>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</si>
  <si>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</si>
  <si>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</si>
  <si>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</si>
  <si>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</si>
  <si>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</si>
  <si>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</si>
  <si>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</si>
  <si>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</si>
  <si>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</si>
  <si>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</si>
  <si>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</si>
  <si>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</si>
  <si>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</si>
  <si>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</si>
  <si>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</si>
  <si>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</si>
  <si>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</si>
  <si>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</si>
  <si>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</si>
  <si>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</si>
  <si>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</si>
  <si>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</si>
  <si>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</si>
  <si>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</si>
  <si>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</si>
  <si>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</si>
  <si>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</si>
  <si>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</si>
  <si>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</si>
  <si>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</si>
  <si>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</si>
  <si>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</si>
  <si>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</si>
  <si>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</si>
  <si>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</si>
  <si>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</si>
  <si>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</si>
  <si>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</si>
  <si>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</si>
  <si>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</si>
  <si>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</si>
  <si>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</si>
  <si>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</si>
  <si>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</si>
  <si>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</si>
  <si>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</si>
  <si>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</si>
  <si>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</si>
  <si>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</si>
  <si>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</si>
  <si>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</si>
  <si>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</si>
  <si>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</si>
  <si>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</si>
  <si>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</si>
  <si>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</si>
  <si>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</si>
  <si>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</si>
  <si>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</si>
  <si>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</si>
  <si>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</si>
  <si>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</si>
  <si>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</si>
  <si>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</si>
  <si>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</si>
  <si>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</si>
  <si>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</si>
  <si>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</si>
  <si>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</si>
  <si>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</si>
  <si>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</si>
  <si>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</si>
  <si>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</si>
  <si>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</si>
  <si>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</si>
  <si>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</si>
  <si>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</si>
  <si>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</si>
  <si>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</si>
  <si>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</si>
  <si>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</si>
  <si>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</si>
  <si>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</si>
  <si>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</si>
  <si>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</si>
  <si>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</si>
  <si>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</si>
  <si>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</si>
  <si>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</si>
  <si>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</si>
  <si>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</si>
  <si>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</si>
  <si>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</si>
  <si>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</si>
  <si>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</si>
  <si>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</si>
  <si>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</si>
  <si>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</si>
  <si>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</si>
  <si>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</si>
  <si>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</si>
  <si>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</si>
  <si>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</si>
  <si>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</si>
  <si>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</si>
  <si>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</si>
  <si>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</si>
  <si>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</si>
  <si>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</si>
  <si>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</si>
  <si>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</si>
  <si>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</si>
  <si>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</si>
  <si>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</si>
  <si>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</si>
  <si>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</si>
  <si>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</si>
  <si>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</si>
  <si>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</si>
  <si>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</si>
  <si>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</si>
  <si>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</si>
  <si>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</si>
  <si>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</si>
  <si>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</si>
  <si>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</si>
  <si>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</si>
  <si>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</si>
  <si>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</si>
  <si>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</si>
  <si>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</si>
  <si>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</si>
  <si>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</si>
  <si>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</si>
  <si>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</si>
  <si>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</si>
  <si>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</si>
  <si>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</si>
  <si>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</si>
  <si>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</si>
  <si>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</si>
  <si>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</si>
  <si>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</si>
  <si>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</si>
  <si>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</si>
  <si>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</si>
  <si>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</si>
  <si>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</si>
  <si>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</si>
  <si>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</si>
  <si>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</si>
  <si>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</si>
  <si>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</si>
  <si>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</si>
  <si>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</si>
  <si>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</si>
  <si>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</si>
  <si>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</si>
  <si>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</si>
  <si>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</si>
  <si>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</si>
  <si>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</si>
  <si>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</si>
  <si>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</si>
  <si>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</si>
  <si>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</si>
  <si>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</si>
  <si>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</si>
  <si>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</si>
  <si>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</si>
  <si>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</si>
  <si>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</si>
  <si>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</si>
  <si>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</si>
  <si>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</si>
  <si>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</si>
  <si>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UI Testcase 3</t>
  </si>
  <si>
    <t>Added Carry value</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</si>
  <si>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('OPt16','ci16','CB-Foundation Re IV Ltd. Series 2023-1 Class A Reset 2025','2023-1','Class A','2025','','LOD','Hartford','','349939AA6_1','12/27/2023','1/8/2027','','Cat Bond',0,301000000,250000,'',103.1,0.1009,'Buy','4/23/2025',0,'',0.00125,6.23441419033766E-02,0,0.08468147,0,'0',0,'0',0,'4/23/2025','4/23/2025',4/23/2025,4/23/2025,4/23/2025,'Indemnity','Occurrence',0,0,'0',1,1,107,'USD')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</si>
</sst>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300">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0" fontId="2" fillId="0" borderId="12" xfId="0" applyFont="1" applyBorder="1"/>
    <xf numFmtId="0" fontId="0" fillId="14" borderId="0" xfId="0" applyFill="1"/>
    <xf numFmtId="0" fontId="3" fillId="14" borderId="0" xfId="0" applyFont="1" applyFill="1"/>
    <xf numFmtId="14" fontId="10" fillId="14" borderId="0" xfId="0" applyNumberFormat="1" applyFont="1" applyFill="1"/>
    <xf numFmtId="14" fontId="0" fillId="14" borderId="0" xfId="0" applyNumberFormat="1" applyFill="1" applyAlignment="1">
      <alignment horizontal="right"/>
    </xf>
    <xf numFmtId="0" fontId="3" fillId="14" borderId="0" xfId="1" applyNumberFormat="1" applyFont="1" applyFill="1"/>
    <xf numFmtId="3" fontId="10" fillId="14" borderId="0" xfId="1" applyNumberFormat="1" applyFont="1" applyFill="1"/>
    <xf numFmtId="2" fontId="10" fillId="14" borderId="0" xfId="1" applyNumberFormat="1" applyFont="1" applyFill="1"/>
    <xf numFmtId="10" fontId="3" fillId="14" borderId="0" xfId="2" applyNumberFormat="1" applyFont="1" applyFill="1"/>
    <xf numFmtId="14" fontId="0" fillId="14" borderId="0" xfId="0" applyNumberFormat="1" applyFill="1"/>
    <xf numFmtId="167" fontId="3" fillId="14" borderId="0" xfId="1" applyNumberFormat="1" applyFont="1" applyFill="1"/>
    <xf numFmtId="167" fontId="3" fillId="14" borderId="0" xfId="0" applyNumberFormat="1" applyFont="1" applyFill="1"/>
    <xf numFmtId="3" fontId="0" fillId="14" borderId="0" xfId="0" applyNumberFormat="1" applyFill="1"/>
    <xf numFmtId="10" fontId="0" fillId="14" borderId="0" xfId="2" applyNumberFormat="1" applyFont="1" applyFill="1"/>
    <xf numFmtId="166" fontId="0" fillId="14" borderId="0" xfId="1" applyNumberFormat="1" applyFont="1" applyFill="1"/>
    <xf numFmtId="167" fontId="0" fillId="14" borderId="0" xfId="0" applyNumberFormat="1" applyFill="1"/>
    <xf numFmtId="0" fontId="0" fillId="0" borderId="12" xfId="0" applyBorder="1" applyAlignment="1">
      <alignment horizontal="left"/>
    </xf>
    <xf numFmtId="3" fontId="0" fillId="0" borderId="0" xfId="0" applyNumberFormat="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L15" zoomScale="130" zoomScaleNormal="130" workbookViewId="0">
      <selection activeCell="U33" sqref="U18:U33"/>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18"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744</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266</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745</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263</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264</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202</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267</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268</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192</v>
      </c>
      <c r="C17" s="142" t="s">
        <v>269</v>
      </c>
      <c r="D17" s="142" t="s">
        <v>270</v>
      </c>
      <c r="E17" s="142" t="s">
        <v>271</v>
      </c>
      <c r="F17" s="142" t="s">
        <v>272</v>
      </c>
      <c r="G17" s="142" t="s">
        <v>273</v>
      </c>
      <c r="H17" s="142" t="s">
        <v>62</v>
      </c>
      <c r="I17" s="142" t="s">
        <v>274</v>
      </c>
      <c r="J17" s="143" t="s">
        <v>275</v>
      </c>
      <c r="K17" s="143" t="s">
        <v>276</v>
      </c>
      <c r="L17" s="143" t="s">
        <v>277</v>
      </c>
      <c r="M17" s="143" t="s">
        <v>278</v>
      </c>
      <c r="N17" s="144" t="s">
        <v>279</v>
      </c>
      <c r="O17" s="142" t="s">
        <v>280</v>
      </c>
      <c r="P17" s="145" t="s">
        <v>281</v>
      </c>
      <c r="Q17" s="145" t="s">
        <v>282</v>
      </c>
      <c r="R17" s="145" t="s">
        <v>283</v>
      </c>
      <c r="S17" s="145" t="s">
        <v>284</v>
      </c>
      <c r="T17" s="145" t="s">
        <v>285</v>
      </c>
      <c r="U17" s="145" t="s">
        <v>286</v>
      </c>
      <c r="V17" s="145" t="s">
        <v>287</v>
      </c>
      <c r="W17" s="145" t="s">
        <v>288</v>
      </c>
      <c r="X17" s="145" t="s">
        <v>289</v>
      </c>
      <c r="Y17" s="145" t="s">
        <v>290</v>
      </c>
      <c r="Z17" s="146" t="s">
        <v>291</v>
      </c>
      <c r="AA17" s="147" t="s">
        <v>292</v>
      </c>
      <c r="AB17" s="148" t="s">
        <v>746</v>
      </c>
      <c r="AC17" s="147" t="s">
        <v>293</v>
      </c>
      <c r="AD17" s="145" t="s">
        <v>294</v>
      </c>
      <c r="AE17" s="145" t="s">
        <v>295</v>
      </c>
      <c r="AF17" s="149" t="s">
        <v>296</v>
      </c>
      <c r="AG17" s="149" t="s">
        <v>297</v>
      </c>
      <c r="AH17" s="149" t="s">
        <v>298</v>
      </c>
      <c r="AI17" s="147" t="s">
        <v>299</v>
      </c>
      <c r="AJ17" s="147" t="s">
        <v>300</v>
      </c>
    </row>
    <row r="18" spans="1:37" ht="12" x14ac:dyDescent="0.25">
      <c r="A18" s="77" t="s">
        <v>230</v>
      </c>
      <c r="B18" s="77" t="s">
        <v>747</v>
      </c>
      <c r="C18" s="77" t="s">
        <v>234</v>
      </c>
      <c r="D18" s="77">
        <v>45749</v>
      </c>
      <c r="E18" s="77">
        <v>45750</v>
      </c>
      <c r="F18" s="77" t="s">
        <v>301</v>
      </c>
      <c r="G18" s="77" t="s">
        <v>302</v>
      </c>
      <c r="H18" s="77" t="s">
        <v>230</v>
      </c>
      <c r="I18" s="77" t="s">
        <v>303</v>
      </c>
      <c r="J18" s="77" t="s">
        <v>304</v>
      </c>
      <c r="K18" s="77" t="s">
        <v>305</v>
      </c>
      <c r="L18" s="77" t="s">
        <v>306</v>
      </c>
      <c r="M18" s="77" t="s">
        <v>307</v>
      </c>
      <c r="N18" s="129">
        <v>150000000</v>
      </c>
      <c r="O18" s="77" t="s">
        <v>308</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231</v>
      </c>
      <c r="B19" s="77" t="s">
        <v>747</v>
      </c>
      <c r="C19" s="77" t="s">
        <v>234</v>
      </c>
      <c r="D19" s="77">
        <v>45751</v>
      </c>
      <c r="E19" s="77">
        <v>45754</v>
      </c>
      <c r="F19" s="77" t="s">
        <v>309</v>
      </c>
      <c r="G19" s="77" t="s">
        <v>310</v>
      </c>
      <c r="H19" s="77" t="s">
        <v>231</v>
      </c>
      <c r="I19" s="77" t="s">
        <v>311</v>
      </c>
      <c r="J19" s="77" t="s">
        <v>312</v>
      </c>
      <c r="K19" s="77" t="s">
        <v>313</v>
      </c>
      <c r="L19" s="77" t="s">
        <v>314</v>
      </c>
      <c r="M19" s="77" t="s">
        <v>315</v>
      </c>
      <c r="N19" s="129">
        <v>30000000</v>
      </c>
      <c r="O19" s="77" t="s">
        <v>316</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317</v>
      </c>
      <c r="B20" s="77" t="s">
        <v>747</v>
      </c>
      <c r="C20" s="77" t="s">
        <v>234</v>
      </c>
      <c r="D20" s="77">
        <v>45751</v>
      </c>
      <c r="E20" s="77">
        <v>45754</v>
      </c>
      <c r="F20" s="77" t="s">
        <v>301</v>
      </c>
      <c r="G20" s="77" t="s">
        <v>318</v>
      </c>
      <c r="H20" s="77" t="s">
        <v>317</v>
      </c>
      <c r="I20" s="77" t="s">
        <v>319</v>
      </c>
      <c r="J20" s="77" t="s">
        <v>312</v>
      </c>
      <c r="K20" s="77" t="s">
        <v>305</v>
      </c>
      <c r="L20" s="77" t="s">
        <v>320</v>
      </c>
      <c r="M20" s="77" t="s">
        <v>321</v>
      </c>
      <c r="N20" s="129">
        <v>200000000</v>
      </c>
      <c r="O20" s="77" t="s">
        <v>322</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323</v>
      </c>
      <c r="B21" s="77" t="s">
        <v>747</v>
      </c>
      <c r="C21" s="77" t="s">
        <v>234</v>
      </c>
      <c r="D21" s="77">
        <v>45751</v>
      </c>
      <c r="E21" s="77">
        <v>45754</v>
      </c>
      <c r="F21" s="77" t="s">
        <v>301</v>
      </c>
      <c r="G21" s="77" t="s">
        <v>324</v>
      </c>
      <c r="H21" s="77" t="s">
        <v>323</v>
      </c>
      <c r="I21" s="77" t="s">
        <v>325</v>
      </c>
      <c r="J21" s="77" t="s">
        <v>312</v>
      </c>
      <c r="K21" s="77" t="s">
        <v>305</v>
      </c>
      <c r="L21" s="77" t="s">
        <v>326</v>
      </c>
      <c r="M21" s="77" t="s">
        <v>327</v>
      </c>
      <c r="N21" s="129">
        <v>120000000</v>
      </c>
      <c r="O21" s="77" t="s">
        <v>328</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329</v>
      </c>
      <c r="B22" s="77" t="s">
        <v>747</v>
      </c>
      <c r="C22" s="77" t="s">
        <v>234</v>
      </c>
      <c r="D22" s="77">
        <v>45751</v>
      </c>
      <c r="E22" s="77">
        <v>45754</v>
      </c>
      <c r="F22" s="77" t="s">
        <v>309</v>
      </c>
      <c r="G22" s="77" t="s">
        <v>330</v>
      </c>
      <c r="H22" s="77" t="s">
        <v>329</v>
      </c>
      <c r="I22" s="77" t="s">
        <v>331</v>
      </c>
      <c r="J22" s="77" t="s">
        <v>304</v>
      </c>
      <c r="K22" s="77" t="s">
        <v>305</v>
      </c>
      <c r="L22" s="77" t="s">
        <v>332</v>
      </c>
      <c r="M22" s="77" t="s">
        <v>333</v>
      </c>
      <c r="N22" s="129">
        <v>300000000</v>
      </c>
      <c r="O22" s="77" t="s">
        <v>334</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335</v>
      </c>
      <c r="B23" s="77" t="s">
        <v>747</v>
      </c>
      <c r="C23" s="77" t="s">
        <v>234</v>
      </c>
      <c r="D23" s="77">
        <v>45755</v>
      </c>
      <c r="E23" s="77">
        <v>45756</v>
      </c>
      <c r="F23" s="77" t="s">
        <v>301</v>
      </c>
      <c r="G23" s="77" t="s">
        <v>336</v>
      </c>
      <c r="H23" s="77" t="s">
        <v>335</v>
      </c>
      <c r="I23" s="77" t="s">
        <v>337</v>
      </c>
      <c r="J23" s="77" t="s">
        <v>312</v>
      </c>
      <c r="K23" s="77" t="s">
        <v>305</v>
      </c>
      <c r="L23" s="77" t="s">
        <v>338</v>
      </c>
      <c r="M23" s="77" t="s">
        <v>339</v>
      </c>
      <c r="N23" s="129">
        <v>300000000</v>
      </c>
      <c r="O23" s="77" t="s">
        <v>340</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341</v>
      </c>
      <c r="B24" s="77" t="s">
        <v>747</v>
      </c>
      <c r="C24" s="77" t="s">
        <v>234</v>
      </c>
      <c r="D24" s="77">
        <v>45755</v>
      </c>
      <c r="E24" s="77">
        <v>45756</v>
      </c>
      <c r="F24" s="77" t="s">
        <v>309</v>
      </c>
      <c r="G24" s="77" t="s">
        <v>342</v>
      </c>
      <c r="H24" s="77" t="s">
        <v>341</v>
      </c>
      <c r="I24" s="77" t="s">
        <v>343</v>
      </c>
      <c r="J24" s="77" t="s">
        <v>312</v>
      </c>
      <c r="K24" s="77" t="s">
        <v>305</v>
      </c>
      <c r="L24" s="77" t="s">
        <v>344</v>
      </c>
      <c r="M24" s="77" t="s">
        <v>345</v>
      </c>
      <c r="N24" s="129">
        <v>200000000</v>
      </c>
      <c r="O24" s="77" t="s">
        <v>346</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347</v>
      </c>
      <c r="B25" s="77" t="s">
        <v>747</v>
      </c>
      <c r="C25" s="77" t="s">
        <v>234</v>
      </c>
      <c r="D25" s="77">
        <v>45756</v>
      </c>
      <c r="E25" s="77">
        <v>45757</v>
      </c>
      <c r="F25" s="77" t="s">
        <v>301</v>
      </c>
      <c r="G25" s="77" t="s">
        <v>348</v>
      </c>
      <c r="H25" s="77" t="s">
        <v>347</v>
      </c>
      <c r="I25" s="77" t="s">
        <v>349</v>
      </c>
      <c r="J25" s="77" t="s">
        <v>312</v>
      </c>
      <c r="K25" s="77" t="s">
        <v>305</v>
      </c>
      <c r="L25" s="77" t="s">
        <v>350</v>
      </c>
      <c r="M25" s="77" t="s">
        <v>321</v>
      </c>
      <c r="N25" s="129">
        <v>255000000</v>
      </c>
      <c r="O25" s="77" t="s">
        <v>351</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hidden="1" x14ac:dyDescent="0.25">
      <c r="A26" s="77" t="s">
        <v>352</v>
      </c>
      <c r="B26" s="77" t="s">
        <v>747</v>
      </c>
      <c r="C26" s="77" t="s">
        <v>234</v>
      </c>
      <c r="D26" s="77">
        <v>45756</v>
      </c>
      <c r="E26" s="77">
        <v>45757</v>
      </c>
      <c r="F26" s="77" t="s">
        <v>309</v>
      </c>
      <c r="G26" s="77" t="s">
        <v>353</v>
      </c>
      <c r="H26" s="77" t="s">
        <v>352</v>
      </c>
      <c r="I26" s="77" t="s">
        <v>354</v>
      </c>
      <c r="J26" s="77" t="s">
        <v>312</v>
      </c>
      <c r="K26" s="77" t="s">
        <v>305</v>
      </c>
      <c r="L26" s="77" t="s">
        <v>355</v>
      </c>
      <c r="M26" s="77" t="s">
        <v>356</v>
      </c>
      <c r="N26" s="129">
        <v>100000000</v>
      </c>
      <c r="O26" s="77" t="s">
        <v>357</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358</v>
      </c>
      <c r="B27" s="77" t="s">
        <v>747</v>
      </c>
      <c r="C27" s="77" t="s">
        <v>234</v>
      </c>
      <c r="D27" s="77">
        <v>45756</v>
      </c>
      <c r="E27" s="77">
        <v>45757</v>
      </c>
      <c r="F27" s="77" t="s">
        <v>309</v>
      </c>
      <c r="G27" s="77" t="s">
        <v>359</v>
      </c>
      <c r="H27" s="77" t="s">
        <v>358</v>
      </c>
      <c r="I27" s="77" t="s">
        <v>360</v>
      </c>
      <c r="J27" s="77" t="s">
        <v>312</v>
      </c>
      <c r="K27" s="77" t="s">
        <v>305</v>
      </c>
      <c r="L27" s="77" t="s">
        <v>361</v>
      </c>
      <c r="M27" s="77" t="s">
        <v>362</v>
      </c>
      <c r="N27" s="129">
        <v>100000000</v>
      </c>
      <c r="O27" s="77" t="s">
        <v>363</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738</v>
      </c>
      <c r="B28" s="77" t="s">
        <v>747</v>
      </c>
      <c r="C28" s="77" t="s">
        <v>234</v>
      </c>
      <c r="D28" s="77">
        <v>45756</v>
      </c>
      <c r="E28" s="77">
        <v>45757</v>
      </c>
      <c r="F28" s="77" t="s">
        <v>309</v>
      </c>
      <c r="G28" s="77" t="s">
        <v>365</v>
      </c>
      <c r="H28" s="77" t="s">
        <v>738</v>
      </c>
      <c r="I28" s="77" t="s">
        <v>366</v>
      </c>
      <c r="J28" s="77" t="s">
        <v>312</v>
      </c>
      <c r="K28" s="77" t="s">
        <v>367</v>
      </c>
      <c r="L28" s="77" t="s">
        <v>368</v>
      </c>
      <c r="M28" s="77" t="s">
        <v>369</v>
      </c>
      <c r="N28" s="129">
        <v>100000000</v>
      </c>
      <c r="O28" s="77" t="s">
        <v>370</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371</v>
      </c>
      <c r="B29" s="77" t="s">
        <v>747</v>
      </c>
      <c r="C29" s="77" t="s">
        <v>234</v>
      </c>
      <c r="D29" s="77">
        <v>45758</v>
      </c>
      <c r="E29" s="77">
        <v>45761</v>
      </c>
      <c r="F29" s="77" t="s">
        <v>301</v>
      </c>
      <c r="G29" s="77" t="s">
        <v>372</v>
      </c>
      <c r="H29" s="77" t="s">
        <v>371</v>
      </c>
      <c r="I29" s="77" t="s">
        <v>373</v>
      </c>
      <c r="J29" s="77" t="s">
        <v>374</v>
      </c>
      <c r="K29" s="77" t="s">
        <v>305</v>
      </c>
      <c r="L29" s="77" t="s">
        <v>375</v>
      </c>
      <c r="M29" s="77" t="s">
        <v>356</v>
      </c>
      <c r="N29" s="129">
        <v>150000000</v>
      </c>
      <c r="O29" s="77" t="s">
        <v>376</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377</v>
      </c>
      <c r="B30" s="77" t="s">
        <v>747</v>
      </c>
      <c r="C30" s="77" t="s">
        <v>234</v>
      </c>
      <c r="D30" s="77">
        <v>45761</v>
      </c>
      <c r="E30" s="77">
        <v>45762</v>
      </c>
      <c r="F30" s="77" t="s">
        <v>301</v>
      </c>
      <c r="G30" s="77" t="s">
        <v>378</v>
      </c>
      <c r="H30" s="77" t="s">
        <v>377</v>
      </c>
      <c r="I30" s="77" t="s">
        <v>379</v>
      </c>
      <c r="J30" s="77" t="s">
        <v>312</v>
      </c>
      <c r="K30" s="77" t="s">
        <v>305</v>
      </c>
      <c r="L30" s="77" t="s">
        <v>380</v>
      </c>
      <c r="M30" s="77" t="s">
        <v>381</v>
      </c>
      <c r="N30" s="129">
        <v>210000000</v>
      </c>
      <c r="O30" s="77" t="s">
        <v>382</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383</v>
      </c>
      <c r="B31" s="77" t="s">
        <v>747</v>
      </c>
      <c r="C31" s="77" t="s">
        <v>234</v>
      </c>
      <c r="D31" s="77">
        <v>45763</v>
      </c>
      <c r="E31" s="77">
        <v>45764</v>
      </c>
      <c r="F31" s="77" t="s">
        <v>301</v>
      </c>
      <c r="G31" s="77" t="s">
        <v>384</v>
      </c>
      <c r="H31" s="77" t="s">
        <v>383</v>
      </c>
      <c r="I31" s="77" t="s">
        <v>385</v>
      </c>
      <c r="J31" s="77" t="s">
        <v>312</v>
      </c>
      <c r="K31" s="77" t="s">
        <v>305</v>
      </c>
      <c r="L31" s="77" t="s">
        <v>386</v>
      </c>
      <c r="M31" s="77" t="s">
        <v>362</v>
      </c>
      <c r="N31" s="129">
        <v>100000000</v>
      </c>
      <c r="O31" s="77" t="s">
        <v>387</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388</v>
      </c>
      <c r="B32" s="77" t="s">
        <v>747</v>
      </c>
      <c r="C32" s="77" t="s">
        <v>234</v>
      </c>
      <c r="D32" s="77">
        <v>45763</v>
      </c>
      <c r="E32" s="77">
        <v>45764</v>
      </c>
      <c r="F32" s="77" t="s">
        <v>309</v>
      </c>
      <c r="G32" s="77" t="s">
        <v>389</v>
      </c>
      <c r="H32" s="77" t="s">
        <v>388</v>
      </c>
      <c r="I32" s="77" t="s">
        <v>390</v>
      </c>
      <c r="J32" s="77" t="s">
        <v>312</v>
      </c>
      <c r="K32" s="77" t="s">
        <v>367</v>
      </c>
      <c r="L32" s="77" t="s">
        <v>391</v>
      </c>
      <c r="M32" s="77" t="s">
        <v>392</v>
      </c>
      <c r="N32" s="129">
        <v>150000000</v>
      </c>
      <c r="O32" s="77" t="s">
        <v>393</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s="294" customFormat="1" ht="12" x14ac:dyDescent="0.25">
      <c r="A33" s="289" t="s">
        <v>540</v>
      </c>
      <c r="B33" s="289" t="s">
        <v>747</v>
      </c>
      <c r="C33" s="289" t="s">
        <v>234</v>
      </c>
      <c r="D33" s="289">
        <v>45770</v>
      </c>
      <c r="E33" s="289">
        <v>45771</v>
      </c>
      <c r="F33" s="289" t="s">
        <v>309</v>
      </c>
      <c r="G33" s="289" t="s">
        <v>394</v>
      </c>
      <c r="H33" s="289" t="s">
        <v>540</v>
      </c>
      <c r="I33" s="289" t="s">
        <v>395</v>
      </c>
      <c r="J33" s="289" t="s">
        <v>312</v>
      </c>
      <c r="K33" s="289" t="s">
        <v>305</v>
      </c>
      <c r="L33" s="289" t="s">
        <v>396</v>
      </c>
      <c r="M33" s="289" t="s">
        <v>321</v>
      </c>
      <c r="N33" s="134">
        <v>200000000</v>
      </c>
      <c r="O33" s="289" t="s">
        <v>397</v>
      </c>
      <c r="P33" s="290">
        <v>1.4500000000000001E-2</v>
      </c>
      <c r="Q33" s="290">
        <v>6.2344141903376588E-2</v>
      </c>
      <c r="R33" s="290">
        <v>0.1009</v>
      </c>
      <c r="S33" s="291">
        <v>102.5</v>
      </c>
      <c r="T33" s="292">
        <v>103.1</v>
      </c>
      <c r="U33" s="134">
        <v>250000</v>
      </c>
      <c r="V33" s="134" t="s">
        <v>28</v>
      </c>
      <c r="W33" s="292">
        <v>1</v>
      </c>
      <c r="X33" s="134">
        <v>998.26000000000931</v>
      </c>
      <c r="Y33" s="134">
        <v>23</v>
      </c>
      <c r="Z33" s="134">
        <v>257750</v>
      </c>
      <c r="AA33" s="134">
        <v>258748.26</v>
      </c>
      <c r="AB33" s="134">
        <v>257437.5</v>
      </c>
      <c r="AC33" s="292">
        <v>1.1506849315068493</v>
      </c>
      <c r="AD33" s="293">
        <v>8.4681469999999995E-2</v>
      </c>
      <c r="AE33" s="293">
        <v>4.2981474551666635E-2</v>
      </c>
      <c r="AF33" s="290">
        <v>2.8481474551666636E-2</v>
      </c>
      <c r="AG33" s="290">
        <v>0.33735464293040995</v>
      </c>
      <c r="AH33" s="292">
        <v>2.9642396242528712</v>
      </c>
      <c r="AI33" s="134">
        <v>25225</v>
      </c>
      <c r="AJ33" s="134">
        <v>3625</v>
      </c>
      <c r="AK33" s="294">
        <f t="shared" si="0"/>
        <v>1</v>
      </c>
    </row>
    <row r="34" spans="1:37" ht="12" x14ac:dyDescent="0.25">
      <c r="A34" s="77" t="s">
        <v>541</v>
      </c>
      <c r="B34" s="77" t="s">
        <v>747</v>
      </c>
      <c r="C34" s="77" t="s">
        <v>234</v>
      </c>
      <c r="D34" s="77">
        <v>45889</v>
      </c>
      <c r="E34" s="77">
        <v>45890</v>
      </c>
      <c r="F34" s="77" t="s">
        <v>301</v>
      </c>
      <c r="G34" s="77" t="s">
        <v>394</v>
      </c>
      <c r="H34" s="77" t="s">
        <v>541</v>
      </c>
      <c r="I34" s="77" t="s">
        <v>395</v>
      </c>
      <c r="J34" s="77" t="s">
        <v>312</v>
      </c>
      <c r="K34" s="77" t="s">
        <v>305</v>
      </c>
      <c r="L34" s="77" t="s">
        <v>396</v>
      </c>
      <c r="M34" s="77" t="s">
        <v>321</v>
      </c>
      <c r="N34" s="129">
        <v>200000000</v>
      </c>
      <c r="O34" s="77" t="s">
        <v>397</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398</v>
      </c>
      <c r="B35" s="77" t="s">
        <v>747</v>
      </c>
      <c r="C35" s="77" t="s">
        <v>234</v>
      </c>
      <c r="D35" s="77">
        <v>45775</v>
      </c>
      <c r="E35" s="77">
        <v>45776</v>
      </c>
      <c r="F35" s="77" t="s">
        <v>301</v>
      </c>
      <c r="G35" s="77" t="s">
        <v>399</v>
      </c>
      <c r="H35" s="77" t="s">
        <v>398</v>
      </c>
      <c r="I35" s="77" t="s">
        <v>400</v>
      </c>
      <c r="J35" s="77" t="s">
        <v>312</v>
      </c>
      <c r="K35" s="77" t="s">
        <v>305</v>
      </c>
      <c r="L35" s="77" t="s">
        <v>401</v>
      </c>
      <c r="M35" s="77" t="s">
        <v>402</v>
      </c>
      <c r="N35" s="129">
        <v>150000000</v>
      </c>
      <c r="O35" s="77" t="s">
        <v>403</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404</v>
      </c>
      <c r="B36" s="77" t="s">
        <v>747</v>
      </c>
      <c r="C36" s="77" t="s">
        <v>234</v>
      </c>
      <c r="D36" s="77">
        <v>45777</v>
      </c>
      <c r="E36" s="77">
        <v>45779</v>
      </c>
      <c r="F36" s="77" t="s">
        <v>301</v>
      </c>
      <c r="G36" s="77" t="s">
        <v>405</v>
      </c>
      <c r="H36" s="77" t="s">
        <v>404</v>
      </c>
      <c r="I36" s="77" t="s">
        <v>406</v>
      </c>
      <c r="J36" s="77" t="s">
        <v>312</v>
      </c>
      <c r="K36" s="77" t="s">
        <v>305</v>
      </c>
      <c r="L36" s="77" t="s">
        <v>407</v>
      </c>
      <c r="M36" s="77" t="s">
        <v>408</v>
      </c>
      <c r="N36" s="129">
        <v>100000000</v>
      </c>
      <c r="O36" s="77" t="s">
        <v>346</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409</v>
      </c>
      <c r="B37" s="77" t="s">
        <v>747</v>
      </c>
      <c r="C37" s="77" t="s">
        <v>234</v>
      </c>
      <c r="D37" s="77">
        <v>45777</v>
      </c>
      <c r="E37" s="77">
        <v>45778</v>
      </c>
      <c r="F37" s="77" t="s">
        <v>309</v>
      </c>
      <c r="G37" s="77" t="s">
        <v>410</v>
      </c>
      <c r="H37" s="77" t="s">
        <v>409</v>
      </c>
      <c r="I37" s="77" t="s">
        <v>411</v>
      </c>
      <c r="J37" s="77" t="s">
        <v>312</v>
      </c>
      <c r="K37" s="77" t="s">
        <v>305</v>
      </c>
      <c r="L37" s="77" t="s">
        <v>412</v>
      </c>
      <c r="M37" s="77" t="s">
        <v>413</v>
      </c>
      <c r="N37" s="129">
        <v>125000000</v>
      </c>
      <c r="O37" s="77" t="s">
        <v>414</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740</v>
      </c>
      <c r="B38" s="77" t="s">
        <v>747</v>
      </c>
      <c r="C38" s="77" t="s">
        <v>234</v>
      </c>
      <c r="D38" s="77">
        <v>45784</v>
      </c>
      <c r="E38" s="77">
        <v>45785</v>
      </c>
      <c r="F38" s="77" t="s">
        <v>309</v>
      </c>
      <c r="G38" s="77" t="s">
        <v>416</v>
      </c>
      <c r="H38" s="77" t="s">
        <v>740</v>
      </c>
      <c r="I38" s="77" t="s">
        <v>417</v>
      </c>
      <c r="J38" s="77" t="s">
        <v>312</v>
      </c>
      <c r="K38" s="77" t="s">
        <v>305</v>
      </c>
      <c r="L38" s="77" t="s">
        <v>418</v>
      </c>
      <c r="M38" s="77" t="s">
        <v>419</v>
      </c>
      <c r="N38" s="129">
        <v>175000000</v>
      </c>
      <c r="O38" s="77" t="s">
        <v>420</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421</v>
      </c>
      <c r="B39" s="77" t="s">
        <v>747</v>
      </c>
      <c r="C39" s="77" t="s">
        <v>234</v>
      </c>
      <c r="D39" s="77">
        <v>45785</v>
      </c>
      <c r="E39" s="77">
        <v>45786</v>
      </c>
      <c r="F39" s="77" t="s">
        <v>301</v>
      </c>
      <c r="G39" s="77" t="s">
        <v>422</v>
      </c>
      <c r="H39" s="77" t="s">
        <v>421</v>
      </c>
      <c r="I39" s="77" t="s">
        <v>423</v>
      </c>
      <c r="J39" s="77" t="s">
        <v>312</v>
      </c>
      <c r="K39" s="77" t="s">
        <v>305</v>
      </c>
      <c r="L39" s="77" t="s">
        <v>424</v>
      </c>
      <c r="M39" s="77" t="s">
        <v>425</v>
      </c>
      <c r="N39" s="129">
        <v>150000000</v>
      </c>
      <c r="O39" s="77" t="s">
        <v>334</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426</v>
      </c>
      <c r="B40" s="77" t="s">
        <v>747</v>
      </c>
      <c r="C40" s="77" t="s">
        <v>234</v>
      </c>
      <c r="D40" s="77">
        <v>45789</v>
      </c>
      <c r="E40" s="77">
        <v>45790</v>
      </c>
      <c r="F40" s="77" t="s">
        <v>309</v>
      </c>
      <c r="G40" s="77" t="s">
        <v>668</v>
      </c>
      <c r="H40" s="77" t="s">
        <v>426</v>
      </c>
      <c r="I40" s="77" t="s">
        <v>427</v>
      </c>
      <c r="J40" s="77" t="s">
        <v>304</v>
      </c>
      <c r="K40" s="77" t="s">
        <v>313</v>
      </c>
      <c r="L40" s="77" t="s">
        <v>428</v>
      </c>
      <c r="M40" s="77" t="s">
        <v>429</v>
      </c>
      <c r="N40" s="129">
        <v>500000000</v>
      </c>
      <c r="O40" s="77" t="s">
        <v>430</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431</v>
      </c>
      <c r="B41" s="77" t="s">
        <v>747</v>
      </c>
      <c r="C41" s="77" t="s">
        <v>234</v>
      </c>
      <c r="D41" s="77">
        <v>45789</v>
      </c>
      <c r="E41" s="77">
        <v>45790</v>
      </c>
      <c r="F41" s="77" t="s">
        <v>309</v>
      </c>
      <c r="G41" s="77" t="s">
        <v>669</v>
      </c>
      <c r="H41" s="77" t="s">
        <v>431</v>
      </c>
      <c r="I41" s="77" t="s">
        <v>432</v>
      </c>
      <c r="J41" s="77" t="s">
        <v>304</v>
      </c>
      <c r="K41" s="77" t="s">
        <v>305</v>
      </c>
      <c r="L41" s="77" t="s">
        <v>433</v>
      </c>
      <c r="M41" s="77" t="s">
        <v>434</v>
      </c>
      <c r="N41" s="129">
        <v>500000000</v>
      </c>
      <c r="O41" s="77" t="s">
        <v>435</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436</v>
      </c>
      <c r="B42" s="77" t="s">
        <v>747</v>
      </c>
      <c r="C42" s="77" t="s">
        <v>234</v>
      </c>
      <c r="D42" s="77">
        <v>45790</v>
      </c>
      <c r="E42" s="77">
        <v>45791</v>
      </c>
      <c r="F42" s="77" t="s">
        <v>309</v>
      </c>
      <c r="G42" s="77" t="s">
        <v>670</v>
      </c>
      <c r="H42" s="77" t="s">
        <v>436</v>
      </c>
      <c r="I42" s="77" t="s">
        <v>437</v>
      </c>
      <c r="J42" s="77" t="s">
        <v>312</v>
      </c>
      <c r="K42" s="77" t="s">
        <v>305</v>
      </c>
      <c r="L42" s="77" t="s">
        <v>438</v>
      </c>
      <c r="M42" s="77" t="s">
        <v>439</v>
      </c>
      <c r="N42" s="129">
        <v>120000000</v>
      </c>
      <c r="O42" s="77" t="s">
        <v>440</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441</v>
      </c>
      <c r="B43" s="77" t="s">
        <v>747</v>
      </c>
      <c r="C43" s="77" t="s">
        <v>234</v>
      </c>
      <c r="D43" s="77">
        <v>45791</v>
      </c>
      <c r="E43" s="77">
        <v>45792</v>
      </c>
      <c r="F43" s="77" t="s">
        <v>301</v>
      </c>
      <c r="G43" s="77" t="s">
        <v>671</v>
      </c>
      <c r="H43" s="77" t="s">
        <v>441</v>
      </c>
      <c r="I43" s="77" t="s">
        <v>442</v>
      </c>
      <c r="J43" s="77" t="s">
        <v>312</v>
      </c>
      <c r="K43" s="77" t="s">
        <v>305</v>
      </c>
      <c r="L43" s="77" t="s">
        <v>412</v>
      </c>
      <c r="M43" s="77" t="s">
        <v>381</v>
      </c>
      <c r="N43" s="129">
        <v>150000000</v>
      </c>
      <c r="O43" s="77" t="s">
        <v>430</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443</v>
      </c>
      <c r="B44" s="77" t="s">
        <v>747</v>
      </c>
      <c r="C44" s="77" t="s">
        <v>234</v>
      </c>
      <c r="D44" s="77">
        <v>45793</v>
      </c>
      <c r="E44" s="77">
        <v>45797</v>
      </c>
      <c r="F44" s="77" t="s">
        <v>309</v>
      </c>
      <c r="G44" s="77" t="s">
        <v>672</v>
      </c>
      <c r="H44" s="77" t="s">
        <v>443</v>
      </c>
      <c r="I44" s="77" t="s">
        <v>444</v>
      </c>
      <c r="J44" s="77" t="s">
        <v>304</v>
      </c>
      <c r="K44" s="77" t="s">
        <v>313</v>
      </c>
      <c r="L44" s="77" t="s">
        <v>445</v>
      </c>
      <c r="M44" s="77" t="s">
        <v>446</v>
      </c>
      <c r="N44" s="129">
        <v>75000000</v>
      </c>
      <c r="O44" s="77" t="s">
        <v>447</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448</v>
      </c>
      <c r="B45" s="77" t="s">
        <v>747</v>
      </c>
      <c r="C45" s="77" t="s">
        <v>234</v>
      </c>
      <c r="D45" s="77">
        <v>45797</v>
      </c>
      <c r="E45" s="77">
        <v>45798</v>
      </c>
      <c r="F45" s="77" t="s">
        <v>301</v>
      </c>
      <c r="G45" s="77" t="s">
        <v>449</v>
      </c>
      <c r="H45" s="77" t="s">
        <v>448</v>
      </c>
      <c r="I45" s="77" t="s">
        <v>450</v>
      </c>
      <c r="J45" s="77" t="s">
        <v>312</v>
      </c>
      <c r="K45" s="77" t="s">
        <v>305</v>
      </c>
      <c r="L45" s="77" t="s">
        <v>451</v>
      </c>
      <c r="M45" s="77" t="s">
        <v>452</v>
      </c>
      <c r="N45" s="129">
        <v>95000000</v>
      </c>
      <c r="O45" s="77" t="s">
        <v>334</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453</v>
      </c>
      <c r="B46" s="77" t="s">
        <v>747</v>
      </c>
      <c r="C46" s="77" t="s">
        <v>234</v>
      </c>
      <c r="D46" s="77">
        <v>45805</v>
      </c>
      <c r="E46" s="77">
        <v>45806</v>
      </c>
      <c r="F46" s="77" t="s">
        <v>309</v>
      </c>
      <c r="G46" s="77" t="s">
        <v>454</v>
      </c>
      <c r="H46" s="77" t="s">
        <v>453</v>
      </c>
      <c r="I46" s="77" t="s">
        <v>455</v>
      </c>
      <c r="J46" s="77" t="s">
        <v>312</v>
      </c>
      <c r="K46" s="77" t="s">
        <v>305</v>
      </c>
      <c r="L46" s="77" t="s">
        <v>456</v>
      </c>
      <c r="M46" s="77" t="s">
        <v>457</v>
      </c>
      <c r="N46" s="129">
        <v>50000000</v>
      </c>
      <c r="O46" s="77" t="s">
        <v>458</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459</v>
      </c>
      <c r="B47" s="77" t="s">
        <v>747</v>
      </c>
      <c r="C47" s="77" t="s">
        <v>234</v>
      </c>
      <c r="D47" s="77">
        <v>45834</v>
      </c>
      <c r="E47" s="77">
        <v>45835</v>
      </c>
      <c r="F47" s="77" t="s">
        <v>301</v>
      </c>
      <c r="G47" s="77" t="s">
        <v>460</v>
      </c>
      <c r="H47" s="77" t="s">
        <v>459</v>
      </c>
      <c r="I47" s="77" t="s">
        <v>461</v>
      </c>
      <c r="J47" s="77" t="s">
        <v>312</v>
      </c>
      <c r="K47" s="77" t="s">
        <v>305</v>
      </c>
      <c r="L47" s="77" t="s">
        <v>462</v>
      </c>
      <c r="M47" s="77" t="s">
        <v>463</v>
      </c>
      <c r="N47" s="129">
        <v>475000000</v>
      </c>
      <c r="O47" s="77" t="s">
        <v>464</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465</v>
      </c>
      <c r="B48" s="77" t="s">
        <v>747</v>
      </c>
      <c r="C48" s="77" t="s">
        <v>234</v>
      </c>
      <c r="D48" s="77">
        <v>45859</v>
      </c>
      <c r="E48" s="77">
        <v>45860</v>
      </c>
      <c r="F48" s="77" t="s">
        <v>309</v>
      </c>
      <c r="G48" s="77" t="s">
        <v>673</v>
      </c>
      <c r="H48" s="77" t="s">
        <v>465</v>
      </c>
      <c r="I48" s="77" t="s">
        <v>455</v>
      </c>
      <c r="J48" s="77" t="s">
        <v>312</v>
      </c>
      <c r="K48" s="77" t="s">
        <v>305</v>
      </c>
      <c r="L48" s="77" t="s">
        <v>466</v>
      </c>
      <c r="M48" s="77" t="s">
        <v>467</v>
      </c>
      <c r="N48" s="129">
        <v>75000000</v>
      </c>
      <c r="O48" s="77" t="s">
        <v>458</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468</v>
      </c>
      <c r="B49" s="77" t="s">
        <v>747</v>
      </c>
      <c r="C49" s="77" t="s">
        <v>234</v>
      </c>
      <c r="D49" s="77">
        <v>45866</v>
      </c>
      <c r="E49" s="77">
        <v>45867</v>
      </c>
      <c r="F49" s="77" t="s">
        <v>309</v>
      </c>
      <c r="G49" s="77" t="s">
        <v>469</v>
      </c>
      <c r="H49" s="77" t="s">
        <v>468</v>
      </c>
      <c r="I49" s="77" t="s">
        <v>470</v>
      </c>
      <c r="J49" s="77" t="s">
        <v>312</v>
      </c>
      <c r="K49" s="77" t="s">
        <v>305</v>
      </c>
      <c r="L49" s="77" t="s">
        <v>471</v>
      </c>
      <c r="M49" s="77" t="s">
        <v>425</v>
      </c>
      <c r="N49" s="129">
        <v>110000000</v>
      </c>
      <c r="O49" s="77" t="s">
        <v>472</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473</v>
      </c>
      <c r="B50" s="77" t="s">
        <v>747</v>
      </c>
      <c r="C50" s="77" t="s">
        <v>234</v>
      </c>
      <c r="D50" s="77">
        <v>45889</v>
      </c>
      <c r="E50" s="77">
        <v>45890</v>
      </c>
      <c r="F50" s="77" t="s">
        <v>474</v>
      </c>
      <c r="G50" s="77" t="s">
        <v>674</v>
      </c>
      <c r="H50" s="77" t="s">
        <v>473</v>
      </c>
      <c r="I50" s="77" t="s">
        <v>337</v>
      </c>
      <c r="J50" s="77" t="s">
        <v>312</v>
      </c>
      <c r="K50" s="77" t="s">
        <v>305</v>
      </c>
      <c r="L50" s="77" t="s">
        <v>475</v>
      </c>
      <c r="M50" s="77" t="s">
        <v>476</v>
      </c>
      <c r="N50" s="129">
        <v>75000000</v>
      </c>
      <c r="O50" s="77" t="s">
        <v>340</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477</v>
      </c>
      <c r="B51" s="77" t="s">
        <v>747</v>
      </c>
      <c r="C51" s="77" t="s">
        <v>234</v>
      </c>
      <c r="D51" s="77">
        <v>45908</v>
      </c>
      <c r="E51" s="77">
        <v>45909</v>
      </c>
      <c r="F51" s="77" t="s">
        <v>309</v>
      </c>
      <c r="G51" s="77" t="s">
        <v>478</v>
      </c>
      <c r="H51" s="77" t="s">
        <v>477</v>
      </c>
      <c r="I51" s="77" t="s">
        <v>423</v>
      </c>
      <c r="J51" s="77" t="s">
        <v>312</v>
      </c>
      <c r="K51" s="77" t="s">
        <v>305</v>
      </c>
      <c r="L51" s="77" t="s">
        <v>424</v>
      </c>
      <c r="M51" s="77" t="s">
        <v>425</v>
      </c>
      <c r="N51" s="129">
        <v>50000000</v>
      </c>
      <c r="O51" s="77" t="s">
        <v>340</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479</v>
      </c>
      <c r="B52" s="77" t="s">
        <v>747</v>
      </c>
      <c r="C52" s="77" t="s">
        <v>234</v>
      </c>
      <c r="D52" s="77">
        <v>45908</v>
      </c>
      <c r="E52" s="77">
        <v>45909</v>
      </c>
      <c r="F52" s="77" t="s">
        <v>301</v>
      </c>
      <c r="G52" s="77" t="s">
        <v>675</v>
      </c>
      <c r="H52" s="77" t="s">
        <v>479</v>
      </c>
      <c r="I52" s="77" t="s">
        <v>480</v>
      </c>
      <c r="J52" s="77" t="s">
        <v>312</v>
      </c>
      <c r="K52" s="77" t="s">
        <v>305</v>
      </c>
      <c r="L52" s="77" t="s">
        <v>481</v>
      </c>
      <c r="M52" s="77" t="s">
        <v>434</v>
      </c>
      <c r="N52" s="129">
        <v>115000000</v>
      </c>
      <c r="O52" s="77" t="s">
        <v>376</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482</v>
      </c>
      <c r="B53" s="77" t="s">
        <v>747</v>
      </c>
      <c r="C53" s="77" t="s">
        <v>234</v>
      </c>
      <c r="D53" s="77">
        <v>45908</v>
      </c>
      <c r="E53" s="77">
        <v>45909</v>
      </c>
      <c r="F53" s="77" t="s">
        <v>301</v>
      </c>
      <c r="G53" s="77" t="s">
        <v>676</v>
      </c>
      <c r="H53" s="77" t="s">
        <v>482</v>
      </c>
      <c r="I53" s="77" t="s">
        <v>379</v>
      </c>
      <c r="J53" s="77" t="s">
        <v>312</v>
      </c>
      <c r="K53" s="77" t="s">
        <v>305</v>
      </c>
      <c r="L53" s="77" t="s">
        <v>483</v>
      </c>
      <c r="M53" s="77" t="s">
        <v>425</v>
      </c>
      <c r="N53" s="129">
        <v>100000000</v>
      </c>
      <c r="O53" s="77" t="s">
        <v>382</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679</v>
      </c>
      <c r="B54" s="77" t="s">
        <v>747</v>
      </c>
      <c r="C54" s="77" t="s">
        <v>234</v>
      </c>
      <c r="D54" s="77">
        <v>45912</v>
      </c>
      <c r="E54" s="77">
        <v>45917</v>
      </c>
      <c r="F54" s="77" t="s">
        <v>677</v>
      </c>
      <c r="G54" s="77" t="s">
        <v>678</v>
      </c>
      <c r="H54" s="77" t="s">
        <v>679</v>
      </c>
      <c r="I54" s="77" t="s">
        <v>677</v>
      </c>
      <c r="J54" s="77" t="s">
        <v>304</v>
      </c>
      <c r="K54" s="77" t="s">
        <v>313</v>
      </c>
      <c r="L54" s="77">
        <v>45917</v>
      </c>
      <c r="M54" s="77">
        <v>47013</v>
      </c>
      <c r="N54" s="129">
        <v>60000000</v>
      </c>
      <c r="O54" s="77" t="s">
        <v>680</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509</v>
      </c>
      <c r="B55" s="77" t="s">
        <v>747</v>
      </c>
      <c r="C55" s="77" t="s">
        <v>234</v>
      </c>
      <c r="D55" s="77">
        <v>45917</v>
      </c>
      <c r="E55" s="77">
        <v>45918</v>
      </c>
      <c r="F55" s="77" t="s">
        <v>301</v>
      </c>
      <c r="G55" s="77" t="s">
        <v>681</v>
      </c>
      <c r="H55" s="77" t="s">
        <v>509</v>
      </c>
      <c r="I55" s="77" t="s">
        <v>303</v>
      </c>
      <c r="J55" s="77" t="s">
        <v>304</v>
      </c>
      <c r="K55" s="77" t="s">
        <v>305</v>
      </c>
      <c r="L55" s="77" t="s">
        <v>682</v>
      </c>
      <c r="M55" s="77" t="s">
        <v>683</v>
      </c>
      <c r="N55" s="129">
        <v>150000000</v>
      </c>
      <c r="O55" s="77" t="s">
        <v>308</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520</v>
      </c>
      <c r="B56" s="77" t="s">
        <v>747</v>
      </c>
      <c r="C56" s="77" t="s">
        <v>234</v>
      </c>
      <c r="D56" s="77">
        <v>45918</v>
      </c>
      <c r="E56" s="77">
        <v>45919</v>
      </c>
      <c r="F56" s="77" t="s">
        <v>474</v>
      </c>
      <c r="G56" s="77" t="s">
        <v>684</v>
      </c>
      <c r="H56" s="77" t="s">
        <v>520</v>
      </c>
      <c r="I56" s="77" t="s">
        <v>685</v>
      </c>
      <c r="J56" s="77" t="s">
        <v>312</v>
      </c>
      <c r="K56" s="77" t="s">
        <v>313</v>
      </c>
      <c r="L56" s="77" t="s">
        <v>686</v>
      </c>
      <c r="M56" s="77" t="s">
        <v>687</v>
      </c>
      <c r="N56" s="129">
        <v>50000000</v>
      </c>
      <c r="O56" s="77" t="s">
        <v>688</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518</v>
      </c>
      <c r="B57" s="77" t="s">
        <v>747</v>
      </c>
      <c r="C57" s="77" t="s">
        <v>234</v>
      </c>
      <c r="D57" s="77">
        <v>45929</v>
      </c>
      <c r="E57" s="77">
        <v>45930</v>
      </c>
      <c r="F57" s="77" t="s">
        <v>309</v>
      </c>
      <c r="G57" s="77" t="s">
        <v>695</v>
      </c>
      <c r="H57" s="77" t="s">
        <v>518</v>
      </c>
      <c r="I57" s="77" t="s">
        <v>432</v>
      </c>
      <c r="J57" s="77" t="s">
        <v>304</v>
      </c>
      <c r="K57" s="77" t="s">
        <v>305</v>
      </c>
      <c r="L57" s="77" t="s">
        <v>412</v>
      </c>
      <c r="M57" s="77" t="s">
        <v>434</v>
      </c>
      <c r="N57" s="129">
        <v>400000000</v>
      </c>
      <c r="O57" s="77" t="s">
        <v>435</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511</v>
      </c>
      <c r="B58" s="77" t="s">
        <v>747</v>
      </c>
      <c r="C58" s="77" t="s">
        <v>234</v>
      </c>
      <c r="D58" s="77">
        <v>45931</v>
      </c>
      <c r="E58" s="77">
        <v>45932</v>
      </c>
      <c r="F58" s="77" t="s">
        <v>301</v>
      </c>
      <c r="G58" s="77" t="s">
        <v>696</v>
      </c>
      <c r="H58" s="77" t="s">
        <v>511</v>
      </c>
      <c r="I58" s="77" t="s">
        <v>360</v>
      </c>
      <c r="J58" s="77" t="s">
        <v>312</v>
      </c>
      <c r="K58" s="77" t="s">
        <v>305</v>
      </c>
      <c r="L58" s="77" t="s">
        <v>697</v>
      </c>
      <c r="M58" s="77" t="s">
        <v>315</v>
      </c>
      <c r="N58" s="129">
        <v>400000000</v>
      </c>
      <c r="O58" s="77" t="s">
        <v>363</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514</v>
      </c>
      <c r="B59" s="77" t="s">
        <v>747</v>
      </c>
      <c r="C59" s="77" t="s">
        <v>234</v>
      </c>
      <c r="D59" s="77">
        <v>45939</v>
      </c>
      <c r="E59" s="77">
        <v>45940</v>
      </c>
      <c r="F59" s="77" t="s">
        <v>301</v>
      </c>
      <c r="G59" s="77" t="s">
        <v>698</v>
      </c>
      <c r="H59" s="77" t="s">
        <v>514</v>
      </c>
      <c r="I59" s="77" t="s">
        <v>417</v>
      </c>
      <c r="J59" s="77" t="s">
        <v>312</v>
      </c>
      <c r="K59" s="77" t="s">
        <v>305</v>
      </c>
      <c r="L59" s="77" t="s">
        <v>699</v>
      </c>
      <c r="M59" s="77" t="s">
        <v>700</v>
      </c>
      <c r="N59" s="129">
        <v>250000000</v>
      </c>
      <c r="O59" s="77" t="s">
        <v>420</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512</v>
      </c>
      <c r="B60" s="77" t="s">
        <v>747</v>
      </c>
      <c r="C60" s="77" t="s">
        <v>234</v>
      </c>
      <c r="D60" s="77">
        <v>45939</v>
      </c>
      <c r="E60" s="77">
        <v>45944</v>
      </c>
      <c r="F60" s="77" t="s">
        <v>474</v>
      </c>
      <c r="G60" s="77" t="s">
        <v>701</v>
      </c>
      <c r="H60" s="77" t="s">
        <v>512</v>
      </c>
      <c r="I60" s="77" t="s">
        <v>417</v>
      </c>
      <c r="J60" s="77" t="s">
        <v>312</v>
      </c>
      <c r="K60" s="77" t="s">
        <v>305</v>
      </c>
      <c r="L60" s="77" t="s">
        <v>699</v>
      </c>
      <c r="M60" s="77" t="s">
        <v>700</v>
      </c>
      <c r="N60" s="129">
        <v>150000000</v>
      </c>
      <c r="O60" s="77" t="s">
        <v>420</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772</v>
      </c>
      <c r="B61" s="77" t="s">
        <v>747</v>
      </c>
      <c r="C61" s="77" t="s">
        <v>234</v>
      </c>
      <c r="D61" s="77">
        <v>45944</v>
      </c>
      <c r="E61" s="77">
        <v>45945</v>
      </c>
      <c r="F61" s="77" t="s">
        <v>301</v>
      </c>
      <c r="G61" s="77" t="s">
        <v>702</v>
      </c>
      <c r="H61" s="77" t="s">
        <v>772</v>
      </c>
      <c r="I61" s="77" t="s">
        <v>427</v>
      </c>
      <c r="J61" s="77" t="s">
        <v>304</v>
      </c>
      <c r="K61" s="77" t="s">
        <v>305</v>
      </c>
      <c r="L61" s="77" t="s">
        <v>703</v>
      </c>
      <c r="M61" s="77" t="s">
        <v>704</v>
      </c>
      <c r="N61" s="129">
        <v>450000000</v>
      </c>
      <c r="O61" s="77" t="s">
        <v>430</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709</v>
      </c>
      <c r="B62" s="77" t="s">
        <v>747</v>
      </c>
      <c r="C62" s="77" t="s">
        <v>234</v>
      </c>
      <c r="D62" s="77">
        <v>45947</v>
      </c>
      <c r="E62" s="77">
        <v>45965</v>
      </c>
      <c r="F62" s="77" t="s">
        <v>677</v>
      </c>
      <c r="G62" s="77" t="s">
        <v>708</v>
      </c>
      <c r="H62" s="77" t="s">
        <v>709</v>
      </c>
      <c r="I62" s="77" t="s">
        <v>710</v>
      </c>
      <c r="J62" s="77" t="s">
        <v>312</v>
      </c>
      <c r="K62" s="77" t="s">
        <v>305</v>
      </c>
      <c r="L62" s="201">
        <v>45992</v>
      </c>
      <c r="M62" s="77">
        <v>47452</v>
      </c>
      <c r="N62" s="129">
        <v>200000000</v>
      </c>
      <c r="O62" s="77" t="s">
        <v>711</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515</v>
      </c>
      <c r="B63" s="77" t="s">
        <v>747</v>
      </c>
      <c r="C63" s="77" t="s">
        <v>234</v>
      </c>
      <c r="D63" s="77">
        <v>45951</v>
      </c>
      <c r="E63" s="77">
        <v>45952</v>
      </c>
      <c r="F63" s="77" t="s">
        <v>309</v>
      </c>
      <c r="G63" s="77" t="s">
        <v>712</v>
      </c>
      <c r="H63" s="77" t="s">
        <v>515</v>
      </c>
      <c r="I63" s="77" t="s">
        <v>713</v>
      </c>
      <c r="J63" s="77" t="s">
        <v>304</v>
      </c>
      <c r="K63" s="77" t="s">
        <v>313</v>
      </c>
      <c r="L63" s="201" t="s">
        <v>714</v>
      </c>
      <c r="M63" s="77" t="s">
        <v>381</v>
      </c>
      <c r="N63" s="129">
        <v>90000000</v>
      </c>
      <c r="O63" s="77" t="s">
        <v>715</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739</v>
      </c>
      <c r="B64" s="77" t="s">
        <v>747</v>
      </c>
      <c r="C64" s="77" t="s">
        <v>234</v>
      </c>
      <c r="D64" s="77">
        <v>45957</v>
      </c>
      <c r="E64" s="77">
        <v>45958</v>
      </c>
      <c r="F64" s="77" t="s">
        <v>309</v>
      </c>
      <c r="G64" s="77" t="s">
        <v>365</v>
      </c>
      <c r="H64" s="77" t="s">
        <v>739</v>
      </c>
      <c r="I64" s="77" t="s">
        <v>366</v>
      </c>
      <c r="J64" s="77" t="s">
        <v>312</v>
      </c>
      <c r="K64" s="77" t="s">
        <v>367</v>
      </c>
      <c r="L64" s="201" t="s">
        <v>368</v>
      </c>
      <c r="M64" s="77" t="s">
        <v>369</v>
      </c>
      <c r="N64" s="129">
        <v>100000000</v>
      </c>
      <c r="O64" s="77" t="s">
        <v>370</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510</v>
      </c>
      <c r="B65" s="77" t="s">
        <v>747</v>
      </c>
      <c r="C65" s="77" t="s">
        <v>234</v>
      </c>
      <c r="D65" s="77">
        <v>45957</v>
      </c>
      <c r="E65" s="77">
        <v>45958</v>
      </c>
      <c r="F65" s="77" t="s">
        <v>301</v>
      </c>
      <c r="G65" s="77" t="s">
        <v>716</v>
      </c>
      <c r="H65" s="77" t="s">
        <v>510</v>
      </c>
      <c r="I65" s="77" t="s">
        <v>337</v>
      </c>
      <c r="J65" s="77" t="s">
        <v>312</v>
      </c>
      <c r="K65" s="77" t="s">
        <v>305</v>
      </c>
      <c r="L65" s="201" t="s">
        <v>338</v>
      </c>
      <c r="M65" s="77" t="s">
        <v>339</v>
      </c>
      <c r="N65" s="129">
        <v>150000000</v>
      </c>
      <c r="O65" s="77" t="s">
        <v>340</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741</v>
      </c>
      <c r="B66" s="77" t="s">
        <v>747</v>
      </c>
      <c r="C66" s="77" t="s">
        <v>234</v>
      </c>
      <c r="D66" s="77">
        <v>45957</v>
      </c>
      <c r="E66" s="77">
        <v>45958</v>
      </c>
      <c r="F66" s="77" t="s">
        <v>301</v>
      </c>
      <c r="G66" s="77" t="s">
        <v>717</v>
      </c>
      <c r="H66" s="77" t="s">
        <v>741</v>
      </c>
      <c r="I66" s="77" t="s">
        <v>417</v>
      </c>
      <c r="J66" s="77" t="s">
        <v>312</v>
      </c>
      <c r="K66" s="77" t="s">
        <v>305</v>
      </c>
      <c r="L66" s="201" t="s">
        <v>418</v>
      </c>
      <c r="M66" s="77" t="s">
        <v>419</v>
      </c>
      <c r="N66" s="129">
        <v>175000000</v>
      </c>
      <c r="O66" s="77" t="s">
        <v>420</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517</v>
      </c>
      <c r="B67" s="77" t="s">
        <v>747</v>
      </c>
      <c r="C67" s="77" t="s">
        <v>234</v>
      </c>
      <c r="D67" s="77">
        <v>45960</v>
      </c>
      <c r="E67" s="77">
        <v>45961</v>
      </c>
      <c r="F67" s="77" t="s">
        <v>301</v>
      </c>
      <c r="G67" s="77" t="s">
        <v>718</v>
      </c>
      <c r="H67" s="77" t="s">
        <v>517</v>
      </c>
      <c r="I67" s="77" t="s">
        <v>406</v>
      </c>
      <c r="J67" s="77" t="s">
        <v>304</v>
      </c>
      <c r="K67" s="77" t="s">
        <v>305</v>
      </c>
      <c r="L67" s="201" t="s">
        <v>407</v>
      </c>
      <c r="M67" s="77" t="s">
        <v>408</v>
      </c>
      <c r="N67" s="129">
        <v>150000000</v>
      </c>
      <c r="O67" s="77" t="s">
        <v>334</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519</v>
      </c>
      <c r="B68" s="77" t="s">
        <v>747</v>
      </c>
      <c r="C68" s="77" t="s">
        <v>234</v>
      </c>
      <c r="D68" s="77">
        <v>45960</v>
      </c>
      <c r="E68" s="77">
        <v>45961</v>
      </c>
      <c r="F68" s="77" t="s">
        <v>301</v>
      </c>
      <c r="G68" s="77" t="s">
        <v>719</v>
      </c>
      <c r="H68" s="77" t="s">
        <v>519</v>
      </c>
      <c r="I68" s="77" t="s">
        <v>331</v>
      </c>
      <c r="J68" s="77" t="s">
        <v>304</v>
      </c>
      <c r="K68" s="77" t="s">
        <v>305</v>
      </c>
      <c r="L68" s="201" t="s">
        <v>720</v>
      </c>
      <c r="M68" s="77" t="s">
        <v>721</v>
      </c>
      <c r="N68" s="129">
        <v>225000000</v>
      </c>
      <c r="O68" s="77" t="s">
        <v>334</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521</v>
      </c>
      <c r="B69" s="77" t="s">
        <v>747</v>
      </c>
      <c r="C69" s="77" t="s">
        <v>234</v>
      </c>
      <c r="D69" s="77">
        <v>45964</v>
      </c>
      <c r="E69" s="77">
        <v>45965</v>
      </c>
      <c r="F69" s="77" t="s">
        <v>301</v>
      </c>
      <c r="G69" s="77" t="s">
        <v>722</v>
      </c>
      <c r="H69" s="77" t="s">
        <v>521</v>
      </c>
      <c r="I69" s="77" t="s">
        <v>432</v>
      </c>
      <c r="J69" s="77" t="s">
        <v>304</v>
      </c>
      <c r="K69" s="77" t="s">
        <v>305</v>
      </c>
      <c r="L69" s="201" t="s">
        <v>723</v>
      </c>
      <c r="M69" s="77" t="s">
        <v>724</v>
      </c>
      <c r="N69" s="129">
        <v>250000000</v>
      </c>
      <c r="O69" s="77" t="s">
        <v>435</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522</v>
      </c>
      <c r="B70" s="77" t="s">
        <v>747</v>
      </c>
      <c r="C70" s="77" t="s">
        <v>234</v>
      </c>
      <c r="D70" s="77">
        <v>45965</v>
      </c>
      <c r="E70" s="77">
        <v>45966</v>
      </c>
      <c r="F70" s="77" t="s">
        <v>309</v>
      </c>
      <c r="G70" s="77" t="s">
        <v>725</v>
      </c>
      <c r="H70" s="77" t="s">
        <v>522</v>
      </c>
      <c r="I70" s="77" t="s">
        <v>423</v>
      </c>
      <c r="J70" s="77" t="s">
        <v>312</v>
      </c>
      <c r="K70" s="77" t="s">
        <v>305</v>
      </c>
      <c r="L70" s="201" t="s">
        <v>726</v>
      </c>
      <c r="M70" s="77" t="s">
        <v>724</v>
      </c>
      <c r="N70" s="129">
        <v>200000000</v>
      </c>
      <c r="O70" s="77" t="s">
        <v>340</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523</v>
      </c>
      <c r="B71" s="77" t="s">
        <v>747</v>
      </c>
      <c r="C71" s="77" t="s">
        <v>234</v>
      </c>
      <c r="D71" s="77">
        <v>45966</v>
      </c>
      <c r="E71" s="77">
        <v>45968</v>
      </c>
      <c r="F71" s="77" t="s">
        <v>301</v>
      </c>
      <c r="G71" s="77" t="s">
        <v>727</v>
      </c>
      <c r="H71" s="77" t="s">
        <v>523</v>
      </c>
      <c r="I71" s="77" t="s">
        <v>728</v>
      </c>
      <c r="J71" s="77" t="s">
        <v>312</v>
      </c>
      <c r="K71" s="77" t="s">
        <v>305</v>
      </c>
      <c r="L71" s="201" t="s">
        <v>729</v>
      </c>
      <c r="M71" s="77" t="s">
        <v>730</v>
      </c>
      <c r="N71" s="263">
        <v>200000000</v>
      </c>
      <c r="O71" s="77" t="s">
        <v>731</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770</v>
      </c>
      <c r="B72" s="77" t="s">
        <v>747</v>
      </c>
      <c r="C72" s="77" t="s">
        <v>234</v>
      </c>
      <c r="D72" s="77">
        <v>45967</v>
      </c>
      <c r="E72" s="77">
        <v>45968</v>
      </c>
      <c r="F72" s="77" t="s">
        <v>309</v>
      </c>
      <c r="G72" s="77" t="s">
        <v>732</v>
      </c>
      <c r="H72" s="77" t="s">
        <v>770</v>
      </c>
      <c r="I72" s="77" t="s">
        <v>733</v>
      </c>
      <c r="J72" s="77" t="s">
        <v>312</v>
      </c>
      <c r="K72" s="77" t="s">
        <v>305</v>
      </c>
      <c r="L72" s="201" t="s">
        <v>734</v>
      </c>
      <c r="M72" s="77" t="s">
        <v>467</v>
      </c>
      <c r="N72" s="263">
        <v>200000000</v>
      </c>
      <c r="O72" s="77" t="s">
        <v>430</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749</v>
      </c>
      <c r="B73" s="77" t="s">
        <v>747</v>
      </c>
      <c r="C73" s="77" t="s">
        <v>234</v>
      </c>
      <c r="D73" s="77">
        <v>45967</v>
      </c>
      <c r="E73" s="77">
        <v>45981</v>
      </c>
      <c r="F73" s="77" t="s">
        <v>677</v>
      </c>
      <c r="G73" s="77" t="s">
        <v>748</v>
      </c>
      <c r="H73" s="77" t="s">
        <v>749</v>
      </c>
      <c r="I73" s="77" t="s">
        <v>750</v>
      </c>
      <c r="J73" s="77" t="s">
        <v>312</v>
      </c>
      <c r="K73" s="77" t="s">
        <v>313</v>
      </c>
      <c r="L73" s="201">
        <v>45992</v>
      </c>
      <c r="M73" s="77">
        <v>47452</v>
      </c>
      <c r="N73" s="263">
        <v>55000000</v>
      </c>
      <c r="O73" s="77" t="s">
        <v>751</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753</v>
      </c>
      <c r="B74" s="77" t="s">
        <v>747</v>
      </c>
      <c r="C74" s="77" t="s">
        <v>234</v>
      </c>
      <c r="D74" s="77">
        <v>45967</v>
      </c>
      <c r="E74" s="77">
        <v>45981</v>
      </c>
      <c r="F74" s="77" t="s">
        <v>677</v>
      </c>
      <c r="G74" s="77" t="s">
        <v>752</v>
      </c>
      <c r="H74" s="77" t="s">
        <v>753</v>
      </c>
      <c r="I74" s="77" t="s">
        <v>750</v>
      </c>
      <c r="J74" s="77" t="s">
        <v>304</v>
      </c>
      <c r="K74" s="77" t="s">
        <v>313</v>
      </c>
      <c r="L74" s="201">
        <v>45992</v>
      </c>
      <c r="M74" s="77">
        <v>47452</v>
      </c>
      <c r="N74" s="263">
        <v>30000000</v>
      </c>
      <c r="O74" s="77" t="s">
        <v>754</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513</v>
      </c>
      <c r="B75" s="77" t="s">
        <v>747</v>
      </c>
      <c r="C75" s="77" t="s">
        <v>234</v>
      </c>
      <c r="D75" s="77">
        <v>45974</v>
      </c>
      <c r="E75" s="77">
        <v>45978</v>
      </c>
      <c r="F75" s="77" t="s">
        <v>301</v>
      </c>
      <c r="G75" s="77" t="s">
        <v>755</v>
      </c>
      <c r="H75" s="77" t="s">
        <v>513</v>
      </c>
      <c r="I75" s="77" t="s">
        <v>756</v>
      </c>
      <c r="J75" s="77" t="s">
        <v>304</v>
      </c>
      <c r="K75" s="77" t="s">
        <v>313</v>
      </c>
      <c r="L75" s="201" t="s">
        <v>757</v>
      </c>
      <c r="M75" s="77" t="s">
        <v>758</v>
      </c>
      <c r="N75" s="263">
        <v>75000000</v>
      </c>
      <c r="O75" s="77" t="s">
        <v>759</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771</v>
      </c>
      <c r="B76" s="77" t="s">
        <v>747</v>
      </c>
      <c r="C76" s="77" t="s">
        <v>234</v>
      </c>
      <c r="D76" s="77">
        <v>45974</v>
      </c>
      <c r="E76" s="77">
        <v>45975</v>
      </c>
      <c r="F76" s="77" t="s">
        <v>309</v>
      </c>
      <c r="G76" s="77" t="s">
        <v>732</v>
      </c>
      <c r="H76" s="77" t="s">
        <v>771</v>
      </c>
      <c r="I76" s="77" t="s">
        <v>733</v>
      </c>
      <c r="J76" s="77" t="s">
        <v>312</v>
      </c>
      <c r="K76" s="77" t="s">
        <v>305</v>
      </c>
      <c r="L76" s="201" t="s">
        <v>734</v>
      </c>
      <c r="M76" s="77" t="s">
        <v>467</v>
      </c>
      <c r="N76" s="263">
        <v>200000000</v>
      </c>
      <c r="O76" s="77" t="s">
        <v>430</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508</v>
      </c>
      <c r="B77" s="77" t="s">
        <v>747</v>
      </c>
      <c r="C77" s="77" t="s">
        <v>234</v>
      </c>
      <c r="D77" s="77">
        <v>45974</v>
      </c>
      <c r="E77" s="77">
        <v>45975</v>
      </c>
      <c r="F77" s="77" t="s">
        <v>309</v>
      </c>
      <c r="G77" s="77" t="s">
        <v>760</v>
      </c>
      <c r="H77" s="77" t="s">
        <v>508</v>
      </c>
      <c r="I77" s="77" t="s">
        <v>761</v>
      </c>
      <c r="J77" s="77" t="s">
        <v>304</v>
      </c>
      <c r="K77" s="77" t="s">
        <v>305</v>
      </c>
      <c r="L77" s="201" t="s">
        <v>762</v>
      </c>
      <c r="M77" s="77" t="s">
        <v>763</v>
      </c>
      <c r="N77" s="263">
        <v>600000000</v>
      </c>
      <c r="O77" s="77" t="s">
        <v>322</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773</v>
      </c>
      <c r="B78" s="77" t="s">
        <v>747</v>
      </c>
      <c r="C78" s="77" t="s">
        <v>234</v>
      </c>
      <c r="D78" s="77">
        <v>45974</v>
      </c>
      <c r="E78" s="77">
        <v>45975</v>
      </c>
      <c r="F78" s="77" t="s">
        <v>301</v>
      </c>
      <c r="G78" s="77" t="s">
        <v>764</v>
      </c>
      <c r="H78" s="77" t="s">
        <v>773</v>
      </c>
      <c r="I78" s="77" t="s">
        <v>427</v>
      </c>
      <c r="J78" s="77" t="s">
        <v>304</v>
      </c>
      <c r="K78" s="77" t="s">
        <v>305</v>
      </c>
      <c r="L78" s="201" t="s">
        <v>703</v>
      </c>
      <c r="M78" s="77" t="s">
        <v>704</v>
      </c>
      <c r="N78" s="263">
        <v>450000000</v>
      </c>
      <c r="O78" s="77" t="s">
        <v>430</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506</v>
      </c>
      <c r="B79" s="152" t="s">
        <v>747</v>
      </c>
      <c r="C79" s="152" t="s">
        <v>234</v>
      </c>
      <c r="D79" s="152">
        <v>45974</v>
      </c>
      <c r="E79" s="152">
        <v>45975</v>
      </c>
      <c r="F79" s="152" t="s">
        <v>301</v>
      </c>
      <c r="G79" s="152" t="s">
        <v>765</v>
      </c>
      <c r="H79" s="152" t="s">
        <v>506</v>
      </c>
      <c r="I79" s="152" t="s">
        <v>766</v>
      </c>
      <c r="J79" s="152" t="s">
        <v>312</v>
      </c>
      <c r="K79" s="152" t="s">
        <v>367</v>
      </c>
      <c r="L79" s="213" t="s">
        <v>767</v>
      </c>
      <c r="M79" s="152" t="s">
        <v>381</v>
      </c>
      <c r="N79" s="153">
        <v>85000000</v>
      </c>
      <c r="O79" s="152" t="s">
        <v>768</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484</v>
      </c>
      <c r="B80" s="159" t="s">
        <v>485</v>
      </c>
      <c r="C80" s="158" t="s">
        <v>234</v>
      </c>
      <c r="D80" s="158">
        <v>45782</v>
      </c>
      <c r="E80" s="158">
        <v>45783</v>
      </c>
      <c r="F80" s="158" t="s">
        <v>309</v>
      </c>
      <c r="G80" s="158" t="s">
        <v>486</v>
      </c>
      <c r="H80" s="158" t="s">
        <v>484</v>
      </c>
      <c r="I80" s="158" t="s">
        <v>487</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484</v>
      </c>
      <c r="B81" s="159" t="s">
        <v>485</v>
      </c>
      <c r="C81" s="158" t="s">
        <v>234</v>
      </c>
      <c r="D81" s="158">
        <v>45783</v>
      </c>
      <c r="E81" s="158">
        <v>45784</v>
      </c>
      <c r="F81" s="158" t="s">
        <v>309</v>
      </c>
      <c r="G81" s="158" t="s">
        <v>486</v>
      </c>
      <c r="H81" s="158" t="s">
        <v>484</v>
      </c>
      <c r="I81" s="158" t="s">
        <v>487</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488</v>
      </c>
      <c r="B82" s="159" t="s">
        <v>485</v>
      </c>
      <c r="C82" s="158" t="s">
        <v>234</v>
      </c>
      <c r="D82" s="158">
        <v>45786</v>
      </c>
      <c r="E82" s="158">
        <v>45789</v>
      </c>
      <c r="F82" s="158" t="s">
        <v>309</v>
      </c>
      <c r="G82" s="158" t="s">
        <v>489</v>
      </c>
      <c r="H82" s="158" t="s">
        <v>488</v>
      </c>
      <c r="I82" s="158" t="s">
        <v>487</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490</v>
      </c>
      <c r="B83" s="159" t="s">
        <v>485</v>
      </c>
      <c r="C83" s="158" t="s">
        <v>234</v>
      </c>
      <c r="D83" s="158">
        <v>45796</v>
      </c>
      <c r="E83" s="158">
        <v>45797</v>
      </c>
      <c r="F83" s="158" t="s">
        <v>309</v>
      </c>
      <c r="G83" s="158" t="s">
        <v>491</v>
      </c>
      <c r="H83" s="158" t="s">
        <v>490</v>
      </c>
      <c r="I83" s="158" t="s">
        <v>487</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484</v>
      </c>
      <c r="B84" s="159" t="s">
        <v>485</v>
      </c>
      <c r="C84" s="158" t="s">
        <v>492</v>
      </c>
      <c r="D84" s="158">
        <v>45805</v>
      </c>
      <c r="E84" s="158">
        <v>45806</v>
      </c>
      <c r="F84" s="158" t="s">
        <v>309</v>
      </c>
      <c r="G84" s="158" t="s">
        <v>486</v>
      </c>
      <c r="H84" s="158" t="s">
        <v>484</v>
      </c>
      <c r="I84" s="158" t="s">
        <v>487</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484</v>
      </c>
      <c r="B85" s="159" t="s">
        <v>485</v>
      </c>
      <c r="C85" s="158" t="s">
        <v>492</v>
      </c>
      <c r="D85" s="158">
        <v>45833</v>
      </c>
      <c r="E85" s="158">
        <v>45834</v>
      </c>
      <c r="F85" s="158" t="s">
        <v>309</v>
      </c>
      <c r="G85" s="158" t="s">
        <v>486</v>
      </c>
      <c r="H85" s="158" t="s">
        <v>484</v>
      </c>
      <c r="I85" s="158" t="s">
        <v>487</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484</v>
      </c>
      <c r="B86" s="159" t="s">
        <v>485</v>
      </c>
      <c r="C86" s="158" t="s">
        <v>492</v>
      </c>
      <c r="D86" s="158">
        <v>45834</v>
      </c>
      <c r="E86" s="158">
        <v>45834</v>
      </c>
      <c r="F86" s="158" t="s">
        <v>309</v>
      </c>
      <c r="G86" s="158" t="s">
        <v>486</v>
      </c>
      <c r="H86" s="158" t="s">
        <v>484</v>
      </c>
      <c r="I86" s="158" t="s">
        <v>487</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493</v>
      </c>
      <c r="B87" s="159" t="s">
        <v>485</v>
      </c>
      <c r="C87" s="158" t="s">
        <v>234</v>
      </c>
      <c r="D87" s="158">
        <v>45849</v>
      </c>
      <c r="E87" s="158">
        <v>45849</v>
      </c>
      <c r="F87" s="158" t="s">
        <v>309</v>
      </c>
      <c r="G87" s="158" t="s">
        <v>494</v>
      </c>
      <c r="H87" s="158" t="s">
        <v>493</v>
      </c>
      <c r="I87" s="158" t="s">
        <v>487</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495</v>
      </c>
      <c r="B88" s="159" t="s">
        <v>485</v>
      </c>
      <c r="C88" s="158" t="s">
        <v>234</v>
      </c>
      <c r="D88" s="158">
        <v>45855</v>
      </c>
      <c r="E88" s="158">
        <v>45855</v>
      </c>
      <c r="F88" s="158" t="s">
        <v>309</v>
      </c>
      <c r="G88" s="158" t="s">
        <v>496</v>
      </c>
      <c r="H88" s="158" t="s">
        <v>495</v>
      </c>
      <c r="I88" s="158" t="s">
        <v>487</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497</v>
      </c>
      <c r="B89" s="159" t="s">
        <v>485</v>
      </c>
      <c r="C89" s="158" t="s">
        <v>234</v>
      </c>
      <c r="D89" s="158">
        <v>45867</v>
      </c>
      <c r="E89" s="158">
        <v>45867</v>
      </c>
      <c r="F89" s="158" t="s">
        <v>309</v>
      </c>
      <c r="G89" s="158" t="s">
        <v>498</v>
      </c>
      <c r="H89" s="158" t="s">
        <v>497</v>
      </c>
      <c r="I89" s="158" t="s">
        <v>487</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497</v>
      </c>
      <c r="B90" s="159" t="s">
        <v>485</v>
      </c>
      <c r="C90" s="158" t="s">
        <v>234</v>
      </c>
      <c r="D90" s="158">
        <v>45868</v>
      </c>
      <c r="E90" s="158">
        <v>45868</v>
      </c>
      <c r="F90" s="158" t="s">
        <v>309</v>
      </c>
      <c r="G90" s="158" t="s">
        <v>498</v>
      </c>
      <c r="H90" s="158" t="s">
        <v>497</v>
      </c>
      <c r="I90" s="158" t="s">
        <v>487</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484</v>
      </c>
      <c r="B91" s="159" t="s">
        <v>485</v>
      </c>
      <c r="C91" s="158" t="s">
        <v>492</v>
      </c>
      <c r="D91" s="158">
        <v>45869</v>
      </c>
      <c r="E91" s="158">
        <v>45869</v>
      </c>
      <c r="F91" s="158" t="s">
        <v>499</v>
      </c>
      <c r="G91" s="158" t="s">
        <v>486</v>
      </c>
      <c r="H91" s="158" t="s">
        <v>484</v>
      </c>
      <c r="I91" s="158" t="s">
        <v>487</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497</v>
      </c>
      <c r="B92" s="159" t="s">
        <v>485</v>
      </c>
      <c r="C92" s="158" t="s">
        <v>234</v>
      </c>
      <c r="D92" s="158">
        <v>45869</v>
      </c>
      <c r="E92" s="158">
        <v>45869</v>
      </c>
      <c r="F92" s="158" t="s">
        <v>309</v>
      </c>
      <c r="G92" s="158" t="s">
        <v>498</v>
      </c>
      <c r="H92" s="158" t="s">
        <v>497</v>
      </c>
      <c r="I92" s="158" t="s">
        <v>487</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497</v>
      </c>
      <c r="B93" s="159" t="s">
        <v>485</v>
      </c>
      <c r="C93" s="158" t="s">
        <v>234</v>
      </c>
      <c r="D93" s="158">
        <v>45870</v>
      </c>
      <c r="E93" s="158">
        <v>45870</v>
      </c>
      <c r="F93" s="158" t="s">
        <v>309</v>
      </c>
      <c r="G93" s="158" t="s">
        <v>498</v>
      </c>
      <c r="H93" s="158" t="s">
        <v>497</v>
      </c>
      <c r="I93" s="158" t="s">
        <v>487</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488</v>
      </c>
      <c r="B94" s="159" t="s">
        <v>485</v>
      </c>
      <c r="C94" s="158" t="s">
        <v>492</v>
      </c>
      <c r="D94" s="158">
        <v>45874</v>
      </c>
      <c r="E94" s="158">
        <v>45875</v>
      </c>
      <c r="F94" s="158" t="s">
        <v>309</v>
      </c>
      <c r="G94" s="158" t="s">
        <v>489</v>
      </c>
      <c r="H94" s="158" t="s">
        <v>488</v>
      </c>
      <c r="I94" s="158" t="s">
        <v>487</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490</v>
      </c>
      <c r="B95" s="159" t="s">
        <v>485</v>
      </c>
      <c r="C95" s="158" t="s">
        <v>492</v>
      </c>
      <c r="D95" s="158">
        <v>45874</v>
      </c>
      <c r="E95" s="158">
        <v>45875</v>
      </c>
      <c r="F95" s="158" t="s">
        <v>309</v>
      </c>
      <c r="G95" s="158" t="s">
        <v>491</v>
      </c>
      <c r="H95" s="158" t="s">
        <v>490</v>
      </c>
      <c r="I95" s="158" t="s">
        <v>487</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497</v>
      </c>
      <c r="B96" s="159" t="s">
        <v>485</v>
      </c>
      <c r="C96" s="158" t="s">
        <v>234</v>
      </c>
      <c r="D96" s="158">
        <v>45874</v>
      </c>
      <c r="E96" s="158">
        <v>45875</v>
      </c>
      <c r="F96" s="158" t="s">
        <v>309</v>
      </c>
      <c r="G96" s="158" t="s">
        <v>498</v>
      </c>
      <c r="H96" s="158" t="s">
        <v>497</v>
      </c>
      <c r="I96" s="158" t="s">
        <v>487</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500</v>
      </c>
      <c r="B97" s="165" t="s">
        <v>485</v>
      </c>
      <c r="C97" s="77" t="s">
        <v>234</v>
      </c>
      <c r="D97" s="77">
        <v>45887</v>
      </c>
      <c r="E97" s="77">
        <v>45888</v>
      </c>
      <c r="F97" s="77" t="s">
        <v>309</v>
      </c>
      <c r="G97" s="77" t="s">
        <v>501</v>
      </c>
      <c r="H97" s="77" t="s">
        <v>500</v>
      </c>
      <c r="I97" s="77" t="s">
        <v>487</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493</v>
      </c>
      <c r="B98" s="159" t="s">
        <v>485</v>
      </c>
      <c r="C98" s="158" t="s">
        <v>492</v>
      </c>
      <c r="D98" s="158">
        <v>45908</v>
      </c>
      <c r="E98" s="158">
        <v>45908</v>
      </c>
      <c r="F98" s="158" t="s">
        <v>309</v>
      </c>
      <c r="G98" s="158" t="s">
        <v>494</v>
      </c>
      <c r="H98" s="158" t="s">
        <v>493</v>
      </c>
      <c r="I98" s="158" t="s">
        <v>487</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493</v>
      </c>
      <c r="B99" s="159" t="s">
        <v>485</v>
      </c>
      <c r="C99" s="158" t="s">
        <v>492</v>
      </c>
      <c r="D99" s="158">
        <v>45908</v>
      </c>
      <c r="E99" s="158">
        <v>45908</v>
      </c>
      <c r="F99" s="158" t="s">
        <v>309</v>
      </c>
      <c r="G99" s="158" t="s">
        <v>494</v>
      </c>
      <c r="H99" s="158" t="s">
        <v>493</v>
      </c>
      <c r="I99" s="158" t="s">
        <v>487</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495</v>
      </c>
      <c r="B100" s="159" t="s">
        <v>485</v>
      </c>
      <c r="C100" s="158" t="s">
        <v>492</v>
      </c>
      <c r="D100" s="158">
        <v>45908</v>
      </c>
      <c r="E100" s="158">
        <v>45908</v>
      </c>
      <c r="F100" s="158" t="s">
        <v>309</v>
      </c>
      <c r="G100" s="158" t="s">
        <v>496</v>
      </c>
      <c r="H100" s="158" t="s">
        <v>495</v>
      </c>
      <c r="I100" s="158" t="s">
        <v>487</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497</v>
      </c>
      <c r="B101" s="159" t="s">
        <v>485</v>
      </c>
      <c r="C101" s="158" t="s">
        <v>492</v>
      </c>
      <c r="D101" s="158">
        <v>45916</v>
      </c>
      <c r="E101" s="158">
        <v>45916</v>
      </c>
      <c r="F101" s="158" t="s">
        <v>309</v>
      </c>
      <c r="G101" s="158" t="s">
        <v>498</v>
      </c>
      <c r="H101" s="158" t="s">
        <v>497</v>
      </c>
      <c r="I101" s="158" t="s">
        <v>487</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497</v>
      </c>
      <c r="B102" s="159" t="s">
        <v>485</v>
      </c>
      <c r="C102" s="158" t="s">
        <v>492</v>
      </c>
      <c r="D102" s="158">
        <v>45917</v>
      </c>
      <c r="E102" s="158">
        <v>45917</v>
      </c>
      <c r="F102" s="158" t="s">
        <v>309</v>
      </c>
      <c r="G102" s="158" t="s">
        <v>498</v>
      </c>
      <c r="H102" s="158" t="s">
        <v>497</v>
      </c>
      <c r="I102" s="158" t="s">
        <v>487</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497</v>
      </c>
      <c r="B103" s="159" t="s">
        <v>485</v>
      </c>
      <c r="C103" s="158" t="s">
        <v>492</v>
      </c>
      <c r="D103" s="158">
        <v>45918</v>
      </c>
      <c r="E103" s="158">
        <v>45918</v>
      </c>
      <c r="F103" s="158" t="s">
        <v>309</v>
      </c>
      <c r="G103" s="158" t="s">
        <v>498</v>
      </c>
      <c r="H103" s="158" t="s">
        <v>497</v>
      </c>
      <c r="I103" s="158" t="s">
        <v>487</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497</v>
      </c>
      <c r="B104" s="159" t="s">
        <v>485</v>
      </c>
      <c r="C104" s="158" t="s">
        <v>492</v>
      </c>
      <c r="D104" s="158">
        <v>45922</v>
      </c>
      <c r="E104" s="158">
        <v>45922</v>
      </c>
      <c r="F104" s="158" t="s">
        <v>309</v>
      </c>
      <c r="G104" s="158" t="s">
        <v>498</v>
      </c>
      <c r="H104" s="158" t="s">
        <v>497</v>
      </c>
      <c r="I104" s="158" t="s">
        <v>487</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497</v>
      </c>
      <c r="B105" s="159" t="s">
        <v>485</v>
      </c>
      <c r="C105" s="158" t="s">
        <v>492</v>
      </c>
      <c r="D105" s="158">
        <v>45939</v>
      </c>
      <c r="E105" s="158">
        <v>45939</v>
      </c>
      <c r="F105" s="158" t="s">
        <v>309</v>
      </c>
      <c r="G105" s="158" t="s">
        <v>498</v>
      </c>
      <c r="H105" s="158" t="s">
        <v>497</v>
      </c>
      <c r="I105" s="158" t="s">
        <v>487</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497</v>
      </c>
      <c r="B106" s="159" t="s">
        <v>485</v>
      </c>
      <c r="C106" s="158" t="s">
        <v>492</v>
      </c>
      <c r="D106" s="158">
        <v>45940</v>
      </c>
      <c r="E106" s="158">
        <v>45940</v>
      </c>
      <c r="F106" s="158" t="s">
        <v>309</v>
      </c>
      <c r="G106" s="158" t="s">
        <v>498</v>
      </c>
      <c r="H106" s="158" t="s">
        <v>497</v>
      </c>
      <c r="I106" s="158" t="s">
        <v>487</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497</v>
      </c>
      <c r="B107" s="159" t="s">
        <v>485</v>
      </c>
      <c r="C107" s="158" t="s">
        <v>492</v>
      </c>
      <c r="D107" s="158">
        <v>45944</v>
      </c>
      <c r="E107" s="158">
        <v>45944</v>
      </c>
      <c r="F107" s="158" t="s">
        <v>309</v>
      </c>
      <c r="G107" s="158" t="s">
        <v>498</v>
      </c>
      <c r="H107" s="158" t="s">
        <v>497</v>
      </c>
      <c r="I107" s="158" t="s">
        <v>487</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736</v>
      </c>
      <c r="B108" s="165" t="s">
        <v>485</v>
      </c>
      <c r="C108" s="77" t="s">
        <v>234</v>
      </c>
      <c r="D108" s="77">
        <v>45950</v>
      </c>
      <c r="E108" s="77">
        <v>45950</v>
      </c>
      <c r="F108" s="77" t="s">
        <v>309</v>
      </c>
      <c r="G108" s="77" t="s">
        <v>735</v>
      </c>
      <c r="H108" s="77" t="s">
        <v>736</v>
      </c>
      <c r="I108" s="77" t="s">
        <v>487</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500</v>
      </c>
      <c r="B109" s="159" t="s">
        <v>485</v>
      </c>
      <c r="C109" s="158" t="s">
        <v>492</v>
      </c>
      <c r="D109" s="158">
        <v>45951</v>
      </c>
      <c r="E109" s="158">
        <v>45951</v>
      </c>
      <c r="F109" s="158" t="s">
        <v>309</v>
      </c>
      <c r="G109" s="158" t="s">
        <v>501</v>
      </c>
      <c r="H109" s="158" t="s">
        <v>500</v>
      </c>
      <c r="I109" s="158" t="s">
        <v>487</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736</v>
      </c>
      <c r="B110" s="165" t="s">
        <v>485</v>
      </c>
      <c r="C110" s="77" t="s">
        <v>234</v>
      </c>
      <c r="D110" s="77">
        <v>45958</v>
      </c>
      <c r="E110" s="77">
        <v>45958</v>
      </c>
      <c r="F110" s="77" t="s">
        <v>309</v>
      </c>
      <c r="G110" s="77" t="s">
        <v>735</v>
      </c>
      <c r="H110" s="77" t="s">
        <v>736</v>
      </c>
      <c r="I110" s="77" t="s">
        <v>487</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497</v>
      </c>
      <c r="B111" s="159" t="s">
        <v>485</v>
      </c>
      <c r="C111" s="158" t="s">
        <v>492</v>
      </c>
      <c r="D111" s="158">
        <v>45960</v>
      </c>
      <c r="E111" s="158">
        <v>45960</v>
      </c>
      <c r="F111" s="158" t="s">
        <v>309</v>
      </c>
      <c r="G111" s="158" t="s">
        <v>498</v>
      </c>
      <c r="H111" s="158" t="s">
        <v>497</v>
      </c>
      <c r="I111" s="158" t="s">
        <v>487</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500</v>
      </c>
      <c r="B112" s="159" t="s">
        <v>485</v>
      </c>
      <c r="C112" s="158" t="s">
        <v>492</v>
      </c>
      <c r="D112" s="158">
        <v>45964</v>
      </c>
      <c r="E112" s="158">
        <v>45964</v>
      </c>
      <c r="F112" s="158" t="s">
        <v>309</v>
      </c>
      <c r="G112" s="158" t="s">
        <v>501</v>
      </c>
      <c r="H112" s="158" t="s">
        <v>500</v>
      </c>
      <c r="I112" s="158" t="s">
        <v>487</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736</v>
      </c>
      <c r="B113" s="159" t="s">
        <v>485</v>
      </c>
      <c r="C113" s="158" t="s">
        <v>492</v>
      </c>
      <c r="D113" s="158">
        <v>45964</v>
      </c>
      <c r="E113" s="158">
        <v>45964</v>
      </c>
      <c r="F113" s="158" t="s">
        <v>309</v>
      </c>
      <c r="G113" s="158" t="s">
        <v>735</v>
      </c>
      <c r="H113" s="158" t="s">
        <v>736</v>
      </c>
      <c r="I113" s="158" t="s">
        <v>487</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736</v>
      </c>
      <c r="B114" s="159" t="s">
        <v>485</v>
      </c>
      <c r="C114" s="158" t="s">
        <v>492</v>
      </c>
      <c r="D114" s="158">
        <v>45965</v>
      </c>
      <c r="E114" s="158">
        <v>45965</v>
      </c>
      <c r="F114" s="158" t="s">
        <v>309</v>
      </c>
      <c r="G114" s="158" t="s">
        <v>735</v>
      </c>
      <c r="H114" s="158" t="s">
        <v>736</v>
      </c>
      <c r="I114" s="158" t="s">
        <v>487</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689</v>
      </c>
    </row>
    <row r="3" spans="1:14" ht="15" thickBot="1" x14ac:dyDescent="0.35">
      <c r="A3" s="1"/>
      <c r="B3" s="1"/>
      <c r="C3" s="17"/>
      <c r="D3" s="17"/>
      <c r="E3" s="17"/>
      <c r="F3" s="17"/>
      <c r="G3" s="17"/>
      <c r="H3" s="17"/>
      <c r="I3" s="17"/>
      <c r="J3" s="65"/>
      <c r="K3" s="70"/>
      <c r="M3" s="236"/>
    </row>
    <row r="4" spans="1:14" x14ac:dyDescent="0.3">
      <c r="A4" s="103" t="s">
        <v>261</v>
      </c>
      <c r="B4" s="120"/>
      <c r="C4" s="124">
        <v>45891</v>
      </c>
      <c r="D4" s="123">
        <v>45912</v>
      </c>
      <c r="E4" s="185">
        <v>45919</v>
      </c>
      <c r="F4" s="185">
        <v>45933</v>
      </c>
      <c r="G4" s="185">
        <v>45946</v>
      </c>
      <c r="H4" s="185">
        <v>45968</v>
      </c>
      <c r="I4" s="238">
        <v>45978</v>
      </c>
      <c r="J4" s="191"/>
      <c r="M4" s="34"/>
    </row>
    <row r="5" spans="1:14" x14ac:dyDescent="0.3">
      <c r="A5" s="104" t="s">
        <v>263</v>
      </c>
      <c r="B5" s="106"/>
      <c r="C5" s="121">
        <v>33</v>
      </c>
      <c r="D5" s="122">
        <v>36</v>
      </c>
      <c r="E5" s="186">
        <v>39</v>
      </c>
      <c r="F5" s="186">
        <v>41</v>
      </c>
      <c r="G5" s="186">
        <v>44</v>
      </c>
      <c r="H5" s="186">
        <v>55</v>
      </c>
      <c r="I5" s="239">
        <v>57</v>
      </c>
      <c r="J5" s="192">
        <f>I5/H5-1</f>
        <v>3.6363636363636376E-2</v>
      </c>
    </row>
    <row r="6" spans="1:14" x14ac:dyDescent="0.3">
      <c r="A6" s="104" t="s">
        <v>262</v>
      </c>
      <c r="C6" s="109">
        <v>41</v>
      </c>
      <c r="D6" s="122">
        <v>42</v>
      </c>
      <c r="E6" s="186">
        <v>43</v>
      </c>
      <c r="F6" s="186">
        <v>0</v>
      </c>
      <c r="G6" s="186">
        <v>0</v>
      </c>
      <c r="H6" s="186"/>
      <c r="I6" s="239"/>
      <c r="J6" s="192"/>
    </row>
    <row r="7" spans="1:14" x14ac:dyDescent="0.3">
      <c r="A7" s="104" t="s">
        <v>266</v>
      </c>
      <c r="B7" s="106"/>
      <c r="C7" s="107">
        <v>12000000</v>
      </c>
      <c r="D7" s="122">
        <v>12000000</v>
      </c>
      <c r="E7" s="186">
        <v>12170460</v>
      </c>
      <c r="F7" s="186">
        <v>13000000</v>
      </c>
      <c r="G7" s="186">
        <v>13000000</v>
      </c>
      <c r="H7" s="186">
        <v>17000000</v>
      </c>
      <c r="I7" s="239">
        <v>19000000</v>
      </c>
      <c r="J7" s="192">
        <f>I7/H7-1</f>
        <v>0.11764705882352944</v>
      </c>
    </row>
    <row r="8" spans="1:14" x14ac:dyDescent="0.3">
      <c r="A8" s="104" t="s">
        <v>769</v>
      </c>
      <c r="B8" s="106"/>
      <c r="C8" s="107"/>
      <c r="D8" s="122"/>
      <c r="E8" s="186"/>
      <c r="F8" s="186"/>
      <c r="G8" s="186"/>
      <c r="H8" s="186">
        <v>1150000</v>
      </c>
      <c r="I8" s="239">
        <v>1500000</v>
      </c>
      <c r="J8" s="192">
        <f>I8/H8-1</f>
        <v>0.30434782608695654</v>
      </c>
    </row>
    <row r="9" spans="1:14" ht="18" x14ac:dyDescent="0.3">
      <c r="A9" s="104" t="s">
        <v>737</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265</v>
      </c>
      <c r="B10" s="106"/>
      <c r="C10" s="107"/>
      <c r="D10" s="108"/>
      <c r="E10" s="187"/>
      <c r="F10" s="187"/>
      <c r="G10" s="187"/>
      <c r="H10" s="187"/>
      <c r="I10" s="240"/>
      <c r="J10" s="192"/>
    </row>
    <row r="11" spans="1:14" x14ac:dyDescent="0.3">
      <c r="A11" s="104" t="s">
        <v>264</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255</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254</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256</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257</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258</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259</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260</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705</v>
      </c>
      <c r="AF2" s="129"/>
      <c r="AG2" s="129"/>
      <c r="AH2" s="129"/>
      <c r="AN2" s="130"/>
      <c r="AO2" s="212"/>
    </row>
    <row r="3" spans="1:41" ht="17.399999999999999" customHeight="1" x14ac:dyDescent="0.3">
      <c r="H3" s="133" t="s">
        <v>266</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267</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268</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192</v>
      </c>
      <c r="C7" s="142" t="s">
        <v>269</v>
      </c>
      <c r="D7" s="142" t="s">
        <v>270</v>
      </c>
      <c r="E7" s="142" t="s">
        <v>271</v>
      </c>
      <c r="F7" s="142" t="s">
        <v>272</v>
      </c>
      <c r="G7" s="142" t="s">
        <v>273</v>
      </c>
      <c r="H7" s="142" t="s">
        <v>62</v>
      </c>
      <c r="I7" s="142" t="s">
        <v>274</v>
      </c>
      <c r="J7" s="143" t="s">
        <v>275</v>
      </c>
      <c r="K7" s="143" t="s">
        <v>276</v>
      </c>
      <c r="L7" s="143" t="s">
        <v>277</v>
      </c>
      <c r="M7" s="143" t="s">
        <v>278</v>
      </c>
      <c r="N7" s="144" t="s">
        <v>279</v>
      </c>
      <c r="O7" s="142" t="s">
        <v>280</v>
      </c>
      <c r="P7" s="145" t="s">
        <v>281</v>
      </c>
      <c r="Q7" s="145" t="s">
        <v>282</v>
      </c>
      <c r="R7" s="145" t="s">
        <v>283</v>
      </c>
      <c r="S7" s="145" t="s">
        <v>284</v>
      </c>
      <c r="T7" s="145" t="s">
        <v>285</v>
      </c>
      <c r="U7" s="145" t="s">
        <v>286</v>
      </c>
      <c r="V7" s="145" t="s">
        <v>287</v>
      </c>
      <c r="W7" s="145" t="s">
        <v>288</v>
      </c>
      <c r="X7" s="145" t="s">
        <v>289</v>
      </c>
      <c r="Y7" s="145" t="s">
        <v>290</v>
      </c>
      <c r="Z7" s="146" t="s">
        <v>291</v>
      </c>
      <c r="AA7" s="147" t="s">
        <v>292</v>
      </c>
      <c r="AB7" s="148" t="s">
        <v>706</v>
      </c>
      <c r="AC7" s="147" t="s">
        <v>293</v>
      </c>
      <c r="AD7" s="145" t="s">
        <v>294</v>
      </c>
      <c r="AE7" s="145" t="s">
        <v>295</v>
      </c>
      <c r="AF7" s="149" t="s">
        <v>296</v>
      </c>
      <c r="AG7" s="149" t="s">
        <v>297</v>
      </c>
      <c r="AH7" s="149" t="s">
        <v>298</v>
      </c>
      <c r="AI7" s="147" t="s">
        <v>299</v>
      </c>
      <c r="AJ7" s="147" t="s">
        <v>300</v>
      </c>
    </row>
    <row r="8" spans="1:41" ht="13.8" x14ac:dyDescent="0.3">
      <c r="A8" s="215" t="s">
        <v>230</v>
      </c>
      <c r="B8" s="77" t="s">
        <v>8</v>
      </c>
      <c r="C8" s="77" t="s">
        <v>234</v>
      </c>
      <c r="D8" s="77">
        <v>45749</v>
      </c>
      <c r="E8" s="77">
        <v>45750</v>
      </c>
      <c r="F8" s="77" t="s">
        <v>301</v>
      </c>
      <c r="G8" s="77" t="s">
        <v>302</v>
      </c>
      <c r="H8" s="77" t="s">
        <v>230</v>
      </c>
      <c r="I8" s="77" t="s">
        <v>303</v>
      </c>
      <c r="J8" s="77" t="s">
        <v>304</v>
      </c>
      <c r="K8" s="77" t="s">
        <v>305</v>
      </c>
      <c r="L8" s="77" t="s">
        <v>306</v>
      </c>
      <c r="M8" s="233" t="s">
        <v>307</v>
      </c>
      <c r="N8" s="129">
        <v>150000000</v>
      </c>
      <c r="O8" s="77" t="s">
        <v>308</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231</v>
      </c>
      <c r="B9" s="77" t="s">
        <v>8</v>
      </c>
      <c r="C9" s="77" t="s">
        <v>234</v>
      </c>
      <c r="D9" s="77">
        <v>45751</v>
      </c>
      <c r="E9" s="77">
        <v>45754</v>
      </c>
      <c r="F9" s="77" t="s">
        <v>309</v>
      </c>
      <c r="G9" s="77" t="s">
        <v>310</v>
      </c>
      <c r="H9" s="77" t="s">
        <v>231</v>
      </c>
      <c r="I9" s="77" t="s">
        <v>311</v>
      </c>
      <c r="J9" s="77" t="s">
        <v>312</v>
      </c>
      <c r="K9" s="77" t="s">
        <v>313</v>
      </c>
      <c r="L9" s="77" t="s">
        <v>314</v>
      </c>
      <c r="M9" s="233" t="s">
        <v>315</v>
      </c>
      <c r="N9" s="129">
        <v>30000000</v>
      </c>
      <c r="O9" s="77" t="s">
        <v>316</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317</v>
      </c>
      <c r="B10" s="77" t="s">
        <v>8</v>
      </c>
      <c r="C10" s="77" t="s">
        <v>234</v>
      </c>
      <c r="D10" s="77">
        <v>45751</v>
      </c>
      <c r="E10" s="77">
        <v>45754</v>
      </c>
      <c r="F10" s="77" t="s">
        <v>301</v>
      </c>
      <c r="G10" s="77" t="s">
        <v>318</v>
      </c>
      <c r="H10" s="77" t="s">
        <v>317</v>
      </c>
      <c r="I10" s="77" t="s">
        <v>319</v>
      </c>
      <c r="J10" s="77" t="s">
        <v>312</v>
      </c>
      <c r="K10" s="77" t="s">
        <v>305</v>
      </c>
      <c r="L10" s="77" t="s">
        <v>320</v>
      </c>
      <c r="M10" s="233" t="s">
        <v>321</v>
      </c>
      <c r="N10" s="129">
        <v>200000000</v>
      </c>
      <c r="O10" s="77" t="s">
        <v>322</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323</v>
      </c>
      <c r="B11" s="77" t="s">
        <v>8</v>
      </c>
      <c r="C11" s="77" t="s">
        <v>234</v>
      </c>
      <c r="D11" s="77">
        <v>45751</v>
      </c>
      <c r="E11" s="77">
        <v>45754</v>
      </c>
      <c r="F11" s="77" t="s">
        <v>301</v>
      </c>
      <c r="G11" s="77" t="s">
        <v>324</v>
      </c>
      <c r="H11" s="77" t="s">
        <v>323</v>
      </c>
      <c r="I11" s="77" t="s">
        <v>325</v>
      </c>
      <c r="J11" s="77" t="s">
        <v>312</v>
      </c>
      <c r="K11" s="77" t="s">
        <v>305</v>
      </c>
      <c r="L11" s="77" t="s">
        <v>326</v>
      </c>
      <c r="M11" s="233" t="s">
        <v>327</v>
      </c>
      <c r="N11" s="129">
        <v>120000000</v>
      </c>
      <c r="O11" s="77" t="s">
        <v>328</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329</v>
      </c>
      <c r="B12" s="77" t="s">
        <v>8</v>
      </c>
      <c r="C12" s="77" t="s">
        <v>234</v>
      </c>
      <c r="D12" s="77">
        <v>45751</v>
      </c>
      <c r="E12" s="77">
        <v>45754</v>
      </c>
      <c r="F12" s="77" t="s">
        <v>309</v>
      </c>
      <c r="G12" s="77" t="s">
        <v>330</v>
      </c>
      <c r="H12" s="77" t="s">
        <v>329</v>
      </c>
      <c r="I12" s="77" t="s">
        <v>331</v>
      </c>
      <c r="J12" s="77" t="s">
        <v>304</v>
      </c>
      <c r="K12" s="77" t="s">
        <v>305</v>
      </c>
      <c r="L12" s="77" t="s">
        <v>332</v>
      </c>
      <c r="M12" s="233" t="s">
        <v>333</v>
      </c>
      <c r="N12" s="129">
        <v>300000000</v>
      </c>
      <c r="O12" s="77" t="s">
        <v>334</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335</v>
      </c>
      <c r="B13" s="77" t="s">
        <v>8</v>
      </c>
      <c r="C13" s="77" t="s">
        <v>234</v>
      </c>
      <c r="D13" s="77">
        <v>45755</v>
      </c>
      <c r="E13" s="77">
        <v>45756</v>
      </c>
      <c r="F13" s="77" t="s">
        <v>301</v>
      </c>
      <c r="G13" s="77" t="s">
        <v>336</v>
      </c>
      <c r="H13" s="77" t="s">
        <v>335</v>
      </c>
      <c r="I13" s="77" t="s">
        <v>337</v>
      </c>
      <c r="J13" s="77" t="s">
        <v>312</v>
      </c>
      <c r="K13" s="77" t="s">
        <v>305</v>
      </c>
      <c r="L13" s="77" t="s">
        <v>338</v>
      </c>
      <c r="M13" s="233" t="s">
        <v>339</v>
      </c>
      <c r="N13" s="129">
        <v>300000000</v>
      </c>
      <c r="O13" s="77" t="s">
        <v>340</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341</v>
      </c>
      <c r="B14" s="77" t="s">
        <v>8</v>
      </c>
      <c r="C14" s="77" t="s">
        <v>234</v>
      </c>
      <c r="D14" s="77">
        <v>45755</v>
      </c>
      <c r="E14" s="77">
        <v>45756</v>
      </c>
      <c r="F14" s="77" t="s">
        <v>309</v>
      </c>
      <c r="G14" s="77" t="s">
        <v>342</v>
      </c>
      <c r="H14" s="77" t="s">
        <v>341</v>
      </c>
      <c r="I14" s="77" t="s">
        <v>343</v>
      </c>
      <c r="J14" s="77" t="s">
        <v>312</v>
      </c>
      <c r="K14" s="77" t="s">
        <v>305</v>
      </c>
      <c r="L14" s="77" t="s">
        <v>344</v>
      </c>
      <c r="M14" s="233" t="s">
        <v>345</v>
      </c>
      <c r="N14" s="129">
        <v>200000000</v>
      </c>
      <c r="O14" s="77" t="s">
        <v>346</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347</v>
      </c>
      <c r="B15" s="77" t="s">
        <v>8</v>
      </c>
      <c r="C15" s="77" t="s">
        <v>234</v>
      </c>
      <c r="D15" s="77">
        <v>45756</v>
      </c>
      <c r="E15" s="77">
        <v>45757</v>
      </c>
      <c r="F15" s="77" t="s">
        <v>301</v>
      </c>
      <c r="G15" s="77" t="s">
        <v>348</v>
      </c>
      <c r="H15" s="77" t="s">
        <v>347</v>
      </c>
      <c r="I15" s="77" t="s">
        <v>349</v>
      </c>
      <c r="J15" s="77" t="s">
        <v>312</v>
      </c>
      <c r="K15" s="77" t="s">
        <v>305</v>
      </c>
      <c r="L15" s="77" t="s">
        <v>350</v>
      </c>
      <c r="M15" s="233" t="s">
        <v>321</v>
      </c>
      <c r="N15" s="129">
        <v>255000000</v>
      </c>
      <c r="O15" s="77" t="s">
        <v>351</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352</v>
      </c>
      <c r="B16" s="77" t="s">
        <v>8</v>
      </c>
      <c r="C16" s="77" t="s">
        <v>234</v>
      </c>
      <c r="D16" s="77">
        <v>45756</v>
      </c>
      <c r="E16" s="77">
        <v>45757</v>
      </c>
      <c r="F16" s="77" t="s">
        <v>309</v>
      </c>
      <c r="G16" s="77" t="s">
        <v>353</v>
      </c>
      <c r="H16" s="77" t="s">
        <v>352</v>
      </c>
      <c r="I16" s="77" t="s">
        <v>354</v>
      </c>
      <c r="J16" s="77" t="s">
        <v>312</v>
      </c>
      <c r="K16" s="77" t="s">
        <v>305</v>
      </c>
      <c r="L16" s="77" t="s">
        <v>355</v>
      </c>
      <c r="M16" s="233" t="s">
        <v>356</v>
      </c>
      <c r="N16" s="129">
        <v>100000000</v>
      </c>
      <c r="O16" s="77" t="s">
        <v>357</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358</v>
      </c>
      <c r="B17" s="77" t="s">
        <v>8</v>
      </c>
      <c r="C17" s="77" t="s">
        <v>234</v>
      </c>
      <c r="D17" s="77">
        <v>45756</v>
      </c>
      <c r="E17" s="77">
        <v>45757</v>
      </c>
      <c r="F17" s="77" t="s">
        <v>309</v>
      </c>
      <c r="G17" s="77" t="s">
        <v>359</v>
      </c>
      <c r="H17" s="77" t="s">
        <v>358</v>
      </c>
      <c r="I17" s="77" t="s">
        <v>360</v>
      </c>
      <c r="J17" s="77" t="s">
        <v>312</v>
      </c>
      <c r="K17" s="77" t="s">
        <v>305</v>
      </c>
      <c r="L17" s="77" t="s">
        <v>361</v>
      </c>
      <c r="M17" s="233" t="s">
        <v>362</v>
      </c>
      <c r="N17" s="129">
        <v>100000000</v>
      </c>
      <c r="O17" s="77" t="s">
        <v>363</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738</v>
      </c>
      <c r="B18" s="224" t="s">
        <v>8</v>
      </c>
      <c r="C18" s="224" t="s">
        <v>234</v>
      </c>
      <c r="D18" s="224">
        <v>45756</v>
      </c>
      <c r="E18" s="224">
        <v>45757</v>
      </c>
      <c r="F18" s="224" t="s">
        <v>309</v>
      </c>
      <c r="G18" s="224" t="s">
        <v>365</v>
      </c>
      <c r="H18" s="224" t="s">
        <v>364</v>
      </c>
      <c r="I18" s="224" t="s">
        <v>366</v>
      </c>
      <c r="J18" s="224" t="s">
        <v>312</v>
      </c>
      <c r="K18" s="224" t="s">
        <v>367</v>
      </c>
      <c r="L18" s="224" t="s">
        <v>368</v>
      </c>
      <c r="M18" s="233" t="s">
        <v>369</v>
      </c>
      <c r="N18" s="225">
        <v>100000000</v>
      </c>
      <c r="O18" s="224" t="s">
        <v>370</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371</v>
      </c>
      <c r="B19" s="77" t="s">
        <v>8</v>
      </c>
      <c r="C19" s="77" t="s">
        <v>234</v>
      </c>
      <c r="D19" s="77">
        <v>45758</v>
      </c>
      <c r="E19" s="77">
        <v>45761</v>
      </c>
      <c r="F19" s="77" t="s">
        <v>301</v>
      </c>
      <c r="G19" s="77" t="s">
        <v>372</v>
      </c>
      <c r="H19" s="77" t="s">
        <v>371</v>
      </c>
      <c r="I19" s="77" t="s">
        <v>373</v>
      </c>
      <c r="J19" s="77" t="s">
        <v>374</v>
      </c>
      <c r="K19" s="77" t="s">
        <v>305</v>
      </c>
      <c r="L19" s="77" t="s">
        <v>375</v>
      </c>
      <c r="M19" s="233" t="s">
        <v>356</v>
      </c>
      <c r="N19" s="129">
        <v>150000000</v>
      </c>
      <c r="O19" s="77" t="s">
        <v>376</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377</v>
      </c>
      <c r="B20" s="77" t="s">
        <v>8</v>
      </c>
      <c r="C20" s="77" t="s">
        <v>234</v>
      </c>
      <c r="D20" s="77">
        <v>45761</v>
      </c>
      <c r="E20" s="77">
        <v>45762</v>
      </c>
      <c r="F20" s="77" t="s">
        <v>301</v>
      </c>
      <c r="G20" s="77" t="s">
        <v>378</v>
      </c>
      <c r="H20" s="77" t="s">
        <v>377</v>
      </c>
      <c r="I20" s="77" t="s">
        <v>379</v>
      </c>
      <c r="J20" s="77" t="s">
        <v>312</v>
      </c>
      <c r="K20" s="77" t="s">
        <v>305</v>
      </c>
      <c r="L20" s="77" t="s">
        <v>380</v>
      </c>
      <c r="M20" s="233" t="s">
        <v>381</v>
      </c>
      <c r="N20" s="129">
        <v>210000000</v>
      </c>
      <c r="O20" s="77" t="s">
        <v>382</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383</v>
      </c>
      <c r="B21" s="77" t="s">
        <v>8</v>
      </c>
      <c r="C21" s="77" t="s">
        <v>234</v>
      </c>
      <c r="D21" s="77">
        <v>45763</v>
      </c>
      <c r="E21" s="77">
        <v>45764</v>
      </c>
      <c r="F21" s="77" t="s">
        <v>301</v>
      </c>
      <c r="G21" s="77" t="s">
        <v>384</v>
      </c>
      <c r="H21" s="77" t="s">
        <v>383</v>
      </c>
      <c r="I21" s="77" t="s">
        <v>385</v>
      </c>
      <c r="J21" s="77" t="s">
        <v>312</v>
      </c>
      <c r="K21" s="77" t="s">
        <v>305</v>
      </c>
      <c r="L21" s="77" t="s">
        <v>386</v>
      </c>
      <c r="M21" s="233" t="s">
        <v>362</v>
      </c>
      <c r="N21" s="129">
        <v>100000000</v>
      </c>
      <c r="O21" s="77" t="s">
        <v>387</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388</v>
      </c>
      <c r="B22" s="77" t="s">
        <v>8</v>
      </c>
      <c r="C22" s="77" t="s">
        <v>234</v>
      </c>
      <c r="D22" s="77">
        <v>45763</v>
      </c>
      <c r="E22" s="77">
        <v>45764</v>
      </c>
      <c r="F22" s="77" t="s">
        <v>309</v>
      </c>
      <c r="G22" s="77" t="s">
        <v>389</v>
      </c>
      <c r="H22" s="77" t="s">
        <v>388</v>
      </c>
      <c r="I22" s="77" t="s">
        <v>390</v>
      </c>
      <c r="J22" s="77" t="s">
        <v>312</v>
      </c>
      <c r="K22" s="77" t="s">
        <v>367</v>
      </c>
      <c r="L22" s="77" t="s">
        <v>391</v>
      </c>
      <c r="M22" s="233" t="s">
        <v>392</v>
      </c>
      <c r="N22" s="129">
        <v>150000000</v>
      </c>
      <c r="O22" s="77" t="s">
        <v>393</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540</v>
      </c>
      <c r="B23" s="224" t="s">
        <v>8</v>
      </c>
      <c r="C23" s="224" t="s">
        <v>234</v>
      </c>
      <c r="D23" s="224">
        <v>45770</v>
      </c>
      <c r="E23" s="224">
        <v>45771</v>
      </c>
      <c r="F23" s="224" t="s">
        <v>309</v>
      </c>
      <c r="G23" s="224" t="s">
        <v>394</v>
      </c>
      <c r="H23" s="224" t="s">
        <v>707</v>
      </c>
      <c r="I23" s="224" t="s">
        <v>395</v>
      </c>
      <c r="J23" s="224" t="s">
        <v>312</v>
      </c>
      <c r="K23" s="224" t="s">
        <v>305</v>
      </c>
      <c r="L23" s="224" t="s">
        <v>396</v>
      </c>
      <c r="M23" s="233" t="s">
        <v>321</v>
      </c>
      <c r="N23" s="225">
        <v>200000000</v>
      </c>
      <c r="O23" s="224" t="s">
        <v>397</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541</v>
      </c>
      <c r="B24" s="224" t="s">
        <v>8</v>
      </c>
      <c r="C24" s="224" t="s">
        <v>234</v>
      </c>
      <c r="D24" s="224">
        <v>45889</v>
      </c>
      <c r="E24" s="224">
        <v>45890</v>
      </c>
      <c r="F24" s="224" t="s">
        <v>301</v>
      </c>
      <c r="G24" s="224" t="s">
        <v>394</v>
      </c>
      <c r="H24" s="224" t="s">
        <v>707</v>
      </c>
      <c r="I24" s="224" t="s">
        <v>395</v>
      </c>
      <c r="J24" s="224" t="s">
        <v>312</v>
      </c>
      <c r="K24" s="224" t="s">
        <v>305</v>
      </c>
      <c r="L24" s="224" t="s">
        <v>396</v>
      </c>
      <c r="M24" s="233" t="s">
        <v>321</v>
      </c>
      <c r="N24" s="225">
        <v>200000000</v>
      </c>
      <c r="O24" s="224" t="s">
        <v>397</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398</v>
      </c>
      <c r="B25" s="77" t="s">
        <v>8</v>
      </c>
      <c r="C25" s="77" t="s">
        <v>234</v>
      </c>
      <c r="D25" s="77">
        <v>45775</v>
      </c>
      <c r="E25" s="77">
        <v>45776</v>
      </c>
      <c r="F25" s="77" t="s">
        <v>301</v>
      </c>
      <c r="G25" s="77" t="s">
        <v>399</v>
      </c>
      <c r="H25" s="77" t="s">
        <v>398</v>
      </c>
      <c r="I25" s="77" t="s">
        <v>400</v>
      </c>
      <c r="J25" s="77" t="s">
        <v>312</v>
      </c>
      <c r="K25" s="77" t="s">
        <v>305</v>
      </c>
      <c r="L25" s="77" t="s">
        <v>401</v>
      </c>
      <c r="M25" s="233" t="s">
        <v>402</v>
      </c>
      <c r="N25" s="129">
        <v>150000000</v>
      </c>
      <c r="O25" s="77" t="s">
        <v>403</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404</v>
      </c>
      <c r="B26" s="77" t="s">
        <v>8</v>
      </c>
      <c r="C26" s="77" t="s">
        <v>234</v>
      </c>
      <c r="D26" s="77">
        <v>45777</v>
      </c>
      <c r="E26" s="77">
        <v>45779</v>
      </c>
      <c r="F26" s="77" t="s">
        <v>301</v>
      </c>
      <c r="G26" s="77" t="s">
        <v>405</v>
      </c>
      <c r="H26" s="77" t="s">
        <v>404</v>
      </c>
      <c r="I26" s="77" t="s">
        <v>406</v>
      </c>
      <c r="J26" s="77" t="s">
        <v>312</v>
      </c>
      <c r="K26" s="77" t="s">
        <v>305</v>
      </c>
      <c r="L26" s="77" t="s">
        <v>407</v>
      </c>
      <c r="M26" s="233" t="s">
        <v>408</v>
      </c>
      <c r="N26" s="129">
        <v>100000000</v>
      </c>
      <c r="O26" s="77" t="s">
        <v>346</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409</v>
      </c>
      <c r="B27" s="77" t="s">
        <v>8</v>
      </c>
      <c r="C27" s="77" t="s">
        <v>234</v>
      </c>
      <c r="D27" s="77">
        <v>45777</v>
      </c>
      <c r="E27" s="77">
        <v>45778</v>
      </c>
      <c r="F27" s="77" t="s">
        <v>309</v>
      </c>
      <c r="G27" s="77" t="s">
        <v>410</v>
      </c>
      <c r="H27" s="77" t="s">
        <v>409</v>
      </c>
      <c r="I27" s="77" t="s">
        <v>411</v>
      </c>
      <c r="J27" s="77" t="s">
        <v>312</v>
      </c>
      <c r="K27" s="77" t="s">
        <v>305</v>
      </c>
      <c r="L27" s="77" t="s">
        <v>412</v>
      </c>
      <c r="M27" s="233" t="s">
        <v>413</v>
      </c>
      <c r="N27" s="129">
        <v>125000000</v>
      </c>
      <c r="O27" s="77" t="s">
        <v>414</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740</v>
      </c>
      <c r="B28" s="224" t="s">
        <v>8</v>
      </c>
      <c r="C28" s="224" t="s">
        <v>234</v>
      </c>
      <c r="D28" s="224">
        <v>45784</v>
      </c>
      <c r="E28" s="224">
        <v>45785</v>
      </c>
      <c r="F28" s="224" t="s">
        <v>309</v>
      </c>
      <c r="G28" s="224" t="s">
        <v>416</v>
      </c>
      <c r="H28" s="224" t="s">
        <v>415</v>
      </c>
      <c r="I28" s="224" t="s">
        <v>417</v>
      </c>
      <c r="J28" s="224" t="s">
        <v>312</v>
      </c>
      <c r="K28" s="224" t="s">
        <v>305</v>
      </c>
      <c r="L28" s="224" t="s">
        <v>418</v>
      </c>
      <c r="M28" s="233" t="s">
        <v>419</v>
      </c>
      <c r="N28" s="225">
        <v>175000000</v>
      </c>
      <c r="O28" s="224" t="s">
        <v>420</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421</v>
      </c>
      <c r="B29" s="77" t="s">
        <v>8</v>
      </c>
      <c r="C29" s="77" t="s">
        <v>234</v>
      </c>
      <c r="D29" s="77">
        <v>45785</v>
      </c>
      <c r="E29" s="77">
        <v>45786</v>
      </c>
      <c r="F29" s="77" t="s">
        <v>301</v>
      </c>
      <c r="G29" s="77" t="s">
        <v>422</v>
      </c>
      <c r="H29" s="77" t="s">
        <v>421</v>
      </c>
      <c r="I29" s="77" t="s">
        <v>423</v>
      </c>
      <c r="J29" s="77" t="s">
        <v>312</v>
      </c>
      <c r="K29" s="77" t="s">
        <v>305</v>
      </c>
      <c r="L29" s="77" t="s">
        <v>424</v>
      </c>
      <c r="M29" s="233" t="s">
        <v>425</v>
      </c>
      <c r="N29" s="129">
        <v>150000000</v>
      </c>
      <c r="O29" s="77" t="s">
        <v>334</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426</v>
      </c>
      <c r="B30" s="77" t="s">
        <v>8</v>
      </c>
      <c r="C30" s="77" t="s">
        <v>234</v>
      </c>
      <c r="D30" s="77">
        <v>45789</v>
      </c>
      <c r="E30" s="77">
        <v>45790</v>
      </c>
      <c r="F30" s="77" t="s">
        <v>309</v>
      </c>
      <c r="G30" s="77" t="s">
        <v>668</v>
      </c>
      <c r="H30" s="77" t="s">
        <v>426</v>
      </c>
      <c r="I30" s="77" t="s">
        <v>427</v>
      </c>
      <c r="J30" s="77" t="s">
        <v>304</v>
      </c>
      <c r="K30" s="77" t="s">
        <v>313</v>
      </c>
      <c r="L30" s="77" t="s">
        <v>428</v>
      </c>
      <c r="M30" s="233" t="s">
        <v>429</v>
      </c>
      <c r="N30" s="129">
        <v>500000000</v>
      </c>
      <c r="O30" s="77" t="s">
        <v>430</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431</v>
      </c>
      <c r="B31" s="77" t="s">
        <v>8</v>
      </c>
      <c r="C31" s="77" t="s">
        <v>234</v>
      </c>
      <c r="D31" s="77">
        <v>45789</v>
      </c>
      <c r="E31" s="77">
        <v>45790</v>
      </c>
      <c r="F31" s="77" t="s">
        <v>309</v>
      </c>
      <c r="G31" s="77" t="s">
        <v>669</v>
      </c>
      <c r="H31" s="77" t="s">
        <v>431</v>
      </c>
      <c r="I31" s="77" t="s">
        <v>432</v>
      </c>
      <c r="J31" s="77" t="s">
        <v>304</v>
      </c>
      <c r="K31" s="77" t="s">
        <v>305</v>
      </c>
      <c r="L31" s="77" t="s">
        <v>433</v>
      </c>
      <c r="M31" s="233" t="s">
        <v>434</v>
      </c>
      <c r="N31" s="129">
        <v>500000000</v>
      </c>
      <c r="O31" s="77" t="s">
        <v>435</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436</v>
      </c>
      <c r="B32" s="77" t="s">
        <v>8</v>
      </c>
      <c r="C32" s="77" t="s">
        <v>234</v>
      </c>
      <c r="D32" s="77">
        <v>45790</v>
      </c>
      <c r="E32" s="77">
        <v>45791</v>
      </c>
      <c r="F32" s="77" t="s">
        <v>309</v>
      </c>
      <c r="G32" s="77" t="s">
        <v>670</v>
      </c>
      <c r="H32" s="77" t="s">
        <v>436</v>
      </c>
      <c r="I32" s="77" t="s">
        <v>437</v>
      </c>
      <c r="J32" s="77" t="s">
        <v>312</v>
      </c>
      <c r="K32" s="77" t="s">
        <v>305</v>
      </c>
      <c r="L32" s="77" t="s">
        <v>438</v>
      </c>
      <c r="M32" s="233" t="s">
        <v>439</v>
      </c>
      <c r="N32" s="129">
        <v>120000000</v>
      </c>
      <c r="O32" s="77" t="s">
        <v>440</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441</v>
      </c>
      <c r="B33" s="77" t="s">
        <v>8</v>
      </c>
      <c r="C33" s="77" t="s">
        <v>234</v>
      </c>
      <c r="D33" s="77">
        <v>45791</v>
      </c>
      <c r="E33" s="77">
        <v>45792</v>
      </c>
      <c r="F33" s="77" t="s">
        <v>301</v>
      </c>
      <c r="G33" s="77" t="s">
        <v>671</v>
      </c>
      <c r="H33" s="77" t="s">
        <v>441</v>
      </c>
      <c r="I33" s="77" t="s">
        <v>442</v>
      </c>
      <c r="J33" s="77" t="s">
        <v>312</v>
      </c>
      <c r="K33" s="77" t="s">
        <v>305</v>
      </c>
      <c r="L33" s="77" t="s">
        <v>412</v>
      </c>
      <c r="M33" s="233" t="s">
        <v>381</v>
      </c>
      <c r="N33" s="129">
        <v>150000000</v>
      </c>
      <c r="O33" s="77" t="s">
        <v>430</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443</v>
      </c>
      <c r="B34" s="77" t="s">
        <v>8</v>
      </c>
      <c r="C34" s="77" t="s">
        <v>234</v>
      </c>
      <c r="D34" s="77">
        <v>45793</v>
      </c>
      <c r="E34" s="77">
        <v>45797</v>
      </c>
      <c r="F34" s="77" t="s">
        <v>309</v>
      </c>
      <c r="G34" s="77" t="s">
        <v>672</v>
      </c>
      <c r="H34" s="77" t="s">
        <v>443</v>
      </c>
      <c r="I34" s="77" t="s">
        <v>444</v>
      </c>
      <c r="J34" s="77" t="s">
        <v>304</v>
      </c>
      <c r="K34" s="77" t="s">
        <v>313</v>
      </c>
      <c r="L34" s="77" t="s">
        <v>445</v>
      </c>
      <c r="M34" s="233" t="s">
        <v>446</v>
      </c>
      <c r="N34" s="129">
        <v>75000000</v>
      </c>
      <c r="O34" s="77" t="s">
        <v>447</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448</v>
      </c>
      <c r="B35" s="77" t="s">
        <v>8</v>
      </c>
      <c r="C35" s="77" t="s">
        <v>234</v>
      </c>
      <c r="D35" s="77">
        <v>45797</v>
      </c>
      <c r="E35" s="77">
        <v>45798</v>
      </c>
      <c r="F35" s="77" t="s">
        <v>301</v>
      </c>
      <c r="G35" s="77" t="s">
        <v>449</v>
      </c>
      <c r="H35" s="77" t="s">
        <v>448</v>
      </c>
      <c r="I35" s="77" t="s">
        <v>450</v>
      </c>
      <c r="J35" s="77" t="s">
        <v>312</v>
      </c>
      <c r="K35" s="77" t="s">
        <v>305</v>
      </c>
      <c r="L35" s="77" t="s">
        <v>451</v>
      </c>
      <c r="M35" s="233" t="s">
        <v>452</v>
      </c>
      <c r="N35" s="129">
        <v>95000000</v>
      </c>
      <c r="O35" s="77" t="s">
        <v>334</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453</v>
      </c>
      <c r="B36" s="77" t="s">
        <v>8</v>
      </c>
      <c r="C36" s="77" t="s">
        <v>234</v>
      </c>
      <c r="D36" s="77">
        <v>45805</v>
      </c>
      <c r="E36" s="77">
        <v>45806</v>
      </c>
      <c r="F36" s="77" t="s">
        <v>309</v>
      </c>
      <c r="G36" s="77" t="s">
        <v>454</v>
      </c>
      <c r="H36" s="77" t="s">
        <v>453</v>
      </c>
      <c r="I36" s="77" t="s">
        <v>455</v>
      </c>
      <c r="J36" s="77" t="s">
        <v>312</v>
      </c>
      <c r="K36" s="77" t="s">
        <v>305</v>
      </c>
      <c r="L36" s="77" t="s">
        <v>456</v>
      </c>
      <c r="M36" s="233" t="s">
        <v>457</v>
      </c>
      <c r="N36" s="129">
        <v>50000000</v>
      </c>
      <c r="O36" s="77" t="s">
        <v>458</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459</v>
      </c>
      <c r="B37" s="77" t="s">
        <v>8</v>
      </c>
      <c r="C37" s="77" t="s">
        <v>234</v>
      </c>
      <c r="D37" s="77">
        <v>45834</v>
      </c>
      <c r="E37" s="77">
        <v>45835</v>
      </c>
      <c r="F37" s="77" t="s">
        <v>301</v>
      </c>
      <c r="G37" s="77" t="s">
        <v>460</v>
      </c>
      <c r="H37" s="77" t="s">
        <v>459</v>
      </c>
      <c r="I37" s="77" t="s">
        <v>461</v>
      </c>
      <c r="J37" s="77" t="s">
        <v>312</v>
      </c>
      <c r="K37" s="77" t="s">
        <v>305</v>
      </c>
      <c r="L37" s="77" t="s">
        <v>462</v>
      </c>
      <c r="M37" s="233" t="s">
        <v>463</v>
      </c>
      <c r="N37" s="129">
        <v>475000000</v>
      </c>
      <c r="O37" s="77" t="s">
        <v>464</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465</v>
      </c>
      <c r="B38" s="77" t="s">
        <v>8</v>
      </c>
      <c r="C38" s="77" t="s">
        <v>234</v>
      </c>
      <c r="D38" s="77">
        <v>45859</v>
      </c>
      <c r="E38" s="77">
        <v>45860</v>
      </c>
      <c r="F38" s="77" t="s">
        <v>309</v>
      </c>
      <c r="G38" s="77" t="s">
        <v>673</v>
      </c>
      <c r="H38" s="77" t="s">
        <v>465</v>
      </c>
      <c r="I38" s="77" t="s">
        <v>455</v>
      </c>
      <c r="J38" s="77" t="s">
        <v>312</v>
      </c>
      <c r="K38" s="77" t="s">
        <v>305</v>
      </c>
      <c r="L38" s="77" t="s">
        <v>466</v>
      </c>
      <c r="M38" s="233" t="s">
        <v>467</v>
      </c>
      <c r="N38" s="129">
        <v>75000000</v>
      </c>
      <c r="O38" s="77" t="s">
        <v>458</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468</v>
      </c>
      <c r="B39" s="77" t="s">
        <v>8</v>
      </c>
      <c r="C39" s="77" t="s">
        <v>234</v>
      </c>
      <c r="D39" s="77">
        <v>45866</v>
      </c>
      <c r="E39" s="77">
        <v>45867</v>
      </c>
      <c r="F39" s="77" t="s">
        <v>309</v>
      </c>
      <c r="G39" s="77" t="s">
        <v>469</v>
      </c>
      <c r="H39" s="77" t="s">
        <v>468</v>
      </c>
      <c r="I39" s="77" t="s">
        <v>470</v>
      </c>
      <c r="J39" s="77" t="s">
        <v>312</v>
      </c>
      <c r="K39" s="77" t="s">
        <v>305</v>
      </c>
      <c r="L39" s="77" t="s">
        <v>471</v>
      </c>
      <c r="M39" s="233" t="s">
        <v>425</v>
      </c>
      <c r="N39" s="129">
        <v>110000000</v>
      </c>
      <c r="O39" s="77" t="s">
        <v>472</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473</v>
      </c>
      <c r="B40" s="77" t="s">
        <v>8</v>
      </c>
      <c r="C40" s="77" t="s">
        <v>234</v>
      </c>
      <c r="D40" s="77">
        <v>45889</v>
      </c>
      <c r="E40" s="77">
        <v>45890</v>
      </c>
      <c r="F40" s="77" t="s">
        <v>474</v>
      </c>
      <c r="G40" s="77" t="s">
        <v>674</v>
      </c>
      <c r="H40" s="77" t="s">
        <v>473</v>
      </c>
      <c r="I40" s="77" t="s">
        <v>337</v>
      </c>
      <c r="J40" s="77" t="s">
        <v>312</v>
      </c>
      <c r="K40" s="77" t="s">
        <v>305</v>
      </c>
      <c r="L40" s="77" t="s">
        <v>475</v>
      </c>
      <c r="M40" s="233" t="s">
        <v>476</v>
      </c>
      <c r="N40" s="129">
        <v>75000000</v>
      </c>
      <c r="O40" s="77" t="s">
        <v>340</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477</v>
      </c>
      <c r="B41" s="77" t="s">
        <v>8</v>
      </c>
      <c r="C41" s="77" t="s">
        <v>234</v>
      </c>
      <c r="D41" s="77">
        <v>45908</v>
      </c>
      <c r="E41" s="77">
        <v>45909</v>
      </c>
      <c r="F41" s="77" t="s">
        <v>309</v>
      </c>
      <c r="G41" s="77" t="s">
        <v>478</v>
      </c>
      <c r="H41" s="77" t="s">
        <v>477</v>
      </c>
      <c r="I41" s="77" t="s">
        <v>423</v>
      </c>
      <c r="J41" s="77" t="s">
        <v>312</v>
      </c>
      <c r="K41" s="77" t="s">
        <v>305</v>
      </c>
      <c r="L41" s="77" t="s">
        <v>424</v>
      </c>
      <c r="M41" s="233" t="s">
        <v>425</v>
      </c>
      <c r="N41" s="129">
        <v>50000000</v>
      </c>
      <c r="O41" s="77" t="s">
        <v>340</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479</v>
      </c>
      <c r="B42" s="77" t="s">
        <v>8</v>
      </c>
      <c r="C42" s="77" t="s">
        <v>234</v>
      </c>
      <c r="D42" s="77">
        <v>45908</v>
      </c>
      <c r="E42" s="77">
        <v>45909</v>
      </c>
      <c r="F42" s="77" t="s">
        <v>301</v>
      </c>
      <c r="G42" s="77" t="s">
        <v>675</v>
      </c>
      <c r="H42" s="77" t="s">
        <v>479</v>
      </c>
      <c r="I42" s="77" t="s">
        <v>480</v>
      </c>
      <c r="J42" s="77" t="s">
        <v>312</v>
      </c>
      <c r="K42" s="77" t="s">
        <v>305</v>
      </c>
      <c r="L42" s="77" t="s">
        <v>481</v>
      </c>
      <c r="M42" s="233" t="s">
        <v>434</v>
      </c>
      <c r="N42" s="129">
        <v>115000000</v>
      </c>
      <c r="O42" s="77" t="s">
        <v>376</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482</v>
      </c>
      <c r="B43" s="77" t="s">
        <v>8</v>
      </c>
      <c r="C43" s="77" t="s">
        <v>234</v>
      </c>
      <c r="D43" s="77">
        <v>45908</v>
      </c>
      <c r="E43" s="77">
        <v>45909</v>
      </c>
      <c r="F43" s="77" t="s">
        <v>301</v>
      </c>
      <c r="G43" s="77" t="s">
        <v>676</v>
      </c>
      <c r="H43" s="77" t="s">
        <v>482</v>
      </c>
      <c r="I43" s="77" t="s">
        <v>379</v>
      </c>
      <c r="J43" s="77" t="s">
        <v>312</v>
      </c>
      <c r="K43" s="77" t="s">
        <v>305</v>
      </c>
      <c r="L43" s="77" t="s">
        <v>483</v>
      </c>
      <c r="M43" s="233" t="s">
        <v>425</v>
      </c>
      <c r="N43" s="129">
        <v>100000000</v>
      </c>
      <c r="O43" s="77" t="s">
        <v>382</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679</v>
      </c>
      <c r="B44" s="77" t="s">
        <v>8</v>
      </c>
      <c r="C44" s="77" t="s">
        <v>234</v>
      </c>
      <c r="D44" s="77">
        <v>45912</v>
      </c>
      <c r="E44" s="77">
        <v>45917</v>
      </c>
      <c r="F44" s="77" t="s">
        <v>677</v>
      </c>
      <c r="G44" s="77" t="s">
        <v>678</v>
      </c>
      <c r="H44" s="77" t="s">
        <v>679</v>
      </c>
      <c r="I44" s="77" t="s">
        <v>677</v>
      </c>
      <c r="J44" s="77" t="s">
        <v>304</v>
      </c>
      <c r="K44" s="77" t="s">
        <v>313</v>
      </c>
      <c r="L44" s="77">
        <v>45917</v>
      </c>
      <c r="M44" s="233">
        <v>47013</v>
      </c>
      <c r="N44" s="129">
        <v>60000000</v>
      </c>
      <c r="O44" s="77" t="s">
        <v>680</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509</v>
      </c>
      <c r="B45" s="77" t="s">
        <v>8</v>
      </c>
      <c r="C45" s="77" t="s">
        <v>234</v>
      </c>
      <c r="D45" s="77">
        <v>45917</v>
      </c>
      <c r="E45" s="77">
        <v>45918</v>
      </c>
      <c r="F45" s="77" t="s">
        <v>301</v>
      </c>
      <c r="G45" s="77" t="s">
        <v>681</v>
      </c>
      <c r="H45" s="77" t="s">
        <v>509</v>
      </c>
      <c r="I45" s="77" t="s">
        <v>303</v>
      </c>
      <c r="J45" s="77" t="s">
        <v>304</v>
      </c>
      <c r="K45" s="77" t="s">
        <v>305</v>
      </c>
      <c r="L45" s="77" t="s">
        <v>682</v>
      </c>
      <c r="M45" s="233" t="s">
        <v>683</v>
      </c>
      <c r="N45" s="129">
        <v>150000000</v>
      </c>
      <c r="O45" s="77" t="s">
        <v>308</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520</v>
      </c>
      <c r="B46" s="77" t="s">
        <v>8</v>
      </c>
      <c r="C46" s="77" t="s">
        <v>234</v>
      </c>
      <c r="D46" s="77">
        <v>45918</v>
      </c>
      <c r="E46" s="77">
        <v>45919</v>
      </c>
      <c r="F46" s="77" t="s">
        <v>474</v>
      </c>
      <c r="G46" s="77" t="s">
        <v>684</v>
      </c>
      <c r="H46" s="77" t="s">
        <v>520</v>
      </c>
      <c r="I46" s="77" t="s">
        <v>685</v>
      </c>
      <c r="J46" s="77" t="s">
        <v>312</v>
      </c>
      <c r="K46" s="77" t="s">
        <v>313</v>
      </c>
      <c r="L46" s="77" t="s">
        <v>686</v>
      </c>
      <c r="M46" s="233" t="s">
        <v>687</v>
      </c>
      <c r="N46" s="129">
        <v>50000000</v>
      </c>
      <c r="O46" s="77" t="s">
        <v>688</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518</v>
      </c>
      <c r="B47" s="77" t="s">
        <v>8</v>
      </c>
      <c r="C47" s="77" t="s">
        <v>234</v>
      </c>
      <c r="D47" s="77">
        <v>45929</v>
      </c>
      <c r="E47" s="77">
        <v>45930</v>
      </c>
      <c r="F47" s="77" t="s">
        <v>309</v>
      </c>
      <c r="G47" s="77" t="s">
        <v>695</v>
      </c>
      <c r="H47" s="77" t="s">
        <v>518</v>
      </c>
      <c r="I47" s="77" t="s">
        <v>432</v>
      </c>
      <c r="J47" s="77" t="s">
        <v>304</v>
      </c>
      <c r="K47" s="77" t="s">
        <v>305</v>
      </c>
      <c r="L47" s="77" t="s">
        <v>412</v>
      </c>
      <c r="M47" s="233" t="s">
        <v>434</v>
      </c>
      <c r="N47" s="129">
        <v>400000000</v>
      </c>
      <c r="O47" s="77" t="s">
        <v>435</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511</v>
      </c>
      <c r="B48" s="77" t="s">
        <v>8</v>
      </c>
      <c r="C48" s="77" t="s">
        <v>234</v>
      </c>
      <c r="D48" s="77">
        <v>45931</v>
      </c>
      <c r="E48" s="77">
        <v>45932</v>
      </c>
      <c r="F48" s="77" t="s">
        <v>301</v>
      </c>
      <c r="G48" s="77" t="s">
        <v>696</v>
      </c>
      <c r="H48" s="77" t="s">
        <v>511</v>
      </c>
      <c r="I48" s="77" t="s">
        <v>360</v>
      </c>
      <c r="J48" s="77" t="s">
        <v>312</v>
      </c>
      <c r="K48" s="77" t="s">
        <v>305</v>
      </c>
      <c r="L48" s="77" t="s">
        <v>697</v>
      </c>
      <c r="M48" s="233" t="s">
        <v>315</v>
      </c>
      <c r="N48" s="129">
        <v>400000000</v>
      </c>
      <c r="O48" s="77" t="s">
        <v>363</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514</v>
      </c>
      <c r="B49" s="77" t="s">
        <v>8</v>
      </c>
      <c r="C49" s="77" t="s">
        <v>234</v>
      </c>
      <c r="D49" s="77">
        <v>45939</v>
      </c>
      <c r="E49" s="77">
        <v>45940</v>
      </c>
      <c r="F49" s="77" t="s">
        <v>301</v>
      </c>
      <c r="G49" s="77" t="s">
        <v>698</v>
      </c>
      <c r="H49" s="77" t="s">
        <v>514</v>
      </c>
      <c r="I49" s="77" t="s">
        <v>417</v>
      </c>
      <c r="J49" s="77" t="s">
        <v>312</v>
      </c>
      <c r="K49" s="77" t="s">
        <v>305</v>
      </c>
      <c r="L49" s="77" t="s">
        <v>699</v>
      </c>
      <c r="M49" s="233" t="s">
        <v>700</v>
      </c>
      <c r="N49" s="129">
        <v>250000000</v>
      </c>
      <c r="O49" s="77" t="s">
        <v>420</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512</v>
      </c>
      <c r="B50" s="77" t="s">
        <v>8</v>
      </c>
      <c r="C50" s="77" t="s">
        <v>234</v>
      </c>
      <c r="D50" s="77">
        <v>45939</v>
      </c>
      <c r="E50" s="77">
        <v>45944</v>
      </c>
      <c r="F50" s="77" t="s">
        <v>474</v>
      </c>
      <c r="G50" s="77" t="s">
        <v>701</v>
      </c>
      <c r="H50" s="77" t="s">
        <v>512</v>
      </c>
      <c r="I50" s="77" t="s">
        <v>417</v>
      </c>
      <c r="J50" s="77" t="s">
        <v>312</v>
      </c>
      <c r="K50" s="77" t="s">
        <v>305</v>
      </c>
      <c r="L50" s="77" t="s">
        <v>699</v>
      </c>
      <c r="M50" s="233" t="s">
        <v>700</v>
      </c>
      <c r="N50" s="129">
        <v>150000000</v>
      </c>
      <c r="O50" s="77" t="s">
        <v>420</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516</v>
      </c>
      <c r="B51" s="77" t="s">
        <v>8</v>
      </c>
      <c r="C51" s="77" t="s">
        <v>234</v>
      </c>
      <c r="D51" s="77">
        <v>45944</v>
      </c>
      <c r="E51" s="77">
        <v>45945</v>
      </c>
      <c r="F51" s="77" t="s">
        <v>301</v>
      </c>
      <c r="G51" s="77" t="s">
        <v>702</v>
      </c>
      <c r="H51" s="77" t="s">
        <v>516</v>
      </c>
      <c r="I51" s="77" t="s">
        <v>427</v>
      </c>
      <c r="J51" s="77" t="s">
        <v>304</v>
      </c>
      <c r="K51" s="77" t="s">
        <v>305</v>
      </c>
      <c r="L51" s="77" t="s">
        <v>703</v>
      </c>
      <c r="M51" s="233" t="s">
        <v>704</v>
      </c>
      <c r="N51" s="129">
        <v>450000000</v>
      </c>
      <c r="O51" s="77" t="s">
        <v>430</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709</v>
      </c>
      <c r="B52" s="77" t="s">
        <v>8</v>
      </c>
      <c r="C52" s="77" t="s">
        <v>234</v>
      </c>
      <c r="D52" s="77">
        <v>45947</v>
      </c>
      <c r="E52" s="77">
        <v>45965</v>
      </c>
      <c r="F52" s="77" t="s">
        <v>677</v>
      </c>
      <c r="G52" s="77" t="s">
        <v>708</v>
      </c>
      <c r="H52" s="77" t="s">
        <v>709</v>
      </c>
      <c r="I52" s="77" t="s">
        <v>710</v>
      </c>
      <c r="J52" s="77" t="s">
        <v>312</v>
      </c>
      <c r="K52" s="77" t="s">
        <v>305</v>
      </c>
      <c r="L52" s="201">
        <v>45992</v>
      </c>
      <c r="M52" s="233">
        <v>47452</v>
      </c>
      <c r="N52" s="129">
        <v>200000000</v>
      </c>
      <c r="O52" s="77" t="s">
        <v>711</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515</v>
      </c>
      <c r="B53" s="77" t="s">
        <v>8</v>
      </c>
      <c r="C53" s="77" t="s">
        <v>234</v>
      </c>
      <c r="D53" s="77">
        <v>45951</v>
      </c>
      <c r="E53" s="77">
        <v>45952</v>
      </c>
      <c r="F53" s="77" t="s">
        <v>309</v>
      </c>
      <c r="G53" s="77" t="s">
        <v>712</v>
      </c>
      <c r="H53" s="77" t="s">
        <v>515</v>
      </c>
      <c r="I53" s="77" t="s">
        <v>713</v>
      </c>
      <c r="J53" s="77" t="s">
        <v>304</v>
      </c>
      <c r="K53" s="77" t="s">
        <v>313</v>
      </c>
      <c r="L53" s="201" t="s">
        <v>714</v>
      </c>
      <c r="M53" s="233" t="s">
        <v>381</v>
      </c>
      <c r="N53" s="129">
        <v>90000000</v>
      </c>
      <c r="O53" s="77" t="s">
        <v>715</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739</v>
      </c>
      <c r="B54" s="224" t="s">
        <v>8</v>
      </c>
      <c r="C54" s="224" t="s">
        <v>234</v>
      </c>
      <c r="D54" s="224">
        <v>45957</v>
      </c>
      <c r="E54" s="224">
        <v>45958</v>
      </c>
      <c r="F54" s="224" t="s">
        <v>309</v>
      </c>
      <c r="G54" s="224" t="s">
        <v>365</v>
      </c>
      <c r="H54" s="224" t="s">
        <v>364</v>
      </c>
      <c r="I54" s="224" t="s">
        <v>366</v>
      </c>
      <c r="J54" s="224" t="s">
        <v>312</v>
      </c>
      <c r="K54" s="224" t="s">
        <v>367</v>
      </c>
      <c r="L54" s="230" t="s">
        <v>368</v>
      </c>
      <c r="M54" s="233" t="s">
        <v>369</v>
      </c>
      <c r="N54" s="225">
        <v>100000000</v>
      </c>
      <c r="O54" s="224" t="s">
        <v>370</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510</v>
      </c>
      <c r="B55" s="77" t="s">
        <v>8</v>
      </c>
      <c r="C55" s="77" t="s">
        <v>234</v>
      </c>
      <c r="D55" s="77">
        <v>45957</v>
      </c>
      <c r="E55" s="77">
        <v>45958</v>
      </c>
      <c r="F55" s="77" t="s">
        <v>301</v>
      </c>
      <c r="G55" s="77" t="s">
        <v>716</v>
      </c>
      <c r="H55" s="77" t="s">
        <v>510</v>
      </c>
      <c r="I55" s="77" t="s">
        <v>337</v>
      </c>
      <c r="J55" s="77" t="s">
        <v>312</v>
      </c>
      <c r="K55" s="77" t="s">
        <v>305</v>
      </c>
      <c r="L55" s="201" t="s">
        <v>338</v>
      </c>
      <c r="M55" s="233" t="s">
        <v>339</v>
      </c>
      <c r="N55" s="129">
        <v>150000000</v>
      </c>
      <c r="O55" s="77" t="s">
        <v>340</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741</v>
      </c>
      <c r="B56" s="224" t="s">
        <v>8</v>
      </c>
      <c r="C56" s="224" t="s">
        <v>234</v>
      </c>
      <c r="D56" s="224">
        <v>45957</v>
      </c>
      <c r="E56" s="224">
        <v>45958</v>
      </c>
      <c r="F56" s="224" t="s">
        <v>301</v>
      </c>
      <c r="G56" s="224" t="s">
        <v>717</v>
      </c>
      <c r="H56" s="224" t="s">
        <v>415</v>
      </c>
      <c r="I56" s="224" t="s">
        <v>417</v>
      </c>
      <c r="J56" s="224" t="s">
        <v>312</v>
      </c>
      <c r="K56" s="224" t="s">
        <v>305</v>
      </c>
      <c r="L56" s="230" t="s">
        <v>418</v>
      </c>
      <c r="M56" s="233" t="s">
        <v>419</v>
      </c>
      <c r="N56" s="225">
        <v>175000000</v>
      </c>
      <c r="O56" s="224" t="s">
        <v>420</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517</v>
      </c>
      <c r="B57" s="77" t="s">
        <v>8</v>
      </c>
      <c r="C57" s="77" t="s">
        <v>234</v>
      </c>
      <c r="D57" s="77">
        <v>45960</v>
      </c>
      <c r="E57" s="77">
        <v>45961</v>
      </c>
      <c r="F57" s="77" t="s">
        <v>301</v>
      </c>
      <c r="G57" s="77" t="s">
        <v>718</v>
      </c>
      <c r="H57" s="77" t="s">
        <v>517</v>
      </c>
      <c r="I57" s="77" t="s">
        <v>406</v>
      </c>
      <c r="J57" s="77" t="s">
        <v>304</v>
      </c>
      <c r="K57" s="77" t="s">
        <v>305</v>
      </c>
      <c r="L57" s="201" t="s">
        <v>407</v>
      </c>
      <c r="M57" s="233" t="s">
        <v>408</v>
      </c>
      <c r="N57" s="129">
        <v>150000000</v>
      </c>
      <c r="O57" s="77" t="s">
        <v>334</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519</v>
      </c>
      <c r="B58" s="77" t="s">
        <v>8</v>
      </c>
      <c r="C58" s="77" t="s">
        <v>234</v>
      </c>
      <c r="D58" s="77">
        <v>45960</v>
      </c>
      <c r="E58" s="77">
        <v>45961</v>
      </c>
      <c r="F58" s="77" t="s">
        <v>301</v>
      </c>
      <c r="G58" s="77" t="s">
        <v>719</v>
      </c>
      <c r="H58" s="77" t="s">
        <v>519</v>
      </c>
      <c r="I58" s="77" t="s">
        <v>331</v>
      </c>
      <c r="J58" s="77" t="s">
        <v>304</v>
      </c>
      <c r="K58" s="77" t="s">
        <v>305</v>
      </c>
      <c r="L58" s="201" t="s">
        <v>720</v>
      </c>
      <c r="M58" s="233" t="s">
        <v>721</v>
      </c>
      <c r="N58" s="129">
        <v>225000000</v>
      </c>
      <c r="O58" s="77" t="s">
        <v>334</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521</v>
      </c>
      <c r="B59" s="77" t="s">
        <v>8</v>
      </c>
      <c r="C59" s="77" t="s">
        <v>234</v>
      </c>
      <c r="D59" s="77">
        <v>45964</v>
      </c>
      <c r="E59" s="77">
        <v>45965</v>
      </c>
      <c r="F59" s="77" t="s">
        <v>301</v>
      </c>
      <c r="G59" s="77" t="s">
        <v>722</v>
      </c>
      <c r="H59" s="77" t="s">
        <v>521</v>
      </c>
      <c r="I59" s="77" t="s">
        <v>432</v>
      </c>
      <c r="J59" s="77" t="s">
        <v>304</v>
      </c>
      <c r="K59" s="77" t="s">
        <v>305</v>
      </c>
      <c r="L59" s="201" t="s">
        <v>723</v>
      </c>
      <c r="M59" s="233" t="s">
        <v>724</v>
      </c>
      <c r="N59" s="129">
        <v>250000000</v>
      </c>
      <c r="O59" s="77" t="s">
        <v>435</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522</v>
      </c>
      <c r="B60" s="77" t="s">
        <v>8</v>
      </c>
      <c r="C60" s="77" t="s">
        <v>234</v>
      </c>
      <c r="D60" s="77">
        <v>45965</v>
      </c>
      <c r="E60" s="77">
        <v>45966</v>
      </c>
      <c r="F60" s="77" t="s">
        <v>309</v>
      </c>
      <c r="G60" s="77" t="s">
        <v>725</v>
      </c>
      <c r="H60" s="77" t="s">
        <v>522</v>
      </c>
      <c r="I60" s="77" t="s">
        <v>423</v>
      </c>
      <c r="J60" s="77" t="s">
        <v>312</v>
      </c>
      <c r="K60" s="77" t="s">
        <v>305</v>
      </c>
      <c r="L60" s="201" t="s">
        <v>726</v>
      </c>
      <c r="M60" s="233" t="s">
        <v>724</v>
      </c>
      <c r="N60" s="129">
        <v>200000000</v>
      </c>
      <c r="O60" s="77" t="s">
        <v>340</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523</v>
      </c>
      <c r="B61" s="77" t="s">
        <v>8</v>
      </c>
      <c r="C61" s="77" t="s">
        <v>234</v>
      </c>
      <c r="D61" s="77">
        <v>45966</v>
      </c>
      <c r="E61" s="77">
        <v>45968</v>
      </c>
      <c r="F61" s="77" t="s">
        <v>301</v>
      </c>
      <c r="G61" s="77" t="s">
        <v>727</v>
      </c>
      <c r="H61" s="77" t="s">
        <v>523</v>
      </c>
      <c r="I61" s="77" t="s">
        <v>728</v>
      </c>
      <c r="J61" s="77" t="s">
        <v>312</v>
      </c>
      <c r="K61" s="77" t="s">
        <v>305</v>
      </c>
      <c r="L61" s="201" t="s">
        <v>729</v>
      </c>
      <c r="M61" s="233" t="s">
        <v>730</v>
      </c>
      <c r="N61" s="129">
        <v>200000000</v>
      </c>
      <c r="O61" s="77" t="s">
        <v>731</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507</v>
      </c>
      <c r="B62" s="152" t="s">
        <v>8</v>
      </c>
      <c r="C62" s="152" t="s">
        <v>234</v>
      </c>
      <c r="D62" s="152">
        <v>45967</v>
      </c>
      <c r="E62" s="152">
        <v>45968</v>
      </c>
      <c r="F62" s="152" t="s">
        <v>309</v>
      </c>
      <c r="G62" s="152" t="s">
        <v>732</v>
      </c>
      <c r="H62" s="152" t="s">
        <v>507</v>
      </c>
      <c r="I62" s="152" t="s">
        <v>733</v>
      </c>
      <c r="J62" s="152" t="s">
        <v>312</v>
      </c>
      <c r="K62" s="152" t="s">
        <v>305</v>
      </c>
      <c r="L62" s="213" t="s">
        <v>734</v>
      </c>
      <c r="M62" s="233" t="s">
        <v>467</v>
      </c>
      <c r="N62" s="153">
        <v>200000000</v>
      </c>
      <c r="O62" s="152" t="s">
        <v>430</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484</v>
      </c>
      <c r="B63" s="159" t="s">
        <v>485</v>
      </c>
      <c r="C63" s="158" t="s">
        <v>234</v>
      </c>
      <c r="D63" s="158">
        <v>45782</v>
      </c>
      <c r="E63" s="158">
        <v>45783</v>
      </c>
      <c r="F63" s="158" t="s">
        <v>309</v>
      </c>
      <c r="G63" s="158" t="s">
        <v>486</v>
      </c>
      <c r="H63" s="158" t="s">
        <v>484</v>
      </c>
      <c r="I63" s="158" t="s">
        <v>487</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484</v>
      </c>
      <c r="B64" s="159" t="s">
        <v>485</v>
      </c>
      <c r="C64" s="158" t="s">
        <v>234</v>
      </c>
      <c r="D64" s="158">
        <v>45783</v>
      </c>
      <c r="E64" s="158">
        <v>45784</v>
      </c>
      <c r="F64" s="158" t="s">
        <v>309</v>
      </c>
      <c r="G64" s="158" t="s">
        <v>486</v>
      </c>
      <c r="H64" s="158" t="s">
        <v>484</v>
      </c>
      <c r="I64" s="158" t="s">
        <v>487</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488</v>
      </c>
      <c r="B65" s="159" t="s">
        <v>485</v>
      </c>
      <c r="C65" s="158" t="s">
        <v>234</v>
      </c>
      <c r="D65" s="158">
        <v>45786</v>
      </c>
      <c r="E65" s="158">
        <v>45789</v>
      </c>
      <c r="F65" s="158" t="s">
        <v>309</v>
      </c>
      <c r="G65" s="158" t="s">
        <v>489</v>
      </c>
      <c r="H65" s="158" t="s">
        <v>488</v>
      </c>
      <c r="I65" s="158" t="s">
        <v>487</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490</v>
      </c>
      <c r="B66" s="159" t="s">
        <v>485</v>
      </c>
      <c r="C66" s="158" t="s">
        <v>234</v>
      </c>
      <c r="D66" s="158">
        <v>45796</v>
      </c>
      <c r="E66" s="158">
        <v>45797</v>
      </c>
      <c r="F66" s="158" t="s">
        <v>309</v>
      </c>
      <c r="G66" s="158" t="s">
        <v>491</v>
      </c>
      <c r="H66" s="158" t="s">
        <v>490</v>
      </c>
      <c r="I66" s="158" t="s">
        <v>487</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484</v>
      </c>
      <c r="B67" s="159" t="s">
        <v>485</v>
      </c>
      <c r="C67" s="158" t="s">
        <v>492</v>
      </c>
      <c r="D67" s="158">
        <v>45805</v>
      </c>
      <c r="E67" s="158">
        <v>45806</v>
      </c>
      <c r="F67" s="158" t="s">
        <v>309</v>
      </c>
      <c r="G67" s="158" t="s">
        <v>486</v>
      </c>
      <c r="H67" s="158" t="s">
        <v>484</v>
      </c>
      <c r="I67" s="158" t="s">
        <v>487</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484</v>
      </c>
      <c r="B68" s="159" t="s">
        <v>485</v>
      </c>
      <c r="C68" s="158" t="s">
        <v>492</v>
      </c>
      <c r="D68" s="158">
        <v>45833</v>
      </c>
      <c r="E68" s="158">
        <v>45834</v>
      </c>
      <c r="F68" s="158" t="s">
        <v>309</v>
      </c>
      <c r="G68" s="158" t="s">
        <v>486</v>
      </c>
      <c r="H68" s="158" t="s">
        <v>484</v>
      </c>
      <c r="I68" s="158" t="s">
        <v>487</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484</v>
      </c>
      <c r="B69" s="159" t="s">
        <v>485</v>
      </c>
      <c r="C69" s="158" t="s">
        <v>492</v>
      </c>
      <c r="D69" s="158">
        <v>45834</v>
      </c>
      <c r="E69" s="158">
        <v>45834</v>
      </c>
      <c r="F69" s="158" t="s">
        <v>309</v>
      </c>
      <c r="G69" s="158" t="s">
        <v>486</v>
      </c>
      <c r="H69" s="158" t="s">
        <v>484</v>
      </c>
      <c r="I69" s="158" t="s">
        <v>487</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493</v>
      </c>
      <c r="B70" s="159" t="s">
        <v>485</v>
      </c>
      <c r="C70" s="158" t="s">
        <v>234</v>
      </c>
      <c r="D70" s="158">
        <v>45849</v>
      </c>
      <c r="E70" s="158">
        <v>45849</v>
      </c>
      <c r="F70" s="158" t="s">
        <v>309</v>
      </c>
      <c r="G70" s="158" t="s">
        <v>494</v>
      </c>
      <c r="H70" s="158" t="s">
        <v>493</v>
      </c>
      <c r="I70" s="158" t="s">
        <v>487</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495</v>
      </c>
      <c r="B71" s="159" t="s">
        <v>485</v>
      </c>
      <c r="C71" s="158" t="s">
        <v>234</v>
      </c>
      <c r="D71" s="158">
        <v>45855</v>
      </c>
      <c r="E71" s="158">
        <v>45855</v>
      </c>
      <c r="F71" s="158" t="s">
        <v>309</v>
      </c>
      <c r="G71" s="158" t="s">
        <v>496</v>
      </c>
      <c r="H71" s="158" t="s">
        <v>495</v>
      </c>
      <c r="I71" s="158" t="s">
        <v>487</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497</v>
      </c>
      <c r="B72" s="159" t="s">
        <v>485</v>
      </c>
      <c r="C72" s="158" t="s">
        <v>234</v>
      </c>
      <c r="D72" s="158">
        <v>45867</v>
      </c>
      <c r="E72" s="158">
        <v>45867</v>
      </c>
      <c r="F72" s="158" t="s">
        <v>309</v>
      </c>
      <c r="G72" s="158" t="s">
        <v>498</v>
      </c>
      <c r="H72" s="158" t="s">
        <v>497</v>
      </c>
      <c r="I72" s="158" t="s">
        <v>487</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497</v>
      </c>
      <c r="B73" s="159" t="s">
        <v>485</v>
      </c>
      <c r="C73" s="158" t="s">
        <v>234</v>
      </c>
      <c r="D73" s="158">
        <v>45868</v>
      </c>
      <c r="E73" s="158">
        <v>45868</v>
      </c>
      <c r="F73" s="158" t="s">
        <v>309</v>
      </c>
      <c r="G73" s="158" t="s">
        <v>498</v>
      </c>
      <c r="H73" s="158" t="s">
        <v>497</v>
      </c>
      <c r="I73" s="158" t="s">
        <v>487</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484</v>
      </c>
      <c r="B74" s="159" t="s">
        <v>485</v>
      </c>
      <c r="C74" s="158" t="s">
        <v>492</v>
      </c>
      <c r="D74" s="158">
        <v>45869</v>
      </c>
      <c r="E74" s="158">
        <v>45869</v>
      </c>
      <c r="F74" s="158" t="s">
        <v>499</v>
      </c>
      <c r="G74" s="158" t="s">
        <v>486</v>
      </c>
      <c r="H74" s="158" t="s">
        <v>484</v>
      </c>
      <c r="I74" s="158" t="s">
        <v>487</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497</v>
      </c>
      <c r="B75" s="159" t="s">
        <v>485</v>
      </c>
      <c r="C75" s="158" t="s">
        <v>234</v>
      </c>
      <c r="D75" s="158">
        <v>45869</v>
      </c>
      <c r="E75" s="158">
        <v>45869</v>
      </c>
      <c r="F75" s="158" t="s">
        <v>309</v>
      </c>
      <c r="G75" s="158" t="s">
        <v>498</v>
      </c>
      <c r="H75" s="158" t="s">
        <v>497</v>
      </c>
      <c r="I75" s="158" t="s">
        <v>487</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497</v>
      </c>
      <c r="B76" s="159" t="s">
        <v>485</v>
      </c>
      <c r="C76" s="158" t="s">
        <v>234</v>
      </c>
      <c r="D76" s="158">
        <v>45870</v>
      </c>
      <c r="E76" s="158">
        <v>45870</v>
      </c>
      <c r="F76" s="158" t="s">
        <v>309</v>
      </c>
      <c r="G76" s="158" t="s">
        <v>498</v>
      </c>
      <c r="H76" s="158" t="s">
        <v>497</v>
      </c>
      <c r="I76" s="158" t="s">
        <v>487</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488</v>
      </c>
      <c r="B77" s="159" t="s">
        <v>485</v>
      </c>
      <c r="C77" s="158" t="s">
        <v>492</v>
      </c>
      <c r="D77" s="158">
        <v>45874</v>
      </c>
      <c r="E77" s="158">
        <v>45875</v>
      </c>
      <c r="F77" s="158" t="s">
        <v>309</v>
      </c>
      <c r="G77" s="158" t="s">
        <v>489</v>
      </c>
      <c r="H77" s="158" t="s">
        <v>488</v>
      </c>
      <c r="I77" s="158" t="s">
        <v>487</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490</v>
      </c>
      <c r="B78" s="159" t="s">
        <v>485</v>
      </c>
      <c r="C78" s="158" t="s">
        <v>492</v>
      </c>
      <c r="D78" s="158">
        <v>45874</v>
      </c>
      <c r="E78" s="158">
        <v>45875</v>
      </c>
      <c r="F78" s="158" t="s">
        <v>309</v>
      </c>
      <c r="G78" s="158" t="s">
        <v>491</v>
      </c>
      <c r="H78" s="158" t="s">
        <v>490</v>
      </c>
      <c r="I78" s="158" t="s">
        <v>487</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497</v>
      </c>
      <c r="B79" s="159" t="s">
        <v>485</v>
      </c>
      <c r="C79" s="158" t="s">
        <v>234</v>
      </c>
      <c r="D79" s="158">
        <v>45874</v>
      </c>
      <c r="E79" s="158">
        <v>45875</v>
      </c>
      <c r="F79" s="158" t="s">
        <v>309</v>
      </c>
      <c r="G79" s="158" t="s">
        <v>498</v>
      </c>
      <c r="H79" s="158" t="s">
        <v>497</v>
      </c>
      <c r="I79" s="158" t="s">
        <v>487</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500</v>
      </c>
      <c r="B80" s="159" t="s">
        <v>485</v>
      </c>
      <c r="C80" s="158" t="s">
        <v>234</v>
      </c>
      <c r="D80" s="158">
        <v>45887</v>
      </c>
      <c r="E80" s="158">
        <v>45888</v>
      </c>
      <c r="F80" s="158" t="s">
        <v>309</v>
      </c>
      <c r="G80" s="158" t="s">
        <v>501</v>
      </c>
      <c r="H80" s="158" t="s">
        <v>500</v>
      </c>
      <c r="I80" s="158" t="s">
        <v>487</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493</v>
      </c>
      <c r="B81" s="159" t="s">
        <v>485</v>
      </c>
      <c r="C81" s="158" t="s">
        <v>492</v>
      </c>
      <c r="D81" s="158">
        <v>45908</v>
      </c>
      <c r="E81" s="158">
        <v>45908</v>
      </c>
      <c r="F81" s="158" t="s">
        <v>309</v>
      </c>
      <c r="G81" s="158" t="s">
        <v>494</v>
      </c>
      <c r="H81" s="158" t="s">
        <v>493</v>
      </c>
      <c r="I81" s="158" t="s">
        <v>487</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493</v>
      </c>
      <c r="B82" s="159" t="s">
        <v>485</v>
      </c>
      <c r="C82" s="158" t="s">
        <v>492</v>
      </c>
      <c r="D82" s="158">
        <v>45908</v>
      </c>
      <c r="E82" s="158">
        <v>45908</v>
      </c>
      <c r="F82" s="158" t="s">
        <v>309</v>
      </c>
      <c r="G82" s="158" t="s">
        <v>494</v>
      </c>
      <c r="H82" s="158" t="s">
        <v>493</v>
      </c>
      <c r="I82" s="158" t="s">
        <v>487</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495</v>
      </c>
      <c r="B83" s="159" t="s">
        <v>485</v>
      </c>
      <c r="C83" s="158" t="s">
        <v>492</v>
      </c>
      <c r="D83" s="158">
        <v>45908</v>
      </c>
      <c r="E83" s="158">
        <v>45908</v>
      </c>
      <c r="F83" s="158" t="s">
        <v>309</v>
      </c>
      <c r="G83" s="158" t="s">
        <v>496</v>
      </c>
      <c r="H83" s="158" t="s">
        <v>495</v>
      </c>
      <c r="I83" s="158" t="s">
        <v>487</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497</v>
      </c>
      <c r="B84" s="159" t="s">
        <v>485</v>
      </c>
      <c r="C84" s="158" t="s">
        <v>492</v>
      </c>
      <c r="D84" s="158">
        <v>45916</v>
      </c>
      <c r="E84" s="158">
        <v>45916</v>
      </c>
      <c r="F84" s="158" t="s">
        <v>309</v>
      </c>
      <c r="G84" s="158" t="s">
        <v>498</v>
      </c>
      <c r="H84" s="158" t="s">
        <v>497</v>
      </c>
      <c r="I84" s="158" t="s">
        <v>487</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497</v>
      </c>
      <c r="B85" s="159" t="s">
        <v>485</v>
      </c>
      <c r="C85" s="158" t="s">
        <v>492</v>
      </c>
      <c r="D85" s="158">
        <v>45917</v>
      </c>
      <c r="E85" s="158">
        <v>45917</v>
      </c>
      <c r="F85" s="158" t="s">
        <v>309</v>
      </c>
      <c r="G85" s="158" t="s">
        <v>498</v>
      </c>
      <c r="H85" s="158" t="s">
        <v>497</v>
      </c>
      <c r="I85" s="158" t="s">
        <v>487</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497</v>
      </c>
      <c r="B86" s="159" t="s">
        <v>485</v>
      </c>
      <c r="C86" s="158" t="s">
        <v>492</v>
      </c>
      <c r="D86" s="158">
        <v>45918</v>
      </c>
      <c r="E86" s="158">
        <v>45918</v>
      </c>
      <c r="F86" s="158" t="s">
        <v>309</v>
      </c>
      <c r="G86" s="158" t="s">
        <v>498</v>
      </c>
      <c r="H86" s="158" t="s">
        <v>497</v>
      </c>
      <c r="I86" s="158" t="s">
        <v>487</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497</v>
      </c>
      <c r="B87" s="159" t="s">
        <v>485</v>
      </c>
      <c r="C87" s="158" t="s">
        <v>492</v>
      </c>
      <c r="D87" s="158">
        <v>45922</v>
      </c>
      <c r="E87" s="158">
        <v>45922</v>
      </c>
      <c r="F87" s="158" t="s">
        <v>309</v>
      </c>
      <c r="G87" s="158" t="s">
        <v>498</v>
      </c>
      <c r="H87" s="158" t="s">
        <v>497</v>
      </c>
      <c r="I87" s="158" t="s">
        <v>487</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497</v>
      </c>
      <c r="B88" s="159" t="s">
        <v>485</v>
      </c>
      <c r="C88" s="158" t="s">
        <v>492</v>
      </c>
      <c r="D88" s="158">
        <v>45939</v>
      </c>
      <c r="E88" s="158">
        <v>45939</v>
      </c>
      <c r="F88" s="158" t="s">
        <v>309</v>
      </c>
      <c r="G88" s="158" t="s">
        <v>498</v>
      </c>
      <c r="H88" s="158" t="s">
        <v>497</v>
      </c>
      <c r="I88" s="158" t="s">
        <v>487</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497</v>
      </c>
      <c r="B89" s="159" t="s">
        <v>485</v>
      </c>
      <c r="C89" s="158" t="s">
        <v>492</v>
      </c>
      <c r="D89" s="158">
        <v>45940</v>
      </c>
      <c r="E89" s="158">
        <v>45940</v>
      </c>
      <c r="F89" s="158" t="s">
        <v>309</v>
      </c>
      <c r="G89" s="158" t="s">
        <v>498</v>
      </c>
      <c r="H89" s="158" t="s">
        <v>497</v>
      </c>
      <c r="I89" s="158" t="s">
        <v>487</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497</v>
      </c>
      <c r="B90" s="159" t="s">
        <v>485</v>
      </c>
      <c r="C90" s="158" t="s">
        <v>492</v>
      </c>
      <c r="D90" s="158">
        <v>45944</v>
      </c>
      <c r="E90" s="158">
        <v>45944</v>
      </c>
      <c r="F90" s="158" t="s">
        <v>309</v>
      </c>
      <c r="G90" s="158" t="s">
        <v>498</v>
      </c>
      <c r="H90" s="158" t="s">
        <v>497</v>
      </c>
      <c r="I90" s="158" t="s">
        <v>487</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736</v>
      </c>
      <c r="B91" s="159" t="s">
        <v>485</v>
      </c>
      <c r="C91" s="158" t="s">
        <v>234</v>
      </c>
      <c r="D91" s="158">
        <v>45950</v>
      </c>
      <c r="E91" s="158">
        <v>45950</v>
      </c>
      <c r="F91" s="158" t="s">
        <v>309</v>
      </c>
      <c r="G91" s="158" t="s">
        <v>735</v>
      </c>
      <c r="H91" s="158" t="s">
        <v>736</v>
      </c>
      <c r="I91" s="158" t="s">
        <v>487</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500</v>
      </c>
      <c r="B92" s="159" t="s">
        <v>485</v>
      </c>
      <c r="C92" s="158" t="s">
        <v>492</v>
      </c>
      <c r="D92" s="158">
        <v>45951</v>
      </c>
      <c r="E92" s="158">
        <v>45951</v>
      </c>
      <c r="F92" s="158" t="s">
        <v>309</v>
      </c>
      <c r="G92" s="158" t="s">
        <v>501</v>
      </c>
      <c r="H92" s="158" t="s">
        <v>500</v>
      </c>
      <c r="I92" s="158" t="s">
        <v>487</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736</v>
      </c>
      <c r="B93" s="165" t="s">
        <v>485</v>
      </c>
      <c r="C93" s="77" t="s">
        <v>234</v>
      </c>
      <c r="D93" s="77">
        <v>45958</v>
      </c>
      <c r="E93" s="77">
        <v>45958</v>
      </c>
      <c r="F93" s="77" t="s">
        <v>309</v>
      </c>
      <c r="G93" s="77" t="s">
        <v>735</v>
      </c>
      <c r="H93" s="77" t="s">
        <v>736</v>
      </c>
      <c r="I93" s="77" t="s">
        <v>487</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497</v>
      </c>
      <c r="B94" s="159" t="s">
        <v>485</v>
      </c>
      <c r="C94" s="158" t="s">
        <v>492</v>
      </c>
      <c r="D94" s="158">
        <v>45960</v>
      </c>
      <c r="E94" s="158">
        <v>45960</v>
      </c>
      <c r="F94" s="158" t="s">
        <v>309</v>
      </c>
      <c r="G94" s="158" t="s">
        <v>498</v>
      </c>
      <c r="H94" s="158" t="s">
        <v>497</v>
      </c>
      <c r="I94" s="158" t="s">
        <v>487</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500</v>
      </c>
      <c r="B95" s="159" t="s">
        <v>485</v>
      </c>
      <c r="C95" s="158" t="s">
        <v>492</v>
      </c>
      <c r="D95" s="158">
        <v>45964</v>
      </c>
      <c r="E95" s="158">
        <v>45964</v>
      </c>
      <c r="F95" s="158" t="s">
        <v>309</v>
      </c>
      <c r="G95" s="158" t="s">
        <v>501</v>
      </c>
      <c r="H95" s="158" t="s">
        <v>500</v>
      </c>
      <c r="I95" s="158" t="s">
        <v>487</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736</v>
      </c>
      <c r="B96" s="159" t="s">
        <v>485</v>
      </c>
      <c r="C96" s="158" t="s">
        <v>492</v>
      </c>
      <c r="D96" s="158">
        <v>45964</v>
      </c>
      <c r="E96" s="158">
        <v>45964</v>
      </c>
      <c r="F96" s="158" t="s">
        <v>309</v>
      </c>
      <c r="G96" s="158" t="s">
        <v>735</v>
      </c>
      <c r="H96" s="158" t="s">
        <v>736</v>
      </c>
      <c r="I96" s="158" t="s">
        <v>487</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736</v>
      </c>
      <c r="B97" s="159" t="s">
        <v>485</v>
      </c>
      <c r="C97" s="158" t="s">
        <v>492</v>
      </c>
      <c r="D97" s="158">
        <v>45965</v>
      </c>
      <c r="E97" s="158">
        <v>45965</v>
      </c>
      <c r="F97" s="158" t="s">
        <v>309</v>
      </c>
      <c r="G97" s="158" t="s">
        <v>735</v>
      </c>
      <c r="H97" s="158" t="s">
        <v>736</v>
      </c>
      <c r="I97" s="158" t="s">
        <v>487</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736</v>
      </c>
      <c r="B98" s="159" t="s">
        <v>485</v>
      </c>
      <c r="C98" s="158" t="s">
        <v>492</v>
      </c>
      <c r="D98" s="158">
        <v>45967</v>
      </c>
      <c r="E98" s="158">
        <v>45967</v>
      </c>
      <c r="F98" s="158" t="s">
        <v>309</v>
      </c>
      <c r="G98" s="158" t="s">
        <v>735</v>
      </c>
      <c r="H98" s="158" t="s">
        <v>736</v>
      </c>
      <c r="I98" s="158" t="s">
        <v>487</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B1" sqref="B1:H1"/>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502</v>
      </c>
      <c r="B1" s="208" t="s">
        <v>503</v>
      </c>
      <c r="C1" s="208" t="s">
        <v>60</v>
      </c>
      <c r="D1" s="209" t="s">
        <v>505</v>
      </c>
      <c r="E1" s="209" t="s">
        <v>742</v>
      </c>
      <c r="F1" s="209" t="s">
        <v>71</v>
      </c>
      <c r="G1" s="209" t="s">
        <v>743</v>
      </c>
      <c r="H1" s="209" t="s">
        <v>504</v>
      </c>
    </row>
    <row r="2" spans="1:8" ht="14.4" x14ac:dyDescent="0.3">
      <c r="A2">
        <v>1</v>
      </c>
      <c r="B2" s="172" t="s">
        <v>776</v>
      </c>
      <c r="C2" s="102" t="s">
        <v>777</v>
      </c>
      <c r="D2" s="102"/>
      <c r="E2" s="207">
        <v>1950000000</v>
      </c>
      <c r="F2" s="207">
        <v>700000000</v>
      </c>
      <c r="H2" s="207">
        <v>50000000</v>
      </c>
    </row>
    <row r="3" spans="1:8" ht="14.4" x14ac:dyDescent="0.3">
      <c r="A3">
        <v>2</v>
      </c>
      <c r="B3" s="172" t="s">
        <v>778</v>
      </c>
      <c r="C3" s="102" t="s">
        <v>779</v>
      </c>
      <c r="D3" s="102"/>
      <c r="E3" s="207">
        <v>1200000000</v>
      </c>
      <c r="F3" s="207">
        <v>1150000000</v>
      </c>
      <c r="H3" s="207">
        <v>125000000</v>
      </c>
    </row>
    <row r="4" spans="1:8" ht="14.4" x14ac:dyDescent="0.3">
      <c r="A4">
        <v>3</v>
      </c>
      <c r="B4" s="172" t="s">
        <v>780</v>
      </c>
      <c r="C4" s="102" t="s">
        <v>781</v>
      </c>
      <c r="D4" s="102"/>
      <c r="E4" s="207">
        <v>1000000000</v>
      </c>
      <c r="F4" s="207">
        <v>950000000</v>
      </c>
      <c r="H4" s="207">
        <v>125000000</v>
      </c>
    </row>
    <row r="5" spans="1:8" ht="14.4" x14ac:dyDescent="0.3">
      <c r="A5">
        <v>4</v>
      </c>
      <c r="B5" s="172" t="s">
        <v>782</v>
      </c>
      <c r="C5" s="102" t="s">
        <v>783</v>
      </c>
      <c r="D5" s="102"/>
      <c r="E5" s="207">
        <v>1950000000</v>
      </c>
      <c r="F5" s="207">
        <v>400000000</v>
      </c>
      <c r="H5" s="207">
        <v>125000000</v>
      </c>
    </row>
    <row r="6" spans="1:8" ht="14.4" x14ac:dyDescent="0.3">
      <c r="A6">
        <v>5</v>
      </c>
      <c r="B6" s="172" t="s">
        <v>784</v>
      </c>
      <c r="C6" s="102" t="s">
        <v>785</v>
      </c>
      <c r="D6" s="102"/>
      <c r="E6" s="207">
        <v>1200000000</v>
      </c>
      <c r="F6" s="207">
        <v>750000000</v>
      </c>
      <c r="H6" s="207">
        <v>100000000</v>
      </c>
    </row>
    <row r="7" spans="1:8" ht="14.4" x14ac:dyDescent="0.3">
      <c r="A7">
        <v>6</v>
      </c>
      <c r="B7" s="172" t="s">
        <v>786</v>
      </c>
      <c r="C7" s="102" t="s">
        <v>787</v>
      </c>
      <c r="D7" s="102"/>
      <c r="E7" s="207">
        <v>6500000000</v>
      </c>
      <c r="F7" s="207">
        <v>5000000000</v>
      </c>
      <c r="H7" s="207">
        <v>100000000</v>
      </c>
    </row>
    <row r="8" spans="1:8" ht="14.4" x14ac:dyDescent="0.3">
      <c r="A8">
        <v>7</v>
      </c>
      <c r="B8" s="172" t="s">
        <v>788</v>
      </c>
      <c r="C8" s="102" t="s">
        <v>789</v>
      </c>
      <c r="D8" s="102"/>
      <c r="F8" s="207">
        <v>42106000000</v>
      </c>
      <c r="H8" s="207">
        <v>150000000</v>
      </c>
    </row>
    <row r="9" spans="1:8" ht="14.4" x14ac:dyDescent="0.3">
      <c r="A9">
        <v>8</v>
      </c>
      <c r="B9" s="172" t="s">
        <v>790</v>
      </c>
      <c r="C9" s="102" t="s">
        <v>791</v>
      </c>
      <c r="D9" s="102"/>
      <c r="E9" s="207">
        <v>3300000000</v>
      </c>
      <c r="F9" s="207">
        <v>600000000</v>
      </c>
      <c r="H9" s="207">
        <v>100000000</v>
      </c>
    </row>
    <row r="10" spans="1:8" ht="14.4" x14ac:dyDescent="0.3">
      <c r="A10">
        <v>9</v>
      </c>
      <c r="B10" s="172" t="s">
        <v>792</v>
      </c>
      <c r="C10" s="102" t="s">
        <v>793</v>
      </c>
      <c r="D10" s="102"/>
      <c r="F10" s="207">
        <v>420000000</v>
      </c>
      <c r="H10" s="207">
        <v>50000000</v>
      </c>
    </row>
    <row r="11" spans="1:8" ht="14.4" x14ac:dyDescent="0.3">
      <c r="A11">
        <v>10</v>
      </c>
      <c r="B11" s="172" t="s">
        <v>426</v>
      </c>
      <c r="C11" s="102" t="s">
        <v>225</v>
      </c>
      <c r="D11" s="102"/>
      <c r="F11" s="207">
        <v>16626000000</v>
      </c>
      <c r="G11" s="207">
        <v>58160000000</v>
      </c>
      <c r="H11" s="207">
        <v>500000000</v>
      </c>
    </row>
    <row r="12" spans="1:8" ht="14.4" x14ac:dyDescent="0.3">
      <c r="A12">
        <v>11</v>
      </c>
      <c r="B12" s="172" t="s">
        <v>794</v>
      </c>
      <c r="C12" s="102" t="s">
        <v>795</v>
      </c>
      <c r="D12" s="102"/>
      <c r="F12" s="207">
        <v>100000000</v>
      </c>
      <c r="G12" s="207">
        <v>600000000</v>
      </c>
      <c r="H12" s="207">
        <v>125000000</v>
      </c>
    </row>
    <row r="13" spans="1:8" ht="14.4" x14ac:dyDescent="0.3">
      <c r="A13">
        <v>12</v>
      </c>
      <c r="B13" s="172" t="s">
        <v>796</v>
      </c>
      <c r="C13" s="102" t="s">
        <v>797</v>
      </c>
      <c r="D13" s="102"/>
      <c r="F13" s="207">
        <v>100000000</v>
      </c>
      <c r="G13" s="207">
        <v>396000000</v>
      </c>
      <c r="H13" s="207">
        <v>100000000</v>
      </c>
    </row>
    <row r="14" spans="1:8" ht="14.4" x14ac:dyDescent="0.3">
      <c r="A14">
        <v>13</v>
      </c>
      <c r="B14" s="172" t="s">
        <v>798</v>
      </c>
      <c r="C14" s="102" t="s">
        <v>799</v>
      </c>
      <c r="D14" s="102">
        <v>0</v>
      </c>
      <c r="F14" s="207">
        <v>350000000</v>
      </c>
      <c r="G14" s="207">
        <v>3400000000</v>
      </c>
      <c r="H14" s="207">
        <v>350000000</v>
      </c>
    </row>
    <row r="15" spans="1:8" ht="14.4" x14ac:dyDescent="0.3">
      <c r="A15">
        <v>14</v>
      </c>
      <c r="B15" s="172" t="s">
        <v>800</v>
      </c>
      <c r="C15" s="102" t="s">
        <v>801</v>
      </c>
      <c r="D15" s="102">
        <v>0</v>
      </c>
      <c r="F15" s="207">
        <v>450000000</v>
      </c>
      <c r="G15" s="207">
        <v>2350000000</v>
      </c>
      <c r="H15" s="207">
        <v>450000000</v>
      </c>
    </row>
    <row r="16" spans="1:8" ht="14.4" x14ac:dyDescent="0.3">
      <c r="A16">
        <v>15</v>
      </c>
      <c r="B16" s="172" t="s">
        <v>802</v>
      </c>
      <c r="C16" s="102" t="s">
        <v>803</v>
      </c>
      <c r="D16" s="102"/>
      <c r="E16" s="207">
        <v>1000000000</v>
      </c>
      <c r="F16" s="207">
        <v>650000000</v>
      </c>
      <c r="H16" s="207">
        <v>105000000</v>
      </c>
    </row>
    <row r="17" spans="1:8" ht="14.4" x14ac:dyDescent="0.3">
      <c r="A17">
        <v>16</v>
      </c>
      <c r="B17" s="172" t="s">
        <v>804</v>
      </c>
      <c r="C17" s="102" t="s">
        <v>805</v>
      </c>
      <c r="D17" s="102"/>
      <c r="E17" s="207">
        <v>300000000</v>
      </c>
      <c r="F17" s="207">
        <v>200000000</v>
      </c>
      <c r="H17" s="207">
        <v>100000000</v>
      </c>
    </row>
    <row r="18" spans="1:8" ht="14.4" x14ac:dyDescent="0.3">
      <c r="A18">
        <v>17</v>
      </c>
      <c r="B18" s="172" t="s">
        <v>806</v>
      </c>
      <c r="C18" s="102" t="s">
        <v>807</v>
      </c>
      <c r="D18" s="102">
        <v>0</v>
      </c>
      <c r="E18" s="207">
        <v>1510000000</v>
      </c>
      <c r="F18" s="207">
        <v>420000000</v>
      </c>
      <c r="H18" s="207">
        <v>200000000</v>
      </c>
    </row>
    <row r="19" spans="1:8" ht="14.4" x14ac:dyDescent="0.3">
      <c r="A19">
        <v>18</v>
      </c>
      <c r="B19" s="172" t="s">
        <v>808</v>
      </c>
      <c r="C19" s="102" t="s">
        <v>809</v>
      </c>
      <c r="D19" s="102">
        <v>0</v>
      </c>
      <c r="E19" s="207">
        <v>1510000000</v>
      </c>
      <c r="F19" s="207">
        <v>420000000</v>
      </c>
      <c r="H19" s="207">
        <v>175000000</v>
      </c>
    </row>
    <row r="20" spans="1:8" ht="14.4" x14ac:dyDescent="0.3">
      <c r="A20">
        <v>19</v>
      </c>
      <c r="B20" s="172" t="s">
        <v>810</v>
      </c>
      <c r="C20" s="102" t="s">
        <v>811</v>
      </c>
      <c r="D20" s="102"/>
      <c r="E20" s="207">
        <v>2350000000</v>
      </c>
      <c r="F20" s="207">
        <v>150000000</v>
      </c>
      <c r="H20" s="207">
        <v>150000000</v>
      </c>
    </row>
    <row r="21" spans="1:8" ht="14.4" x14ac:dyDescent="0.3">
      <c r="A21">
        <v>20</v>
      </c>
      <c r="B21" s="172" t="s">
        <v>812</v>
      </c>
      <c r="C21" s="102" t="s">
        <v>813</v>
      </c>
      <c r="D21" s="102">
        <v>0</v>
      </c>
      <c r="F21" s="207">
        <v>100000000</v>
      </c>
      <c r="H21" s="207">
        <v>70000000</v>
      </c>
    </row>
    <row r="22" spans="1:8" ht="14.4" x14ac:dyDescent="0.3">
      <c r="A22">
        <v>21</v>
      </c>
      <c r="B22" s="172" t="s">
        <v>814</v>
      </c>
      <c r="C22" s="102" t="s">
        <v>815</v>
      </c>
      <c r="D22" s="102">
        <v>0</v>
      </c>
      <c r="E22" s="207">
        <v>1050000000</v>
      </c>
      <c r="F22" s="207">
        <v>330000000</v>
      </c>
      <c r="H22" s="207">
        <v>75000000</v>
      </c>
    </row>
    <row r="23" spans="1:8" ht="14.4" x14ac:dyDescent="0.3">
      <c r="A23">
        <v>22</v>
      </c>
      <c r="B23" s="172" t="s">
        <v>523</v>
      </c>
      <c r="C23" s="102" t="s">
        <v>816</v>
      </c>
      <c r="D23" s="102">
        <v>0</v>
      </c>
      <c r="E23" s="207">
        <v>1050000000</v>
      </c>
      <c r="F23" s="207">
        <v>200000000</v>
      </c>
      <c r="H23" s="207">
        <v>200000000</v>
      </c>
    </row>
    <row r="24" spans="1:8" ht="14.4" x14ac:dyDescent="0.3">
      <c r="A24">
        <v>23</v>
      </c>
      <c r="B24" s="172" t="s">
        <v>817</v>
      </c>
      <c r="C24" s="102" t="s">
        <v>818</v>
      </c>
      <c r="D24" s="102">
        <v>0</v>
      </c>
      <c r="E24" s="207">
        <v>4250000000</v>
      </c>
      <c r="F24" s="207">
        <v>950000000</v>
      </c>
      <c r="H24" s="207">
        <v>350000000</v>
      </c>
    </row>
    <row r="25" spans="1:8" ht="14.4" x14ac:dyDescent="0.3">
      <c r="A25">
        <v>24</v>
      </c>
      <c r="B25" s="172" t="s">
        <v>819</v>
      </c>
      <c r="C25" s="102" t="s">
        <v>820</v>
      </c>
      <c r="D25" s="102">
        <v>0</v>
      </c>
      <c r="E25" s="207">
        <v>4250000000</v>
      </c>
      <c r="F25" s="207">
        <v>1999375000</v>
      </c>
      <c r="H25" s="207">
        <v>300000000</v>
      </c>
    </row>
    <row r="26" spans="1:8" ht="14.4" x14ac:dyDescent="0.3">
      <c r="A26">
        <v>25</v>
      </c>
      <c r="B26" s="172" t="s">
        <v>821</v>
      </c>
      <c r="C26" s="102" t="s">
        <v>822</v>
      </c>
      <c r="D26" s="102"/>
      <c r="E26" s="207">
        <v>152330000000</v>
      </c>
      <c r="F26" s="207">
        <v>59765000000</v>
      </c>
      <c r="H26" s="207">
        <v>300000000</v>
      </c>
    </row>
    <row r="27" spans="1:8" ht="14.4" x14ac:dyDescent="0.3">
      <c r="A27">
        <v>26</v>
      </c>
      <c r="B27" s="172" t="s">
        <v>823</v>
      </c>
      <c r="C27" s="102" t="s">
        <v>824</v>
      </c>
      <c r="D27" s="102">
        <v>0</v>
      </c>
      <c r="E27" s="207">
        <v>50000000</v>
      </c>
      <c r="F27" s="207">
        <v>800000000</v>
      </c>
      <c r="G27" s="207">
        <v>3625000000</v>
      </c>
      <c r="H27" s="207">
        <v>50000000</v>
      </c>
    </row>
    <row r="28" spans="1:8" ht="14.4" x14ac:dyDescent="0.3">
      <c r="A28">
        <v>27</v>
      </c>
      <c r="B28" s="172" t="s">
        <v>825</v>
      </c>
      <c r="C28" s="102" t="s">
        <v>826</v>
      </c>
      <c r="D28" s="102">
        <v>0</v>
      </c>
      <c r="E28" s="207">
        <v>50000000</v>
      </c>
      <c r="F28" s="207">
        <v>1100000000</v>
      </c>
      <c r="G28" s="207">
        <v>4425000000</v>
      </c>
      <c r="H28" s="207">
        <v>150000000</v>
      </c>
    </row>
    <row r="29" spans="1:8" ht="14.4" x14ac:dyDescent="0.3">
      <c r="A29">
        <v>28</v>
      </c>
      <c r="B29" s="172" t="s">
        <v>827</v>
      </c>
      <c r="C29" s="102" t="s">
        <v>828</v>
      </c>
      <c r="D29" s="102">
        <v>0</v>
      </c>
      <c r="E29" s="207">
        <v>50000000</v>
      </c>
      <c r="F29" s="207">
        <v>450000000</v>
      </c>
      <c r="G29" s="207">
        <v>5525000000</v>
      </c>
      <c r="H29" s="207">
        <v>225000000</v>
      </c>
    </row>
    <row r="30" spans="1:8" ht="14.4" x14ac:dyDescent="0.3">
      <c r="A30">
        <v>29</v>
      </c>
      <c r="B30" s="172" t="s">
        <v>829</v>
      </c>
      <c r="C30" s="102" t="s">
        <v>830</v>
      </c>
      <c r="D30" s="102">
        <v>0</v>
      </c>
      <c r="E30" s="207">
        <v>445000000</v>
      </c>
      <c r="F30" s="207">
        <v>330000000</v>
      </c>
      <c r="H30" s="207">
        <v>200000000</v>
      </c>
    </row>
    <row r="31" spans="1:8" ht="14.4" x14ac:dyDescent="0.3">
      <c r="A31">
        <v>30</v>
      </c>
      <c r="B31" s="172" t="s">
        <v>831</v>
      </c>
      <c r="C31" s="102" t="s">
        <v>832</v>
      </c>
      <c r="D31" s="102"/>
      <c r="F31" s="207">
        <v>250000000</v>
      </c>
      <c r="G31" s="207">
        <v>500000000</v>
      </c>
      <c r="H31" s="207">
        <v>250000000</v>
      </c>
    </row>
    <row r="32" spans="1:8" ht="14.4" x14ac:dyDescent="0.3">
      <c r="A32">
        <v>31</v>
      </c>
      <c r="B32" s="172" t="s">
        <v>833</v>
      </c>
      <c r="C32" s="102" t="s">
        <v>834</v>
      </c>
      <c r="D32" s="102">
        <v>0</v>
      </c>
      <c r="E32" s="207">
        <v>1800000000</v>
      </c>
      <c r="F32" s="207">
        <v>1400000000</v>
      </c>
      <c r="H32" s="207">
        <v>175000000</v>
      </c>
    </row>
    <row r="33" spans="1:8" ht="14.4" x14ac:dyDescent="0.3">
      <c r="A33">
        <v>32</v>
      </c>
      <c r="B33" s="172" t="s">
        <v>835</v>
      </c>
      <c r="C33" s="102" t="s">
        <v>836</v>
      </c>
      <c r="D33" s="102">
        <v>0</v>
      </c>
      <c r="E33" s="207">
        <v>3200000000</v>
      </c>
      <c r="F33" s="207">
        <v>1300000000</v>
      </c>
      <c r="H33" s="207">
        <v>125000000</v>
      </c>
    </row>
    <row r="34" spans="1:8" ht="14.4" x14ac:dyDescent="0.3">
      <c r="A34">
        <v>33</v>
      </c>
      <c r="B34" s="172" t="s">
        <v>837</v>
      </c>
      <c r="C34" s="102" t="s">
        <v>838</v>
      </c>
      <c r="D34" s="102">
        <v>0</v>
      </c>
      <c r="E34" s="207">
        <v>3200000000</v>
      </c>
      <c r="F34" s="207">
        <v>1300000000</v>
      </c>
      <c r="H34" s="207">
        <v>60000000</v>
      </c>
    </row>
    <row r="35" spans="1:8" ht="14.4" x14ac:dyDescent="0.3">
      <c r="A35">
        <v>34</v>
      </c>
      <c r="B35" s="172" t="s">
        <v>839</v>
      </c>
      <c r="C35" s="102" t="s">
        <v>840</v>
      </c>
      <c r="D35" s="102">
        <v>0</v>
      </c>
      <c r="E35" s="207">
        <v>5000000000</v>
      </c>
      <c r="F35" s="207">
        <v>500000000</v>
      </c>
      <c r="H35" s="207">
        <v>135000000</v>
      </c>
    </row>
    <row r="36" spans="1:8" ht="14.4" x14ac:dyDescent="0.3">
      <c r="A36">
        <v>35</v>
      </c>
      <c r="B36" s="172" t="s">
        <v>841</v>
      </c>
      <c r="C36" s="102" t="s">
        <v>842</v>
      </c>
      <c r="D36" s="102">
        <v>0</v>
      </c>
      <c r="E36" s="207">
        <v>3200000000</v>
      </c>
      <c r="F36" s="207">
        <v>1300000000</v>
      </c>
      <c r="H36" s="207">
        <v>150000000</v>
      </c>
    </row>
    <row r="37" spans="1:8" ht="14.4" x14ac:dyDescent="0.3">
      <c r="A37">
        <v>36</v>
      </c>
      <c r="B37" s="172" t="s">
        <v>843</v>
      </c>
      <c r="C37" s="102" t="s">
        <v>844</v>
      </c>
      <c r="D37" s="102"/>
      <c r="E37" s="207">
        <v>5500000000</v>
      </c>
      <c r="F37" s="207">
        <v>600000000</v>
      </c>
      <c r="H37" s="207">
        <v>200000000</v>
      </c>
    </row>
    <row r="38" spans="1:8" ht="14.4" x14ac:dyDescent="0.3">
      <c r="A38">
        <v>37</v>
      </c>
      <c r="B38" s="172" t="s">
        <v>845</v>
      </c>
      <c r="C38" s="102" t="s">
        <v>846</v>
      </c>
      <c r="D38" s="102">
        <v>0</v>
      </c>
      <c r="E38" s="207">
        <v>2100000000</v>
      </c>
      <c r="F38" s="207">
        <v>1100000000</v>
      </c>
      <c r="H38" s="207">
        <v>75000000</v>
      </c>
    </row>
    <row r="39" spans="1:8" ht="14.4" x14ac:dyDescent="0.3">
      <c r="A39">
        <v>38</v>
      </c>
      <c r="B39" s="172" t="s">
        <v>847</v>
      </c>
      <c r="C39" s="102" t="s">
        <v>848</v>
      </c>
      <c r="D39" s="102">
        <v>0</v>
      </c>
      <c r="E39" s="207">
        <v>3200000000</v>
      </c>
      <c r="F39" s="207">
        <v>1300000000</v>
      </c>
      <c r="H39" s="207">
        <v>200000000</v>
      </c>
    </row>
    <row r="40" spans="1:8" ht="14.4" x14ac:dyDescent="0.3">
      <c r="A40">
        <v>39</v>
      </c>
      <c r="B40" s="172" t="s">
        <v>849</v>
      </c>
      <c r="C40" s="102" t="s">
        <v>850</v>
      </c>
      <c r="D40" s="102">
        <v>0</v>
      </c>
      <c r="E40" s="207">
        <v>4500000000</v>
      </c>
      <c r="F40" s="207">
        <v>500000000</v>
      </c>
      <c r="H40" s="207">
        <v>175000000</v>
      </c>
    </row>
    <row r="41" spans="1:8" ht="14.4" x14ac:dyDescent="0.3">
      <c r="A41">
        <v>40</v>
      </c>
      <c r="B41" s="172" t="s">
        <v>851</v>
      </c>
      <c r="C41" s="102" t="s">
        <v>852</v>
      </c>
      <c r="D41" s="102"/>
      <c r="E41" s="207">
        <v>500000000</v>
      </c>
      <c r="F41" s="207">
        <v>500000000</v>
      </c>
      <c r="H41" s="207">
        <v>250000000</v>
      </c>
    </row>
    <row r="42" spans="1:8" ht="14.4" x14ac:dyDescent="0.3">
      <c r="A42">
        <v>41</v>
      </c>
      <c r="B42" s="172" t="s">
        <v>352</v>
      </c>
      <c r="C42" s="102" t="s">
        <v>853</v>
      </c>
      <c r="D42" s="102"/>
      <c r="E42" s="207">
        <v>500000000</v>
      </c>
      <c r="F42" s="207">
        <v>300000000</v>
      </c>
      <c r="H42" s="207">
        <v>100000000</v>
      </c>
    </row>
    <row r="43" spans="1:8" ht="14.4" x14ac:dyDescent="0.3">
      <c r="A43">
        <v>42</v>
      </c>
      <c r="B43" s="172" t="s">
        <v>854</v>
      </c>
      <c r="C43" s="102" t="s">
        <v>855</v>
      </c>
      <c r="D43" s="102"/>
      <c r="F43" s="207">
        <v>400000000</v>
      </c>
      <c r="G43" s="207">
        <v>850000000</v>
      </c>
      <c r="H43" s="207">
        <v>100000000</v>
      </c>
    </row>
    <row r="44" spans="1:8" ht="14.4" x14ac:dyDescent="0.3">
      <c r="A44">
        <v>43</v>
      </c>
      <c r="B44" s="172" t="s">
        <v>856</v>
      </c>
      <c r="C44" s="102" t="s">
        <v>857</v>
      </c>
      <c r="D44" s="102"/>
      <c r="F44" s="207">
        <v>300000000</v>
      </c>
      <c r="G44" s="207">
        <v>550000000</v>
      </c>
      <c r="H44" s="207">
        <v>150000000</v>
      </c>
    </row>
    <row r="45" spans="1:8" ht="14.4" x14ac:dyDescent="0.3">
      <c r="A45">
        <v>44</v>
      </c>
      <c r="B45" s="172" t="s">
        <v>858</v>
      </c>
      <c r="C45" s="102" t="s">
        <v>859</v>
      </c>
      <c r="D45" s="102"/>
      <c r="F45" s="207">
        <v>500000000</v>
      </c>
      <c r="G45" s="207">
        <v>1250000000</v>
      </c>
      <c r="H45" s="207">
        <v>100000000</v>
      </c>
    </row>
    <row r="46" spans="1:8" ht="14.4" x14ac:dyDescent="0.3">
      <c r="A46">
        <v>45</v>
      </c>
      <c r="B46" s="172" t="s">
        <v>860</v>
      </c>
      <c r="C46" s="102" t="s">
        <v>861</v>
      </c>
      <c r="D46" s="102"/>
      <c r="F46" s="207">
        <v>600000000</v>
      </c>
      <c r="G46" s="207">
        <v>1750000000</v>
      </c>
      <c r="H46" s="207">
        <v>225000000</v>
      </c>
    </row>
    <row r="47" spans="1:8" ht="14.4" x14ac:dyDescent="0.3">
      <c r="A47">
        <v>46</v>
      </c>
      <c r="B47" s="172" t="s">
        <v>862</v>
      </c>
      <c r="C47" s="102" t="s">
        <v>863</v>
      </c>
      <c r="D47" s="102">
        <v>0</v>
      </c>
      <c r="E47" s="207">
        <v>50000000</v>
      </c>
      <c r="F47" s="207">
        <v>550000000</v>
      </c>
      <c r="G47" s="207">
        <v>3075000000</v>
      </c>
      <c r="H47" s="207">
        <v>35000000</v>
      </c>
    </row>
    <row r="48" spans="1:8" ht="14.4" x14ac:dyDescent="0.3">
      <c r="A48">
        <v>47</v>
      </c>
      <c r="B48" s="172" t="s">
        <v>864</v>
      </c>
      <c r="C48" s="102" t="s">
        <v>865</v>
      </c>
      <c r="D48" s="102">
        <v>0</v>
      </c>
      <c r="E48" s="207">
        <v>50000000</v>
      </c>
      <c r="F48" s="207">
        <v>600000000</v>
      </c>
      <c r="G48" s="207">
        <v>3625000000</v>
      </c>
      <c r="H48" s="207">
        <v>60000000</v>
      </c>
    </row>
    <row r="49" spans="1:8" ht="14.4" x14ac:dyDescent="0.3">
      <c r="A49">
        <v>48</v>
      </c>
      <c r="B49" s="172" t="s">
        <v>866</v>
      </c>
      <c r="C49" s="102" t="s">
        <v>867</v>
      </c>
      <c r="D49" s="102">
        <v>0</v>
      </c>
      <c r="E49" s="207">
        <v>50000000</v>
      </c>
      <c r="F49" s="207">
        <v>400000000</v>
      </c>
      <c r="G49" s="207">
        <v>4225000000</v>
      </c>
      <c r="H49" s="207">
        <v>155000000</v>
      </c>
    </row>
    <row r="50" spans="1:8" ht="14.4" x14ac:dyDescent="0.3">
      <c r="A50">
        <v>49</v>
      </c>
      <c r="B50" s="172" t="s">
        <v>868</v>
      </c>
      <c r="C50" s="102" t="s">
        <v>869</v>
      </c>
      <c r="D50" s="102">
        <v>0</v>
      </c>
      <c r="E50" s="207">
        <v>50000000</v>
      </c>
      <c r="F50" s="207">
        <v>450000000</v>
      </c>
      <c r="G50" s="207">
        <v>5525000000</v>
      </c>
      <c r="H50" s="207">
        <v>180000000</v>
      </c>
    </row>
    <row r="51" spans="1:8" ht="14.4" x14ac:dyDescent="0.3">
      <c r="A51">
        <v>50</v>
      </c>
      <c r="B51" s="172" t="s">
        <v>870</v>
      </c>
      <c r="C51" s="102" t="s">
        <v>871</v>
      </c>
      <c r="D51" s="102">
        <v>0</v>
      </c>
      <c r="E51" s="207">
        <v>50000000</v>
      </c>
      <c r="F51" s="207">
        <v>600000000</v>
      </c>
      <c r="G51" s="207">
        <v>3625000000</v>
      </c>
      <c r="H51" s="207">
        <v>125000000</v>
      </c>
    </row>
    <row r="52" spans="1:8" ht="14.4" x14ac:dyDescent="0.3">
      <c r="A52">
        <v>51</v>
      </c>
      <c r="B52" s="172" t="s">
        <v>872</v>
      </c>
      <c r="C52" s="102" t="s">
        <v>873</v>
      </c>
      <c r="D52" s="102">
        <v>0</v>
      </c>
      <c r="E52" s="207">
        <v>50000000</v>
      </c>
      <c r="F52" s="207">
        <v>900000000</v>
      </c>
      <c r="G52" s="207">
        <v>4625000000</v>
      </c>
      <c r="H52" s="207">
        <v>275000000</v>
      </c>
    </row>
    <row r="53" spans="1:8" ht="14.4" x14ac:dyDescent="0.3">
      <c r="A53">
        <v>52</v>
      </c>
      <c r="B53" s="172" t="s">
        <v>874</v>
      </c>
      <c r="C53" s="102" t="s">
        <v>875</v>
      </c>
      <c r="D53" s="102">
        <v>0</v>
      </c>
      <c r="E53" s="207">
        <v>50000000</v>
      </c>
      <c r="F53" s="207">
        <v>600000000</v>
      </c>
      <c r="G53" s="207">
        <v>3625000000</v>
      </c>
      <c r="H53" s="207">
        <v>50000000</v>
      </c>
    </row>
    <row r="54" spans="1:8" ht="14.4" x14ac:dyDescent="0.3">
      <c r="A54">
        <v>53</v>
      </c>
      <c r="B54" s="172" t="s">
        <v>876</v>
      </c>
      <c r="C54" s="102" t="s">
        <v>877</v>
      </c>
      <c r="D54" s="102">
        <v>0</v>
      </c>
      <c r="E54" s="207">
        <v>50000000</v>
      </c>
      <c r="F54" s="207">
        <v>900000000</v>
      </c>
      <c r="G54" s="207">
        <v>4625000000</v>
      </c>
      <c r="H54" s="207">
        <v>75000000</v>
      </c>
    </row>
    <row r="55" spans="1:8" ht="14.4" x14ac:dyDescent="0.3">
      <c r="A55">
        <v>54</v>
      </c>
      <c r="B55" s="172" t="s">
        <v>878</v>
      </c>
      <c r="C55" s="102" t="s">
        <v>879</v>
      </c>
      <c r="D55" s="102"/>
      <c r="E55" s="207">
        <v>1310000000</v>
      </c>
      <c r="F55" s="207">
        <v>125000000</v>
      </c>
      <c r="H55" s="207">
        <v>110000000</v>
      </c>
    </row>
    <row r="56" spans="1:8" ht="14.4" x14ac:dyDescent="0.3">
      <c r="A56">
        <v>55</v>
      </c>
      <c r="B56" s="172" t="s">
        <v>880</v>
      </c>
      <c r="C56" s="102" t="s">
        <v>881</v>
      </c>
      <c r="D56" s="102">
        <v>200000000</v>
      </c>
      <c r="E56" s="207">
        <v>100000000</v>
      </c>
      <c r="F56" s="207">
        <v>200000000</v>
      </c>
      <c r="G56" s="207">
        <v>200000000</v>
      </c>
      <c r="H56" s="207">
        <v>50000000</v>
      </c>
    </row>
    <row r="57" spans="1:8" ht="14.4" x14ac:dyDescent="0.3">
      <c r="A57">
        <v>56</v>
      </c>
      <c r="B57" s="172" t="s">
        <v>882</v>
      </c>
      <c r="C57" s="102" t="s">
        <v>883</v>
      </c>
      <c r="D57" s="102"/>
      <c r="E57" s="207">
        <v>525000000</v>
      </c>
      <c r="F57" s="207">
        <v>160000000</v>
      </c>
      <c r="H57" s="207">
        <v>130000000</v>
      </c>
    </row>
    <row r="58" spans="1:8" ht="14.4" x14ac:dyDescent="0.3">
      <c r="A58">
        <v>57</v>
      </c>
      <c r="B58" s="172" t="s">
        <v>884</v>
      </c>
      <c r="C58" s="102" t="s">
        <v>885</v>
      </c>
      <c r="D58" s="102"/>
      <c r="E58" s="207">
        <v>525000000</v>
      </c>
      <c r="F58" s="207">
        <v>400000000</v>
      </c>
      <c r="H58" s="207">
        <v>80000000</v>
      </c>
    </row>
    <row r="59" spans="1:8" ht="14.4" x14ac:dyDescent="0.3">
      <c r="A59">
        <v>58</v>
      </c>
      <c r="B59" s="172" t="s">
        <v>371</v>
      </c>
      <c r="C59" s="102" t="s">
        <v>220</v>
      </c>
      <c r="D59" s="102">
        <v>200000000</v>
      </c>
      <c r="E59" s="207">
        <v>100000000</v>
      </c>
      <c r="F59" s="207">
        <v>200000000</v>
      </c>
      <c r="G59" s="207">
        <v>200000000</v>
      </c>
      <c r="H59" s="207">
        <v>150000000</v>
      </c>
    </row>
    <row r="60" spans="1:8" ht="14.4" x14ac:dyDescent="0.3">
      <c r="A60">
        <v>59</v>
      </c>
      <c r="B60" s="172" t="s">
        <v>886</v>
      </c>
      <c r="C60" s="102" t="s">
        <v>887</v>
      </c>
      <c r="D60" s="102"/>
      <c r="E60" s="207">
        <v>250000000</v>
      </c>
      <c r="F60" s="207">
        <v>250000000</v>
      </c>
      <c r="H60" s="207">
        <v>150000000</v>
      </c>
    </row>
    <row r="61" spans="1:8" ht="14.4" x14ac:dyDescent="0.3">
      <c r="A61">
        <v>60</v>
      </c>
      <c r="B61" s="172" t="s">
        <v>888</v>
      </c>
      <c r="C61" s="102" t="s">
        <v>889</v>
      </c>
      <c r="D61" s="102">
        <v>0</v>
      </c>
      <c r="E61" s="207">
        <v>0</v>
      </c>
      <c r="F61" s="207">
        <v>100000000</v>
      </c>
      <c r="H61" s="207">
        <v>100000000</v>
      </c>
    </row>
    <row r="62" spans="1:8" ht="14.4" x14ac:dyDescent="0.3">
      <c r="A62">
        <v>61</v>
      </c>
      <c r="B62" s="172" t="s">
        <v>890</v>
      </c>
      <c r="C62" s="102" t="s">
        <v>891</v>
      </c>
      <c r="D62" s="102">
        <v>0</v>
      </c>
      <c r="E62" s="207">
        <v>0</v>
      </c>
      <c r="F62" s="207">
        <v>150000000</v>
      </c>
      <c r="H62" s="207">
        <v>150000000</v>
      </c>
    </row>
    <row r="63" spans="1:8" ht="14.4" x14ac:dyDescent="0.3">
      <c r="A63">
        <v>62</v>
      </c>
      <c r="B63" s="172" t="s">
        <v>892</v>
      </c>
      <c r="C63" s="102" t="s">
        <v>893</v>
      </c>
      <c r="D63" s="102">
        <v>0</v>
      </c>
      <c r="E63" s="207">
        <v>0</v>
      </c>
      <c r="F63" s="207">
        <v>350000000</v>
      </c>
      <c r="H63" s="207">
        <v>350000000</v>
      </c>
    </row>
    <row r="64" spans="1:8" ht="14.4" x14ac:dyDescent="0.3">
      <c r="A64">
        <v>63</v>
      </c>
      <c r="B64" s="172" t="s">
        <v>894</v>
      </c>
      <c r="C64" s="102" t="s">
        <v>895</v>
      </c>
      <c r="D64" s="102"/>
      <c r="E64" s="207">
        <v>700000000</v>
      </c>
      <c r="F64" s="207">
        <v>300000000</v>
      </c>
      <c r="H64" s="207">
        <v>150000000</v>
      </c>
    </row>
    <row r="65" spans="1:8" ht="14.4" x14ac:dyDescent="0.3">
      <c r="A65">
        <v>64</v>
      </c>
      <c r="B65" s="172" t="s">
        <v>511</v>
      </c>
      <c r="C65" s="102" t="s">
        <v>896</v>
      </c>
      <c r="D65" s="102">
        <v>0</v>
      </c>
      <c r="E65" s="207">
        <v>4250000000</v>
      </c>
      <c r="F65" s="207">
        <v>1000000000</v>
      </c>
      <c r="H65" s="207">
        <v>400000000</v>
      </c>
    </row>
    <row r="66" spans="1:8" ht="14.4" x14ac:dyDescent="0.3">
      <c r="A66">
        <v>65</v>
      </c>
      <c r="B66" s="172" t="s">
        <v>358</v>
      </c>
      <c r="C66" s="102" t="s">
        <v>897</v>
      </c>
      <c r="D66" s="102">
        <v>0</v>
      </c>
      <c r="E66" s="207">
        <v>4250000000</v>
      </c>
      <c r="F66" s="207">
        <v>750000000</v>
      </c>
      <c r="H66" s="207">
        <v>100000000</v>
      </c>
    </row>
    <row r="67" spans="1:8" ht="14.4" x14ac:dyDescent="0.3">
      <c r="A67">
        <v>66</v>
      </c>
      <c r="B67" s="172" t="s">
        <v>898</v>
      </c>
      <c r="C67" s="102" t="s">
        <v>899</v>
      </c>
      <c r="D67" s="102">
        <v>0</v>
      </c>
      <c r="E67" s="207">
        <v>50000000</v>
      </c>
      <c r="F67" s="207">
        <v>500000000</v>
      </c>
      <c r="G67" s="207">
        <v>4500000000</v>
      </c>
      <c r="H67" s="207">
        <v>150000000</v>
      </c>
    </row>
    <row r="68" spans="1:8" ht="14.4" x14ac:dyDescent="0.3">
      <c r="A68">
        <v>67</v>
      </c>
      <c r="B68" s="172" t="s">
        <v>900</v>
      </c>
      <c r="C68" s="102" t="s">
        <v>901</v>
      </c>
      <c r="D68" s="102">
        <v>0</v>
      </c>
      <c r="E68" s="207">
        <v>4250000000</v>
      </c>
      <c r="F68" s="207">
        <v>250000000</v>
      </c>
      <c r="H68" s="207">
        <v>100000000</v>
      </c>
    </row>
    <row r="69" spans="1:8" ht="14.4" x14ac:dyDescent="0.3">
      <c r="A69">
        <v>68</v>
      </c>
      <c r="B69" s="172" t="s">
        <v>902</v>
      </c>
      <c r="C69" s="102" t="s">
        <v>903</v>
      </c>
      <c r="D69" s="102">
        <v>0</v>
      </c>
      <c r="E69" s="207">
        <v>4250000000</v>
      </c>
      <c r="F69" s="207">
        <v>750000000</v>
      </c>
      <c r="H69" s="207">
        <v>200000000</v>
      </c>
    </row>
    <row r="70" spans="1:8" ht="14.4" x14ac:dyDescent="0.3">
      <c r="A70">
        <v>69</v>
      </c>
      <c r="B70" s="172" t="s">
        <v>898</v>
      </c>
      <c r="C70" s="102" t="s">
        <v>904</v>
      </c>
      <c r="D70" s="102">
        <v>0</v>
      </c>
      <c r="F70" s="207">
        <v>500000000</v>
      </c>
      <c r="H70" s="207">
        <v>175000000</v>
      </c>
    </row>
    <row r="71" spans="1:8" ht="14.4" x14ac:dyDescent="0.3">
      <c r="A71">
        <v>70</v>
      </c>
      <c r="B71" s="172" t="s">
        <v>905</v>
      </c>
      <c r="C71" s="102" t="s">
        <v>906</v>
      </c>
      <c r="D71" s="102">
        <v>0</v>
      </c>
      <c r="E71" s="207">
        <v>50000000</v>
      </c>
      <c r="F71" s="207">
        <v>500000000</v>
      </c>
      <c r="G71" s="207">
        <v>4000000000</v>
      </c>
      <c r="H71" s="207">
        <v>175000000</v>
      </c>
    </row>
    <row r="72" spans="1:8" ht="14.4" x14ac:dyDescent="0.3">
      <c r="A72">
        <v>71</v>
      </c>
      <c r="B72" s="172" t="s">
        <v>907</v>
      </c>
      <c r="C72" s="102" t="s">
        <v>908</v>
      </c>
      <c r="D72" s="102">
        <v>0</v>
      </c>
      <c r="E72" s="207">
        <v>4250000000</v>
      </c>
      <c r="F72" s="207">
        <v>998636875</v>
      </c>
      <c r="H72" s="207">
        <v>175000000</v>
      </c>
    </row>
    <row r="73" spans="1:8" ht="14.4" x14ac:dyDescent="0.3">
      <c r="A73">
        <v>72</v>
      </c>
      <c r="B73" s="172" t="s">
        <v>909</v>
      </c>
      <c r="C73" s="102" t="s">
        <v>910</v>
      </c>
      <c r="D73" s="102">
        <v>0</v>
      </c>
      <c r="E73" s="207">
        <v>4250000000</v>
      </c>
      <c r="F73" s="207">
        <v>1999375000</v>
      </c>
      <c r="H73" s="207">
        <v>100000000</v>
      </c>
    </row>
    <row r="74" spans="1:8" ht="14.4" x14ac:dyDescent="0.3">
      <c r="A74">
        <v>73</v>
      </c>
      <c r="B74" s="172" t="s">
        <v>911</v>
      </c>
      <c r="C74" s="102" t="s">
        <v>912</v>
      </c>
      <c r="D74" s="102">
        <v>0</v>
      </c>
      <c r="E74" s="207">
        <v>4250000000</v>
      </c>
      <c r="F74" s="207">
        <v>998636875</v>
      </c>
      <c r="H74" s="207">
        <v>175000000</v>
      </c>
    </row>
    <row r="75" spans="1:8" ht="14.4" x14ac:dyDescent="0.3">
      <c r="A75">
        <v>74</v>
      </c>
      <c r="B75" s="172" t="s">
        <v>913</v>
      </c>
      <c r="C75" s="102" t="s">
        <v>914</v>
      </c>
      <c r="D75" s="102">
        <v>0</v>
      </c>
      <c r="E75" s="207">
        <v>4250000000</v>
      </c>
      <c r="F75" s="207">
        <v>1999375000</v>
      </c>
      <c r="H75" s="207">
        <v>300000000</v>
      </c>
    </row>
    <row r="76" spans="1:8" ht="14.4" x14ac:dyDescent="0.3">
      <c r="A76">
        <v>75</v>
      </c>
      <c r="B76" s="172" t="s">
        <v>679</v>
      </c>
      <c r="C76" s="102" t="s">
        <v>915</v>
      </c>
      <c r="D76" s="102">
        <v>0</v>
      </c>
      <c r="E76" s="207">
        <v>0</v>
      </c>
      <c r="F76" s="207">
        <v>65000000000</v>
      </c>
      <c r="G76" s="207">
        <v>45000000000</v>
      </c>
      <c r="H76" s="207">
        <v>60000000</v>
      </c>
    </row>
    <row r="77" spans="1:8" ht="14.4" x14ac:dyDescent="0.3">
      <c r="A77">
        <v>76</v>
      </c>
      <c r="B77" s="172" t="s">
        <v>916</v>
      </c>
      <c r="C77" s="102" t="s">
        <v>917</v>
      </c>
      <c r="D77" s="102">
        <v>0</v>
      </c>
      <c r="E77" s="207">
        <v>0</v>
      </c>
      <c r="F77" s="207">
        <v>24000000000</v>
      </c>
      <c r="G77" s="207">
        <v>21000000000</v>
      </c>
      <c r="H77" s="207">
        <v>40000000</v>
      </c>
    </row>
    <row r="78" spans="1:8" ht="14.4" x14ac:dyDescent="0.3">
      <c r="A78">
        <v>77</v>
      </c>
      <c r="B78" s="172" t="s">
        <v>918</v>
      </c>
      <c r="C78" s="102" t="s">
        <v>919</v>
      </c>
      <c r="D78" s="102"/>
      <c r="F78" s="207">
        <v>1043000000</v>
      </c>
      <c r="G78" s="207">
        <v>2508000000</v>
      </c>
      <c r="H78" s="207">
        <v>60000000</v>
      </c>
    </row>
    <row r="79" spans="1:8" ht="14.4" x14ac:dyDescent="0.3">
      <c r="A79">
        <v>78</v>
      </c>
      <c r="B79" s="172" t="s">
        <v>920</v>
      </c>
      <c r="C79" s="102" t="s">
        <v>921</v>
      </c>
      <c r="D79" s="102"/>
      <c r="F79" s="207">
        <v>1156000000</v>
      </c>
      <c r="G79" s="207">
        <v>1578000000</v>
      </c>
      <c r="H79" s="207">
        <v>30000000</v>
      </c>
    </row>
    <row r="80" spans="1:8" ht="14.4" x14ac:dyDescent="0.3">
      <c r="A80">
        <v>79</v>
      </c>
      <c r="B80" s="172" t="s">
        <v>922</v>
      </c>
      <c r="C80" s="102" t="s">
        <v>923</v>
      </c>
      <c r="D80" s="102"/>
      <c r="E80" s="207">
        <v>110000000</v>
      </c>
      <c r="F80" s="207">
        <v>175000000</v>
      </c>
      <c r="H80" s="207">
        <v>75000000</v>
      </c>
    </row>
    <row r="81" spans="1:8" ht="14.4" x14ac:dyDescent="0.3">
      <c r="A81">
        <v>80</v>
      </c>
      <c r="B81" s="172" t="s">
        <v>924</v>
      </c>
      <c r="C81" s="102" t="s">
        <v>925</v>
      </c>
      <c r="D81" s="102"/>
      <c r="E81" s="207">
        <v>2000000000</v>
      </c>
      <c r="F81" s="207">
        <v>875000000</v>
      </c>
      <c r="H81" s="207">
        <v>100000000</v>
      </c>
    </row>
    <row r="82" spans="1:8" ht="14.4" x14ac:dyDescent="0.3">
      <c r="A82">
        <v>81</v>
      </c>
      <c r="B82" s="172" t="s">
        <v>926</v>
      </c>
      <c r="C82" s="102" t="s">
        <v>927</v>
      </c>
      <c r="D82" s="102"/>
      <c r="E82" s="207">
        <v>2000000000</v>
      </c>
      <c r="F82" s="207">
        <v>875000000</v>
      </c>
      <c r="H82" s="207">
        <v>125000000</v>
      </c>
    </row>
    <row r="83" spans="1:8" ht="14.4" x14ac:dyDescent="0.3">
      <c r="A83">
        <v>82</v>
      </c>
      <c r="B83" s="172" t="s">
        <v>453</v>
      </c>
      <c r="C83" s="102" t="s">
        <v>228</v>
      </c>
      <c r="D83" s="102"/>
      <c r="E83" s="207">
        <v>1200000000</v>
      </c>
      <c r="F83" s="207">
        <v>600000000</v>
      </c>
      <c r="H83" s="207">
        <v>50000000</v>
      </c>
    </row>
    <row r="84" spans="1:8" ht="14.4" x14ac:dyDescent="0.3">
      <c r="A84">
        <v>83</v>
      </c>
      <c r="B84" s="172" t="s">
        <v>928</v>
      </c>
      <c r="C84" s="102" t="s">
        <v>929</v>
      </c>
      <c r="D84" s="102"/>
      <c r="E84" s="207">
        <v>1800000000</v>
      </c>
      <c r="F84" s="207">
        <v>200000000</v>
      </c>
      <c r="H84" s="207">
        <v>200000000</v>
      </c>
    </row>
    <row r="85" spans="1:8" ht="14.4" x14ac:dyDescent="0.3">
      <c r="A85">
        <v>84</v>
      </c>
      <c r="B85" s="172" t="s">
        <v>465</v>
      </c>
      <c r="C85" s="102" t="s">
        <v>930</v>
      </c>
      <c r="D85" s="102"/>
      <c r="E85" s="207">
        <v>1200000000</v>
      </c>
      <c r="F85" s="207">
        <v>600000000</v>
      </c>
      <c r="H85" s="207">
        <v>75000000</v>
      </c>
    </row>
    <row r="86" spans="1:8" ht="14.4" x14ac:dyDescent="0.3">
      <c r="A86">
        <v>85</v>
      </c>
      <c r="B86" s="172" t="s">
        <v>931</v>
      </c>
      <c r="C86" s="102" t="s">
        <v>932</v>
      </c>
      <c r="D86" s="102"/>
      <c r="E86" s="207">
        <v>0</v>
      </c>
      <c r="F86" s="207">
        <v>1920000000</v>
      </c>
      <c r="G86" s="207">
        <v>5987000000</v>
      </c>
      <c r="H86" s="207">
        <v>105000000</v>
      </c>
    </row>
    <row r="87" spans="1:8" ht="14.4" x14ac:dyDescent="0.3">
      <c r="A87">
        <v>86</v>
      </c>
      <c r="B87" s="172" t="s">
        <v>933</v>
      </c>
      <c r="C87" s="102" t="s">
        <v>934</v>
      </c>
      <c r="D87" s="102"/>
      <c r="F87" s="207">
        <v>1516000000</v>
      </c>
      <c r="G87" s="207">
        <v>3700000000</v>
      </c>
      <c r="H87" s="207">
        <v>120000000</v>
      </c>
    </row>
    <row r="88" spans="1:8" ht="14.4" x14ac:dyDescent="0.3">
      <c r="A88">
        <v>87</v>
      </c>
      <c r="B88" s="172" t="s">
        <v>935</v>
      </c>
      <c r="C88" s="102" t="s">
        <v>936</v>
      </c>
      <c r="D88" s="102"/>
      <c r="E88" s="207">
        <v>4495000000</v>
      </c>
      <c r="F88" s="207">
        <v>2295000000</v>
      </c>
      <c r="H88" s="207">
        <v>170000000</v>
      </c>
    </row>
    <row r="89" spans="1:8" ht="14.4" x14ac:dyDescent="0.3">
      <c r="A89">
        <v>88</v>
      </c>
      <c r="B89" s="172" t="s">
        <v>937</v>
      </c>
      <c r="C89" s="102" t="s">
        <v>938</v>
      </c>
      <c r="D89" s="102"/>
      <c r="E89" s="207">
        <v>2500000000</v>
      </c>
      <c r="F89" s="207">
        <v>1995000000</v>
      </c>
      <c r="H89" s="207">
        <v>105000000</v>
      </c>
    </row>
    <row r="90" spans="1:8" ht="14.4" x14ac:dyDescent="0.3">
      <c r="A90">
        <v>89</v>
      </c>
      <c r="B90" s="172" t="s">
        <v>939</v>
      </c>
      <c r="C90" s="102" t="s">
        <v>940</v>
      </c>
      <c r="D90" s="102"/>
      <c r="F90" s="207">
        <v>1920000000</v>
      </c>
      <c r="G90" s="207">
        <v>5987000000</v>
      </c>
      <c r="H90" s="207">
        <v>105000000</v>
      </c>
    </row>
    <row r="91" spans="1:8" ht="14.4" x14ac:dyDescent="0.3">
      <c r="A91">
        <v>90</v>
      </c>
      <c r="B91" s="172" t="s">
        <v>941</v>
      </c>
      <c r="C91" s="102" t="s">
        <v>942</v>
      </c>
      <c r="D91" s="102"/>
      <c r="F91" s="207">
        <v>1516000000</v>
      </c>
      <c r="G91" s="207">
        <v>3700000000</v>
      </c>
      <c r="H91" s="207">
        <v>120000000</v>
      </c>
    </row>
    <row r="92" spans="1:8" ht="14.4" x14ac:dyDescent="0.3">
      <c r="A92">
        <v>91</v>
      </c>
      <c r="B92" s="172" t="s">
        <v>943</v>
      </c>
      <c r="C92" s="102" t="s">
        <v>944</v>
      </c>
      <c r="D92" s="102"/>
      <c r="E92" s="207">
        <v>4495000000</v>
      </c>
      <c r="F92" s="207">
        <v>2295000000</v>
      </c>
      <c r="H92" s="207">
        <v>170000000</v>
      </c>
    </row>
    <row r="93" spans="1:8" ht="14.4" x14ac:dyDescent="0.3">
      <c r="A93">
        <v>92</v>
      </c>
      <c r="B93" s="172" t="s">
        <v>945</v>
      </c>
      <c r="C93" s="102" t="s">
        <v>946</v>
      </c>
      <c r="D93" s="102"/>
      <c r="E93" s="207">
        <v>2500000000</v>
      </c>
      <c r="F93" s="207">
        <v>1995000000</v>
      </c>
      <c r="H93" s="207">
        <v>105000000</v>
      </c>
    </row>
    <row r="94" spans="1:8" ht="14.4" x14ac:dyDescent="0.3">
      <c r="A94">
        <v>93</v>
      </c>
      <c r="B94" s="172" t="s">
        <v>947</v>
      </c>
      <c r="C94" s="102" t="s">
        <v>948</v>
      </c>
      <c r="D94" s="102"/>
      <c r="E94" s="207">
        <v>4576000000</v>
      </c>
      <c r="F94" s="207">
        <v>1507000000</v>
      </c>
      <c r="H94" s="207">
        <v>75000000</v>
      </c>
    </row>
    <row r="95" spans="1:8" ht="14.4" x14ac:dyDescent="0.3">
      <c r="A95">
        <v>94</v>
      </c>
      <c r="B95" s="172" t="s">
        <v>949</v>
      </c>
      <c r="C95" s="102" t="s">
        <v>950</v>
      </c>
      <c r="D95" s="102"/>
      <c r="E95" s="207">
        <v>4055000000</v>
      </c>
      <c r="F95" s="207">
        <v>1597000000</v>
      </c>
      <c r="H95" s="207">
        <v>125000000</v>
      </c>
    </row>
    <row r="96" spans="1:8" ht="14.4" x14ac:dyDescent="0.3">
      <c r="A96">
        <v>95</v>
      </c>
      <c r="B96" s="172" t="s">
        <v>951</v>
      </c>
      <c r="C96" s="102" t="s">
        <v>952</v>
      </c>
      <c r="D96" s="102">
        <v>0</v>
      </c>
      <c r="E96" s="207">
        <v>2095000000</v>
      </c>
      <c r="F96" s="207">
        <v>320000000</v>
      </c>
      <c r="H96" s="207">
        <v>150000000</v>
      </c>
    </row>
    <row r="97" spans="1:8" ht="14.4" x14ac:dyDescent="0.3">
      <c r="A97">
        <v>96</v>
      </c>
      <c r="B97" s="172" t="s">
        <v>953</v>
      </c>
      <c r="C97" s="102" t="s">
        <v>954</v>
      </c>
      <c r="D97" s="102">
        <v>0</v>
      </c>
      <c r="E97" s="207">
        <v>0</v>
      </c>
      <c r="F97" s="207">
        <v>734000000</v>
      </c>
      <c r="G97" s="207">
        <v>6139000000</v>
      </c>
      <c r="H97" s="207">
        <v>90000000</v>
      </c>
    </row>
    <row r="98" spans="1:8" ht="14.4" x14ac:dyDescent="0.3">
      <c r="A98">
        <v>97</v>
      </c>
      <c r="B98" s="172" t="s">
        <v>955</v>
      </c>
      <c r="C98" s="102" t="s">
        <v>956</v>
      </c>
      <c r="D98" s="102">
        <v>0</v>
      </c>
      <c r="E98" s="207">
        <v>0</v>
      </c>
      <c r="F98" s="207">
        <v>392000000</v>
      </c>
      <c r="G98" s="207">
        <v>6935000000</v>
      </c>
      <c r="H98" s="207">
        <v>90000000</v>
      </c>
    </row>
    <row r="99" spans="1:8" ht="14.4" x14ac:dyDescent="0.3">
      <c r="A99">
        <v>98</v>
      </c>
      <c r="B99" s="172" t="s">
        <v>957</v>
      </c>
      <c r="C99" s="102" t="s">
        <v>958</v>
      </c>
      <c r="D99" s="102">
        <v>0</v>
      </c>
      <c r="E99" s="207">
        <v>275000000</v>
      </c>
      <c r="F99" s="207">
        <v>125000000</v>
      </c>
      <c r="H99" s="207">
        <v>110000000</v>
      </c>
    </row>
    <row r="100" spans="1:8" ht="14.4" x14ac:dyDescent="0.3">
      <c r="A100">
        <v>99</v>
      </c>
      <c r="B100" s="172" t="s">
        <v>959</v>
      </c>
      <c r="C100" s="102" t="s">
        <v>960</v>
      </c>
      <c r="D100" s="102">
        <v>0</v>
      </c>
      <c r="E100" s="207">
        <v>400000000</v>
      </c>
      <c r="F100" s="207">
        <v>225000000</v>
      </c>
      <c r="H100" s="207">
        <v>200000000</v>
      </c>
    </row>
    <row r="101" spans="1:8" ht="14.4" x14ac:dyDescent="0.3">
      <c r="A101">
        <v>100</v>
      </c>
      <c r="B101" s="172" t="s">
        <v>961</v>
      </c>
      <c r="C101" s="102" t="s">
        <v>962</v>
      </c>
      <c r="D101" s="102"/>
      <c r="E101" s="207">
        <v>0</v>
      </c>
      <c r="F101" s="207">
        <v>185000000</v>
      </c>
      <c r="G101" s="207">
        <v>433000000</v>
      </c>
      <c r="H101" s="207">
        <v>200000000</v>
      </c>
    </row>
    <row r="102" spans="1:8" ht="14.4" x14ac:dyDescent="0.3">
      <c r="A102">
        <v>101</v>
      </c>
      <c r="B102" s="172" t="s">
        <v>963</v>
      </c>
      <c r="C102" s="102" t="s">
        <v>964</v>
      </c>
      <c r="D102" s="102"/>
      <c r="F102" s="207">
        <v>100000000</v>
      </c>
      <c r="G102" s="207">
        <v>490000000</v>
      </c>
      <c r="H102" s="207">
        <v>100000000</v>
      </c>
    </row>
    <row r="103" spans="1:8" ht="14.4" x14ac:dyDescent="0.3">
      <c r="A103">
        <v>102</v>
      </c>
      <c r="B103" s="172" t="s">
        <v>965</v>
      </c>
      <c r="C103" s="102" t="s">
        <v>966</v>
      </c>
      <c r="D103" s="102">
        <v>57000000</v>
      </c>
      <c r="F103" s="207">
        <v>51000000</v>
      </c>
      <c r="G103" s="207">
        <v>57000000</v>
      </c>
      <c r="H103" s="207">
        <v>50000000</v>
      </c>
    </row>
    <row r="104" spans="1:8" ht="14.4" x14ac:dyDescent="0.3">
      <c r="A104">
        <v>103</v>
      </c>
      <c r="B104" s="172" t="s">
        <v>967</v>
      </c>
      <c r="C104" s="102" t="s">
        <v>968</v>
      </c>
      <c r="D104" s="102"/>
      <c r="E104" s="207">
        <v>200000000</v>
      </c>
      <c r="F104" s="207">
        <v>240000000</v>
      </c>
      <c r="H104" s="207">
        <v>125000000</v>
      </c>
    </row>
    <row r="105" spans="1:8" ht="14.4" x14ac:dyDescent="0.3">
      <c r="A105">
        <v>104</v>
      </c>
      <c r="B105" s="172" t="s">
        <v>383</v>
      </c>
      <c r="C105" s="102" t="s">
        <v>221</v>
      </c>
      <c r="D105" s="102">
        <v>0</v>
      </c>
      <c r="E105" s="207">
        <v>0</v>
      </c>
      <c r="F105" s="207">
        <v>250000000</v>
      </c>
      <c r="H105" s="207">
        <v>100000000</v>
      </c>
    </row>
    <row r="106" spans="1:8" ht="14.4" x14ac:dyDescent="0.3">
      <c r="A106">
        <v>105</v>
      </c>
      <c r="B106" s="172" t="s">
        <v>969</v>
      </c>
      <c r="C106" s="102" t="s">
        <v>970</v>
      </c>
      <c r="D106" s="102"/>
      <c r="E106" s="207">
        <v>355000000</v>
      </c>
      <c r="F106" s="207">
        <v>250000000</v>
      </c>
      <c r="H106" s="207">
        <v>200000000</v>
      </c>
    </row>
    <row r="107" spans="1:8" ht="14.4" x14ac:dyDescent="0.3">
      <c r="A107">
        <v>106</v>
      </c>
      <c r="B107" s="172" t="s">
        <v>421</v>
      </c>
      <c r="C107" s="102" t="s">
        <v>971</v>
      </c>
      <c r="D107" s="102">
        <v>0</v>
      </c>
      <c r="E107" s="207">
        <v>1500000000</v>
      </c>
      <c r="F107" s="207">
        <v>150000000</v>
      </c>
      <c r="H107" s="207">
        <v>150000000</v>
      </c>
    </row>
    <row r="108" spans="1:8" ht="14.4" x14ac:dyDescent="0.3">
      <c r="A108">
        <v>107</v>
      </c>
      <c r="B108" s="172" t="s">
        <v>477</v>
      </c>
      <c r="C108" s="102" t="s">
        <v>972</v>
      </c>
      <c r="D108" s="102">
        <v>0</v>
      </c>
      <c r="E108" s="207">
        <v>525000000</v>
      </c>
      <c r="F108" s="207">
        <v>125000000</v>
      </c>
      <c r="H108" s="207">
        <v>50000000</v>
      </c>
    </row>
    <row r="109" spans="1:8" ht="14.4" x14ac:dyDescent="0.3">
      <c r="A109">
        <v>108</v>
      </c>
      <c r="B109" s="172" t="s">
        <v>973</v>
      </c>
      <c r="C109" s="102" t="s">
        <v>974</v>
      </c>
      <c r="D109" s="102">
        <v>0</v>
      </c>
      <c r="E109" s="207">
        <v>900000000</v>
      </c>
      <c r="F109" s="207">
        <v>400000000</v>
      </c>
      <c r="H109" s="207">
        <v>215000000</v>
      </c>
    </row>
    <row r="110" spans="1:8" ht="14.4" x14ac:dyDescent="0.3">
      <c r="A110">
        <v>109</v>
      </c>
      <c r="B110" s="172" t="s">
        <v>975</v>
      </c>
      <c r="C110" s="102" t="s">
        <v>976</v>
      </c>
      <c r="D110" s="102">
        <v>0</v>
      </c>
      <c r="E110" s="207">
        <v>650000000</v>
      </c>
      <c r="F110" s="207">
        <v>250000000</v>
      </c>
      <c r="H110" s="207">
        <v>130000000</v>
      </c>
    </row>
    <row r="111" spans="1:8" ht="14.4" x14ac:dyDescent="0.3">
      <c r="A111">
        <v>110</v>
      </c>
      <c r="B111" s="172" t="s">
        <v>977</v>
      </c>
      <c r="C111" s="102" t="s">
        <v>978</v>
      </c>
      <c r="D111" s="102">
        <v>0</v>
      </c>
      <c r="E111" s="207">
        <v>325000000</v>
      </c>
      <c r="F111" s="207">
        <v>200000000</v>
      </c>
      <c r="H111" s="207">
        <v>75000000</v>
      </c>
    </row>
    <row r="112" spans="1:8" ht="14.4" x14ac:dyDescent="0.3">
      <c r="A112">
        <v>111</v>
      </c>
      <c r="B112" s="172" t="s">
        <v>979</v>
      </c>
      <c r="C112" s="102" t="s">
        <v>980</v>
      </c>
      <c r="D112" s="102">
        <v>0</v>
      </c>
      <c r="E112" s="207">
        <v>1300000000</v>
      </c>
      <c r="F112" s="207">
        <v>200000000</v>
      </c>
      <c r="H112" s="207">
        <v>150000000</v>
      </c>
    </row>
    <row r="113" spans="1:8" ht="14.4" x14ac:dyDescent="0.3">
      <c r="A113">
        <v>112</v>
      </c>
      <c r="B113" s="172" t="s">
        <v>522</v>
      </c>
      <c r="C113" s="102" t="s">
        <v>981</v>
      </c>
      <c r="D113" s="102">
        <v>0</v>
      </c>
      <c r="E113" s="207">
        <v>650000000</v>
      </c>
      <c r="F113" s="207">
        <v>650000000</v>
      </c>
      <c r="H113" s="207">
        <v>200000000</v>
      </c>
    </row>
    <row r="114" spans="1:8" ht="14.4" x14ac:dyDescent="0.3">
      <c r="A114">
        <v>113</v>
      </c>
      <c r="B114" s="172" t="s">
        <v>982</v>
      </c>
      <c r="C114" s="102" t="s">
        <v>983</v>
      </c>
      <c r="D114" s="102">
        <v>0</v>
      </c>
      <c r="E114" s="207">
        <v>325000000</v>
      </c>
      <c r="F114" s="207">
        <v>325000000</v>
      </c>
      <c r="H114" s="207">
        <v>175000000</v>
      </c>
    </row>
    <row r="115" spans="1:8" ht="14.4" x14ac:dyDescent="0.3">
      <c r="A115">
        <v>114</v>
      </c>
      <c r="B115" s="172" t="s">
        <v>984</v>
      </c>
      <c r="C115" s="102" t="s">
        <v>985</v>
      </c>
      <c r="D115" s="102"/>
      <c r="F115" s="207">
        <v>125000000</v>
      </c>
      <c r="G115" s="207">
        <v>310000000</v>
      </c>
      <c r="H115" s="207">
        <v>125000000</v>
      </c>
    </row>
    <row r="116" spans="1:8" ht="14.4" x14ac:dyDescent="0.3">
      <c r="A116">
        <v>115</v>
      </c>
      <c r="B116" s="172" t="s">
        <v>986</v>
      </c>
      <c r="C116" s="102" t="s">
        <v>987</v>
      </c>
      <c r="D116" s="102">
        <v>0</v>
      </c>
      <c r="E116" s="207">
        <v>0</v>
      </c>
      <c r="F116" s="207">
        <v>225000000</v>
      </c>
      <c r="H116" s="207">
        <v>225000000</v>
      </c>
    </row>
    <row r="117" spans="1:8" ht="14.4" x14ac:dyDescent="0.3">
      <c r="A117">
        <v>116</v>
      </c>
      <c r="B117" s="172" t="s">
        <v>988</v>
      </c>
      <c r="C117" s="172" t="s">
        <v>989</v>
      </c>
      <c r="D117" s="102">
        <v>0</v>
      </c>
      <c r="E117" s="207">
        <v>0</v>
      </c>
      <c r="F117" s="207">
        <v>70000000</v>
      </c>
      <c r="H117" s="207">
        <v>70000000</v>
      </c>
    </row>
    <row r="118" spans="1:8" ht="14.4" x14ac:dyDescent="0.3">
      <c r="A118">
        <v>117</v>
      </c>
      <c r="B118" s="172" t="s">
        <v>990</v>
      </c>
      <c r="C118" s="172" t="s">
        <v>991</v>
      </c>
      <c r="D118" s="102">
        <v>0</v>
      </c>
      <c r="E118" s="207">
        <v>0</v>
      </c>
      <c r="F118" s="207">
        <v>125000000</v>
      </c>
      <c r="H118" s="207">
        <v>125000000</v>
      </c>
    </row>
    <row r="119" spans="1:8" ht="14.4" x14ac:dyDescent="0.3">
      <c r="A119">
        <v>118</v>
      </c>
      <c r="B119" s="172" t="s">
        <v>992</v>
      </c>
      <c r="C119" s="172" t="s">
        <v>993</v>
      </c>
      <c r="D119" s="102">
        <v>0</v>
      </c>
      <c r="E119" s="207">
        <v>0</v>
      </c>
      <c r="F119" s="207">
        <v>175000000</v>
      </c>
      <c r="H119" s="207">
        <v>175000000</v>
      </c>
    </row>
    <row r="120" spans="1:8" ht="14.4" x14ac:dyDescent="0.3">
      <c r="A120">
        <v>119</v>
      </c>
      <c r="B120" s="172" t="s">
        <v>994</v>
      </c>
      <c r="C120" s="172" t="s">
        <v>995</v>
      </c>
      <c r="D120" s="102"/>
      <c r="E120" s="207">
        <v>697000000</v>
      </c>
      <c r="F120" s="207">
        <v>77000000</v>
      </c>
      <c r="H120" s="207">
        <v>80000000</v>
      </c>
    </row>
    <row r="121" spans="1:8" ht="14.4" x14ac:dyDescent="0.3">
      <c r="A121">
        <v>120</v>
      </c>
      <c r="B121" s="172" t="s">
        <v>996</v>
      </c>
      <c r="C121" s="172" t="s">
        <v>997</v>
      </c>
      <c r="D121" s="102"/>
      <c r="E121" s="207">
        <v>174000000</v>
      </c>
      <c r="F121" s="207">
        <v>80000000</v>
      </c>
      <c r="H121" s="207">
        <v>60000000</v>
      </c>
    </row>
    <row r="122" spans="1:8" ht="14.4" x14ac:dyDescent="0.3">
      <c r="A122">
        <v>121</v>
      </c>
      <c r="B122" s="172" t="s">
        <v>998</v>
      </c>
      <c r="C122" s="172" t="s">
        <v>999</v>
      </c>
      <c r="D122" s="102">
        <v>0</v>
      </c>
      <c r="F122" s="207">
        <v>10000000000</v>
      </c>
      <c r="H122" s="207">
        <v>150000000</v>
      </c>
    </row>
    <row r="123" spans="1:8" ht="14.4" x14ac:dyDescent="0.3">
      <c r="A123">
        <v>122</v>
      </c>
      <c r="B123" s="172" t="s">
        <v>1000</v>
      </c>
      <c r="C123" s="172" t="s">
        <v>1001</v>
      </c>
      <c r="D123" s="102"/>
      <c r="E123" s="207">
        <v>100000000</v>
      </c>
      <c r="F123" s="207">
        <v>100000000</v>
      </c>
      <c r="H123" s="207">
        <v>100000000</v>
      </c>
    </row>
    <row r="124" spans="1:8" ht="14.4" x14ac:dyDescent="0.3">
      <c r="A124">
        <v>123</v>
      </c>
      <c r="B124" s="172" t="s">
        <v>1002</v>
      </c>
      <c r="C124" s="172" t="s">
        <v>1003</v>
      </c>
      <c r="D124" s="102">
        <v>0</v>
      </c>
      <c r="F124" s="207">
        <v>145000000</v>
      </c>
      <c r="G124" s="207">
        <v>175000000</v>
      </c>
      <c r="H124" s="207">
        <v>145000000</v>
      </c>
    </row>
    <row r="125" spans="1:8" ht="14.4" x14ac:dyDescent="0.3">
      <c r="A125">
        <v>124</v>
      </c>
      <c r="B125" s="172" t="s">
        <v>473</v>
      </c>
      <c r="C125" s="172" t="s">
        <v>1004</v>
      </c>
      <c r="D125" s="102"/>
      <c r="E125" s="207">
        <v>1225000000</v>
      </c>
      <c r="F125" s="207">
        <v>100000000</v>
      </c>
      <c r="H125" s="207">
        <v>75000000</v>
      </c>
    </row>
    <row r="126" spans="1:8" ht="14.4" x14ac:dyDescent="0.3">
      <c r="A126">
        <v>125</v>
      </c>
      <c r="B126" s="172" t="s">
        <v>1005</v>
      </c>
      <c r="C126" s="172" t="s">
        <v>1006</v>
      </c>
      <c r="D126" s="102"/>
      <c r="E126" s="207">
        <v>325000000</v>
      </c>
      <c r="F126" s="207">
        <v>100000000</v>
      </c>
      <c r="H126" s="207">
        <v>75000000</v>
      </c>
    </row>
    <row r="127" spans="1:8" ht="14.4" x14ac:dyDescent="0.3">
      <c r="A127">
        <v>126</v>
      </c>
      <c r="B127" s="172" t="s">
        <v>1007</v>
      </c>
      <c r="C127" s="172" t="s">
        <v>1008</v>
      </c>
      <c r="D127" s="102"/>
      <c r="E127" s="207">
        <v>1000000000</v>
      </c>
      <c r="F127" s="207">
        <v>225000000</v>
      </c>
      <c r="H127" s="207">
        <v>175000000</v>
      </c>
    </row>
    <row r="128" spans="1:8" ht="14.4" x14ac:dyDescent="0.3">
      <c r="A128">
        <v>127</v>
      </c>
      <c r="B128" s="172" t="s">
        <v>335</v>
      </c>
      <c r="C128" s="172" t="s">
        <v>217</v>
      </c>
      <c r="D128" s="102"/>
      <c r="E128" s="207">
        <v>700000000</v>
      </c>
      <c r="F128" s="207">
        <v>300000000</v>
      </c>
      <c r="H128" s="207">
        <v>300000000</v>
      </c>
    </row>
    <row r="129" spans="1:8" ht="14.4" x14ac:dyDescent="0.3">
      <c r="A129">
        <v>128</v>
      </c>
      <c r="B129" s="172" t="s">
        <v>510</v>
      </c>
      <c r="C129" s="172" t="s">
        <v>1009</v>
      </c>
      <c r="D129" s="102"/>
      <c r="E129" s="207">
        <v>425000000</v>
      </c>
      <c r="F129" s="207">
        <v>150000000</v>
      </c>
      <c r="H129" s="207">
        <v>150000000</v>
      </c>
    </row>
    <row r="130" spans="1:8" ht="14.4" x14ac:dyDescent="0.3">
      <c r="A130">
        <v>129</v>
      </c>
      <c r="B130" s="172" t="s">
        <v>1010</v>
      </c>
      <c r="C130" s="172" t="s">
        <v>1011</v>
      </c>
      <c r="D130" s="102"/>
      <c r="F130" s="207">
        <v>600000000</v>
      </c>
      <c r="G130" s="207">
        <v>800000000</v>
      </c>
      <c r="H130" s="207">
        <v>140000000</v>
      </c>
    </row>
    <row r="131" spans="1:8" ht="14.4" x14ac:dyDescent="0.3">
      <c r="A131">
        <v>130</v>
      </c>
      <c r="B131" s="172" t="s">
        <v>506</v>
      </c>
      <c r="C131" s="172" t="s">
        <v>1012</v>
      </c>
      <c r="D131" s="102">
        <v>0</v>
      </c>
      <c r="E131" s="207">
        <v>0</v>
      </c>
      <c r="F131" s="207">
        <v>85000000</v>
      </c>
      <c r="H131" s="207">
        <v>85000000</v>
      </c>
    </row>
    <row r="132" spans="1:8" ht="14.4" x14ac:dyDescent="0.3">
      <c r="A132">
        <v>131</v>
      </c>
      <c r="B132" s="172" t="s">
        <v>520</v>
      </c>
      <c r="C132" s="210" t="s">
        <v>1013</v>
      </c>
      <c r="D132" s="102"/>
      <c r="F132" s="207">
        <v>50000000</v>
      </c>
      <c r="H132" s="207">
        <v>50000000</v>
      </c>
    </row>
    <row r="133" spans="1:8" ht="14.4" x14ac:dyDescent="0.3">
      <c r="A133">
        <v>132</v>
      </c>
      <c r="B133" s="172" t="s">
        <v>1014</v>
      </c>
      <c r="C133" s="172" t="s">
        <v>1015</v>
      </c>
      <c r="D133" s="102"/>
      <c r="E133" s="207">
        <v>700000000</v>
      </c>
      <c r="F133" s="207">
        <v>200000000</v>
      </c>
      <c r="H133" s="207">
        <v>100000000</v>
      </c>
    </row>
    <row r="134" spans="1:8" ht="14.4" x14ac:dyDescent="0.3">
      <c r="A134">
        <v>133</v>
      </c>
      <c r="B134" s="172" t="s">
        <v>1016</v>
      </c>
      <c r="C134" s="172" t="s">
        <v>1017</v>
      </c>
      <c r="D134" s="102"/>
      <c r="E134" s="207">
        <v>290000000</v>
      </c>
      <c r="F134" s="207">
        <v>205000000</v>
      </c>
      <c r="H134" s="207">
        <v>100000000</v>
      </c>
    </row>
    <row r="135" spans="1:8" ht="14.4" x14ac:dyDescent="0.3">
      <c r="A135">
        <v>134</v>
      </c>
      <c r="B135" s="172" t="s">
        <v>1018</v>
      </c>
      <c r="C135" s="172" t="s">
        <v>1019</v>
      </c>
      <c r="D135" s="102">
        <v>0</v>
      </c>
      <c r="E135" s="207">
        <v>300000000</v>
      </c>
      <c r="F135" s="207">
        <v>250000000</v>
      </c>
      <c r="H135" s="207">
        <v>120000000</v>
      </c>
    </row>
    <row r="136" spans="1:8" ht="14.4" x14ac:dyDescent="0.3">
      <c r="A136">
        <v>135</v>
      </c>
      <c r="B136" s="172" t="s">
        <v>479</v>
      </c>
      <c r="C136" s="172" t="s">
        <v>1020</v>
      </c>
      <c r="D136" s="102">
        <v>0</v>
      </c>
      <c r="E136" s="207">
        <v>345000000</v>
      </c>
      <c r="F136" s="207">
        <v>115000000</v>
      </c>
      <c r="H136" s="207">
        <v>115000000</v>
      </c>
    </row>
    <row r="137" spans="1:8" ht="14.4" x14ac:dyDescent="0.3">
      <c r="A137">
        <v>136</v>
      </c>
      <c r="B137" s="172" t="s">
        <v>1021</v>
      </c>
      <c r="C137" s="172" t="s">
        <v>1022</v>
      </c>
      <c r="D137" s="102"/>
      <c r="E137" s="207">
        <v>700000000</v>
      </c>
      <c r="F137" s="207">
        <v>100000000</v>
      </c>
      <c r="H137" s="207">
        <v>50000000</v>
      </c>
    </row>
    <row r="138" spans="1:8" ht="14.4" x14ac:dyDescent="0.3">
      <c r="A138">
        <v>137</v>
      </c>
      <c r="B138" s="172" t="s">
        <v>1023</v>
      </c>
      <c r="C138" s="172" t="s">
        <v>1024</v>
      </c>
      <c r="D138" s="102"/>
      <c r="E138" s="207">
        <v>560000000</v>
      </c>
      <c r="F138" s="207">
        <v>140000000</v>
      </c>
      <c r="H138" s="207">
        <v>50000000</v>
      </c>
    </row>
    <row r="139" spans="1:8" ht="14.4" x14ac:dyDescent="0.3">
      <c r="A139">
        <v>138</v>
      </c>
      <c r="B139" s="172" t="s">
        <v>317</v>
      </c>
      <c r="C139" s="172" t="s">
        <v>236</v>
      </c>
      <c r="D139" s="102">
        <v>0</v>
      </c>
      <c r="E139" s="207">
        <v>1000000000</v>
      </c>
      <c r="F139" s="207">
        <v>600000000</v>
      </c>
      <c r="H139" s="207">
        <v>200000000</v>
      </c>
    </row>
    <row r="140" spans="1:8" ht="14.4" x14ac:dyDescent="0.3">
      <c r="A140">
        <v>139</v>
      </c>
      <c r="B140" s="172" t="s">
        <v>1025</v>
      </c>
      <c r="C140" s="172" t="s">
        <v>1026</v>
      </c>
      <c r="D140" s="102">
        <v>0</v>
      </c>
      <c r="E140" s="207">
        <v>500000000</v>
      </c>
      <c r="F140" s="207">
        <v>500000000</v>
      </c>
      <c r="H140" s="207">
        <v>200000000</v>
      </c>
    </row>
    <row r="141" spans="1:8" ht="14.4" x14ac:dyDescent="0.3">
      <c r="A141">
        <v>140</v>
      </c>
      <c r="B141" s="172" t="s">
        <v>507</v>
      </c>
      <c r="C141" s="172" t="s">
        <v>1027</v>
      </c>
      <c r="D141" s="102"/>
      <c r="E141" s="207">
        <v>50000000</v>
      </c>
      <c r="F141" s="207">
        <v>200000000</v>
      </c>
      <c r="H141" s="207">
        <v>200000000</v>
      </c>
    </row>
    <row r="142" spans="1:8" ht="14.4" x14ac:dyDescent="0.3">
      <c r="A142">
        <v>141</v>
      </c>
      <c r="B142" s="172" t="s">
        <v>508</v>
      </c>
      <c r="C142" s="172" t="s">
        <v>1028</v>
      </c>
      <c r="D142" s="102">
        <v>0</v>
      </c>
      <c r="F142" s="207">
        <v>600000000</v>
      </c>
      <c r="G142" s="207">
        <v>2800000000</v>
      </c>
      <c r="H142" s="207">
        <v>600000000</v>
      </c>
    </row>
    <row r="143" spans="1:8" ht="14.4" x14ac:dyDescent="0.3">
      <c r="A143">
        <v>142</v>
      </c>
      <c r="B143" s="172" t="s">
        <v>436</v>
      </c>
      <c r="C143" s="172" t="s">
        <v>1029</v>
      </c>
      <c r="D143" s="102">
        <v>0</v>
      </c>
      <c r="E143" s="207">
        <v>800000000</v>
      </c>
      <c r="F143" s="207">
        <v>250000000</v>
      </c>
      <c r="H143" s="207">
        <v>120000000</v>
      </c>
    </row>
    <row r="144" spans="1:8" ht="14.4" x14ac:dyDescent="0.3">
      <c r="A144">
        <v>143</v>
      </c>
      <c r="B144" s="172" t="s">
        <v>1030</v>
      </c>
      <c r="C144" s="172" t="s">
        <v>1031</v>
      </c>
      <c r="D144" s="102">
        <v>0</v>
      </c>
      <c r="E144" s="207">
        <v>490000000</v>
      </c>
      <c r="F144" s="207">
        <v>310000000</v>
      </c>
      <c r="H144" s="207">
        <v>75000000</v>
      </c>
    </row>
    <row r="145" spans="1:8" ht="14.4" x14ac:dyDescent="0.3">
      <c r="A145">
        <v>144</v>
      </c>
      <c r="B145" s="172" t="s">
        <v>1032</v>
      </c>
      <c r="C145" s="172" t="s">
        <v>1033</v>
      </c>
      <c r="D145" s="102"/>
      <c r="E145" s="207">
        <v>607000000</v>
      </c>
      <c r="F145" s="207">
        <v>257000000</v>
      </c>
      <c r="H145" s="207">
        <v>125000000</v>
      </c>
    </row>
    <row r="146" spans="1:8" ht="14.4" x14ac:dyDescent="0.3">
      <c r="A146">
        <v>145</v>
      </c>
      <c r="B146" s="172" t="s">
        <v>1034</v>
      </c>
      <c r="C146" s="172" t="s">
        <v>1035</v>
      </c>
      <c r="D146" s="102"/>
      <c r="E146" s="207">
        <v>607000000</v>
      </c>
      <c r="F146" s="207">
        <v>250000000</v>
      </c>
      <c r="H146" s="207">
        <v>125000000</v>
      </c>
    </row>
    <row r="147" spans="1:8" ht="14.4" x14ac:dyDescent="0.3">
      <c r="A147">
        <v>146</v>
      </c>
      <c r="B147" s="172" t="s">
        <v>377</v>
      </c>
      <c r="C147" s="172" t="s">
        <v>1036</v>
      </c>
      <c r="D147" s="102"/>
      <c r="E147" s="207">
        <v>607000000</v>
      </c>
      <c r="F147" s="207">
        <v>300000000</v>
      </c>
      <c r="H147" s="207">
        <v>210000000</v>
      </c>
    </row>
    <row r="148" spans="1:8" ht="14.4" x14ac:dyDescent="0.3">
      <c r="A148">
        <v>147</v>
      </c>
      <c r="B148" s="172" t="s">
        <v>482</v>
      </c>
      <c r="C148" s="172" t="s">
        <v>1037</v>
      </c>
      <c r="D148" s="102"/>
      <c r="E148" s="207">
        <v>607000000</v>
      </c>
      <c r="F148" s="207">
        <v>100000000</v>
      </c>
      <c r="H148" s="207">
        <v>100000000</v>
      </c>
    </row>
    <row r="149" spans="1:8" ht="14.4" x14ac:dyDescent="0.3">
      <c r="A149">
        <v>148</v>
      </c>
      <c r="B149" s="172" t="s">
        <v>1038</v>
      </c>
      <c r="C149" s="172" t="s">
        <v>1039</v>
      </c>
      <c r="D149" s="102">
        <v>0</v>
      </c>
      <c r="E149" s="207">
        <v>607000000</v>
      </c>
      <c r="F149" s="207">
        <v>100000000</v>
      </c>
      <c r="H149" s="207">
        <v>100000000</v>
      </c>
    </row>
    <row r="150" spans="1:8" ht="14.4" x14ac:dyDescent="0.3">
      <c r="A150">
        <v>149</v>
      </c>
      <c r="B150" s="172" t="s">
        <v>1040</v>
      </c>
      <c r="C150" s="172" t="s">
        <v>1041</v>
      </c>
      <c r="D150" s="102">
        <v>0</v>
      </c>
      <c r="E150" s="207">
        <v>0</v>
      </c>
      <c r="F150" s="207">
        <v>75000000</v>
      </c>
      <c r="H150" s="207">
        <v>75000000</v>
      </c>
    </row>
    <row r="151" spans="1:8" ht="14.4" x14ac:dyDescent="0.3">
      <c r="A151">
        <v>150</v>
      </c>
      <c r="B151" s="172" t="s">
        <v>509</v>
      </c>
      <c r="C151" s="172" t="s">
        <v>1042</v>
      </c>
      <c r="D151" s="102">
        <v>0</v>
      </c>
      <c r="E151" s="207">
        <v>0</v>
      </c>
      <c r="F151" s="207">
        <v>150000000</v>
      </c>
      <c r="H151" s="207">
        <v>150000000</v>
      </c>
    </row>
    <row r="152" spans="1:8" ht="14.4" x14ac:dyDescent="0.3">
      <c r="A152">
        <v>151</v>
      </c>
      <c r="B152" s="172" t="s">
        <v>230</v>
      </c>
      <c r="C152" s="172" t="s">
        <v>237</v>
      </c>
      <c r="D152" s="102">
        <v>0</v>
      </c>
      <c r="E152" s="207">
        <v>0</v>
      </c>
      <c r="F152" s="207">
        <v>150000000</v>
      </c>
      <c r="H152" s="207">
        <v>150000000</v>
      </c>
    </row>
    <row r="153" spans="1:8" ht="14.4" x14ac:dyDescent="0.3">
      <c r="A153">
        <v>152</v>
      </c>
      <c r="B153" s="172" t="s">
        <v>1043</v>
      </c>
      <c r="C153" s="172" t="s">
        <v>1044</v>
      </c>
      <c r="D153" s="102">
        <v>0</v>
      </c>
      <c r="E153" s="207">
        <v>0</v>
      </c>
      <c r="F153" s="207">
        <v>100000000</v>
      </c>
      <c r="H153" s="207">
        <v>100000000</v>
      </c>
    </row>
    <row r="154" spans="1:8" ht="14.4" x14ac:dyDescent="0.3">
      <c r="A154">
        <v>153</v>
      </c>
      <c r="B154" s="172" t="s">
        <v>1045</v>
      </c>
      <c r="C154" s="172" t="s">
        <v>1046</v>
      </c>
      <c r="D154" s="102">
        <v>0</v>
      </c>
      <c r="E154" s="207">
        <v>0</v>
      </c>
      <c r="F154" s="207">
        <v>550000000</v>
      </c>
      <c r="H154" s="207">
        <v>550000000</v>
      </c>
    </row>
    <row r="155" spans="1:8" ht="14.4" x14ac:dyDescent="0.3">
      <c r="A155">
        <v>154</v>
      </c>
      <c r="B155" s="172" t="s">
        <v>1047</v>
      </c>
      <c r="C155" s="172" t="s">
        <v>1048</v>
      </c>
      <c r="D155" s="102">
        <v>0</v>
      </c>
      <c r="E155" s="207">
        <v>0</v>
      </c>
      <c r="F155" s="207">
        <v>225000000</v>
      </c>
      <c r="H155" s="207">
        <v>225000000</v>
      </c>
    </row>
    <row r="156" spans="1:8" ht="14.4" x14ac:dyDescent="0.3">
      <c r="A156">
        <v>155</v>
      </c>
      <c r="B156" s="172" t="s">
        <v>1049</v>
      </c>
      <c r="C156" s="172" t="s">
        <v>1050</v>
      </c>
      <c r="D156" s="102"/>
      <c r="E156" s="207">
        <v>70000000</v>
      </c>
      <c r="F156" s="207">
        <v>300000000</v>
      </c>
      <c r="G156" s="207">
        <v>1580000000</v>
      </c>
      <c r="H156" s="207">
        <v>175000000</v>
      </c>
    </row>
    <row r="157" spans="1:8" ht="14.4" x14ac:dyDescent="0.3">
      <c r="A157">
        <v>156</v>
      </c>
      <c r="B157" s="172" t="s">
        <v>1051</v>
      </c>
      <c r="C157" s="172" t="s">
        <v>1052</v>
      </c>
      <c r="D157" s="102">
        <v>0</v>
      </c>
      <c r="E157" s="207">
        <v>482000000</v>
      </c>
      <c r="F157" s="207">
        <v>318000000</v>
      </c>
      <c r="H157" s="207">
        <v>100000000</v>
      </c>
    </row>
    <row r="158" spans="1:8" ht="14.4" x14ac:dyDescent="0.3">
      <c r="A158">
        <v>157</v>
      </c>
      <c r="B158" s="172" t="s">
        <v>1053</v>
      </c>
      <c r="C158" s="172" t="s">
        <v>1054</v>
      </c>
      <c r="D158" s="102">
        <v>0</v>
      </c>
      <c r="E158" s="207">
        <v>0</v>
      </c>
      <c r="F158" s="207">
        <v>100000000</v>
      </c>
      <c r="H158" s="207">
        <v>41776653</v>
      </c>
    </row>
    <row r="159" spans="1:8" ht="14.4" x14ac:dyDescent="0.3">
      <c r="A159">
        <v>158</v>
      </c>
      <c r="B159" s="172" t="s">
        <v>1055</v>
      </c>
      <c r="C159" s="172" t="s">
        <v>1056</v>
      </c>
      <c r="D159" s="102">
        <v>0</v>
      </c>
      <c r="E159" s="207">
        <v>100000000</v>
      </c>
      <c r="F159" s="207">
        <v>382000000</v>
      </c>
      <c r="H159" s="207">
        <v>120000000</v>
      </c>
    </row>
    <row r="160" spans="1:8" ht="14.4" x14ac:dyDescent="0.3">
      <c r="A160">
        <v>159</v>
      </c>
      <c r="B160" s="172" t="s">
        <v>1057</v>
      </c>
      <c r="C160" s="172" t="s">
        <v>1058</v>
      </c>
      <c r="D160" s="102">
        <v>0</v>
      </c>
      <c r="E160" s="207">
        <v>0</v>
      </c>
      <c r="F160" s="207">
        <v>100000000</v>
      </c>
      <c r="H160" s="207">
        <v>25000000</v>
      </c>
    </row>
    <row r="161" spans="1:8" ht="14.4" x14ac:dyDescent="0.3">
      <c r="A161">
        <v>160</v>
      </c>
      <c r="B161" s="172" t="s">
        <v>521</v>
      </c>
      <c r="C161" s="172" t="s">
        <v>1059</v>
      </c>
      <c r="D161" s="102"/>
      <c r="F161" s="207">
        <v>1427000000</v>
      </c>
      <c r="G161" s="207">
        <v>4800000000</v>
      </c>
      <c r="H161" s="207">
        <v>250000000</v>
      </c>
    </row>
    <row r="162" spans="1:8" ht="14.4" x14ac:dyDescent="0.3">
      <c r="A162">
        <v>161</v>
      </c>
      <c r="B162" s="172" t="s">
        <v>1060</v>
      </c>
      <c r="C162" s="172" t="s">
        <v>1061</v>
      </c>
      <c r="D162" s="102"/>
      <c r="F162" s="207">
        <v>800000000</v>
      </c>
      <c r="G162" s="207">
        <v>3000000000</v>
      </c>
      <c r="H162" s="207">
        <v>200000000</v>
      </c>
    </row>
    <row r="163" spans="1:8" ht="14.4" x14ac:dyDescent="0.3">
      <c r="A163">
        <v>162</v>
      </c>
      <c r="B163" s="172" t="s">
        <v>1062</v>
      </c>
      <c r="C163" s="172" t="s">
        <v>1063</v>
      </c>
      <c r="D163" s="102"/>
      <c r="F163" s="207">
        <v>1000000000</v>
      </c>
      <c r="G163" s="207">
        <v>2000000000</v>
      </c>
      <c r="H163" s="207">
        <v>100000000</v>
      </c>
    </row>
    <row r="164" spans="1:8" ht="14.4" x14ac:dyDescent="0.3">
      <c r="A164">
        <v>163</v>
      </c>
      <c r="B164" s="172" t="s">
        <v>1064</v>
      </c>
      <c r="C164" s="172" t="s">
        <v>1065</v>
      </c>
      <c r="D164" s="102"/>
      <c r="E164" s="207">
        <v>180000000</v>
      </c>
      <c r="F164" s="207">
        <v>320000000</v>
      </c>
      <c r="H164" s="207">
        <v>200000000</v>
      </c>
    </row>
    <row r="165" spans="1:8" ht="14.4" x14ac:dyDescent="0.3">
      <c r="A165">
        <v>164</v>
      </c>
      <c r="B165" s="172" t="s">
        <v>1066</v>
      </c>
      <c r="C165" s="172" t="s">
        <v>1067</v>
      </c>
      <c r="D165" s="102">
        <v>0</v>
      </c>
      <c r="E165" s="207">
        <v>605000000</v>
      </c>
      <c r="F165" s="207">
        <v>200000000</v>
      </c>
      <c r="H165" s="207">
        <v>200000000</v>
      </c>
    </row>
    <row r="166" spans="1:8" ht="14.4" x14ac:dyDescent="0.3">
      <c r="A166">
        <v>165</v>
      </c>
      <c r="B166" s="172" t="s">
        <v>1068</v>
      </c>
      <c r="C166" s="172" t="s">
        <v>1069</v>
      </c>
      <c r="D166" s="102">
        <v>0</v>
      </c>
      <c r="E166" s="207">
        <v>405000000</v>
      </c>
      <c r="F166" s="207">
        <v>200000000</v>
      </c>
      <c r="H166" s="207">
        <v>100000000</v>
      </c>
    </row>
    <row r="167" spans="1:8" ht="14.4" x14ac:dyDescent="0.3">
      <c r="A167">
        <v>166</v>
      </c>
      <c r="B167" s="172" t="s">
        <v>1070</v>
      </c>
      <c r="C167" s="172" t="s">
        <v>1071</v>
      </c>
      <c r="D167" s="102"/>
      <c r="E167" s="207">
        <v>405000000</v>
      </c>
      <c r="F167" s="207">
        <v>200000000</v>
      </c>
      <c r="H167" s="207">
        <v>100000000</v>
      </c>
    </row>
    <row r="168" spans="1:8" ht="14.4" x14ac:dyDescent="0.3">
      <c r="A168">
        <v>167</v>
      </c>
      <c r="B168" s="172" t="s">
        <v>1072</v>
      </c>
      <c r="C168" s="172" t="s">
        <v>1073</v>
      </c>
      <c r="D168" s="102"/>
      <c r="F168" s="207">
        <v>20000000000</v>
      </c>
      <c r="G168" s="207">
        <v>80000000000</v>
      </c>
      <c r="H168" s="207">
        <v>150000000</v>
      </c>
    </row>
    <row r="169" spans="1:8" ht="14.4" x14ac:dyDescent="0.3">
      <c r="A169">
        <v>168</v>
      </c>
      <c r="B169" s="172" t="s">
        <v>1074</v>
      </c>
      <c r="C169" s="172" t="s">
        <v>1075</v>
      </c>
      <c r="D169" s="102"/>
      <c r="E169" s="207">
        <v>225000000</v>
      </c>
      <c r="F169" s="207">
        <v>160000000</v>
      </c>
      <c r="H169" s="207">
        <v>100000000</v>
      </c>
    </row>
    <row r="170" spans="1:8" ht="14.4" x14ac:dyDescent="0.3">
      <c r="A170">
        <v>169</v>
      </c>
      <c r="B170" s="172" t="s">
        <v>1076</v>
      </c>
      <c r="C170" s="172" t="s">
        <v>1077</v>
      </c>
      <c r="D170" s="102">
        <v>0</v>
      </c>
      <c r="E170" s="207">
        <v>517100000</v>
      </c>
      <c r="F170" s="207">
        <v>268800000</v>
      </c>
      <c r="H170" s="207">
        <v>50000000</v>
      </c>
    </row>
    <row r="171" spans="1:8" ht="14.4" x14ac:dyDescent="0.3">
      <c r="A171">
        <v>170</v>
      </c>
      <c r="B171" s="172" t="s">
        <v>1078</v>
      </c>
      <c r="C171" s="172" t="s">
        <v>1079</v>
      </c>
      <c r="D171" s="102">
        <v>0</v>
      </c>
      <c r="E171" s="207">
        <v>517100000</v>
      </c>
      <c r="F171" s="207">
        <v>290100000</v>
      </c>
      <c r="H171" s="207">
        <v>50000000</v>
      </c>
    </row>
    <row r="172" spans="1:8" ht="14.4" x14ac:dyDescent="0.3">
      <c r="A172">
        <v>171</v>
      </c>
      <c r="B172" s="172" t="s">
        <v>1080</v>
      </c>
      <c r="C172" s="172" t="s">
        <v>1081</v>
      </c>
      <c r="D172" s="102">
        <v>0</v>
      </c>
      <c r="E172" s="207">
        <v>517100000</v>
      </c>
      <c r="F172" s="207">
        <v>285300000</v>
      </c>
      <c r="H172" s="207">
        <v>165000000</v>
      </c>
    </row>
    <row r="173" spans="1:8" ht="14.4" x14ac:dyDescent="0.3">
      <c r="A173">
        <v>172</v>
      </c>
      <c r="B173" s="172" t="s">
        <v>1082</v>
      </c>
      <c r="C173" s="172" t="s">
        <v>1083</v>
      </c>
      <c r="D173" s="102">
        <v>0</v>
      </c>
      <c r="E173" s="207">
        <v>353200000</v>
      </c>
      <c r="F173" s="207">
        <v>163900000</v>
      </c>
      <c r="H173" s="207">
        <v>100000000</v>
      </c>
    </row>
    <row r="174" spans="1:8" ht="14.4" x14ac:dyDescent="0.3">
      <c r="A174">
        <v>173</v>
      </c>
      <c r="B174" s="172" t="s">
        <v>1084</v>
      </c>
      <c r="C174" s="172" t="s">
        <v>1085</v>
      </c>
      <c r="D174" s="102">
        <v>0</v>
      </c>
      <c r="E174" s="207">
        <v>517100000</v>
      </c>
      <c r="F174" s="207">
        <v>268800000</v>
      </c>
      <c r="H174" s="207">
        <v>100000000</v>
      </c>
    </row>
    <row r="175" spans="1:8" ht="14.4" x14ac:dyDescent="0.3">
      <c r="A175">
        <v>174</v>
      </c>
      <c r="B175" s="172" t="s">
        <v>1086</v>
      </c>
      <c r="C175" s="172" t="s">
        <v>1087</v>
      </c>
      <c r="D175" s="102">
        <v>0</v>
      </c>
      <c r="E175" s="207">
        <v>517100000</v>
      </c>
      <c r="F175" s="207">
        <v>290100000</v>
      </c>
      <c r="H175" s="207">
        <v>100000000</v>
      </c>
    </row>
    <row r="176" spans="1:8" ht="14.4" x14ac:dyDescent="0.3">
      <c r="A176">
        <v>175</v>
      </c>
      <c r="B176" s="172" t="s">
        <v>1088</v>
      </c>
      <c r="C176" s="172" t="s">
        <v>1089</v>
      </c>
      <c r="D176" s="102">
        <v>60000000</v>
      </c>
      <c r="E176" s="207">
        <v>25000000</v>
      </c>
      <c r="F176" s="207">
        <v>120000000</v>
      </c>
      <c r="G176" s="207">
        <v>120000000</v>
      </c>
      <c r="H176" s="207">
        <v>120000000</v>
      </c>
    </row>
    <row r="177" spans="1:8" ht="14.4" x14ac:dyDescent="0.3">
      <c r="A177">
        <v>176</v>
      </c>
      <c r="B177" s="172" t="s">
        <v>1090</v>
      </c>
      <c r="C177" s="172" t="s">
        <v>1091</v>
      </c>
      <c r="D177" s="102">
        <v>0</v>
      </c>
      <c r="E177" s="207">
        <v>545600000</v>
      </c>
      <c r="F177" s="207">
        <v>110200000</v>
      </c>
      <c r="H177" s="207">
        <v>50000000</v>
      </c>
    </row>
    <row r="178" spans="1:8" ht="14.4" x14ac:dyDescent="0.3">
      <c r="A178">
        <v>177</v>
      </c>
      <c r="B178" s="172" t="s">
        <v>1092</v>
      </c>
      <c r="C178" s="172" t="s">
        <v>1093</v>
      </c>
      <c r="D178" s="102">
        <v>0</v>
      </c>
      <c r="E178" s="207">
        <v>60000000</v>
      </c>
      <c r="F178" s="207">
        <v>138700000</v>
      </c>
      <c r="H178" s="207">
        <v>60000000</v>
      </c>
    </row>
    <row r="179" spans="1:8" ht="14.4" x14ac:dyDescent="0.3">
      <c r="A179">
        <v>178</v>
      </c>
      <c r="B179" s="172" t="s">
        <v>1094</v>
      </c>
      <c r="C179" s="172" t="s">
        <v>1095</v>
      </c>
      <c r="D179" s="102">
        <v>0</v>
      </c>
      <c r="E179" s="207">
        <v>353200000</v>
      </c>
      <c r="F179" s="207">
        <v>192400000</v>
      </c>
      <c r="H179" s="207">
        <v>75000000</v>
      </c>
    </row>
    <row r="180" spans="1:8" ht="14.4" x14ac:dyDescent="0.3">
      <c r="A180">
        <v>179</v>
      </c>
      <c r="B180" s="172" t="s">
        <v>1096</v>
      </c>
      <c r="C180" s="172" t="s">
        <v>1097</v>
      </c>
      <c r="D180" s="102"/>
      <c r="F180" s="207">
        <v>200000000</v>
      </c>
      <c r="G180" s="207">
        <v>575000000</v>
      </c>
      <c r="H180" s="207">
        <v>125000000</v>
      </c>
    </row>
    <row r="181" spans="1:8" ht="14.4" x14ac:dyDescent="0.3">
      <c r="A181">
        <v>180</v>
      </c>
      <c r="B181" s="172" t="s">
        <v>1098</v>
      </c>
      <c r="C181" s="172" t="s">
        <v>1099</v>
      </c>
      <c r="D181" s="102"/>
      <c r="F181" s="207">
        <v>200000000</v>
      </c>
      <c r="G181" s="207">
        <v>800000000</v>
      </c>
      <c r="H181" s="207">
        <v>150000000</v>
      </c>
    </row>
    <row r="182" spans="1:8" ht="14.4" x14ac:dyDescent="0.3">
      <c r="A182">
        <v>181</v>
      </c>
      <c r="B182" s="172" t="s">
        <v>1100</v>
      </c>
      <c r="C182" s="172" t="s">
        <v>1101</v>
      </c>
      <c r="D182" s="102">
        <v>50000000</v>
      </c>
      <c r="E182" s="207">
        <v>110000000</v>
      </c>
      <c r="F182" s="207">
        <v>50000000</v>
      </c>
      <c r="G182" s="207">
        <v>50000000</v>
      </c>
      <c r="H182" s="207">
        <v>50000000</v>
      </c>
    </row>
    <row r="183" spans="1:8" ht="14.4" x14ac:dyDescent="0.3">
      <c r="A183">
        <v>182</v>
      </c>
      <c r="B183" s="172" t="s">
        <v>1102</v>
      </c>
      <c r="C183" s="172" t="s">
        <v>1103</v>
      </c>
      <c r="D183" s="102"/>
      <c r="E183" s="207">
        <v>1330000000</v>
      </c>
      <c r="F183" s="207">
        <v>445000000</v>
      </c>
      <c r="H183" s="207">
        <v>200000000</v>
      </c>
    </row>
    <row r="184" spans="1:8" ht="14.4" x14ac:dyDescent="0.3">
      <c r="A184">
        <v>183</v>
      </c>
      <c r="B184" s="172" t="s">
        <v>1104</v>
      </c>
      <c r="C184" s="172" t="s">
        <v>1105</v>
      </c>
      <c r="D184" s="102"/>
      <c r="E184" s="207">
        <v>490000000</v>
      </c>
      <c r="F184" s="207">
        <v>310000000</v>
      </c>
      <c r="H184" s="207">
        <v>75000000</v>
      </c>
    </row>
    <row r="185" spans="1:8" ht="14.4" x14ac:dyDescent="0.3">
      <c r="A185">
        <v>184</v>
      </c>
      <c r="B185" s="172" t="s">
        <v>1106</v>
      </c>
      <c r="C185" s="172" t="s">
        <v>1107</v>
      </c>
      <c r="D185" s="102"/>
      <c r="E185" s="207">
        <v>1050000000</v>
      </c>
      <c r="F185" s="207">
        <v>280000000</v>
      </c>
      <c r="H185" s="207">
        <v>280000000</v>
      </c>
    </row>
    <row r="186" spans="1:8" ht="14.4" x14ac:dyDescent="0.3">
      <c r="A186">
        <v>185</v>
      </c>
      <c r="B186" s="172" t="s">
        <v>448</v>
      </c>
      <c r="C186" s="172" t="s">
        <v>227</v>
      </c>
      <c r="D186" s="102">
        <v>0</v>
      </c>
      <c r="F186" s="207">
        <v>95000000</v>
      </c>
      <c r="H186" s="207">
        <v>95000000</v>
      </c>
    </row>
    <row r="187" spans="1:8" ht="14.4" x14ac:dyDescent="0.3">
      <c r="A187">
        <v>186</v>
      </c>
      <c r="B187" s="172" t="s">
        <v>1108</v>
      </c>
      <c r="C187" s="172" t="s">
        <v>1109</v>
      </c>
      <c r="D187" s="102"/>
      <c r="E187" s="207">
        <v>600000000</v>
      </c>
      <c r="F187" s="207">
        <v>200000000</v>
      </c>
      <c r="H187" s="207">
        <v>65000000</v>
      </c>
    </row>
    <row r="188" spans="1:8" ht="14.4" x14ac:dyDescent="0.3">
      <c r="A188">
        <v>187</v>
      </c>
      <c r="B188" s="172" t="s">
        <v>1110</v>
      </c>
      <c r="C188" s="172" t="s">
        <v>1111</v>
      </c>
      <c r="D188" s="102"/>
      <c r="E188" s="207">
        <v>300000000</v>
      </c>
      <c r="F188" s="207">
        <v>300000000</v>
      </c>
      <c r="H188" s="207">
        <v>125000000</v>
      </c>
    </row>
    <row r="189" spans="1:8" ht="14.4" x14ac:dyDescent="0.3">
      <c r="A189">
        <v>188</v>
      </c>
      <c r="B189" s="172" t="s">
        <v>1112</v>
      </c>
      <c r="C189" s="172" t="s">
        <v>1113</v>
      </c>
      <c r="D189" s="102"/>
      <c r="E189" s="207">
        <v>1600000000</v>
      </c>
      <c r="F189" s="207">
        <v>150000000</v>
      </c>
      <c r="H189" s="207">
        <v>150000000</v>
      </c>
    </row>
    <row r="190" spans="1:8" ht="14.4" x14ac:dyDescent="0.3">
      <c r="A190">
        <v>189</v>
      </c>
      <c r="B190" s="172" t="s">
        <v>1114</v>
      </c>
      <c r="C190" s="172" t="s">
        <v>1115</v>
      </c>
      <c r="D190" s="102">
        <v>0</v>
      </c>
      <c r="E190" s="207">
        <v>0</v>
      </c>
      <c r="F190" s="207">
        <v>10000000000</v>
      </c>
      <c r="H190" s="207">
        <v>150000000</v>
      </c>
    </row>
    <row r="191" spans="1:8" ht="14.4" x14ac:dyDescent="0.3">
      <c r="A191">
        <v>190</v>
      </c>
      <c r="B191" s="172" t="s">
        <v>1116</v>
      </c>
      <c r="C191" s="172" t="s">
        <v>1117</v>
      </c>
      <c r="D191" s="102">
        <v>0</v>
      </c>
      <c r="E191" s="207">
        <v>0</v>
      </c>
      <c r="F191" s="207">
        <v>19000000000</v>
      </c>
      <c r="G191" s="207">
        <v>29000000000</v>
      </c>
      <c r="H191" s="207">
        <v>87500000</v>
      </c>
    </row>
    <row r="192" spans="1:8" ht="14.4" x14ac:dyDescent="0.3">
      <c r="A192">
        <v>191</v>
      </c>
      <c r="B192" s="172" t="s">
        <v>1118</v>
      </c>
      <c r="C192" s="172" t="s">
        <v>1119</v>
      </c>
      <c r="D192" s="102">
        <v>0</v>
      </c>
      <c r="E192" s="207">
        <v>0</v>
      </c>
      <c r="F192" s="207">
        <v>40000000000</v>
      </c>
      <c r="G192" s="207">
        <v>80000000000</v>
      </c>
      <c r="H192" s="207">
        <v>122500000</v>
      </c>
    </row>
    <row r="193" spans="1:8" ht="14.4" x14ac:dyDescent="0.3">
      <c r="A193">
        <v>192</v>
      </c>
      <c r="B193" s="172" t="s">
        <v>1120</v>
      </c>
      <c r="C193" s="172" t="s">
        <v>1121</v>
      </c>
      <c r="D193" s="102">
        <v>0</v>
      </c>
      <c r="E193" s="207">
        <v>0</v>
      </c>
      <c r="F193" s="207">
        <v>38500000000</v>
      </c>
      <c r="G193" s="207">
        <v>75000000000</v>
      </c>
      <c r="H193" s="207">
        <v>65000000</v>
      </c>
    </row>
    <row r="194" spans="1:8" ht="14.4" x14ac:dyDescent="0.3">
      <c r="A194">
        <v>193</v>
      </c>
      <c r="B194" s="172" t="s">
        <v>1122</v>
      </c>
      <c r="C194" s="172" t="s">
        <v>1123</v>
      </c>
      <c r="D194" s="102">
        <v>0</v>
      </c>
      <c r="E194" s="207">
        <v>0</v>
      </c>
      <c r="F194" s="207">
        <v>100000000</v>
      </c>
      <c r="H194" s="207">
        <v>100000000</v>
      </c>
    </row>
    <row r="195" spans="1:8" ht="14.4" x14ac:dyDescent="0.3">
      <c r="A195">
        <v>194</v>
      </c>
      <c r="B195" s="172" t="s">
        <v>1124</v>
      </c>
      <c r="C195" s="172" t="s">
        <v>1125</v>
      </c>
      <c r="D195" s="102">
        <v>0</v>
      </c>
      <c r="E195" s="207">
        <v>0</v>
      </c>
      <c r="F195" s="207">
        <v>150000000</v>
      </c>
      <c r="G195" s="207">
        <v>0</v>
      </c>
      <c r="H195" s="207">
        <v>150000000</v>
      </c>
    </row>
    <row r="196" spans="1:8" ht="14.4" x14ac:dyDescent="0.3">
      <c r="A196">
        <v>195</v>
      </c>
      <c r="B196" s="172" t="s">
        <v>1126</v>
      </c>
      <c r="C196" s="172" t="s">
        <v>1127</v>
      </c>
      <c r="D196" s="102"/>
      <c r="F196" s="207">
        <v>100000000</v>
      </c>
      <c r="H196" s="207">
        <v>100000000</v>
      </c>
    </row>
    <row r="197" spans="1:8" ht="14.4" x14ac:dyDescent="0.3">
      <c r="A197">
        <v>196</v>
      </c>
      <c r="B197" s="172" t="s">
        <v>323</v>
      </c>
      <c r="C197" s="172" t="s">
        <v>215</v>
      </c>
      <c r="D197" s="102"/>
      <c r="F197" s="207">
        <v>100000000</v>
      </c>
      <c r="H197" s="207">
        <v>120000000</v>
      </c>
    </row>
    <row r="198" spans="1:8" ht="14.4" x14ac:dyDescent="0.3">
      <c r="A198">
        <v>197</v>
      </c>
      <c r="B198" s="172" t="s">
        <v>1128</v>
      </c>
      <c r="C198" s="172" t="s">
        <v>1129</v>
      </c>
      <c r="D198" s="102"/>
      <c r="F198" s="207">
        <v>100000000</v>
      </c>
      <c r="H198" s="207">
        <v>100000000</v>
      </c>
    </row>
    <row r="199" spans="1:8" ht="14.4" x14ac:dyDescent="0.3">
      <c r="A199">
        <v>198</v>
      </c>
      <c r="B199" s="172" t="s">
        <v>1130</v>
      </c>
      <c r="C199" s="172" t="s">
        <v>1131</v>
      </c>
      <c r="D199" s="102"/>
      <c r="F199" s="207">
        <v>100000000</v>
      </c>
      <c r="H199" s="207">
        <v>100000000</v>
      </c>
    </row>
    <row r="200" spans="1:8" ht="14.4" x14ac:dyDescent="0.3">
      <c r="A200">
        <v>199</v>
      </c>
      <c r="B200" s="172" t="s">
        <v>1132</v>
      </c>
      <c r="C200" s="172" t="s">
        <v>1133</v>
      </c>
      <c r="D200" s="102"/>
      <c r="E200" s="207">
        <v>0</v>
      </c>
      <c r="F200" s="207">
        <v>164000000</v>
      </c>
      <c r="H200" s="207">
        <v>150000000</v>
      </c>
    </row>
    <row r="201" spans="1:8" ht="14.4" x14ac:dyDescent="0.3">
      <c r="A201">
        <v>200</v>
      </c>
      <c r="B201" s="172" t="s">
        <v>1134</v>
      </c>
      <c r="C201" s="172" t="s">
        <v>1135</v>
      </c>
      <c r="D201" s="102"/>
      <c r="E201" s="207">
        <v>0</v>
      </c>
      <c r="F201" s="207">
        <v>251000000</v>
      </c>
      <c r="H201" s="207">
        <v>45000000</v>
      </c>
    </row>
    <row r="202" spans="1:8" ht="14.4" x14ac:dyDescent="0.3">
      <c r="A202">
        <v>201</v>
      </c>
      <c r="B202" s="172" t="s">
        <v>1136</v>
      </c>
      <c r="C202" s="172" t="s">
        <v>1137</v>
      </c>
      <c r="D202" s="102"/>
      <c r="E202" s="207">
        <v>0</v>
      </c>
      <c r="F202" s="207">
        <v>270000000</v>
      </c>
      <c r="H202" s="207">
        <v>50000000</v>
      </c>
    </row>
    <row r="203" spans="1:8" ht="14.4" x14ac:dyDescent="0.3">
      <c r="A203">
        <v>202</v>
      </c>
      <c r="B203" s="172" t="s">
        <v>1138</v>
      </c>
      <c r="C203" s="172" t="s">
        <v>1139</v>
      </c>
      <c r="D203" s="102"/>
      <c r="E203" s="207">
        <v>600000000</v>
      </c>
      <c r="F203" s="207">
        <v>800000000</v>
      </c>
      <c r="H203" s="207">
        <v>150000000</v>
      </c>
    </row>
    <row r="204" spans="1:8" ht="14.4" x14ac:dyDescent="0.3">
      <c r="A204">
        <v>203</v>
      </c>
      <c r="B204" s="172" t="s">
        <v>409</v>
      </c>
      <c r="C204" s="172" t="s">
        <v>1140</v>
      </c>
      <c r="D204" s="102"/>
      <c r="E204" s="207">
        <v>130000000</v>
      </c>
      <c r="F204" s="207">
        <v>125000000</v>
      </c>
      <c r="H204" s="207">
        <v>125000000</v>
      </c>
    </row>
    <row r="205" spans="1:8" ht="14.4" x14ac:dyDescent="0.3">
      <c r="A205">
        <v>204</v>
      </c>
      <c r="B205" s="172" t="s">
        <v>1141</v>
      </c>
      <c r="C205" s="172" t="s">
        <v>1142</v>
      </c>
      <c r="D205" s="102"/>
      <c r="E205" s="207">
        <v>82000000</v>
      </c>
      <c r="F205" s="207">
        <v>125000000</v>
      </c>
      <c r="H205" s="207">
        <v>125000000</v>
      </c>
    </row>
    <row r="206" spans="1:8" ht="14.4" x14ac:dyDescent="0.3">
      <c r="A206">
        <v>205</v>
      </c>
      <c r="B206" s="172" t="s">
        <v>1143</v>
      </c>
      <c r="C206" s="172" t="s">
        <v>1144</v>
      </c>
      <c r="D206" s="102"/>
      <c r="E206" s="207">
        <v>528000000</v>
      </c>
      <c r="F206" s="207">
        <v>400000000</v>
      </c>
      <c r="H206" s="207">
        <v>300000000</v>
      </c>
    </row>
    <row r="207" spans="1:8" ht="14.4" x14ac:dyDescent="0.3">
      <c r="A207">
        <v>206</v>
      </c>
      <c r="B207" s="172" t="s">
        <v>1145</v>
      </c>
      <c r="C207" s="172" t="s">
        <v>1146</v>
      </c>
      <c r="D207" s="102"/>
      <c r="E207" s="207">
        <v>393000000</v>
      </c>
      <c r="F207" s="207">
        <v>135000000</v>
      </c>
      <c r="H207" s="207">
        <v>55000000</v>
      </c>
    </row>
    <row r="208" spans="1:8" ht="14.4" x14ac:dyDescent="0.3">
      <c r="A208">
        <v>207</v>
      </c>
      <c r="B208" s="172" t="s">
        <v>1147</v>
      </c>
      <c r="C208" s="172" t="s">
        <v>1148</v>
      </c>
      <c r="D208" s="102"/>
      <c r="E208" s="207">
        <v>928000000</v>
      </c>
      <c r="F208" s="207">
        <v>132000000</v>
      </c>
      <c r="H208" s="207">
        <v>100000000</v>
      </c>
    </row>
    <row r="209" spans="1:8" ht="14.4" x14ac:dyDescent="0.3">
      <c r="A209">
        <v>208</v>
      </c>
      <c r="B209" s="172" t="s">
        <v>364</v>
      </c>
      <c r="C209" s="172" t="s">
        <v>219</v>
      </c>
      <c r="D209" s="102"/>
      <c r="F209" s="207">
        <v>100000000</v>
      </c>
      <c r="H209" s="207">
        <v>100000000</v>
      </c>
    </row>
    <row r="210" spans="1:8" ht="14.4" x14ac:dyDescent="0.3">
      <c r="A210">
        <v>209</v>
      </c>
      <c r="B210" s="172" t="s">
        <v>1149</v>
      </c>
      <c r="C210" s="172" t="s">
        <v>1150</v>
      </c>
      <c r="D210" s="102">
        <v>0</v>
      </c>
      <c r="E210" s="207">
        <v>2500000000</v>
      </c>
      <c r="F210" s="207">
        <v>1300000000</v>
      </c>
      <c r="H210" s="207">
        <v>150000000</v>
      </c>
    </row>
    <row r="211" spans="1:8" ht="14.4" x14ac:dyDescent="0.3">
      <c r="A211">
        <v>210</v>
      </c>
      <c r="B211" s="172" t="s">
        <v>1151</v>
      </c>
      <c r="C211" s="172" t="s">
        <v>1152</v>
      </c>
      <c r="D211" s="102"/>
      <c r="E211" s="207">
        <v>150000000</v>
      </c>
      <c r="F211" s="207">
        <v>100000000</v>
      </c>
      <c r="H211" s="207">
        <v>100000000</v>
      </c>
    </row>
    <row r="212" spans="1:8" ht="14.4" x14ac:dyDescent="0.3">
      <c r="A212">
        <v>211</v>
      </c>
      <c r="B212" s="172" t="s">
        <v>1153</v>
      </c>
      <c r="C212" s="172" t="s">
        <v>1154</v>
      </c>
      <c r="D212" s="102"/>
      <c r="F212" s="207">
        <v>200000000</v>
      </c>
      <c r="H212" s="207">
        <v>125000000</v>
      </c>
    </row>
    <row r="213" spans="1:8" ht="14.4" x14ac:dyDescent="0.3">
      <c r="A213">
        <v>212</v>
      </c>
      <c r="B213" s="172" t="s">
        <v>1155</v>
      </c>
      <c r="C213" s="172" t="s">
        <v>1156</v>
      </c>
      <c r="D213" s="102"/>
      <c r="E213" s="207">
        <v>400000000</v>
      </c>
      <c r="F213" s="207">
        <v>100000000</v>
      </c>
      <c r="H213" s="207">
        <v>75000000</v>
      </c>
    </row>
    <row r="214" spans="1:8" ht="14.4" x14ac:dyDescent="0.3">
      <c r="A214">
        <v>213</v>
      </c>
      <c r="B214" s="172" t="s">
        <v>1157</v>
      </c>
      <c r="C214" s="172" t="s">
        <v>1158</v>
      </c>
      <c r="D214" s="102">
        <v>0</v>
      </c>
      <c r="E214" s="207">
        <v>0</v>
      </c>
      <c r="F214" s="207">
        <v>100000000</v>
      </c>
      <c r="H214" s="207">
        <v>100000000</v>
      </c>
    </row>
    <row r="215" spans="1:8" ht="14.4" x14ac:dyDescent="0.3">
      <c r="A215">
        <v>214</v>
      </c>
      <c r="B215" s="172" t="s">
        <v>1159</v>
      </c>
      <c r="C215" s="172" t="s">
        <v>1160</v>
      </c>
      <c r="D215" s="102"/>
      <c r="F215" s="207">
        <v>60000000</v>
      </c>
      <c r="H215" s="207">
        <v>60000000</v>
      </c>
    </row>
    <row r="216" spans="1:8" ht="14.4" x14ac:dyDescent="0.3">
      <c r="A216">
        <v>215</v>
      </c>
      <c r="B216" s="172" t="s">
        <v>1161</v>
      </c>
      <c r="C216" s="172" t="s">
        <v>1162</v>
      </c>
      <c r="D216" s="102"/>
      <c r="F216" s="207">
        <v>100000000</v>
      </c>
      <c r="H216" s="207">
        <v>100000000</v>
      </c>
    </row>
    <row r="217" spans="1:8" ht="14.4" x14ac:dyDescent="0.3">
      <c r="A217">
        <v>216</v>
      </c>
      <c r="B217" s="172" t="s">
        <v>1163</v>
      </c>
      <c r="C217" s="172" t="s">
        <v>1164</v>
      </c>
      <c r="D217" s="102"/>
      <c r="F217" s="207">
        <v>170000000</v>
      </c>
      <c r="H217" s="207">
        <v>170000000</v>
      </c>
    </row>
    <row r="218" spans="1:8" ht="14.4" x14ac:dyDescent="0.3">
      <c r="A218">
        <v>217</v>
      </c>
      <c r="B218" s="172" t="s">
        <v>1165</v>
      </c>
      <c r="C218" s="172" t="s">
        <v>1166</v>
      </c>
      <c r="D218" s="102">
        <v>0</v>
      </c>
      <c r="E218" s="207">
        <v>0</v>
      </c>
      <c r="F218" s="207">
        <v>500000000</v>
      </c>
      <c r="G218" s="207">
        <v>4125000000</v>
      </c>
      <c r="H218" s="207">
        <v>150000000</v>
      </c>
    </row>
    <row r="219" spans="1:8" ht="14.4" x14ac:dyDescent="0.3">
      <c r="A219">
        <v>218</v>
      </c>
      <c r="B219" s="172" t="s">
        <v>398</v>
      </c>
      <c r="C219" s="172" t="s">
        <v>1167</v>
      </c>
      <c r="D219" s="102"/>
      <c r="E219" s="207">
        <v>1600000000</v>
      </c>
      <c r="F219" s="207">
        <v>150000000</v>
      </c>
      <c r="H219" s="207">
        <v>150000000</v>
      </c>
    </row>
    <row r="220" spans="1:8" ht="14.4" x14ac:dyDescent="0.3">
      <c r="A220">
        <v>219</v>
      </c>
      <c r="B220" s="172" t="s">
        <v>516</v>
      </c>
      <c r="C220" s="172" t="s">
        <v>1168</v>
      </c>
      <c r="D220" s="102"/>
      <c r="F220" s="207">
        <v>1454000000</v>
      </c>
      <c r="G220" s="207">
        <v>9847000000</v>
      </c>
      <c r="H220" s="207">
        <v>450000000</v>
      </c>
    </row>
    <row r="221" spans="1:8" ht="14.4" x14ac:dyDescent="0.3">
      <c r="A221">
        <v>220</v>
      </c>
      <c r="B221" s="172" t="s">
        <v>1169</v>
      </c>
      <c r="C221" s="172" t="s">
        <v>1170</v>
      </c>
      <c r="D221" s="102">
        <v>0</v>
      </c>
      <c r="E221" s="207">
        <v>0</v>
      </c>
      <c r="F221" s="207">
        <v>1217000000</v>
      </c>
      <c r="G221" s="207">
        <v>8630000000</v>
      </c>
      <c r="H221" s="207">
        <v>425000000</v>
      </c>
    </row>
    <row r="222" spans="1:8" ht="14.4" x14ac:dyDescent="0.3">
      <c r="A222">
        <v>221</v>
      </c>
      <c r="B222" s="172" t="s">
        <v>1171</v>
      </c>
      <c r="C222" s="172" t="s">
        <v>1172</v>
      </c>
      <c r="D222" s="102"/>
      <c r="F222" s="207">
        <v>1430000000</v>
      </c>
      <c r="G222" s="207">
        <v>7200000000</v>
      </c>
      <c r="H222" s="207">
        <v>225000000</v>
      </c>
    </row>
    <row r="223" spans="1:8" ht="14.4" x14ac:dyDescent="0.3">
      <c r="A223">
        <v>222</v>
      </c>
      <c r="B223" s="172" t="s">
        <v>1173</v>
      </c>
      <c r="C223" s="172" t="s">
        <v>1174</v>
      </c>
      <c r="D223" s="102"/>
      <c r="F223" s="207">
        <v>1200000000</v>
      </c>
      <c r="G223" s="207">
        <v>9600000000</v>
      </c>
      <c r="H223" s="207">
        <v>450000000</v>
      </c>
    </row>
    <row r="224" spans="1:8" ht="14.4" x14ac:dyDescent="0.3">
      <c r="A224">
        <v>223</v>
      </c>
      <c r="B224" s="172" t="s">
        <v>1175</v>
      </c>
      <c r="C224" s="172" t="s">
        <v>1176</v>
      </c>
      <c r="D224" s="102">
        <v>0</v>
      </c>
      <c r="E224" s="207">
        <v>0</v>
      </c>
      <c r="F224" s="207">
        <v>1200000000</v>
      </c>
      <c r="G224" s="207">
        <v>8400000000</v>
      </c>
      <c r="H224" s="207">
        <v>475000000</v>
      </c>
    </row>
    <row r="225" spans="1:8" ht="14.4" x14ac:dyDescent="0.3">
      <c r="A225">
        <v>224</v>
      </c>
      <c r="B225" s="172" t="s">
        <v>1177</v>
      </c>
      <c r="C225" s="172" t="s">
        <v>1178</v>
      </c>
      <c r="D225" s="102"/>
      <c r="F225" s="207">
        <v>1200000000</v>
      </c>
      <c r="G225" s="207">
        <v>7200000000</v>
      </c>
      <c r="H225" s="207">
        <v>375000000</v>
      </c>
    </row>
    <row r="226" spans="1:8" ht="14.4" x14ac:dyDescent="0.3">
      <c r="A226">
        <v>225</v>
      </c>
      <c r="B226" s="172" t="s">
        <v>1179</v>
      </c>
      <c r="C226" s="172" t="s">
        <v>1180</v>
      </c>
      <c r="D226" s="102"/>
      <c r="F226" s="207">
        <v>711000000</v>
      </c>
      <c r="G226" s="207">
        <v>6489000000</v>
      </c>
      <c r="H226" s="207">
        <v>225000000</v>
      </c>
    </row>
    <row r="227" spans="1:8" ht="14.4" x14ac:dyDescent="0.3">
      <c r="A227">
        <v>226</v>
      </c>
      <c r="B227" s="172" t="s">
        <v>347</v>
      </c>
      <c r="C227" s="172" t="s">
        <v>218</v>
      </c>
      <c r="D227" s="102">
        <v>0</v>
      </c>
      <c r="E227" s="207">
        <v>1025000000</v>
      </c>
      <c r="F227" s="207">
        <v>400000000</v>
      </c>
      <c r="H227" s="207">
        <v>255000000</v>
      </c>
    </row>
    <row r="228" spans="1:8" ht="14.4" x14ac:dyDescent="0.3">
      <c r="A228">
        <v>227</v>
      </c>
      <c r="B228" s="172" t="s">
        <v>468</v>
      </c>
      <c r="C228" s="172" t="s">
        <v>1181</v>
      </c>
      <c r="D228" s="102"/>
      <c r="E228" s="207">
        <v>75000000</v>
      </c>
      <c r="F228" s="207">
        <v>110000000</v>
      </c>
      <c r="H228" s="207">
        <v>110000000</v>
      </c>
    </row>
    <row r="229" spans="1:8" ht="14.4" x14ac:dyDescent="0.3">
      <c r="A229">
        <v>228</v>
      </c>
      <c r="B229" s="172" t="s">
        <v>1182</v>
      </c>
      <c r="C229" s="172" t="s">
        <v>1183</v>
      </c>
      <c r="D229" s="102">
        <v>0</v>
      </c>
      <c r="E229" s="207">
        <v>796000000</v>
      </c>
      <c r="F229" s="207">
        <v>511000000</v>
      </c>
      <c r="H229" s="207">
        <v>300000000</v>
      </c>
    </row>
    <row r="230" spans="1:8" ht="14.4" x14ac:dyDescent="0.3">
      <c r="A230">
        <v>229</v>
      </c>
      <c r="B230" s="172" t="s">
        <v>1184</v>
      </c>
      <c r="C230" s="172" t="s">
        <v>1185</v>
      </c>
      <c r="D230" s="102"/>
      <c r="E230" s="207">
        <v>665000000</v>
      </c>
      <c r="F230" s="207">
        <v>200000000</v>
      </c>
      <c r="H230" s="207">
        <v>200000000</v>
      </c>
    </row>
    <row r="231" spans="1:8" ht="14.4" x14ac:dyDescent="0.3">
      <c r="A231">
        <v>230</v>
      </c>
      <c r="B231" s="172" t="s">
        <v>1186</v>
      </c>
      <c r="C231" s="172" t="s">
        <v>1187</v>
      </c>
      <c r="D231" s="102"/>
      <c r="E231" s="207">
        <v>50000000</v>
      </c>
      <c r="F231" s="207">
        <v>100000000</v>
      </c>
      <c r="H231" s="207">
        <v>75000000</v>
      </c>
    </row>
    <row r="232" spans="1:8" ht="14.4" x14ac:dyDescent="0.3">
      <c r="A232">
        <v>231</v>
      </c>
      <c r="B232" s="172" t="s">
        <v>441</v>
      </c>
      <c r="C232" s="172" t="s">
        <v>1188</v>
      </c>
      <c r="D232" s="102"/>
      <c r="E232" s="207">
        <v>745000000</v>
      </c>
      <c r="F232" s="207">
        <v>300000000</v>
      </c>
      <c r="H232" s="207">
        <v>150000000</v>
      </c>
    </row>
    <row r="233" spans="1:8" ht="14.4" x14ac:dyDescent="0.3">
      <c r="A233">
        <v>232</v>
      </c>
      <c r="B233" s="172" t="s">
        <v>514</v>
      </c>
      <c r="C233" s="172" t="s">
        <v>1189</v>
      </c>
      <c r="D233" s="102">
        <v>0</v>
      </c>
      <c r="E233" s="207">
        <v>800000000</v>
      </c>
      <c r="F233" s="207">
        <v>250000000</v>
      </c>
      <c r="H233" s="207">
        <v>250000000</v>
      </c>
    </row>
    <row r="234" spans="1:8" ht="14.4" x14ac:dyDescent="0.3">
      <c r="A234">
        <v>233</v>
      </c>
      <c r="B234" s="172" t="s">
        <v>512</v>
      </c>
      <c r="C234" s="172" t="s">
        <v>1190</v>
      </c>
      <c r="D234" s="102">
        <v>0</v>
      </c>
      <c r="E234" s="207">
        <v>600000000</v>
      </c>
      <c r="F234" s="207">
        <v>200000000</v>
      </c>
      <c r="H234" s="207">
        <v>150000000</v>
      </c>
    </row>
    <row r="235" spans="1:8" ht="14.4" x14ac:dyDescent="0.3">
      <c r="A235">
        <v>234</v>
      </c>
      <c r="B235" s="172" t="s">
        <v>415</v>
      </c>
      <c r="C235" s="172" t="s">
        <v>224</v>
      </c>
      <c r="D235" s="102">
        <v>0</v>
      </c>
      <c r="E235" s="207">
        <v>925000000</v>
      </c>
      <c r="F235" s="207">
        <v>200000000</v>
      </c>
      <c r="H235" s="207">
        <v>175000000</v>
      </c>
    </row>
    <row r="236" spans="1:8" ht="14.4" x14ac:dyDescent="0.3">
      <c r="A236">
        <v>235</v>
      </c>
      <c r="B236" s="172" t="s">
        <v>1191</v>
      </c>
      <c r="C236" s="172" t="s">
        <v>1192</v>
      </c>
      <c r="D236" s="102"/>
      <c r="E236" s="207">
        <v>1045000000</v>
      </c>
      <c r="F236" s="207">
        <v>400000000</v>
      </c>
      <c r="H236" s="207">
        <v>250000000</v>
      </c>
    </row>
    <row r="237" spans="1:8" ht="14.4" x14ac:dyDescent="0.3">
      <c r="A237">
        <v>236</v>
      </c>
      <c r="B237" s="172" t="s">
        <v>388</v>
      </c>
      <c r="C237" s="172" t="s">
        <v>222</v>
      </c>
      <c r="D237" s="102">
        <v>0</v>
      </c>
      <c r="E237" s="207">
        <v>0</v>
      </c>
      <c r="F237" s="207">
        <v>150000000</v>
      </c>
      <c r="H237" s="207">
        <v>150000000</v>
      </c>
    </row>
    <row r="238" spans="1:8" ht="14.4" x14ac:dyDescent="0.3">
      <c r="A238">
        <v>237</v>
      </c>
      <c r="B238" s="172" t="s">
        <v>1193</v>
      </c>
      <c r="C238" s="172" t="s">
        <v>1194</v>
      </c>
      <c r="D238" s="102">
        <v>0</v>
      </c>
      <c r="E238" s="207">
        <v>0</v>
      </c>
      <c r="F238" s="207">
        <v>225000000</v>
      </c>
      <c r="H238" s="207">
        <v>225000000</v>
      </c>
    </row>
    <row r="239" spans="1:8" ht="14.4" x14ac:dyDescent="0.3">
      <c r="A239">
        <v>238</v>
      </c>
      <c r="B239" s="172" t="s">
        <v>1195</v>
      </c>
      <c r="C239" s="172" t="s">
        <v>1196</v>
      </c>
      <c r="D239" s="102">
        <v>0</v>
      </c>
      <c r="E239" s="207">
        <v>0</v>
      </c>
      <c r="F239" s="207">
        <v>225000000</v>
      </c>
      <c r="H239" s="207">
        <v>225000000</v>
      </c>
    </row>
    <row r="240" spans="1:8" ht="14.4" x14ac:dyDescent="0.3">
      <c r="A240">
        <v>239</v>
      </c>
      <c r="B240" s="172" t="s">
        <v>1197</v>
      </c>
      <c r="C240" s="172" t="s">
        <v>1198</v>
      </c>
      <c r="D240" s="102">
        <v>0</v>
      </c>
      <c r="E240" s="207">
        <v>0</v>
      </c>
      <c r="F240" s="207">
        <v>1000000000</v>
      </c>
      <c r="G240" s="207">
        <v>8184000000</v>
      </c>
      <c r="H240" s="207">
        <v>185000000</v>
      </c>
    </row>
    <row r="241" spans="1:8" ht="14.4" x14ac:dyDescent="0.3">
      <c r="A241">
        <v>240</v>
      </c>
      <c r="B241" s="172" t="s">
        <v>1199</v>
      </c>
      <c r="C241" s="172" t="s">
        <v>1200</v>
      </c>
      <c r="D241" s="102">
        <v>0</v>
      </c>
      <c r="E241" s="207">
        <v>0</v>
      </c>
      <c r="F241" s="207">
        <v>500000000</v>
      </c>
      <c r="G241" s="207">
        <v>4222000000</v>
      </c>
      <c r="H241" s="207">
        <v>120000000</v>
      </c>
    </row>
    <row r="242" spans="1:8" ht="14.4" x14ac:dyDescent="0.3">
      <c r="A242">
        <v>241</v>
      </c>
      <c r="B242" s="172" t="s">
        <v>1201</v>
      </c>
      <c r="C242" s="172" t="s">
        <v>1202</v>
      </c>
      <c r="D242" s="102"/>
      <c r="F242" s="207">
        <v>400000000</v>
      </c>
      <c r="G242" s="207">
        <v>1700000000</v>
      </c>
      <c r="H242" s="207">
        <v>400000000</v>
      </c>
    </row>
    <row r="243" spans="1:8" ht="14.4" x14ac:dyDescent="0.3">
      <c r="A243">
        <v>242</v>
      </c>
      <c r="B243" s="172" t="s">
        <v>1203</v>
      </c>
      <c r="C243" s="172" t="s">
        <v>1204</v>
      </c>
      <c r="D243" s="102">
        <v>0</v>
      </c>
      <c r="E243" s="207">
        <v>0</v>
      </c>
      <c r="F243" s="207">
        <v>500000000</v>
      </c>
      <c r="G243" s="207">
        <v>2776000000</v>
      </c>
      <c r="H243" s="207">
        <v>230000000</v>
      </c>
    </row>
    <row r="244" spans="1:8" ht="14.4" x14ac:dyDescent="0.3">
      <c r="A244">
        <v>243</v>
      </c>
      <c r="B244" s="172" t="s">
        <v>329</v>
      </c>
      <c r="C244" s="172" t="s">
        <v>216</v>
      </c>
      <c r="D244" s="102">
        <v>0</v>
      </c>
      <c r="E244" s="207">
        <v>0</v>
      </c>
      <c r="F244" s="207">
        <v>1000000000</v>
      </c>
      <c r="G244" s="207">
        <v>8184000000</v>
      </c>
      <c r="H244" s="207">
        <v>300000000</v>
      </c>
    </row>
    <row r="245" spans="1:8" ht="14.4" x14ac:dyDescent="0.3">
      <c r="A245">
        <v>244</v>
      </c>
      <c r="B245" s="172" t="s">
        <v>1205</v>
      </c>
      <c r="C245" s="172" t="s">
        <v>1206</v>
      </c>
      <c r="D245" s="102">
        <v>0</v>
      </c>
      <c r="E245" s="207">
        <v>0</v>
      </c>
      <c r="F245" s="207">
        <v>500000000</v>
      </c>
      <c r="G245" s="207">
        <v>3567000000</v>
      </c>
      <c r="H245" s="207">
        <v>350000000</v>
      </c>
    </row>
    <row r="246" spans="1:8" ht="14.4" x14ac:dyDescent="0.3">
      <c r="A246">
        <v>245</v>
      </c>
      <c r="B246" s="172" t="s">
        <v>1207</v>
      </c>
      <c r="C246" s="172" t="s">
        <v>1208</v>
      </c>
      <c r="D246" s="102">
        <v>0</v>
      </c>
      <c r="E246" s="207">
        <v>0</v>
      </c>
      <c r="F246" s="207">
        <v>1000000000</v>
      </c>
      <c r="G246" s="207">
        <v>8184000000</v>
      </c>
      <c r="H246" s="207">
        <v>125000000</v>
      </c>
    </row>
    <row r="247" spans="1:8" ht="14.4" x14ac:dyDescent="0.3">
      <c r="A247">
        <v>246</v>
      </c>
      <c r="B247" s="172" t="s">
        <v>1209</v>
      </c>
      <c r="C247" s="172" t="s">
        <v>1210</v>
      </c>
      <c r="D247" s="102">
        <v>0</v>
      </c>
      <c r="E247" s="207">
        <v>0</v>
      </c>
      <c r="F247" s="207">
        <v>500000000</v>
      </c>
      <c r="G247" s="207">
        <v>4222000000</v>
      </c>
      <c r="H247" s="207">
        <v>75000000</v>
      </c>
    </row>
    <row r="248" spans="1:8" ht="14.4" x14ac:dyDescent="0.3">
      <c r="A248">
        <v>247</v>
      </c>
      <c r="B248" s="172" t="s">
        <v>1211</v>
      </c>
      <c r="C248" s="172" t="s">
        <v>1212</v>
      </c>
      <c r="D248" s="102">
        <v>0</v>
      </c>
      <c r="E248" s="207">
        <v>0</v>
      </c>
      <c r="F248" s="207">
        <v>500000000</v>
      </c>
      <c r="G248" s="207">
        <v>2100000000</v>
      </c>
      <c r="H248" s="207">
        <v>400000000</v>
      </c>
    </row>
    <row r="249" spans="1:8" ht="14.4" x14ac:dyDescent="0.3">
      <c r="A249">
        <v>248</v>
      </c>
      <c r="B249" s="172" t="s">
        <v>1213</v>
      </c>
      <c r="C249" s="172" t="s">
        <v>1214</v>
      </c>
      <c r="D249" s="102">
        <v>0</v>
      </c>
      <c r="F249" s="207">
        <v>87000000</v>
      </c>
      <c r="G249" s="207">
        <v>178000000</v>
      </c>
      <c r="H249" s="207">
        <v>110000000</v>
      </c>
    </row>
    <row r="250" spans="1:8" ht="14.4" x14ac:dyDescent="0.3">
      <c r="A250">
        <v>249</v>
      </c>
      <c r="B250" s="172" t="s">
        <v>1215</v>
      </c>
      <c r="C250" s="172" t="s">
        <v>1216</v>
      </c>
      <c r="D250" s="102"/>
      <c r="E250" s="207">
        <v>2172000000</v>
      </c>
      <c r="F250" s="207">
        <v>272000000</v>
      </c>
      <c r="H250" s="207">
        <v>225000000</v>
      </c>
    </row>
    <row r="251" spans="1:8" ht="14.4" x14ac:dyDescent="0.3">
      <c r="A251">
        <v>250</v>
      </c>
      <c r="B251" s="172" t="s">
        <v>1217</v>
      </c>
      <c r="C251" s="172" t="s">
        <v>1218</v>
      </c>
      <c r="D251" s="102">
        <v>0</v>
      </c>
      <c r="E251" s="207">
        <v>8000000000</v>
      </c>
      <c r="F251" s="207">
        <v>2465000000</v>
      </c>
      <c r="H251" s="207">
        <v>225000000</v>
      </c>
    </row>
    <row r="252" spans="1:8" ht="14.4" x14ac:dyDescent="0.3">
      <c r="A252">
        <v>251</v>
      </c>
      <c r="B252" s="172" t="s">
        <v>1219</v>
      </c>
      <c r="C252" s="172" t="s">
        <v>1220</v>
      </c>
      <c r="D252" s="102">
        <v>0</v>
      </c>
      <c r="E252" s="207">
        <v>7000000000</v>
      </c>
      <c r="F252" s="207">
        <v>1516000000</v>
      </c>
      <c r="H252" s="207">
        <v>50000000</v>
      </c>
    </row>
    <row r="253" spans="1:8" ht="14.4" x14ac:dyDescent="0.3">
      <c r="A253">
        <v>252</v>
      </c>
      <c r="B253" s="172" t="s">
        <v>459</v>
      </c>
      <c r="C253" s="172" t="s">
        <v>1221</v>
      </c>
      <c r="D253" s="102">
        <v>0</v>
      </c>
      <c r="E253" s="207">
        <v>9000000000</v>
      </c>
      <c r="F253" s="207">
        <v>2000000000</v>
      </c>
      <c r="H253" s="207">
        <v>475000000</v>
      </c>
    </row>
    <row r="254" spans="1:8" ht="14.4" x14ac:dyDescent="0.3">
      <c r="A254">
        <v>253</v>
      </c>
      <c r="B254" s="172" t="s">
        <v>1222</v>
      </c>
      <c r="C254" s="172" t="s">
        <v>1223</v>
      </c>
      <c r="D254" s="102">
        <v>0</v>
      </c>
      <c r="E254" s="207">
        <v>8000000000</v>
      </c>
      <c r="F254" s="207">
        <v>1000000000</v>
      </c>
      <c r="H254" s="207">
        <v>100000000</v>
      </c>
    </row>
    <row r="255" spans="1:8" ht="14.4" x14ac:dyDescent="0.3">
      <c r="A255">
        <v>254</v>
      </c>
      <c r="B255" s="172" t="s">
        <v>707</v>
      </c>
      <c r="C255" s="172" t="s">
        <v>223</v>
      </c>
      <c r="D255" s="102"/>
      <c r="E255" s="207">
        <v>1191000000</v>
      </c>
      <c r="F255" s="207">
        <v>301000000</v>
      </c>
      <c r="H255" s="207">
        <v>200000000</v>
      </c>
    </row>
    <row r="256" spans="1:8" ht="14.4" x14ac:dyDescent="0.3">
      <c r="A256">
        <v>255</v>
      </c>
      <c r="B256" s="172" t="s">
        <v>1224</v>
      </c>
      <c r="C256" s="172" t="s">
        <v>1225</v>
      </c>
      <c r="D256" s="102"/>
      <c r="E256" s="207">
        <v>0</v>
      </c>
      <c r="F256" s="207">
        <v>150000000</v>
      </c>
      <c r="H256" s="207">
        <v>150000000</v>
      </c>
    </row>
    <row r="257" spans="1:8" ht="14.4" x14ac:dyDescent="0.3">
      <c r="A257">
        <v>256</v>
      </c>
      <c r="B257" s="172" t="s">
        <v>1226</v>
      </c>
      <c r="C257" s="172" t="s">
        <v>1227</v>
      </c>
      <c r="D257" s="102"/>
      <c r="E257" s="207">
        <v>190000000</v>
      </c>
      <c r="F257" s="207">
        <v>100000000</v>
      </c>
      <c r="H257" s="207">
        <v>100000000</v>
      </c>
    </row>
    <row r="258" spans="1:8" ht="14.4" x14ac:dyDescent="0.3">
      <c r="A258">
        <v>257</v>
      </c>
      <c r="B258" s="172" t="s">
        <v>1228</v>
      </c>
      <c r="C258" s="172" t="s">
        <v>1229</v>
      </c>
      <c r="D258" s="102"/>
      <c r="F258" s="207">
        <v>150000000</v>
      </c>
      <c r="H258" s="207">
        <v>150000000</v>
      </c>
    </row>
    <row r="259" spans="1:8" ht="14.4" x14ac:dyDescent="0.3">
      <c r="A259">
        <v>258</v>
      </c>
      <c r="B259" s="172" t="s">
        <v>1230</v>
      </c>
      <c r="C259" s="172" t="s">
        <v>1231</v>
      </c>
      <c r="D259" s="102"/>
      <c r="E259" s="207">
        <v>250000000</v>
      </c>
      <c r="F259" s="207">
        <v>200000000</v>
      </c>
      <c r="H259" s="207">
        <v>150000000</v>
      </c>
    </row>
    <row r="260" spans="1:8" ht="14.4" x14ac:dyDescent="0.3">
      <c r="A260">
        <v>259</v>
      </c>
      <c r="B260" s="172" t="s">
        <v>1232</v>
      </c>
      <c r="C260" s="172" t="s">
        <v>1233</v>
      </c>
      <c r="D260" s="102">
        <v>0</v>
      </c>
      <c r="E260" s="207">
        <v>300000000</v>
      </c>
      <c r="F260" s="207">
        <v>300000000</v>
      </c>
      <c r="H260" s="207">
        <v>110000000</v>
      </c>
    </row>
    <row r="261" spans="1:8" ht="14.4" x14ac:dyDescent="0.3">
      <c r="A261">
        <v>260</v>
      </c>
      <c r="B261" s="172" t="s">
        <v>1234</v>
      </c>
      <c r="C261" s="172" t="s">
        <v>1235</v>
      </c>
      <c r="D261" s="102">
        <v>90000000</v>
      </c>
      <c r="E261" s="207">
        <v>75000000</v>
      </c>
      <c r="F261" s="207">
        <v>90000000</v>
      </c>
      <c r="G261" s="207">
        <v>90000000</v>
      </c>
      <c r="H261" s="207">
        <v>50000000</v>
      </c>
    </row>
    <row r="262" spans="1:8" ht="14.4" x14ac:dyDescent="0.3">
      <c r="A262">
        <v>261</v>
      </c>
      <c r="B262" s="172" t="s">
        <v>517</v>
      </c>
      <c r="C262" s="172" t="s">
        <v>1236</v>
      </c>
      <c r="D262" s="102"/>
      <c r="F262" s="207">
        <v>150000000</v>
      </c>
      <c r="G262" s="207">
        <v>750000000</v>
      </c>
      <c r="H262" s="207">
        <v>150000000</v>
      </c>
    </row>
    <row r="263" spans="1:8" ht="14.4" x14ac:dyDescent="0.3">
      <c r="A263">
        <v>262</v>
      </c>
      <c r="B263" s="172" t="s">
        <v>404</v>
      </c>
      <c r="C263" s="172" t="s">
        <v>1237</v>
      </c>
      <c r="D263" s="102"/>
      <c r="F263" s="207">
        <v>300000000</v>
      </c>
      <c r="H263" s="207">
        <v>100000000</v>
      </c>
    </row>
    <row r="264" spans="1:8" ht="14.4" x14ac:dyDescent="0.3">
      <c r="A264">
        <v>263</v>
      </c>
      <c r="B264" s="172" t="s">
        <v>1238</v>
      </c>
      <c r="C264" s="172" t="s">
        <v>1239</v>
      </c>
      <c r="D264" s="102"/>
      <c r="E264" s="207">
        <v>280000000</v>
      </c>
      <c r="F264" s="207">
        <v>110000000</v>
      </c>
      <c r="H264" s="207">
        <v>95000000</v>
      </c>
    </row>
    <row r="265" spans="1:8" ht="14.4" x14ac:dyDescent="0.3">
      <c r="A265">
        <v>264</v>
      </c>
      <c r="B265" s="172" t="s">
        <v>1240</v>
      </c>
      <c r="C265" s="172" t="s">
        <v>1241</v>
      </c>
      <c r="D265" s="102">
        <v>0</v>
      </c>
      <c r="F265" s="207">
        <v>36000000</v>
      </c>
      <c r="G265" s="207">
        <v>142000000</v>
      </c>
      <c r="H265" s="207">
        <v>100000000</v>
      </c>
    </row>
    <row r="266" spans="1:8" ht="14.4" x14ac:dyDescent="0.3">
      <c r="A266">
        <v>265</v>
      </c>
      <c r="B266" s="172" t="s">
        <v>1242</v>
      </c>
      <c r="C266" s="172" t="s">
        <v>1243</v>
      </c>
      <c r="D266" s="102"/>
      <c r="E266" s="207">
        <v>600000000</v>
      </c>
      <c r="F266" s="207">
        <v>300000000</v>
      </c>
      <c r="H266" s="207">
        <v>100000000</v>
      </c>
    </row>
    <row r="267" spans="1:8" ht="14.4" x14ac:dyDescent="0.3">
      <c r="A267">
        <v>266</v>
      </c>
      <c r="B267" s="172" t="s">
        <v>341</v>
      </c>
      <c r="C267" s="172" t="s">
        <v>1244</v>
      </c>
      <c r="D267" s="102">
        <v>0</v>
      </c>
      <c r="E267" s="207">
        <v>900000000</v>
      </c>
      <c r="F267" s="207">
        <v>300000000</v>
      </c>
      <c r="H267" s="207">
        <v>200000000</v>
      </c>
    </row>
    <row r="268" spans="1:8" ht="14.4" x14ac:dyDescent="0.3">
      <c r="A268">
        <v>267</v>
      </c>
      <c r="B268" s="172" t="s">
        <v>1245</v>
      </c>
      <c r="C268" s="172" t="s">
        <v>1246</v>
      </c>
      <c r="D268" s="102"/>
      <c r="F268" s="207">
        <v>85000000</v>
      </c>
      <c r="G268" s="207">
        <v>189000000</v>
      </c>
      <c r="H268" s="207">
        <v>85000000</v>
      </c>
    </row>
    <row r="269" spans="1:8" ht="14.4" x14ac:dyDescent="0.3">
      <c r="A269">
        <v>268</v>
      </c>
      <c r="B269" s="172" t="s">
        <v>231</v>
      </c>
      <c r="C269" s="172" t="s">
        <v>238</v>
      </c>
      <c r="D269" s="102">
        <v>5000000</v>
      </c>
      <c r="E269" s="207">
        <v>25000000</v>
      </c>
      <c r="F269" s="207">
        <v>5000000</v>
      </c>
      <c r="G269" s="207">
        <v>5000000</v>
      </c>
      <c r="H269" s="207">
        <v>30000000</v>
      </c>
    </row>
    <row r="270" spans="1:8" ht="14.4" x14ac:dyDescent="0.3">
      <c r="A270">
        <v>269</v>
      </c>
      <c r="B270" s="172" t="s">
        <v>1247</v>
      </c>
      <c r="C270" s="172" t="s">
        <v>1248</v>
      </c>
      <c r="D270" s="102">
        <v>0</v>
      </c>
      <c r="E270" s="207">
        <v>2500000000</v>
      </c>
      <c r="F270" s="207">
        <v>1300000000</v>
      </c>
      <c r="H270" s="207">
        <v>125000000</v>
      </c>
    </row>
    <row r="271" spans="1:8" ht="14.4" x14ac:dyDescent="0.3">
      <c r="A271">
        <v>270</v>
      </c>
      <c r="B271" s="172" t="s">
        <v>1249</v>
      </c>
      <c r="C271" s="172" t="s">
        <v>1250</v>
      </c>
      <c r="D271" s="102">
        <v>0</v>
      </c>
      <c r="E271" s="207">
        <v>1000000000</v>
      </c>
      <c r="F271" s="207">
        <v>750000000</v>
      </c>
      <c r="H271" s="207">
        <v>100000000</v>
      </c>
    </row>
    <row r="272" spans="1:8" ht="14.4" x14ac:dyDescent="0.3">
      <c r="A272">
        <v>271</v>
      </c>
      <c r="B272" s="172" t="s">
        <v>1251</v>
      </c>
      <c r="C272" s="172" t="s">
        <v>1252</v>
      </c>
      <c r="D272" s="102">
        <v>0</v>
      </c>
      <c r="E272" s="207">
        <v>0</v>
      </c>
      <c r="F272" s="207">
        <v>500000000</v>
      </c>
      <c r="G272" s="207">
        <v>2400000000</v>
      </c>
      <c r="H272" s="207">
        <v>100000000</v>
      </c>
    </row>
    <row r="273" spans="1:8" ht="14.4" x14ac:dyDescent="0.3">
      <c r="A273">
        <v>272</v>
      </c>
      <c r="B273" s="172" t="s">
        <v>431</v>
      </c>
      <c r="C273" s="172" t="s">
        <v>1253</v>
      </c>
      <c r="D273" s="102"/>
      <c r="F273" s="207">
        <v>1000000000</v>
      </c>
      <c r="G273" s="207">
        <v>3800000000</v>
      </c>
      <c r="H273" s="207">
        <v>500000000</v>
      </c>
    </row>
    <row r="274" spans="1:8" ht="14.4" x14ac:dyDescent="0.3">
      <c r="A274">
        <v>273</v>
      </c>
      <c r="B274" s="172" t="s">
        <v>1254</v>
      </c>
      <c r="C274" s="172" t="s">
        <v>1255</v>
      </c>
      <c r="D274" s="102"/>
      <c r="F274" s="207">
        <v>1427000000</v>
      </c>
      <c r="G274" s="207">
        <v>4800000000</v>
      </c>
      <c r="H274" s="207">
        <v>500000000</v>
      </c>
    </row>
    <row r="275" spans="1:8" ht="14.4" x14ac:dyDescent="0.3">
      <c r="A275">
        <v>274</v>
      </c>
      <c r="B275" s="172" t="s">
        <v>1256</v>
      </c>
      <c r="C275" s="172" t="s">
        <v>1257</v>
      </c>
      <c r="D275" s="102"/>
      <c r="F275" s="207">
        <v>1000000000</v>
      </c>
      <c r="G275" s="207">
        <v>3800000000</v>
      </c>
      <c r="H275" s="207">
        <v>500000000</v>
      </c>
    </row>
    <row r="276" spans="1:8" ht="14.4" x14ac:dyDescent="0.3">
      <c r="A276">
        <v>275</v>
      </c>
      <c r="B276" s="172" t="s">
        <v>518</v>
      </c>
      <c r="C276" s="172" t="s">
        <v>1258</v>
      </c>
      <c r="D276" s="102"/>
      <c r="F276" s="207">
        <v>1800000000</v>
      </c>
      <c r="G276" s="207">
        <v>2000000000</v>
      </c>
      <c r="H276" s="207">
        <v>400000000</v>
      </c>
    </row>
    <row r="277" spans="1:8" ht="14.4" x14ac:dyDescent="0.3">
      <c r="A277">
        <v>276</v>
      </c>
      <c r="B277" s="172" t="s">
        <v>1259</v>
      </c>
      <c r="C277" s="172" t="s">
        <v>1260</v>
      </c>
      <c r="D277" s="102"/>
      <c r="E277" s="207">
        <v>600000000</v>
      </c>
      <c r="F277" s="207">
        <v>767000000</v>
      </c>
      <c r="H277" s="207">
        <v>100000000</v>
      </c>
    </row>
    <row r="278" spans="1:8" ht="14.4" x14ac:dyDescent="0.3">
      <c r="A278">
        <v>277</v>
      </c>
      <c r="B278" s="172" t="s">
        <v>1261</v>
      </c>
      <c r="C278" s="172" t="s">
        <v>1262</v>
      </c>
      <c r="D278" s="102">
        <v>0</v>
      </c>
      <c r="E278" s="207">
        <v>30000000</v>
      </c>
      <c r="F278" s="207">
        <v>300000000</v>
      </c>
      <c r="H278" s="207">
        <v>300000000</v>
      </c>
    </row>
    <row r="279" spans="1:8" ht="14.4" x14ac:dyDescent="0.3">
      <c r="A279">
        <v>278</v>
      </c>
      <c r="B279" s="172" t="s">
        <v>1263</v>
      </c>
      <c r="C279" s="172" t="s">
        <v>1264</v>
      </c>
      <c r="D279" s="102">
        <v>0</v>
      </c>
      <c r="E279" s="207">
        <v>0</v>
      </c>
      <c r="F279" s="207">
        <v>200000000</v>
      </c>
      <c r="G279" s="207">
        <v>1200000000</v>
      </c>
      <c r="H279" s="207">
        <v>175000000</v>
      </c>
    </row>
    <row r="280" spans="1:8" ht="14.4" x14ac:dyDescent="0.3">
      <c r="A280">
        <v>279</v>
      </c>
      <c r="B280" s="172" t="s">
        <v>1265</v>
      </c>
      <c r="C280" s="172" t="s">
        <v>1266</v>
      </c>
      <c r="D280" s="102">
        <v>0</v>
      </c>
      <c r="E280" s="207">
        <v>0</v>
      </c>
      <c r="F280" s="207">
        <v>200000000</v>
      </c>
      <c r="G280" s="207">
        <v>1000000000</v>
      </c>
      <c r="H280" s="207">
        <v>175000000</v>
      </c>
    </row>
    <row r="281" spans="1:8" ht="14.4" x14ac:dyDescent="0.3">
      <c r="A281">
        <v>280</v>
      </c>
      <c r="B281" s="172" t="s">
        <v>1267</v>
      </c>
      <c r="C281" s="172" t="s">
        <v>1268</v>
      </c>
      <c r="D281" s="102">
        <v>0</v>
      </c>
      <c r="E281" s="207">
        <v>0</v>
      </c>
      <c r="F281" s="207">
        <v>150000000</v>
      </c>
      <c r="G281" s="207">
        <v>940000000</v>
      </c>
      <c r="H281" s="207">
        <v>150000000</v>
      </c>
    </row>
    <row r="282" spans="1:8" ht="14.4" x14ac:dyDescent="0.3">
      <c r="A282">
        <v>281</v>
      </c>
      <c r="B282" s="172" t="s">
        <v>1269</v>
      </c>
      <c r="C282" s="172" t="s">
        <v>1270</v>
      </c>
      <c r="D282" s="102">
        <v>0</v>
      </c>
      <c r="E282" s="207">
        <v>0</v>
      </c>
      <c r="F282" s="207">
        <v>240000000</v>
      </c>
      <c r="G282" s="207">
        <v>959000000</v>
      </c>
      <c r="H282" s="207">
        <v>85000000</v>
      </c>
    </row>
    <row r="283" spans="1:8" ht="14.4" x14ac:dyDescent="0.3">
      <c r="A283">
        <v>282</v>
      </c>
      <c r="B283" s="172" t="s">
        <v>1271</v>
      </c>
      <c r="C283" s="172" t="s">
        <v>1272</v>
      </c>
      <c r="D283" s="102">
        <v>0</v>
      </c>
      <c r="E283" s="207">
        <v>1249000000</v>
      </c>
      <c r="F283" s="207">
        <v>208000000</v>
      </c>
      <c r="H283" s="207">
        <v>100000000</v>
      </c>
    </row>
    <row r="284" spans="1:8" ht="14.4" x14ac:dyDescent="0.3">
      <c r="A284">
        <v>283</v>
      </c>
      <c r="B284" s="172">
        <v>272383405</v>
      </c>
      <c r="C284" s="172" t="s">
        <v>1273</v>
      </c>
      <c r="D284" s="102"/>
      <c r="E284" s="207">
        <v>900000000</v>
      </c>
      <c r="F284" s="207">
        <v>250000000</v>
      </c>
      <c r="H284" s="207">
        <v>175000000</v>
      </c>
    </row>
    <row r="285" spans="1:8" ht="14.4" x14ac:dyDescent="0.3">
      <c r="A285">
        <v>284</v>
      </c>
      <c r="B285" s="172" t="s">
        <v>1274</v>
      </c>
      <c r="C285" s="172" t="s">
        <v>1275</v>
      </c>
      <c r="D285" s="102"/>
      <c r="E285" s="207">
        <v>375000000</v>
      </c>
      <c r="F285" s="207">
        <v>75000000</v>
      </c>
      <c r="H285" s="207">
        <v>75000000</v>
      </c>
    </row>
    <row r="286" spans="1:8" ht="14.4" x14ac:dyDescent="0.3">
      <c r="A286">
        <v>285</v>
      </c>
      <c r="B286" s="172" t="s">
        <v>1276</v>
      </c>
      <c r="C286" s="172" t="s">
        <v>1277</v>
      </c>
      <c r="D286" s="102"/>
      <c r="E286" s="207">
        <v>275000000</v>
      </c>
      <c r="F286" s="207">
        <v>75000000</v>
      </c>
      <c r="H286" s="207">
        <v>75000000</v>
      </c>
    </row>
    <row r="287" spans="1:8" ht="14.4" x14ac:dyDescent="0.3">
      <c r="A287">
        <v>286</v>
      </c>
      <c r="B287" s="172" t="s">
        <v>1278</v>
      </c>
      <c r="C287" s="172" t="s">
        <v>1279</v>
      </c>
      <c r="D287" s="102"/>
      <c r="E287" s="207">
        <v>1100000000</v>
      </c>
      <c r="F287" s="207">
        <v>450000000</v>
      </c>
      <c r="H287" s="207">
        <v>175000000</v>
      </c>
    </row>
    <row r="288" spans="1:8" ht="14.4" x14ac:dyDescent="0.3">
      <c r="A288">
        <v>287</v>
      </c>
      <c r="B288" s="172" t="s">
        <v>1280</v>
      </c>
      <c r="C288" s="172" t="s">
        <v>1281</v>
      </c>
      <c r="D288" s="102">
        <v>0</v>
      </c>
      <c r="E288" s="207">
        <v>0</v>
      </c>
      <c r="F288" s="207">
        <v>47163000000</v>
      </c>
      <c r="G288" s="207">
        <v>102823000000</v>
      </c>
      <c r="H288" s="207">
        <v>100000000</v>
      </c>
    </row>
    <row r="289" spans="1:8" ht="14.4" x14ac:dyDescent="0.3">
      <c r="A289">
        <v>288</v>
      </c>
      <c r="B289" s="172" t="s">
        <v>1282</v>
      </c>
      <c r="C289" s="172" t="s">
        <v>1283</v>
      </c>
      <c r="D289" s="102">
        <v>0</v>
      </c>
      <c r="E289" s="207">
        <v>0</v>
      </c>
      <c r="F289" s="207">
        <v>44649000000</v>
      </c>
      <c r="G289" s="207">
        <v>77130000000</v>
      </c>
      <c r="H289" s="207">
        <v>50000000</v>
      </c>
    </row>
    <row r="290" spans="1:8" ht="14.4" x14ac:dyDescent="0.3">
      <c r="A290">
        <v>289</v>
      </c>
      <c r="B290" s="172" t="s">
        <v>1284</v>
      </c>
      <c r="C290" s="172" t="s">
        <v>1285</v>
      </c>
      <c r="D290" s="102">
        <v>0</v>
      </c>
      <c r="E290" s="207">
        <v>0</v>
      </c>
      <c r="F290" s="207">
        <v>40000000000</v>
      </c>
      <c r="G290" s="207">
        <v>110000000000</v>
      </c>
      <c r="H290" s="207">
        <v>150000000</v>
      </c>
    </row>
    <row r="291" spans="1:8" ht="14.4" x14ac:dyDescent="0.3">
      <c r="A291">
        <v>290</v>
      </c>
      <c r="B291" s="172" t="s">
        <v>1286</v>
      </c>
      <c r="C291" s="172" t="s">
        <v>1287</v>
      </c>
      <c r="D291" s="102">
        <v>0</v>
      </c>
      <c r="E291" s="207">
        <v>0</v>
      </c>
      <c r="F291" s="207">
        <v>43000000000</v>
      </c>
      <c r="G291" s="207">
        <v>78000000000</v>
      </c>
      <c r="H291" s="207">
        <v>150000000</v>
      </c>
    </row>
    <row r="292" spans="1:8" ht="14.4" x14ac:dyDescent="0.3">
      <c r="A292">
        <v>291</v>
      </c>
      <c r="B292" s="172" t="s">
        <v>1288</v>
      </c>
      <c r="C292" s="172" t="s">
        <v>1289</v>
      </c>
      <c r="D292" s="102">
        <v>0</v>
      </c>
      <c r="E292" s="207">
        <v>0</v>
      </c>
      <c r="F292" s="207">
        <v>40000000000</v>
      </c>
      <c r="G292" s="207">
        <v>38000000000</v>
      </c>
      <c r="H292" s="207">
        <v>75000000</v>
      </c>
    </row>
    <row r="293" spans="1:8" ht="14.4" x14ac:dyDescent="0.3">
      <c r="A293">
        <v>292</v>
      </c>
      <c r="B293" s="172" t="s">
        <v>1290</v>
      </c>
      <c r="C293" s="172" t="s">
        <v>1291</v>
      </c>
      <c r="D293" s="102">
        <v>0</v>
      </c>
      <c r="E293" s="207">
        <v>0</v>
      </c>
      <c r="F293" s="207">
        <v>7671000000</v>
      </c>
      <c r="G293" s="207">
        <v>11833000000</v>
      </c>
      <c r="H293" s="207">
        <v>80000000</v>
      </c>
    </row>
    <row r="294" spans="1:8" ht="14.4" x14ac:dyDescent="0.3">
      <c r="A294">
        <v>293</v>
      </c>
      <c r="B294" s="172" t="s">
        <v>1292</v>
      </c>
      <c r="C294" s="172" t="s">
        <v>1293</v>
      </c>
      <c r="D294" s="102">
        <v>0</v>
      </c>
      <c r="E294" s="207">
        <v>2887000000</v>
      </c>
      <c r="F294" s="207">
        <v>575000000</v>
      </c>
      <c r="H294" s="207">
        <v>575000000</v>
      </c>
    </row>
    <row r="295" spans="1:8" ht="14.4" x14ac:dyDescent="0.3">
      <c r="A295">
        <v>294</v>
      </c>
      <c r="B295" s="172" t="s">
        <v>519</v>
      </c>
      <c r="C295" s="172" t="s">
        <v>1294</v>
      </c>
      <c r="D295" s="102">
        <v>0</v>
      </c>
      <c r="E295" s="207">
        <v>0</v>
      </c>
      <c r="F295" s="207">
        <v>500000000</v>
      </c>
      <c r="G295" s="207">
        <v>5479000000</v>
      </c>
      <c r="H295" s="207">
        <v>225000000</v>
      </c>
    </row>
    <row r="296" spans="1:8" ht="14.4" x14ac:dyDescent="0.3">
      <c r="A296">
        <v>295</v>
      </c>
      <c r="B296" s="172" t="s">
        <v>1295</v>
      </c>
      <c r="C296" s="172" t="s">
        <v>1296</v>
      </c>
      <c r="D296" s="102">
        <v>0</v>
      </c>
      <c r="E296" s="207">
        <v>0</v>
      </c>
      <c r="F296" s="207">
        <v>500000000</v>
      </c>
      <c r="G296" s="207">
        <v>2920000000</v>
      </c>
      <c r="H296" s="207">
        <v>200000000</v>
      </c>
    </row>
    <row r="297" spans="1:8" ht="14.4" x14ac:dyDescent="0.3">
      <c r="A297">
        <v>296</v>
      </c>
      <c r="B297" s="172" t="s">
        <v>1297</v>
      </c>
      <c r="C297" s="172" t="s">
        <v>1298</v>
      </c>
      <c r="D297" s="102">
        <v>0</v>
      </c>
      <c r="E297" s="207">
        <v>525000000</v>
      </c>
      <c r="F297" s="207">
        <v>150000000</v>
      </c>
      <c r="H297" s="207">
        <v>100000000</v>
      </c>
    </row>
    <row r="298" spans="1:8" ht="14.4" x14ac:dyDescent="0.3">
      <c r="A298">
        <v>297</v>
      </c>
      <c r="B298" s="172" t="s">
        <v>443</v>
      </c>
      <c r="C298" s="172" t="s">
        <v>226</v>
      </c>
      <c r="D298" s="102"/>
      <c r="F298" s="207">
        <v>250000000</v>
      </c>
      <c r="G298" s="207">
        <v>2920000000</v>
      </c>
      <c r="H298" s="207">
        <v>75000000</v>
      </c>
    </row>
    <row r="299" spans="1:8" ht="14.4" x14ac:dyDescent="0.3">
      <c r="A299">
        <v>298</v>
      </c>
      <c r="B299" s="172" t="s">
        <v>1299</v>
      </c>
      <c r="C299" s="172" t="s">
        <v>1300</v>
      </c>
      <c r="D299" s="102"/>
      <c r="E299" s="207">
        <v>1800000000</v>
      </c>
      <c r="F299" s="207">
        <v>312000000</v>
      </c>
      <c r="H299" s="207">
        <v>50000000</v>
      </c>
    </row>
    <row r="300" spans="1:8" ht="14.4" x14ac:dyDescent="0.3">
      <c r="A300">
        <v>299</v>
      </c>
      <c r="B300" s="172" t="s">
        <v>1301</v>
      </c>
      <c r="C300" s="172" t="s">
        <v>1302</v>
      </c>
      <c r="D300" s="102"/>
      <c r="F300" s="207">
        <v>1225000000</v>
      </c>
      <c r="G300" s="207">
        <v>3065000000</v>
      </c>
      <c r="H300" s="207">
        <v>175000000</v>
      </c>
    </row>
    <row r="301" spans="1:8" ht="14.4" x14ac:dyDescent="0.3">
      <c r="A301">
        <v>300</v>
      </c>
      <c r="B301" s="172" t="s">
        <v>1303</v>
      </c>
      <c r="C301" s="172" t="s">
        <v>1304</v>
      </c>
      <c r="D301" s="102"/>
      <c r="F301" s="207">
        <v>520000000</v>
      </c>
      <c r="G301" s="207">
        <v>2550000000</v>
      </c>
      <c r="H301" s="207">
        <v>150000000</v>
      </c>
    </row>
    <row r="302" spans="1:8" ht="14.4" x14ac:dyDescent="0.3">
      <c r="A302">
        <v>301</v>
      </c>
      <c r="B302" s="172" t="s">
        <v>513</v>
      </c>
      <c r="C302" s="172" t="s">
        <v>1305</v>
      </c>
      <c r="D302" s="102"/>
      <c r="F302" s="207">
        <v>300000000</v>
      </c>
      <c r="G302" s="207">
        <v>2500000000</v>
      </c>
      <c r="H302" s="207">
        <v>75000000</v>
      </c>
    </row>
    <row r="303" spans="1:8" ht="14.4" x14ac:dyDescent="0.3">
      <c r="A303">
        <v>302</v>
      </c>
      <c r="B303" s="172" t="s">
        <v>1306</v>
      </c>
      <c r="C303" s="172" t="s">
        <v>1307</v>
      </c>
      <c r="D303" s="102"/>
      <c r="F303" s="207">
        <v>300000000</v>
      </c>
      <c r="G303" s="207">
        <v>1300000000</v>
      </c>
      <c r="H303" s="207">
        <v>75000000</v>
      </c>
    </row>
    <row r="304" spans="1:8" ht="14.4" x14ac:dyDescent="0.3">
      <c r="A304">
        <v>303</v>
      </c>
      <c r="B304" s="172" t="s">
        <v>1308</v>
      </c>
      <c r="C304" s="172" t="s">
        <v>1309</v>
      </c>
      <c r="D304" s="102"/>
      <c r="F304" s="207">
        <v>150000000</v>
      </c>
      <c r="G304" s="207">
        <v>403000000</v>
      </c>
      <c r="H304" s="207">
        <v>225000000</v>
      </c>
    </row>
    <row r="305" spans="1:8" ht="14.4" x14ac:dyDescent="0.3">
      <c r="A305">
        <v>304</v>
      </c>
      <c r="B305" s="172" t="s">
        <v>1310</v>
      </c>
      <c r="C305" s="172" t="s">
        <v>1311</v>
      </c>
      <c r="D305" s="102"/>
      <c r="F305" s="207">
        <v>150000000</v>
      </c>
      <c r="G305" s="207">
        <v>259000000</v>
      </c>
      <c r="H305" s="207">
        <v>75000000</v>
      </c>
    </row>
    <row r="306" spans="1:8" ht="14.4" x14ac:dyDescent="0.3">
      <c r="A306">
        <v>305</v>
      </c>
      <c r="B306" s="172" t="s">
        <v>1312</v>
      </c>
      <c r="C306" s="172" t="s">
        <v>1313</v>
      </c>
      <c r="D306" s="102">
        <v>0</v>
      </c>
      <c r="E306" s="207">
        <v>95500000</v>
      </c>
      <c r="F306" s="207">
        <v>300000000</v>
      </c>
      <c r="H306" s="207">
        <v>150000000</v>
      </c>
    </row>
    <row r="307" spans="1:8" ht="14.4" x14ac:dyDescent="0.3">
      <c r="A307">
        <v>306</v>
      </c>
      <c r="B307" s="172" t="s">
        <v>1314</v>
      </c>
      <c r="C307" s="172" t="s">
        <v>1315</v>
      </c>
      <c r="D307" s="102"/>
      <c r="E307" s="207">
        <v>800000000</v>
      </c>
      <c r="F307" s="207">
        <v>600000000</v>
      </c>
      <c r="H307" s="207">
        <v>325000000</v>
      </c>
    </row>
    <row r="308" spans="1:8" ht="14.4" x14ac:dyDescent="0.3">
      <c r="A308">
        <v>307</v>
      </c>
      <c r="B308" s="172" t="s">
        <v>1316</v>
      </c>
      <c r="C308" s="172" t="s">
        <v>1317</v>
      </c>
      <c r="D308" s="102">
        <v>0</v>
      </c>
      <c r="E308" s="207">
        <v>250000000</v>
      </c>
      <c r="F308" s="207">
        <v>100000000</v>
      </c>
      <c r="H308" s="207">
        <v>100000000</v>
      </c>
    </row>
    <row r="309" spans="1:8" ht="14.4" x14ac:dyDescent="0.3">
      <c r="A309">
        <v>308</v>
      </c>
      <c r="B309" s="172" t="s">
        <v>1318</v>
      </c>
      <c r="C309" s="172" t="s">
        <v>1319</v>
      </c>
      <c r="D309" s="102">
        <v>0</v>
      </c>
      <c r="E309" s="207">
        <v>1050000000</v>
      </c>
      <c r="F309" s="207">
        <v>140000000</v>
      </c>
      <c r="H309" s="207">
        <v>70000000</v>
      </c>
    </row>
    <row r="310" spans="1:8" ht="14.4" x14ac:dyDescent="0.3">
      <c r="A310">
        <v>309</v>
      </c>
      <c r="B310" s="172" t="s">
        <v>1320</v>
      </c>
      <c r="C310" s="172" t="s">
        <v>1321</v>
      </c>
      <c r="D310" s="102"/>
      <c r="E310" s="207">
        <v>1600000000</v>
      </c>
      <c r="F310" s="207">
        <v>800000000</v>
      </c>
      <c r="H310" s="207">
        <v>250000000</v>
      </c>
    </row>
    <row r="311" spans="1:8" ht="14.4" x14ac:dyDescent="0.3">
      <c r="A311">
        <v>310</v>
      </c>
      <c r="B311" s="172" t="s">
        <v>1322</v>
      </c>
      <c r="C311" s="172" t="s">
        <v>1323</v>
      </c>
      <c r="D311" s="102">
        <v>0</v>
      </c>
      <c r="E311" s="207">
        <v>3400000000</v>
      </c>
      <c r="F311" s="207">
        <v>600000000</v>
      </c>
      <c r="H311" s="207">
        <v>150000000</v>
      </c>
    </row>
    <row r="312" spans="1:8" ht="14.4" x14ac:dyDescent="0.3">
      <c r="A312">
        <v>311</v>
      </c>
      <c r="B312" s="172" t="s">
        <v>1324</v>
      </c>
      <c r="C312" s="172" t="s">
        <v>1325</v>
      </c>
      <c r="D312" s="102"/>
      <c r="F312" s="207">
        <v>137000000</v>
      </c>
      <c r="H312" s="207">
        <v>75000000</v>
      </c>
    </row>
    <row r="313" spans="1:8" ht="14.4" x14ac:dyDescent="0.3">
      <c r="A313">
        <v>312</v>
      </c>
      <c r="B313" s="172" t="s">
        <v>1326</v>
      </c>
      <c r="C313" s="172" t="s">
        <v>1327</v>
      </c>
      <c r="D313" s="102">
        <v>0</v>
      </c>
      <c r="E313" s="207">
        <v>0</v>
      </c>
      <c r="F313" s="207">
        <v>273900000</v>
      </c>
      <c r="H313" s="207">
        <v>240000000</v>
      </c>
    </row>
    <row r="314" spans="1:8" ht="14.4" x14ac:dyDescent="0.3">
      <c r="A314">
        <v>313</v>
      </c>
      <c r="B314" s="172" t="s">
        <v>1328</v>
      </c>
      <c r="C314" s="172" t="s">
        <v>1329</v>
      </c>
      <c r="D314" s="102"/>
      <c r="E314" s="207">
        <v>1100000000</v>
      </c>
      <c r="F314" s="207">
        <v>150000000</v>
      </c>
      <c r="H314" s="207">
        <v>200000000</v>
      </c>
    </row>
    <row r="315" spans="1:8" ht="14.4" x14ac:dyDescent="0.3">
      <c r="A315">
        <v>314</v>
      </c>
      <c r="B315" s="172" t="s">
        <v>1330</v>
      </c>
      <c r="C315" s="172" t="s">
        <v>1331</v>
      </c>
      <c r="D315" s="102"/>
      <c r="E315" s="207">
        <v>100000000</v>
      </c>
      <c r="F315" s="207">
        <v>150000000</v>
      </c>
      <c r="H315" s="207">
        <v>150000000</v>
      </c>
    </row>
    <row r="316" spans="1:8" ht="14.4" x14ac:dyDescent="0.3">
      <c r="A316">
        <v>315</v>
      </c>
      <c r="B316" s="172" t="s">
        <v>1332</v>
      </c>
      <c r="C316" s="231" t="s">
        <v>1333</v>
      </c>
      <c r="D316" s="102"/>
      <c r="E316" s="207">
        <v>40000000</v>
      </c>
      <c r="F316" s="207">
        <v>60000000</v>
      </c>
      <c r="H316" s="207">
        <v>100000000</v>
      </c>
    </row>
    <row r="317" spans="1:8" ht="14.4" x14ac:dyDescent="0.3">
      <c r="A317">
        <v>316</v>
      </c>
      <c r="B317" s="172" t="s">
        <v>1334</v>
      </c>
      <c r="C317" s="232" t="s">
        <v>1335</v>
      </c>
      <c r="D317" s="102">
        <v>0</v>
      </c>
      <c r="E317" s="207">
        <v>65000000000</v>
      </c>
      <c r="F317" s="207">
        <v>10000000000</v>
      </c>
      <c r="H317" s="207">
        <v>100000000</v>
      </c>
    </row>
    <row r="318" spans="1:8" ht="14.4" x14ac:dyDescent="0.3">
      <c r="A318">
        <v>317</v>
      </c>
      <c r="B318" s="172" t="s">
        <v>1336</v>
      </c>
      <c r="C318" s="172" t="s">
        <v>1337</v>
      </c>
      <c r="D318" s="102">
        <v>0</v>
      </c>
      <c r="F318" s="207">
        <v>30000000000</v>
      </c>
      <c r="G318" s="207">
        <v>85000000000</v>
      </c>
      <c r="H318" s="207">
        <v>100000000</v>
      </c>
    </row>
    <row r="319" spans="1:8" x14ac:dyDescent="0.25">
      <c r="A319" s="172">
        <v>318</v>
      </c>
      <c r="B319" s="172" t="s">
        <v>1338</v>
      </c>
      <c r="C319" s="172" t="s">
        <v>1339</v>
      </c>
      <c r="D319" s="207">
        <v>0</v>
      </c>
      <c r="E319" s="207">
        <v>290000000</v>
      </c>
      <c r="F319" s="207">
        <v>275000000</v>
      </c>
      <c r="H319" s="207">
        <v>275000000</v>
      </c>
    </row>
    <row r="320" spans="1:8" ht="14.4" x14ac:dyDescent="0.3">
      <c r="A320">
        <v>319</v>
      </c>
      <c r="B320" s="172" t="s">
        <v>515</v>
      </c>
      <c r="C320" s="172" t="s">
        <v>1340</v>
      </c>
      <c r="D320" s="102"/>
      <c r="F320" s="207">
        <v>30000000000</v>
      </c>
      <c r="G320" s="207">
        <v>60000000000</v>
      </c>
      <c r="H320" s="207">
        <v>90000000</v>
      </c>
    </row>
    <row r="321" spans="1:8" ht="14.4" x14ac:dyDescent="0.3">
      <c r="A321">
        <v>320</v>
      </c>
      <c r="B321" s="172" t="s">
        <v>709</v>
      </c>
      <c r="C321" s="172" t="s">
        <v>1341</v>
      </c>
      <c r="D321" s="102">
        <v>0</v>
      </c>
      <c r="E321" s="207">
        <v>2250000000</v>
      </c>
      <c r="F321" s="207">
        <v>950000000</v>
      </c>
      <c r="H321" s="207">
        <v>200000000</v>
      </c>
    </row>
    <row r="322" spans="1:8" ht="14.4" x14ac:dyDescent="0.3">
      <c r="A322">
        <v>327</v>
      </c>
      <c r="B322" s="172" t="s">
        <v>453</v>
      </c>
      <c r="C322" s="172" t="s">
        <v>1342</v>
      </c>
      <c r="D322" s="102"/>
      <c r="E322" s="207">
        <v>1200000000</v>
      </c>
      <c r="F322" s="207">
        <v>600000000</v>
      </c>
      <c r="H322" s="207">
        <v>50000000</v>
      </c>
    </row>
    <row r="323" spans="1:8" ht="14.4" x14ac:dyDescent="0.3">
      <c r="A323">
        <v>331</v>
      </c>
      <c r="B323" s="172" t="s">
        <v>465</v>
      </c>
      <c r="C323" s="172" t="s">
        <v>1343</v>
      </c>
      <c r="D323" s="102"/>
      <c r="E323" s="207">
        <v>1200000000</v>
      </c>
      <c r="F323" s="207">
        <v>600000000</v>
      </c>
      <c r="H323" s="207">
        <v>75000000</v>
      </c>
    </row>
    <row r="324" spans="1:8" ht="14.4" x14ac:dyDescent="0.3">
      <c r="A324">
        <v>332</v>
      </c>
      <c r="B324" s="172" t="s">
        <v>515</v>
      </c>
      <c r="C324" s="172" t="s">
        <v>774</v>
      </c>
      <c r="D324" s="102"/>
      <c r="F324" s="207">
        <v>30000000000</v>
      </c>
      <c r="G324" s="207">
        <v>60000000000</v>
      </c>
      <c r="H324" s="207">
        <v>90000000</v>
      </c>
    </row>
    <row r="325" spans="1:8" ht="14.4" x14ac:dyDescent="0.3">
      <c r="A325">
        <v>333</v>
      </c>
      <c r="B325" s="172" t="s">
        <v>459</v>
      </c>
      <c r="C325" s="172" t="s">
        <v>775</v>
      </c>
      <c r="D325" s="102">
        <v>0</v>
      </c>
      <c r="E325" s="207">
        <v>9000000000</v>
      </c>
      <c r="F325" s="207">
        <v>2000000000</v>
      </c>
      <c r="H325" s="207">
        <v>475000000</v>
      </c>
    </row>
    <row r="326" spans="1:8" ht="14.4" x14ac:dyDescent="0.3">
      <c r="A326" t="s">
        <v>1344</v>
      </c>
      <c r="B326" s="172" t="s">
        <v>738</v>
      </c>
      <c r="C326" s="172" t="s">
        <v>219</v>
      </c>
      <c r="D326" s="102"/>
      <c r="F326" s="207">
        <v>100000000</v>
      </c>
      <c r="H326" s="207">
        <v>100000000</v>
      </c>
    </row>
    <row r="327" spans="1:8" ht="14.4" x14ac:dyDescent="0.3">
      <c r="A327" t="s">
        <v>1344</v>
      </c>
      <c r="B327" s="172" t="s">
        <v>739</v>
      </c>
      <c r="C327" s="172" t="s">
        <v>219</v>
      </c>
      <c r="D327" s="102"/>
      <c r="F327" s="207">
        <v>100000000</v>
      </c>
      <c r="H327" s="207">
        <v>100000000</v>
      </c>
    </row>
    <row r="328" spans="1:8" ht="14.4" x14ac:dyDescent="0.3">
      <c r="A328" t="s">
        <v>1344</v>
      </c>
      <c r="B328" s="172" t="s">
        <v>540</v>
      </c>
      <c r="C328" s="172" t="s">
        <v>223</v>
      </c>
      <c r="D328" s="102"/>
      <c r="E328" s="207">
        <v>1191000000</v>
      </c>
      <c r="F328" s="207">
        <v>301000000</v>
      </c>
      <c r="H328" s="207">
        <v>200000000</v>
      </c>
    </row>
    <row r="329" spans="1:8" ht="14.4" x14ac:dyDescent="0.3">
      <c r="A329" t="s">
        <v>1344</v>
      </c>
      <c r="B329" s="172" t="s">
        <v>541</v>
      </c>
      <c r="C329" s="172" t="s">
        <v>223</v>
      </c>
      <c r="D329" s="102"/>
      <c r="E329" s="207">
        <v>1191000000</v>
      </c>
      <c r="F329" s="207">
        <v>301000000</v>
      </c>
      <c r="H329" s="207">
        <v>200000000</v>
      </c>
    </row>
    <row r="330" spans="1:8" ht="14.4" x14ac:dyDescent="0.3">
      <c r="A330" t="s">
        <v>1344</v>
      </c>
      <c r="B330" s="172" t="s">
        <v>740</v>
      </c>
      <c r="C330" s="172" t="s">
        <v>224</v>
      </c>
      <c r="D330" s="102">
        <v>0</v>
      </c>
      <c r="E330" s="207">
        <v>925000000</v>
      </c>
      <c r="F330" s="207">
        <v>200000000</v>
      </c>
      <c r="H330" s="207">
        <v>175000000</v>
      </c>
    </row>
    <row r="331" spans="1:8" ht="14.4" x14ac:dyDescent="0.3">
      <c r="A331" t="s">
        <v>1344</v>
      </c>
      <c r="B331" s="172" t="s">
        <v>741</v>
      </c>
      <c r="C331" s="172" t="s">
        <v>224</v>
      </c>
      <c r="D331" s="102">
        <v>0</v>
      </c>
      <c r="E331" s="207">
        <v>925000000</v>
      </c>
      <c r="F331" s="207">
        <v>200000000</v>
      </c>
      <c r="H331" s="207">
        <v>175000000</v>
      </c>
    </row>
    <row r="332" spans="1:8" ht="14.4" x14ac:dyDescent="0.3">
      <c r="A332" t="s">
        <v>1344</v>
      </c>
      <c r="B332" s="172" t="s">
        <v>772</v>
      </c>
      <c r="C332" s="172" t="s">
        <v>1168</v>
      </c>
      <c r="D332" s="102"/>
      <c r="F332" s="207">
        <v>1454000000</v>
      </c>
      <c r="G332" s="207">
        <v>9847000000</v>
      </c>
      <c r="H332" s="207">
        <v>450000000</v>
      </c>
    </row>
    <row r="333" spans="1:8" ht="14.4" x14ac:dyDescent="0.3">
      <c r="A333" t="s">
        <v>1344</v>
      </c>
      <c r="B333" s="172" t="s">
        <v>773</v>
      </c>
      <c r="C333" s="172" t="s">
        <v>1168</v>
      </c>
      <c r="D333" s="102"/>
      <c r="F333" s="207">
        <v>1454000000</v>
      </c>
      <c r="G333" s="207">
        <v>9847000000</v>
      </c>
      <c r="H333" s="207">
        <v>450000000</v>
      </c>
    </row>
    <row r="334" spans="1:8" ht="14.4" x14ac:dyDescent="0.3">
      <c r="A334" t="s">
        <v>1344</v>
      </c>
      <c r="B334" s="172" t="s">
        <v>770</v>
      </c>
      <c r="C334" s="172" t="s">
        <v>1027</v>
      </c>
      <c r="D334" s="102"/>
      <c r="E334" s="207">
        <v>50000000</v>
      </c>
      <c r="F334" s="207">
        <v>200000000</v>
      </c>
      <c r="H334" s="207">
        <v>200000000</v>
      </c>
    </row>
    <row r="335" spans="1:8" ht="14.4" x14ac:dyDescent="0.3">
      <c r="A335" t="s">
        <v>1344</v>
      </c>
      <c r="B335" s="172" t="s">
        <v>771</v>
      </c>
      <c r="C335" s="172" t="s">
        <v>1027</v>
      </c>
      <c r="D335" s="102"/>
      <c r="E335" s="207">
        <v>50000000</v>
      </c>
      <c r="F335" s="207">
        <v>200000000</v>
      </c>
      <c r="H335" s="207">
        <v>200000000</v>
      </c>
    </row>
    <row r="336" spans="1:8" x14ac:dyDescent="0.25">
      <c r="A336" s="172">
        <v>334</v>
      </c>
      <c r="B336" s="172" t="s">
        <v>749</v>
      </c>
      <c r="C336" s="172" t="s">
        <v>1345</v>
      </c>
      <c r="D336" s="207">
        <v>0</v>
      </c>
      <c r="E336" s="207">
        <v>40000000000</v>
      </c>
      <c r="F336" s="207">
        <v>10000000000</v>
      </c>
      <c r="G336" s="207">
        <v>0</v>
      </c>
      <c r="H336" s="207">
        <v>55000000</v>
      </c>
    </row>
    <row r="337" spans="1:8" x14ac:dyDescent="0.25">
      <c r="A337" s="172">
        <v>335</v>
      </c>
      <c r="B337" s="172" t="s">
        <v>753</v>
      </c>
      <c r="C337" s="172" t="s">
        <v>1346</v>
      </c>
      <c r="D337" s="207">
        <v>30000000000</v>
      </c>
      <c r="E337" s="207">
        <v>0</v>
      </c>
      <c r="F337" s="207">
        <v>10000000000</v>
      </c>
      <c r="G337" s="207">
        <v>30000000000</v>
      </c>
      <c r="H337" s="207">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542</v>
      </c>
      <c r="B1" s="1" t="s">
        <v>543</v>
      </c>
      <c r="C1" s="174" t="s">
        <v>544</v>
      </c>
      <c r="D1" s="211">
        <v>45968</v>
      </c>
      <c r="E1" s="193"/>
    </row>
    <row r="2" spans="1:5" ht="18.75" customHeight="1" x14ac:dyDescent="0.3">
      <c r="A2" s="175" t="s">
        <v>545</v>
      </c>
      <c r="B2" s="176"/>
      <c r="C2" s="177"/>
      <c r="D2" s="177" t="s">
        <v>690</v>
      </c>
      <c r="E2" s="194"/>
    </row>
    <row r="3" spans="1:5" ht="18.75" customHeight="1" x14ac:dyDescent="0.3">
      <c r="A3" s="5"/>
      <c r="B3">
        <v>1</v>
      </c>
      <c r="C3" s="178" t="s">
        <v>546</v>
      </c>
      <c r="D3" s="178" t="s">
        <v>667</v>
      </c>
      <c r="E3" s="195"/>
    </row>
    <row r="4" spans="1:5" ht="34.200000000000003" customHeight="1" x14ac:dyDescent="0.3">
      <c r="A4" s="5"/>
      <c r="B4">
        <v>2</v>
      </c>
      <c r="C4" s="178" t="s">
        <v>547</v>
      </c>
      <c r="D4" s="178" t="s">
        <v>666</v>
      </c>
      <c r="E4" s="195"/>
    </row>
    <row r="5" spans="1:5" ht="14.4" x14ac:dyDescent="0.3">
      <c r="A5" s="5"/>
      <c r="B5">
        <v>3</v>
      </c>
      <c r="C5" s="178" t="s">
        <v>548</v>
      </c>
      <c r="D5" s="178" t="s">
        <v>666</v>
      </c>
      <c r="E5" s="195"/>
    </row>
    <row r="6" spans="1:5" ht="14.4" x14ac:dyDescent="0.3">
      <c r="A6" s="5"/>
      <c r="B6" t="s">
        <v>549</v>
      </c>
      <c r="C6" s="178" t="s">
        <v>550</v>
      </c>
      <c r="D6" s="178" t="s">
        <v>666</v>
      </c>
      <c r="E6" s="195"/>
    </row>
    <row r="7" spans="1:5" ht="18.75" customHeight="1" x14ac:dyDescent="0.3">
      <c r="A7" s="5"/>
      <c r="B7" t="s">
        <v>551</v>
      </c>
      <c r="C7" s="178" t="s">
        <v>552</v>
      </c>
      <c r="D7" s="178" t="s">
        <v>666</v>
      </c>
      <c r="E7" s="195"/>
    </row>
    <row r="8" spans="1:5" ht="18.75" customHeight="1" x14ac:dyDescent="0.3">
      <c r="A8" s="5"/>
      <c r="B8" t="s">
        <v>553</v>
      </c>
      <c r="C8" s="178" t="s">
        <v>554</v>
      </c>
      <c r="D8" s="178" t="s">
        <v>691</v>
      </c>
      <c r="E8" s="195"/>
    </row>
    <row r="9" spans="1:5" ht="18.75" customHeight="1" x14ac:dyDescent="0.3">
      <c r="A9" s="5"/>
      <c r="B9" t="s">
        <v>555</v>
      </c>
      <c r="C9" s="178" t="s">
        <v>556</v>
      </c>
      <c r="D9" s="178" t="s">
        <v>692</v>
      </c>
      <c r="E9" s="202"/>
    </row>
    <row r="10" spans="1:5" ht="18.75" customHeight="1" x14ac:dyDescent="0.3">
      <c r="A10" s="5"/>
      <c r="B10" t="s">
        <v>557</v>
      </c>
      <c r="C10" s="178" t="s">
        <v>558</v>
      </c>
      <c r="D10" s="178" t="s">
        <v>692</v>
      </c>
      <c r="E10" s="202"/>
    </row>
    <row r="11" spans="1:5" ht="18.75" customHeight="1" x14ac:dyDescent="0.3">
      <c r="A11" s="5"/>
      <c r="B11" t="s">
        <v>559</v>
      </c>
      <c r="C11" s="178" t="s">
        <v>560</v>
      </c>
      <c r="D11" s="178" t="s">
        <v>692</v>
      </c>
      <c r="E11" s="195"/>
    </row>
    <row r="12" spans="1:5" ht="18.75" customHeight="1" x14ac:dyDescent="0.3">
      <c r="A12" s="5"/>
      <c r="B12" t="s">
        <v>561</v>
      </c>
      <c r="C12" s="178" t="s">
        <v>562</v>
      </c>
      <c r="D12" s="178" t="s">
        <v>692</v>
      </c>
      <c r="E12" s="195"/>
    </row>
    <row r="13" spans="1:5" ht="18.75" customHeight="1" x14ac:dyDescent="0.3">
      <c r="A13" s="5"/>
      <c r="B13" t="s">
        <v>563</v>
      </c>
      <c r="C13" s="178" t="s">
        <v>564</v>
      </c>
      <c r="D13" s="178" t="s">
        <v>692</v>
      </c>
      <c r="E13" s="195"/>
    </row>
    <row r="14" spans="1:5" ht="31.5" customHeight="1" x14ac:dyDescent="0.3">
      <c r="A14" s="5"/>
      <c r="B14" t="s">
        <v>565</v>
      </c>
      <c r="C14" s="178" t="s">
        <v>566</v>
      </c>
      <c r="D14" s="178" t="s">
        <v>666</v>
      </c>
      <c r="E14" s="195"/>
    </row>
    <row r="15" spans="1:5" ht="18.75" customHeight="1" x14ac:dyDescent="0.3">
      <c r="A15" s="5"/>
      <c r="B15" t="s">
        <v>567</v>
      </c>
      <c r="C15" s="178" t="s">
        <v>693</v>
      </c>
      <c r="D15" s="178" t="s">
        <v>694</v>
      </c>
      <c r="E15" s="195"/>
    </row>
    <row r="16" spans="1:5" ht="18.75" customHeight="1" x14ac:dyDescent="0.3">
      <c r="A16" s="5"/>
      <c r="B16" t="s">
        <v>568</v>
      </c>
      <c r="C16" s="178" t="s">
        <v>569</v>
      </c>
      <c r="D16" s="178" t="s">
        <v>694</v>
      </c>
      <c r="E16" s="195"/>
    </row>
    <row r="17" spans="1:5" ht="30" customHeight="1" x14ac:dyDescent="0.3">
      <c r="A17" s="5"/>
      <c r="B17" t="s">
        <v>570</v>
      </c>
      <c r="C17" s="178" t="s">
        <v>571</v>
      </c>
      <c r="D17" s="178" t="s">
        <v>694</v>
      </c>
      <c r="E17" s="195"/>
    </row>
    <row r="18" spans="1:5" ht="18.75" customHeight="1" x14ac:dyDescent="0.3">
      <c r="A18" s="5"/>
      <c r="B18" t="s">
        <v>572</v>
      </c>
      <c r="C18" s="178" t="s">
        <v>573</v>
      </c>
      <c r="D18" s="178" t="s">
        <v>666</v>
      </c>
      <c r="E18" s="195"/>
    </row>
    <row r="19" spans="1:5" ht="18.75" customHeight="1" x14ac:dyDescent="0.3">
      <c r="A19" s="5"/>
      <c r="B19" t="s">
        <v>574</v>
      </c>
      <c r="C19" s="178" t="s">
        <v>575</v>
      </c>
      <c r="D19" s="178" t="s">
        <v>666</v>
      </c>
      <c r="E19" s="195"/>
    </row>
    <row r="20" spans="1:5" ht="18.75" customHeight="1" x14ac:dyDescent="0.3">
      <c r="A20" s="5"/>
      <c r="B20" t="s">
        <v>576</v>
      </c>
      <c r="C20" s="178" t="s">
        <v>577</v>
      </c>
      <c r="D20" s="178" t="s">
        <v>666</v>
      </c>
      <c r="E20" s="195"/>
    </row>
    <row r="21" spans="1:5" ht="27.75" customHeight="1" x14ac:dyDescent="0.3">
      <c r="A21" s="5"/>
      <c r="B21" t="s">
        <v>578</v>
      </c>
      <c r="C21" s="178" t="s">
        <v>579</v>
      </c>
      <c r="D21" s="178" t="s">
        <v>666</v>
      </c>
      <c r="E21" s="203"/>
    </row>
    <row r="22" spans="1:5" ht="18.75" customHeight="1" thickBot="1" x14ac:dyDescent="0.35">
      <c r="A22" s="6"/>
      <c r="B22" s="12" t="s">
        <v>580</v>
      </c>
      <c r="C22" s="179" t="s">
        <v>581</v>
      </c>
      <c r="D22" s="179" t="s">
        <v>666</v>
      </c>
      <c r="E22" s="196"/>
    </row>
    <row r="23" spans="1:5" ht="18.75" customHeight="1" thickBot="1" x14ac:dyDescent="0.35"/>
    <row r="24" spans="1:5" ht="18.75" customHeight="1" thickBot="1" x14ac:dyDescent="0.35">
      <c r="A24" s="175" t="s">
        <v>582</v>
      </c>
      <c r="B24" s="176"/>
      <c r="C24" s="177"/>
      <c r="D24" s="177"/>
      <c r="E24" s="194"/>
    </row>
    <row r="25" spans="1:5" ht="18.75" customHeight="1" x14ac:dyDescent="0.3">
      <c r="A25" s="295" t="s">
        <v>583</v>
      </c>
      <c r="B25" s="19"/>
      <c r="C25" s="180"/>
      <c r="D25" s="180"/>
      <c r="E25" s="198"/>
    </row>
    <row r="26" spans="1:5" ht="18.75" customHeight="1" x14ac:dyDescent="0.3">
      <c r="A26" s="296"/>
      <c r="B26" t="s">
        <v>549</v>
      </c>
      <c r="C26" s="178" t="s">
        <v>584</v>
      </c>
      <c r="D26" s="178"/>
      <c r="E26" s="195"/>
    </row>
    <row r="27" spans="1:5" ht="18.75" customHeight="1" x14ac:dyDescent="0.3">
      <c r="A27" s="296"/>
      <c r="B27" t="s">
        <v>551</v>
      </c>
      <c r="C27" s="178" t="s">
        <v>585</v>
      </c>
      <c r="D27" s="178"/>
      <c r="E27" s="195"/>
    </row>
    <row r="28" spans="1:5" ht="18.75" customHeight="1" x14ac:dyDescent="0.3">
      <c r="A28" s="296"/>
      <c r="B28" t="s">
        <v>553</v>
      </c>
      <c r="C28" s="178" t="s">
        <v>586</v>
      </c>
      <c r="D28" s="178"/>
      <c r="E28" s="195"/>
    </row>
    <row r="29" spans="1:5" ht="18.75" customHeight="1" x14ac:dyDescent="0.3">
      <c r="A29" s="296"/>
      <c r="B29" t="s">
        <v>555</v>
      </c>
      <c r="C29" s="178" t="s">
        <v>587</v>
      </c>
      <c r="D29" s="178"/>
      <c r="E29" s="195"/>
    </row>
    <row r="30" spans="1:5" ht="18.75" customHeight="1" x14ac:dyDescent="0.3">
      <c r="A30" s="296"/>
      <c r="B30" t="s">
        <v>557</v>
      </c>
      <c r="C30" s="178" t="s">
        <v>588</v>
      </c>
      <c r="D30" s="178"/>
      <c r="E30" s="195"/>
    </row>
    <row r="31" spans="1:5" ht="18.75" customHeight="1" x14ac:dyDescent="0.3">
      <c r="A31" s="296"/>
      <c r="B31" t="s">
        <v>559</v>
      </c>
      <c r="C31" s="178" t="s">
        <v>589</v>
      </c>
      <c r="D31" s="178"/>
      <c r="E31" s="195"/>
    </row>
    <row r="32" spans="1:5" ht="18.75" customHeight="1" thickBot="1" x14ac:dyDescent="0.35">
      <c r="A32" s="297"/>
      <c r="B32" s="12" t="s">
        <v>561</v>
      </c>
      <c r="C32" s="179" t="s">
        <v>590</v>
      </c>
      <c r="D32" s="179"/>
      <c r="E32" s="196"/>
    </row>
    <row r="33" spans="1:5" ht="18.75" customHeight="1" thickBot="1" x14ac:dyDescent="0.35"/>
    <row r="34" spans="1:5" ht="18.75" customHeight="1" x14ac:dyDescent="0.3">
      <c r="A34" s="295" t="s">
        <v>591</v>
      </c>
      <c r="B34" s="19" t="s">
        <v>549</v>
      </c>
      <c r="C34" s="180" t="s">
        <v>592</v>
      </c>
      <c r="D34" s="180"/>
      <c r="E34" s="198"/>
    </row>
    <row r="35" spans="1:5" ht="18.75" customHeight="1" x14ac:dyDescent="0.3">
      <c r="A35" s="296"/>
      <c r="B35" t="s">
        <v>551</v>
      </c>
      <c r="C35" s="178" t="s">
        <v>22</v>
      </c>
      <c r="D35" s="178"/>
      <c r="E35" s="195"/>
    </row>
    <row r="36" spans="1:5" ht="18.75" customHeight="1" x14ac:dyDescent="0.3">
      <c r="A36" s="296"/>
      <c r="B36" t="s">
        <v>553</v>
      </c>
      <c r="C36" s="178" t="s">
        <v>119</v>
      </c>
      <c r="D36" s="178"/>
      <c r="E36" s="195"/>
    </row>
    <row r="37" spans="1:5" ht="18.75" customHeight="1" x14ac:dyDescent="0.3">
      <c r="A37" s="296"/>
      <c r="B37" t="s">
        <v>557</v>
      </c>
      <c r="C37" s="178" t="s">
        <v>593</v>
      </c>
      <c r="D37" s="178"/>
      <c r="E37" s="195"/>
    </row>
    <row r="38" spans="1:5" ht="18.75" customHeight="1" x14ac:dyDescent="0.3">
      <c r="A38" s="296"/>
      <c r="B38" t="s">
        <v>559</v>
      </c>
      <c r="C38" s="178" t="s">
        <v>594</v>
      </c>
      <c r="D38" s="178"/>
      <c r="E38" s="195"/>
    </row>
    <row r="39" spans="1:5" ht="18.75" customHeight="1" x14ac:dyDescent="0.3">
      <c r="A39" s="296"/>
      <c r="B39" t="s">
        <v>561</v>
      </c>
      <c r="C39" s="178" t="s">
        <v>25</v>
      </c>
      <c r="D39" s="178"/>
      <c r="E39" s="195"/>
    </row>
    <row r="40" spans="1:5" ht="18.75" customHeight="1" x14ac:dyDescent="0.3">
      <c r="A40" s="296"/>
      <c r="B40" t="s">
        <v>563</v>
      </c>
      <c r="C40" s="178" t="s">
        <v>26</v>
      </c>
      <c r="D40" s="178"/>
      <c r="E40" s="195"/>
    </row>
    <row r="41" spans="1:5" ht="18.75" customHeight="1" x14ac:dyDescent="0.3">
      <c r="A41" s="296"/>
      <c r="B41" t="s">
        <v>565</v>
      </c>
      <c r="C41" s="178" t="s">
        <v>595</v>
      </c>
      <c r="D41" s="178"/>
      <c r="E41" s="195"/>
    </row>
    <row r="42" spans="1:5" ht="18.75" customHeight="1" x14ac:dyDescent="0.3">
      <c r="A42" s="296"/>
      <c r="B42" t="s">
        <v>567</v>
      </c>
      <c r="C42" s="178" t="s">
        <v>596</v>
      </c>
      <c r="D42" s="178"/>
      <c r="E42" s="195"/>
    </row>
    <row r="43" spans="1:5" ht="18.75" customHeight="1" x14ac:dyDescent="0.3">
      <c r="A43" s="296"/>
      <c r="B43" t="s">
        <v>568</v>
      </c>
      <c r="C43" s="178" t="s">
        <v>597</v>
      </c>
      <c r="D43" s="178"/>
      <c r="E43" s="195"/>
    </row>
    <row r="44" spans="1:5" ht="18.75" customHeight="1" x14ac:dyDescent="0.3">
      <c r="A44" s="296"/>
      <c r="B44" t="s">
        <v>598</v>
      </c>
      <c r="C44" s="178" t="s">
        <v>212</v>
      </c>
      <c r="D44" s="178"/>
      <c r="E44" s="195"/>
    </row>
    <row r="45" spans="1:5" ht="18.75" customHeight="1" x14ac:dyDescent="0.3">
      <c r="A45" s="296"/>
      <c r="B45" t="s">
        <v>570</v>
      </c>
      <c r="C45" s="178" t="s">
        <v>599</v>
      </c>
      <c r="D45" s="178"/>
      <c r="E45" s="195"/>
    </row>
    <row r="46" spans="1:5" ht="18.75" customHeight="1" thickBot="1" x14ac:dyDescent="0.35">
      <c r="A46" s="297"/>
      <c r="B46" s="12" t="s">
        <v>572</v>
      </c>
      <c r="C46" s="179" t="s">
        <v>600</v>
      </c>
      <c r="D46" s="179"/>
      <c r="E46" s="196"/>
    </row>
    <row r="48" spans="1:5" ht="18.75" customHeight="1" thickBot="1" x14ac:dyDescent="0.35"/>
    <row r="49" spans="1:5" ht="18.75" customHeight="1" thickBot="1" x14ac:dyDescent="0.35">
      <c r="A49" s="181" t="s">
        <v>601</v>
      </c>
      <c r="B49" s="182">
        <v>1</v>
      </c>
      <c r="C49" s="183" t="s">
        <v>602</v>
      </c>
      <c r="D49" s="183"/>
      <c r="E49" s="199"/>
    </row>
    <row r="50" spans="1:5" ht="18.75" customHeight="1" thickBot="1" x14ac:dyDescent="0.35"/>
    <row r="51" spans="1:5" ht="18.75" customHeight="1" x14ac:dyDescent="0.3">
      <c r="A51" s="298" t="s">
        <v>603</v>
      </c>
      <c r="B51" s="19"/>
      <c r="C51" s="180"/>
      <c r="D51" s="180"/>
      <c r="E51" s="198"/>
    </row>
    <row r="52" spans="1:5" ht="18.75" customHeight="1" thickBot="1" x14ac:dyDescent="0.35">
      <c r="A52" s="299"/>
      <c r="B52" s="12">
        <v>1</v>
      </c>
      <c r="C52" s="179" t="s">
        <v>604</v>
      </c>
      <c r="D52" s="179"/>
      <c r="E52" s="196"/>
    </row>
    <row r="54" spans="1:5" ht="18.75" customHeight="1" thickBot="1" x14ac:dyDescent="0.35"/>
    <row r="55" spans="1:5" ht="18.75" customHeight="1" x14ac:dyDescent="0.3">
      <c r="A55" s="295" t="s">
        <v>605</v>
      </c>
      <c r="B55" s="19">
        <v>1</v>
      </c>
      <c r="C55" s="180" t="s">
        <v>606</v>
      </c>
      <c r="D55" s="180"/>
      <c r="E55" s="198"/>
    </row>
    <row r="56" spans="1:5" ht="18.75" customHeight="1" x14ac:dyDescent="0.3">
      <c r="A56" s="296"/>
      <c r="B56">
        <v>2</v>
      </c>
      <c r="C56" s="178" t="s">
        <v>607</v>
      </c>
      <c r="D56" s="178"/>
      <c r="E56" s="195"/>
    </row>
    <row r="57" spans="1:5" ht="18.75" customHeight="1" x14ac:dyDescent="0.3">
      <c r="A57" s="296"/>
      <c r="B57">
        <v>3</v>
      </c>
      <c r="C57" s="178" t="s">
        <v>608</v>
      </c>
      <c r="D57" s="178"/>
      <c r="E57" s="195"/>
    </row>
    <row r="58" spans="1:5" ht="18.75" customHeight="1" x14ac:dyDescent="0.3">
      <c r="A58" s="296"/>
      <c r="B58">
        <v>4</v>
      </c>
      <c r="C58" s="178" t="s">
        <v>609</v>
      </c>
      <c r="D58" s="178"/>
      <c r="E58" s="195"/>
    </row>
    <row r="59" spans="1:5" ht="18.75" customHeight="1" x14ac:dyDescent="0.3">
      <c r="A59" s="296"/>
      <c r="B59" t="s">
        <v>549</v>
      </c>
      <c r="C59" s="178" t="s">
        <v>123</v>
      </c>
      <c r="D59" s="178"/>
      <c r="E59" s="195"/>
    </row>
    <row r="60" spans="1:5" ht="18.75" customHeight="1" x14ac:dyDescent="0.3">
      <c r="A60" s="296"/>
      <c r="B60" t="s">
        <v>551</v>
      </c>
      <c r="C60" s="178" t="s">
        <v>124</v>
      </c>
      <c r="D60" s="178"/>
      <c r="E60" s="195"/>
    </row>
    <row r="61" spans="1:5" ht="18.75" customHeight="1" x14ac:dyDescent="0.3">
      <c r="A61" s="296"/>
      <c r="B61" t="s">
        <v>553</v>
      </c>
      <c r="C61" s="178" t="s">
        <v>125</v>
      </c>
      <c r="D61" s="178"/>
      <c r="E61" s="195"/>
    </row>
    <row r="62" spans="1:5" ht="18.75" customHeight="1" x14ac:dyDescent="0.3">
      <c r="A62" s="296"/>
      <c r="B62" t="s">
        <v>555</v>
      </c>
      <c r="C62" s="178" t="s">
        <v>2</v>
      </c>
      <c r="D62" s="178"/>
      <c r="E62" s="195"/>
    </row>
    <row r="63" spans="1:5" ht="18.75" customHeight="1" x14ac:dyDescent="0.3">
      <c r="A63" s="296"/>
      <c r="B63" t="s">
        <v>557</v>
      </c>
      <c r="C63" s="178" t="s">
        <v>610</v>
      </c>
      <c r="D63" s="178"/>
      <c r="E63" s="195"/>
    </row>
    <row r="64" spans="1:5" ht="18.75" customHeight="1" x14ac:dyDescent="0.3">
      <c r="A64" s="296"/>
      <c r="B64" t="s">
        <v>559</v>
      </c>
      <c r="C64" s="178" t="s">
        <v>611</v>
      </c>
      <c r="D64" s="178"/>
      <c r="E64" s="195"/>
    </row>
    <row r="65" spans="1:5" ht="18.75" customHeight="1" x14ac:dyDescent="0.3">
      <c r="A65" s="296"/>
      <c r="B65" t="s">
        <v>561</v>
      </c>
      <c r="C65" s="178" t="s">
        <v>612</v>
      </c>
      <c r="D65" s="178"/>
      <c r="E65" s="195"/>
    </row>
    <row r="66" spans="1:5" ht="18.75" customHeight="1" x14ac:dyDescent="0.3">
      <c r="A66" s="296"/>
      <c r="B66" t="s">
        <v>563</v>
      </c>
      <c r="C66" s="178" t="s">
        <v>613</v>
      </c>
      <c r="D66" s="178"/>
      <c r="E66" s="195"/>
    </row>
    <row r="67" spans="1:5" ht="18.75" customHeight="1" x14ac:dyDescent="0.3">
      <c r="A67" s="296"/>
      <c r="B67" t="s">
        <v>565</v>
      </c>
      <c r="C67" s="178" t="s">
        <v>175</v>
      </c>
      <c r="D67" s="178"/>
      <c r="E67" s="195"/>
    </row>
    <row r="68" spans="1:5" ht="18.75" customHeight="1" x14ac:dyDescent="0.3">
      <c r="A68" s="296"/>
      <c r="B68" t="s">
        <v>567</v>
      </c>
      <c r="C68" s="178" t="s">
        <v>614</v>
      </c>
      <c r="D68" s="178"/>
      <c r="E68" s="195"/>
    </row>
    <row r="69" spans="1:5" ht="18.75" customHeight="1" x14ac:dyDescent="0.3">
      <c r="A69" s="296"/>
      <c r="B69" t="s">
        <v>568</v>
      </c>
      <c r="C69" s="178" t="s">
        <v>169</v>
      </c>
      <c r="D69" s="178"/>
      <c r="E69" s="195"/>
    </row>
    <row r="70" spans="1:5" ht="18.75" customHeight="1" x14ac:dyDescent="0.3">
      <c r="A70" s="296"/>
      <c r="B70" t="s">
        <v>598</v>
      </c>
      <c r="C70" s="178" t="s">
        <v>171</v>
      </c>
      <c r="D70" s="178"/>
      <c r="E70" s="195"/>
    </row>
    <row r="71" spans="1:5" ht="18.75" customHeight="1" x14ac:dyDescent="0.3">
      <c r="A71" s="296"/>
      <c r="B71" t="s">
        <v>570</v>
      </c>
      <c r="C71" s="178" t="s">
        <v>615</v>
      </c>
      <c r="D71" s="178"/>
      <c r="E71" s="195"/>
    </row>
    <row r="72" spans="1:5" ht="18.75" customHeight="1" x14ac:dyDescent="0.3">
      <c r="A72" s="296"/>
      <c r="B72" t="s">
        <v>572</v>
      </c>
      <c r="C72" s="178" t="s">
        <v>616</v>
      </c>
      <c r="D72" s="178"/>
      <c r="E72" s="195"/>
    </row>
    <row r="73" spans="1:5" ht="18.75" customHeight="1" x14ac:dyDescent="0.3">
      <c r="A73" s="296"/>
      <c r="B73" t="s">
        <v>574</v>
      </c>
      <c r="C73" s="178" t="s">
        <v>5</v>
      </c>
      <c r="D73" s="178"/>
      <c r="E73" s="195"/>
    </row>
    <row r="74" spans="1:5" ht="18.75" customHeight="1" x14ac:dyDescent="0.3">
      <c r="A74" s="296"/>
      <c r="B74" t="s">
        <v>576</v>
      </c>
      <c r="C74" s="178" t="s">
        <v>617</v>
      </c>
      <c r="D74" s="178"/>
      <c r="E74" s="195"/>
    </row>
    <row r="75" spans="1:5" ht="18.75" customHeight="1" x14ac:dyDescent="0.3">
      <c r="A75" s="296"/>
      <c r="B75" t="s">
        <v>578</v>
      </c>
      <c r="C75" s="178" t="s">
        <v>136</v>
      </c>
      <c r="D75" s="178"/>
      <c r="E75" s="195"/>
    </row>
    <row r="76" spans="1:5" ht="18.75" customHeight="1" x14ac:dyDescent="0.3">
      <c r="A76" s="296"/>
      <c r="B76" t="s">
        <v>580</v>
      </c>
      <c r="C76" s="178" t="s">
        <v>137</v>
      </c>
      <c r="D76" s="178"/>
      <c r="E76" s="195"/>
    </row>
    <row r="77" spans="1:5" ht="18.75" customHeight="1" x14ac:dyDescent="0.3">
      <c r="A77" s="296"/>
      <c r="B77" t="s">
        <v>618</v>
      </c>
      <c r="C77" s="178" t="s">
        <v>619</v>
      </c>
      <c r="D77" s="178"/>
      <c r="E77" s="195"/>
    </row>
    <row r="78" spans="1:5" ht="18.75" customHeight="1" x14ac:dyDescent="0.3">
      <c r="A78" s="296"/>
      <c r="B78" t="s">
        <v>620</v>
      </c>
      <c r="C78" s="178" t="s">
        <v>139</v>
      </c>
      <c r="D78" s="178"/>
      <c r="E78" s="195"/>
    </row>
    <row r="79" spans="1:5" ht="18.75" customHeight="1" x14ac:dyDescent="0.3">
      <c r="A79" s="296"/>
      <c r="B79" t="s">
        <v>621</v>
      </c>
      <c r="C79" s="178" t="s">
        <v>140</v>
      </c>
      <c r="D79" s="178"/>
      <c r="E79" s="195"/>
    </row>
    <row r="80" spans="1:5" ht="18.75" customHeight="1" thickBot="1" x14ac:dyDescent="0.35">
      <c r="A80" s="297"/>
      <c r="B80" s="12" t="s">
        <v>622</v>
      </c>
      <c r="C80" s="179" t="s">
        <v>168</v>
      </c>
      <c r="D80" s="179"/>
      <c r="E80" s="196"/>
    </row>
    <row r="82" spans="1:3" ht="18.75" customHeight="1" x14ac:dyDescent="0.3">
      <c r="A82" t="s">
        <v>623</v>
      </c>
    </row>
    <row r="83" spans="1:3" ht="18.75" customHeight="1" x14ac:dyDescent="0.3">
      <c r="B83">
        <v>1</v>
      </c>
      <c r="C83" s="173" t="s">
        <v>624</v>
      </c>
    </row>
    <row r="85" spans="1:3" ht="18.75" customHeight="1" x14ac:dyDescent="0.3">
      <c r="A85" t="s">
        <v>625</v>
      </c>
      <c r="B85">
        <v>1</v>
      </c>
      <c r="C85" s="173" t="s">
        <v>626</v>
      </c>
    </row>
    <row r="86" spans="1:3" ht="18.75" customHeight="1" x14ac:dyDescent="0.3">
      <c r="B86">
        <v>2</v>
      </c>
      <c r="C86" s="173" t="s">
        <v>627</v>
      </c>
    </row>
    <row r="87" spans="1:3" ht="18.75" customHeight="1" x14ac:dyDescent="0.3">
      <c r="B87" t="s">
        <v>549</v>
      </c>
      <c r="C87" s="173" t="s">
        <v>628</v>
      </c>
    </row>
    <row r="88" spans="1:3" ht="18.75" customHeight="1" x14ac:dyDescent="0.3">
      <c r="B88" t="s">
        <v>551</v>
      </c>
      <c r="C88" s="173" t="s">
        <v>629</v>
      </c>
    </row>
    <row r="89" spans="1:3" ht="18.75" customHeight="1" x14ac:dyDescent="0.3">
      <c r="B89" t="s">
        <v>553</v>
      </c>
      <c r="C89" s="173" t="s">
        <v>630</v>
      </c>
    </row>
    <row r="90" spans="1:3" ht="18.75" customHeight="1" x14ac:dyDescent="0.3">
      <c r="B90" t="s">
        <v>555</v>
      </c>
      <c r="C90" s="173" t="s">
        <v>631</v>
      </c>
    </row>
    <row r="92" spans="1:3" ht="18.75" customHeight="1" x14ac:dyDescent="0.3">
      <c r="A92" t="s">
        <v>632</v>
      </c>
    </row>
    <row r="93" spans="1:3" ht="18.75" customHeight="1" x14ac:dyDescent="0.3">
      <c r="A93" t="s">
        <v>54</v>
      </c>
      <c r="B93">
        <v>1</v>
      </c>
      <c r="C93" s="173" t="s">
        <v>633</v>
      </c>
    </row>
    <row r="94" spans="1:3" ht="18.75" customHeight="1" x14ac:dyDescent="0.3">
      <c r="B94" t="s">
        <v>549</v>
      </c>
      <c r="C94" s="173" t="s">
        <v>20</v>
      </c>
    </row>
    <row r="95" spans="1:3" ht="18.75" customHeight="1" x14ac:dyDescent="0.3">
      <c r="B95" t="s">
        <v>551</v>
      </c>
      <c r="C95" s="173" t="s">
        <v>78</v>
      </c>
    </row>
    <row r="96" spans="1:3" ht="18.75" customHeight="1" x14ac:dyDescent="0.3">
      <c r="B96" t="s">
        <v>553</v>
      </c>
      <c r="C96" s="173" t="s">
        <v>634</v>
      </c>
    </row>
    <row r="97" spans="1:3" ht="18.75" customHeight="1" x14ac:dyDescent="0.3">
      <c r="B97">
        <v>2</v>
      </c>
      <c r="C97" s="173" t="s">
        <v>635</v>
      </c>
    </row>
    <row r="99" spans="1:3" ht="18.75" customHeight="1" x14ac:dyDescent="0.3">
      <c r="A99" t="s">
        <v>636</v>
      </c>
      <c r="B99">
        <v>1</v>
      </c>
      <c r="C99" s="173" t="s">
        <v>637</v>
      </c>
    </row>
    <row r="100" spans="1:3" ht="18.75" customHeight="1" x14ac:dyDescent="0.3">
      <c r="B100">
        <v>2</v>
      </c>
      <c r="C100" s="173" t="s">
        <v>638</v>
      </c>
    </row>
    <row r="101" spans="1:3" ht="18.75" customHeight="1" x14ac:dyDescent="0.3">
      <c r="B101">
        <v>3</v>
      </c>
      <c r="C101" s="173" t="s">
        <v>639</v>
      </c>
    </row>
    <row r="102" spans="1:3" ht="18.75" customHeight="1" x14ac:dyDescent="0.3">
      <c r="B102">
        <v>4</v>
      </c>
      <c r="C102" s="173" t="s">
        <v>640</v>
      </c>
    </row>
    <row r="104" spans="1:3" ht="18.75" customHeight="1" x14ac:dyDescent="0.3">
      <c r="A104" t="s">
        <v>641</v>
      </c>
      <c r="B104">
        <v>1</v>
      </c>
      <c r="C104" s="173" t="s">
        <v>642</v>
      </c>
    </row>
    <row r="105" spans="1:3" ht="18.75" customHeight="1" x14ac:dyDescent="0.3">
      <c r="B105">
        <v>2</v>
      </c>
      <c r="C105" s="173" t="s">
        <v>643</v>
      </c>
    </row>
    <row r="106" spans="1:3" ht="18.75" customHeight="1" x14ac:dyDescent="0.3">
      <c r="B106">
        <v>3</v>
      </c>
      <c r="C106" s="173" t="s">
        <v>644</v>
      </c>
    </row>
    <row r="108" spans="1:3" ht="18.75" customHeight="1" x14ac:dyDescent="0.3">
      <c r="A108" t="s">
        <v>645</v>
      </c>
      <c r="B108">
        <v>1</v>
      </c>
      <c r="C108" s="173" t="s">
        <v>646</v>
      </c>
    </row>
    <row r="111" spans="1:3" ht="18.75" customHeight="1" x14ac:dyDescent="0.3">
      <c r="A111" t="s">
        <v>647</v>
      </c>
      <c r="B111">
        <v>1</v>
      </c>
      <c r="C111" s="173" t="s">
        <v>648</v>
      </c>
    </row>
    <row r="112" spans="1:3" ht="18.75" customHeight="1" x14ac:dyDescent="0.3">
      <c r="B112">
        <v>2</v>
      </c>
      <c r="C112" s="173" t="s">
        <v>649</v>
      </c>
    </row>
    <row r="113" spans="1:3" ht="18.75" customHeight="1" x14ac:dyDescent="0.3">
      <c r="B113">
        <v>3</v>
      </c>
      <c r="C113" s="173" t="s">
        <v>650</v>
      </c>
    </row>
    <row r="115" spans="1:3" ht="18.75" customHeight="1" x14ac:dyDescent="0.3">
      <c r="A115" t="s">
        <v>651</v>
      </c>
      <c r="B115">
        <v>1</v>
      </c>
      <c r="C115" s="173" t="s">
        <v>652</v>
      </c>
    </row>
    <row r="117" spans="1:3" ht="18.75" customHeight="1" x14ac:dyDescent="0.3">
      <c r="A117" t="s">
        <v>653</v>
      </c>
      <c r="B117">
        <v>1</v>
      </c>
      <c r="C117" s="173" t="s">
        <v>654</v>
      </c>
    </row>
    <row r="118" spans="1:3" ht="18.75" customHeight="1" x14ac:dyDescent="0.3">
      <c r="B118">
        <v>2</v>
      </c>
      <c r="C118" s="173" t="s">
        <v>654</v>
      </c>
    </row>
    <row r="120" spans="1:3" ht="18.75" customHeight="1" x14ac:dyDescent="0.3">
      <c r="A120" t="s">
        <v>655</v>
      </c>
      <c r="B120">
        <v>1</v>
      </c>
      <c r="C120" s="173" t="s">
        <v>656</v>
      </c>
    </row>
    <row r="121" spans="1:3" ht="18.75" customHeight="1" x14ac:dyDescent="0.3">
      <c r="B121">
        <v>2</v>
      </c>
      <c r="C121" s="173" t="s">
        <v>657</v>
      </c>
    </row>
    <row r="122" spans="1:3" ht="18.75" customHeight="1" x14ac:dyDescent="0.3">
      <c r="B122">
        <v>3</v>
      </c>
      <c r="C122" s="173" t="s">
        <v>658</v>
      </c>
    </row>
    <row r="123" spans="1:3" ht="18.75" customHeight="1" x14ac:dyDescent="0.3">
      <c r="B123">
        <v>4</v>
      </c>
      <c r="C123" s="173" t="s">
        <v>659</v>
      </c>
    </row>
    <row r="125" spans="1:3" ht="18.75" customHeight="1" x14ac:dyDescent="0.3">
      <c r="A125" t="s">
        <v>201</v>
      </c>
      <c r="B125">
        <v>1</v>
      </c>
      <c r="C125" s="173" t="s">
        <v>660</v>
      </c>
    </row>
    <row r="127" spans="1:3" ht="18.75" customHeight="1" x14ac:dyDescent="0.3">
      <c r="A127" t="s">
        <v>661</v>
      </c>
      <c r="B127">
        <v>1</v>
      </c>
      <c r="C127" s="173" t="s">
        <v>662</v>
      </c>
    </row>
    <row r="128" spans="1:3" ht="18.75" customHeight="1" x14ac:dyDescent="0.3">
      <c r="B128">
        <v>2</v>
      </c>
      <c r="C128" s="173" t="s">
        <v>663</v>
      </c>
    </row>
    <row r="130" spans="1:3" ht="18.75" customHeight="1" x14ac:dyDescent="0.3">
      <c r="A130" t="s">
        <v>664</v>
      </c>
      <c r="B130">
        <v>1</v>
      </c>
      <c r="C130" s="173"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0"/>
  <sheetViews>
    <sheetView zoomScale="110" zoomScaleNormal="110" workbookViewId="0">
      <selection activeCell="C16" sqref="C12:C16"/>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1.33203125"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123</v>
      </c>
      <c r="E1" s="93" t="s">
        <v>124</v>
      </c>
      <c r="F1" s="93" t="s">
        <v>125</v>
      </c>
      <c r="G1" s="90" t="s">
        <v>126</v>
      </c>
      <c r="H1" s="90" t="s">
        <v>127</v>
      </c>
      <c r="I1" s="93" t="s">
        <v>2</v>
      </c>
      <c r="J1" s="90" t="s">
        <v>3</v>
      </c>
      <c r="K1" s="93" t="s">
        <v>62</v>
      </c>
      <c r="L1" s="126" t="s">
        <v>63</v>
      </c>
      <c r="M1" s="126" t="s">
        <v>65</v>
      </c>
      <c r="N1" s="90" t="s">
        <v>4</v>
      </c>
      <c r="O1" s="90" t="s">
        <v>66</v>
      </c>
      <c r="P1" s="95" t="s">
        <v>68</v>
      </c>
      <c r="Q1" s="95" t="s">
        <v>71</v>
      </c>
      <c r="R1" s="96" t="s">
        <v>175</v>
      </c>
      <c r="S1" s="90" t="s">
        <v>128</v>
      </c>
      <c r="T1" s="93" t="s">
        <v>72</v>
      </c>
      <c r="U1" s="97" t="s">
        <v>169</v>
      </c>
      <c r="V1" s="91" t="s">
        <v>170</v>
      </c>
      <c r="W1" s="94" t="s">
        <v>171</v>
      </c>
      <c r="X1" s="91" t="s">
        <v>172</v>
      </c>
      <c r="Y1" s="91" t="s">
        <v>173</v>
      </c>
      <c r="Z1" s="98" t="s">
        <v>235</v>
      </c>
      <c r="AA1" s="93" t="s">
        <v>132</v>
      </c>
      <c r="AB1" s="91" t="s">
        <v>133</v>
      </c>
      <c r="AC1" s="99" t="s">
        <v>5</v>
      </c>
      <c r="AD1" s="91" t="s">
        <v>73</v>
      </c>
      <c r="AE1" s="91" t="s">
        <v>74</v>
      </c>
      <c r="AF1" s="91" t="s">
        <v>75</v>
      </c>
      <c r="AG1" s="91" t="s">
        <v>76</v>
      </c>
      <c r="AH1" s="91" t="s">
        <v>134</v>
      </c>
      <c r="AI1" s="100" t="s">
        <v>135</v>
      </c>
      <c r="AJ1" s="100" t="s">
        <v>136</v>
      </c>
      <c r="AK1" s="100" t="s">
        <v>137</v>
      </c>
      <c r="AL1" s="100" t="s">
        <v>138</v>
      </c>
      <c r="AM1" s="100" t="s">
        <v>139</v>
      </c>
      <c r="AN1" s="100" t="s">
        <v>140</v>
      </c>
      <c r="AO1" s="101" t="s">
        <v>168</v>
      </c>
      <c r="AP1" s="91" t="s">
        <v>174</v>
      </c>
      <c r="AQ1" s="91" t="s">
        <v>182</v>
      </c>
      <c r="AR1" s="91" t="s">
        <v>205</v>
      </c>
      <c r="AS1" s="91" t="s">
        <v>206</v>
      </c>
    </row>
    <row r="2" spans="1:48" s="204" customFormat="1" x14ac:dyDescent="0.3">
      <c r="A2" t="s">
        <v>239</v>
      </c>
      <c r="B2" t="s">
        <v>232</v>
      </c>
      <c r="C2" t="s">
        <v>237</v>
      </c>
      <c r="D2" s="81" t="s">
        <v>1348</v>
      </c>
      <c r="E2" s="81" t="s">
        <v>1349</v>
      </c>
      <c r="F2" s="81" t="s">
        <v>1350</v>
      </c>
      <c r="H2" s="81" t="s">
        <v>229</v>
      </c>
      <c r="I2" s="77" t="s">
        <v>303</v>
      </c>
      <c r="K2" s="77" t="s">
        <v>230</v>
      </c>
      <c r="L2" s="77">
        <v>45405</v>
      </c>
      <c r="M2" s="77">
        <v>47212</v>
      </c>
      <c r="O2" s="81" t="s">
        <v>747</v>
      </c>
      <c r="P2" s="82">
        <v>0</v>
      </c>
      <c r="Q2" s="82">
        <v>150000000</v>
      </c>
      <c r="R2" s="88">
        <v>250000</v>
      </c>
      <c r="T2" s="269">
        <v>101</v>
      </c>
      <c r="U2" s="83">
        <v>6.2164801120758055E-2</v>
      </c>
      <c r="V2" s="81" t="s">
        <v>234</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305</v>
      </c>
      <c r="AO2" s="77" t="s">
        <v>304</v>
      </c>
      <c r="AP2" s="81">
        <v>0</v>
      </c>
      <c r="AQ2" s="81">
        <v>0</v>
      </c>
      <c r="AR2" s="81">
        <v>0</v>
      </c>
      <c r="AS2" s="81">
        <v>1</v>
      </c>
      <c r="AV2" s="270"/>
    </row>
    <row r="3" spans="1:48" s="204" customFormat="1" x14ac:dyDescent="0.3">
      <c r="A3" t="s">
        <v>240</v>
      </c>
      <c r="B3" t="s">
        <v>233</v>
      </c>
      <c r="C3" t="s">
        <v>238</v>
      </c>
      <c r="D3" s="81" t="s">
        <v>1351</v>
      </c>
      <c r="E3" s="81" t="s">
        <v>1352</v>
      </c>
      <c r="F3" s="81" t="s">
        <v>1350</v>
      </c>
      <c r="H3" s="81" t="s">
        <v>229</v>
      </c>
      <c r="I3" s="77" t="s">
        <v>311</v>
      </c>
      <c r="K3" s="77" t="s">
        <v>231</v>
      </c>
      <c r="L3" s="77">
        <v>45686</v>
      </c>
      <c r="M3" s="77">
        <v>46850</v>
      </c>
      <c r="O3" s="81" t="s">
        <v>747</v>
      </c>
      <c r="P3" s="82">
        <v>5000000</v>
      </c>
      <c r="Q3" s="82">
        <v>5000000</v>
      </c>
      <c r="R3" s="88">
        <v>250000</v>
      </c>
      <c r="T3" s="269">
        <v>100.2</v>
      </c>
      <c r="U3" s="83">
        <v>0.10476479396820068</v>
      </c>
      <c r="V3" s="81" t="s">
        <v>234</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313</v>
      </c>
      <c r="AO3" s="77" t="s">
        <v>312</v>
      </c>
      <c r="AP3" s="81">
        <v>0</v>
      </c>
      <c r="AQ3" s="81">
        <v>0</v>
      </c>
      <c r="AR3" s="81">
        <v>0</v>
      </c>
      <c r="AS3" s="81">
        <v>1</v>
      </c>
      <c r="AV3" s="270"/>
    </row>
    <row r="4" spans="1:48" s="204" customFormat="1" x14ac:dyDescent="0.3">
      <c r="A4" t="s">
        <v>524</v>
      </c>
      <c r="B4" t="s">
        <v>525</v>
      </c>
      <c r="C4" t="s">
        <v>236</v>
      </c>
      <c r="D4" s="81" t="s">
        <v>1353</v>
      </c>
      <c r="E4" s="81" t="s">
        <v>1354</v>
      </c>
      <c r="F4" s="81" t="s">
        <v>1350</v>
      </c>
      <c r="H4" s="81" t="s">
        <v>229</v>
      </c>
      <c r="I4" s="77" t="s">
        <v>319</v>
      </c>
      <c r="K4" s="77" t="s">
        <v>317</v>
      </c>
      <c r="L4" s="77">
        <v>45252</v>
      </c>
      <c r="M4" s="77">
        <v>46395</v>
      </c>
      <c r="O4" s="81" t="s">
        <v>747</v>
      </c>
      <c r="P4" s="82">
        <v>0</v>
      </c>
      <c r="Q4" s="82">
        <v>600000000</v>
      </c>
      <c r="R4" s="88">
        <v>250000</v>
      </c>
      <c r="T4" s="269">
        <v>102.85</v>
      </c>
      <c r="U4" s="83">
        <v>9.06E-2</v>
      </c>
      <c r="V4" s="81" t="s">
        <v>234</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305</v>
      </c>
      <c r="AO4" s="77" t="s">
        <v>312</v>
      </c>
      <c r="AP4" s="81">
        <v>0</v>
      </c>
      <c r="AQ4" s="81">
        <v>0</v>
      </c>
      <c r="AR4" s="81">
        <v>0</v>
      </c>
      <c r="AS4" s="81">
        <v>1</v>
      </c>
      <c r="AV4" s="270"/>
    </row>
    <row r="5" spans="1:48" s="204" customFormat="1" x14ac:dyDescent="0.3">
      <c r="A5" t="s">
        <v>526</v>
      </c>
      <c r="B5" t="s">
        <v>527</v>
      </c>
      <c r="C5" t="s">
        <v>215</v>
      </c>
      <c r="D5" s="81" t="s">
        <v>1355</v>
      </c>
      <c r="E5" s="81" t="s">
        <v>1356</v>
      </c>
      <c r="F5" s="81" t="s">
        <v>1350</v>
      </c>
      <c r="H5" s="81" t="s">
        <v>229</v>
      </c>
      <c r="I5" s="77" t="s">
        <v>325</v>
      </c>
      <c r="K5" s="77" t="s">
        <v>323</v>
      </c>
      <c r="L5" s="77">
        <v>44650</v>
      </c>
      <c r="M5" s="77">
        <v>46119</v>
      </c>
      <c r="O5" s="81" t="s">
        <v>747</v>
      </c>
      <c r="P5" s="82">
        <v>0</v>
      </c>
      <c r="Q5" s="82">
        <v>100000000</v>
      </c>
      <c r="R5" s="88">
        <v>250000</v>
      </c>
      <c r="T5" s="269">
        <v>101</v>
      </c>
      <c r="U5" s="83">
        <v>6.6600000000000006E-2</v>
      </c>
      <c r="V5" s="81" t="s">
        <v>234</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305</v>
      </c>
      <c r="AO5" s="77" t="s">
        <v>312</v>
      </c>
      <c r="AP5" s="81">
        <v>0</v>
      </c>
      <c r="AQ5" s="81">
        <v>0</v>
      </c>
      <c r="AR5" s="81">
        <v>0</v>
      </c>
      <c r="AS5" s="81">
        <v>1</v>
      </c>
      <c r="AV5" s="270"/>
    </row>
    <row r="6" spans="1:48" s="204" customFormat="1" x14ac:dyDescent="0.3">
      <c r="A6" t="s">
        <v>528</v>
      </c>
      <c r="B6" t="s">
        <v>529</v>
      </c>
      <c r="C6" t="s">
        <v>216</v>
      </c>
      <c r="D6" s="81" t="s">
        <v>1357</v>
      </c>
      <c r="E6" s="81" t="s">
        <v>1358</v>
      </c>
      <c r="F6" s="81" t="s">
        <v>1359</v>
      </c>
      <c r="H6" s="81" t="s">
        <v>229</v>
      </c>
      <c r="I6" s="77" t="s">
        <v>331</v>
      </c>
      <c r="K6" s="77" t="s">
        <v>329</v>
      </c>
      <c r="L6" s="77">
        <v>45267</v>
      </c>
      <c r="M6" s="77">
        <v>46363</v>
      </c>
      <c r="O6" s="81" t="s">
        <v>747</v>
      </c>
      <c r="P6" s="82">
        <v>0</v>
      </c>
      <c r="Q6" s="82">
        <v>1000000000</v>
      </c>
      <c r="R6" s="88">
        <v>250000</v>
      </c>
      <c r="T6" s="269">
        <v>103.95</v>
      </c>
      <c r="U6" s="83">
        <v>9.3200000000000005E-2</v>
      </c>
      <c r="V6" s="81" t="s">
        <v>234</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305</v>
      </c>
      <c r="AO6" s="77" t="s">
        <v>304</v>
      </c>
      <c r="AP6" s="81">
        <v>0</v>
      </c>
      <c r="AQ6" s="81">
        <v>0</v>
      </c>
      <c r="AR6" s="81">
        <v>0</v>
      </c>
      <c r="AS6" s="81">
        <v>1</v>
      </c>
      <c r="AV6" s="270"/>
    </row>
    <row r="7" spans="1:48" s="204" customFormat="1" x14ac:dyDescent="0.3">
      <c r="A7" t="s">
        <v>530</v>
      </c>
      <c r="B7" t="s">
        <v>531</v>
      </c>
      <c r="C7" t="s">
        <v>217</v>
      </c>
      <c r="D7" s="81" t="s">
        <v>1351</v>
      </c>
      <c r="E7" s="81" t="s">
        <v>1354</v>
      </c>
      <c r="F7" s="81" t="s">
        <v>1360</v>
      </c>
      <c r="H7" s="81" t="s">
        <v>229</v>
      </c>
      <c r="I7" s="77" t="s">
        <v>337</v>
      </c>
      <c r="K7" s="77" t="s">
        <v>335</v>
      </c>
      <c r="L7" s="77">
        <v>45693</v>
      </c>
      <c r="M7" s="77">
        <v>46820</v>
      </c>
      <c r="O7" s="81" t="s">
        <v>747</v>
      </c>
      <c r="P7" s="82">
        <v>0</v>
      </c>
      <c r="Q7" s="82">
        <v>300000000</v>
      </c>
      <c r="R7" s="88">
        <v>250000</v>
      </c>
      <c r="T7" s="269">
        <v>100.25</v>
      </c>
      <c r="U7" s="83">
        <v>7.3507139999999999E-2</v>
      </c>
      <c r="V7" s="81" t="s">
        <v>234</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305</v>
      </c>
      <c r="AO7" s="77" t="s">
        <v>312</v>
      </c>
      <c r="AP7" s="81">
        <v>0</v>
      </c>
      <c r="AQ7" s="81">
        <v>0</v>
      </c>
      <c r="AR7" s="81">
        <v>0</v>
      </c>
      <c r="AS7" s="81">
        <v>1</v>
      </c>
      <c r="AV7" s="270"/>
    </row>
    <row r="8" spans="1:48" s="204" customFormat="1" x14ac:dyDescent="0.3">
      <c r="A8" t="s">
        <v>532</v>
      </c>
      <c r="B8" t="s">
        <v>533</v>
      </c>
      <c r="C8" t="s">
        <v>1244</v>
      </c>
      <c r="D8" s="81" t="s">
        <v>1348</v>
      </c>
      <c r="E8" s="81" t="s">
        <v>1354</v>
      </c>
      <c r="F8" s="81" t="s">
        <v>1350</v>
      </c>
      <c r="H8" s="81" t="s">
        <v>229</v>
      </c>
      <c r="I8" s="77" t="s">
        <v>343</v>
      </c>
      <c r="K8" s="77" t="s">
        <v>341</v>
      </c>
      <c r="L8" s="77">
        <v>45649</v>
      </c>
      <c r="M8" s="77">
        <v>46849</v>
      </c>
      <c r="O8" s="81" t="s">
        <v>747</v>
      </c>
      <c r="P8" s="82">
        <v>0</v>
      </c>
      <c r="Q8" s="82">
        <v>300000000</v>
      </c>
      <c r="R8" s="88">
        <v>250000</v>
      </c>
      <c r="T8" s="269">
        <v>100.65</v>
      </c>
      <c r="U8" s="83">
        <v>8.9599999999999985E-2</v>
      </c>
      <c r="V8" s="81" t="s">
        <v>234</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305</v>
      </c>
      <c r="AO8" s="77" t="s">
        <v>312</v>
      </c>
      <c r="AP8" s="81">
        <v>0</v>
      </c>
      <c r="AQ8" s="81">
        <v>0</v>
      </c>
      <c r="AR8" s="81">
        <v>0</v>
      </c>
      <c r="AS8" s="81">
        <v>1</v>
      </c>
      <c r="AV8" s="270"/>
    </row>
    <row r="9" spans="1:48" s="204" customFormat="1" x14ac:dyDescent="0.3">
      <c r="A9" t="s">
        <v>534</v>
      </c>
      <c r="B9" t="s">
        <v>535</v>
      </c>
      <c r="C9" t="s">
        <v>218</v>
      </c>
      <c r="D9" s="81" t="s">
        <v>1348</v>
      </c>
      <c r="E9" s="81" t="s">
        <v>1354</v>
      </c>
      <c r="F9" s="81" t="s">
        <v>1350</v>
      </c>
      <c r="H9" s="81" t="s">
        <v>229</v>
      </c>
      <c r="I9" s="77" t="s">
        <v>349</v>
      </c>
      <c r="K9" s="77" t="s">
        <v>347</v>
      </c>
      <c r="L9" s="77">
        <v>45300</v>
      </c>
      <c r="M9" s="77">
        <v>46395</v>
      </c>
      <c r="O9" s="81" t="s">
        <v>747</v>
      </c>
      <c r="P9" s="82">
        <v>0</v>
      </c>
      <c r="Q9" s="82">
        <v>400000000</v>
      </c>
      <c r="R9" s="88">
        <v>250000</v>
      </c>
      <c r="T9" s="269">
        <v>102.3</v>
      </c>
      <c r="U9" s="83">
        <v>7.85E-2</v>
      </c>
      <c r="V9" s="81" t="s">
        <v>234</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305</v>
      </c>
      <c r="AO9" s="77" t="s">
        <v>312</v>
      </c>
      <c r="AP9" s="81">
        <v>0</v>
      </c>
      <c r="AQ9" s="81">
        <v>0</v>
      </c>
      <c r="AR9" s="81">
        <v>0</v>
      </c>
      <c r="AS9" s="81">
        <v>1</v>
      </c>
      <c r="AV9" s="270"/>
    </row>
    <row r="10" spans="1:48" s="204" customFormat="1" x14ac:dyDescent="0.3">
      <c r="A10" t="s">
        <v>536</v>
      </c>
      <c r="B10" t="s">
        <v>537</v>
      </c>
      <c r="C10" t="s">
        <v>897</v>
      </c>
      <c r="D10" s="81" t="s">
        <v>1353</v>
      </c>
      <c r="E10" s="81" t="s">
        <v>1354</v>
      </c>
      <c r="F10" s="81" t="s">
        <v>1350</v>
      </c>
      <c r="H10" s="81" t="s">
        <v>229</v>
      </c>
      <c r="I10" s="77" t="s">
        <v>360</v>
      </c>
      <c r="K10" s="77" t="s">
        <v>358</v>
      </c>
      <c r="L10" s="77">
        <v>45016</v>
      </c>
      <c r="M10" s="77">
        <v>46484</v>
      </c>
      <c r="O10" s="81" t="s">
        <v>747</v>
      </c>
      <c r="P10" s="82">
        <v>0</v>
      </c>
      <c r="Q10" s="82">
        <v>750000000</v>
      </c>
      <c r="R10" s="88">
        <v>250000</v>
      </c>
      <c r="T10" s="269">
        <v>102.6</v>
      </c>
      <c r="U10" s="83">
        <v>9.3000000000000013E-2</v>
      </c>
      <c r="V10" s="81" t="s">
        <v>234</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305</v>
      </c>
      <c r="AO10" s="77" t="s">
        <v>312</v>
      </c>
      <c r="AP10" s="81">
        <v>0</v>
      </c>
      <c r="AQ10" s="81">
        <v>0</v>
      </c>
      <c r="AR10" s="81">
        <v>0</v>
      </c>
      <c r="AS10" s="81">
        <v>1</v>
      </c>
      <c r="AV10" s="270"/>
    </row>
    <row r="11" spans="1:48" s="204" customFormat="1" x14ac:dyDescent="0.3">
      <c r="A11" t="s">
        <v>538</v>
      </c>
      <c r="B11" t="s">
        <v>539</v>
      </c>
      <c r="C11" t="s">
        <v>219</v>
      </c>
      <c r="D11" s="81" t="s">
        <v>1348</v>
      </c>
      <c r="E11" s="81" t="s">
        <v>1354</v>
      </c>
      <c r="F11" s="81" t="s">
        <v>1360</v>
      </c>
      <c r="H11" s="81" t="s">
        <v>229</v>
      </c>
      <c r="I11" s="77" t="s">
        <v>366</v>
      </c>
      <c r="K11" s="77" t="s">
        <v>738</v>
      </c>
      <c r="L11" s="77">
        <v>45630</v>
      </c>
      <c r="M11" s="77">
        <v>46762</v>
      </c>
      <c r="O11" s="81" t="s">
        <v>747</v>
      </c>
      <c r="P11" s="82">
        <v>0</v>
      </c>
      <c r="Q11" s="82">
        <v>100000000</v>
      </c>
      <c r="R11" s="88">
        <v>250000</v>
      </c>
      <c r="T11" s="269">
        <v>101.6</v>
      </c>
      <c r="U11" s="83">
        <v>7.3099999999999998E-2</v>
      </c>
      <c r="V11" s="81" t="s">
        <v>234</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367</v>
      </c>
      <c r="AO11" s="77" t="s">
        <v>312</v>
      </c>
      <c r="AP11" s="81">
        <v>0</v>
      </c>
      <c r="AQ11" s="81">
        <v>0</v>
      </c>
      <c r="AR11" s="81">
        <v>0</v>
      </c>
      <c r="AS11" s="81">
        <v>1</v>
      </c>
      <c r="AV11" s="270"/>
    </row>
    <row r="12" spans="1:48" s="272" customFormat="1" x14ac:dyDescent="0.3">
      <c r="A12" s="272" t="s">
        <v>1362</v>
      </c>
      <c r="B12" s="272" t="s">
        <v>1363</v>
      </c>
      <c r="C12" s="272" t="s">
        <v>220</v>
      </c>
      <c r="D12" s="272" t="s">
        <v>1351</v>
      </c>
      <c r="E12" s="272" t="s">
        <v>1372</v>
      </c>
      <c r="F12" s="273" t="s">
        <v>1360</v>
      </c>
      <c r="H12" s="273" t="s">
        <v>229</v>
      </c>
      <c r="I12" s="274" t="s">
        <v>373</v>
      </c>
      <c r="K12" s="274" t="s">
        <v>371</v>
      </c>
      <c r="L12" s="274">
        <v>45715</v>
      </c>
      <c r="M12" s="275">
        <v>46575</v>
      </c>
      <c r="O12" s="273" t="s">
        <v>747</v>
      </c>
      <c r="P12" s="276">
        <v>200000000</v>
      </c>
      <c r="Q12" s="276">
        <v>200000000</v>
      </c>
      <c r="R12" s="277">
        <v>250000</v>
      </c>
      <c r="T12" s="278">
        <v>100.1</v>
      </c>
      <c r="U12" s="279">
        <v>0.13366479396820069</v>
      </c>
      <c r="V12" s="273" t="s">
        <v>234</v>
      </c>
      <c r="W12" s="274">
        <v>45758</v>
      </c>
      <c r="Y12" s="280"/>
      <c r="Z12" s="281">
        <v>1.6666666666666668E-3</v>
      </c>
      <c r="AA12" s="282">
        <v>9.4942248479457494E-2</v>
      </c>
      <c r="AB12" s="273">
        <v>0</v>
      </c>
      <c r="AC12" s="282">
        <v>0.13305328999999999</v>
      </c>
      <c r="AD12" s="273">
        <v>0</v>
      </c>
      <c r="AE12" s="273">
        <v>0</v>
      </c>
      <c r="AF12" s="273">
        <v>0</v>
      </c>
      <c r="AG12" s="273">
        <v>0</v>
      </c>
      <c r="AH12" s="273">
        <v>0</v>
      </c>
      <c r="AI12" s="274">
        <v>45758</v>
      </c>
      <c r="AJ12" s="274">
        <v>45758</v>
      </c>
      <c r="AK12" s="274">
        <v>45758</v>
      </c>
      <c r="AL12" s="274">
        <v>45758</v>
      </c>
      <c r="AM12" s="274">
        <v>45758</v>
      </c>
      <c r="AN12" s="274" t="s">
        <v>305</v>
      </c>
      <c r="AO12" s="274" t="s">
        <v>374</v>
      </c>
      <c r="AP12" s="273">
        <v>0</v>
      </c>
      <c r="AQ12" s="273">
        <v>0</v>
      </c>
      <c r="AR12" s="273">
        <v>0</v>
      </c>
      <c r="AS12" s="273">
        <v>1</v>
      </c>
    </row>
    <row r="13" spans="1:48" s="272" customFormat="1" x14ac:dyDescent="0.3">
      <c r="A13" s="272" t="s">
        <v>1364</v>
      </c>
      <c r="B13" s="272" t="s">
        <v>1365</v>
      </c>
      <c r="C13" s="272" t="s">
        <v>1036</v>
      </c>
      <c r="D13" s="272" t="s">
        <v>1348</v>
      </c>
      <c r="E13" s="272" t="s">
        <v>1354</v>
      </c>
      <c r="F13" s="273" t="s">
        <v>1350</v>
      </c>
      <c r="H13" s="273" t="s">
        <v>229</v>
      </c>
      <c r="I13" s="274" t="s">
        <v>379</v>
      </c>
      <c r="K13" s="274" t="s">
        <v>377</v>
      </c>
      <c r="L13" s="274">
        <v>45391</v>
      </c>
      <c r="M13" s="274">
        <v>46545</v>
      </c>
      <c r="O13" s="273" t="s">
        <v>747</v>
      </c>
      <c r="P13" s="276">
        <v>0</v>
      </c>
      <c r="Q13" s="276">
        <v>300000000</v>
      </c>
      <c r="R13" s="277">
        <v>250000</v>
      </c>
      <c r="T13" s="278">
        <v>102.6</v>
      </c>
      <c r="U13" s="279">
        <v>0.12965999755859375</v>
      </c>
      <c r="V13" s="273" t="s">
        <v>234</v>
      </c>
      <c r="W13" s="274">
        <v>45761</v>
      </c>
      <c r="Y13" s="280"/>
      <c r="Z13" s="281">
        <v>1.1904761904761906E-3</v>
      </c>
      <c r="AA13" s="282">
        <v>9.1247227937579611E-2</v>
      </c>
      <c r="AB13" s="273">
        <v>0</v>
      </c>
      <c r="AC13" s="282">
        <v>0.11921872999999999</v>
      </c>
      <c r="AD13" s="273">
        <v>0</v>
      </c>
      <c r="AE13" s="273">
        <v>0</v>
      </c>
      <c r="AF13" s="273">
        <v>0</v>
      </c>
      <c r="AG13" s="273">
        <v>0</v>
      </c>
      <c r="AH13" s="273">
        <v>0</v>
      </c>
      <c r="AI13" s="274">
        <v>45761</v>
      </c>
      <c r="AJ13" s="274">
        <v>45761</v>
      </c>
      <c r="AK13" s="274">
        <v>45761</v>
      </c>
      <c r="AL13" s="274">
        <v>45761</v>
      </c>
      <c r="AM13" s="274">
        <v>45761</v>
      </c>
      <c r="AN13" s="274" t="s">
        <v>305</v>
      </c>
      <c r="AO13" s="274" t="s">
        <v>312</v>
      </c>
      <c r="AP13" s="273">
        <v>0</v>
      </c>
      <c r="AQ13" s="273">
        <v>0</v>
      </c>
      <c r="AR13" s="273">
        <v>0</v>
      </c>
      <c r="AS13" s="273">
        <v>1</v>
      </c>
    </row>
    <row r="14" spans="1:48" s="272" customFormat="1" x14ac:dyDescent="0.3">
      <c r="A14" s="272" t="s">
        <v>1366</v>
      </c>
      <c r="B14" s="272" t="s">
        <v>1367</v>
      </c>
      <c r="C14" s="272" t="s">
        <v>221</v>
      </c>
      <c r="D14" s="272" t="s">
        <v>1348</v>
      </c>
      <c r="E14" s="272" t="s">
        <v>1354</v>
      </c>
      <c r="F14" s="273" t="s">
        <v>1350</v>
      </c>
      <c r="H14" s="273" t="s">
        <v>229</v>
      </c>
      <c r="I14" s="274" t="s">
        <v>385</v>
      </c>
      <c r="K14" s="274" t="s">
        <v>383</v>
      </c>
      <c r="L14" s="274">
        <v>45379</v>
      </c>
      <c r="M14" s="274">
        <v>46484</v>
      </c>
      <c r="O14" s="273" t="s">
        <v>747</v>
      </c>
      <c r="P14" s="276">
        <v>0</v>
      </c>
      <c r="Q14" s="276">
        <v>250000000</v>
      </c>
      <c r="R14" s="277">
        <v>250000</v>
      </c>
      <c r="T14" s="278">
        <v>103.85</v>
      </c>
      <c r="U14" s="279">
        <v>9.3007139999999988E-2</v>
      </c>
      <c r="V14" s="273" t="s">
        <v>234</v>
      </c>
      <c r="W14" s="274">
        <v>45763</v>
      </c>
      <c r="Y14" s="280"/>
      <c r="Z14" s="281">
        <v>2.5000000000000001E-3</v>
      </c>
      <c r="AA14" s="282">
        <v>5.4388598366769E-2</v>
      </c>
      <c r="AB14" s="273">
        <v>0</v>
      </c>
      <c r="AC14" s="282">
        <v>7.5250440000000002E-2</v>
      </c>
      <c r="AD14" s="273">
        <v>0</v>
      </c>
      <c r="AE14" s="273">
        <v>0</v>
      </c>
      <c r="AF14" s="273">
        <v>0</v>
      </c>
      <c r="AG14" s="273">
        <v>0</v>
      </c>
      <c r="AH14" s="273">
        <v>0</v>
      </c>
      <c r="AI14" s="274">
        <v>45763</v>
      </c>
      <c r="AJ14" s="274">
        <v>45763</v>
      </c>
      <c r="AK14" s="274">
        <v>45763</v>
      </c>
      <c r="AL14" s="274">
        <v>45763</v>
      </c>
      <c r="AM14" s="274">
        <v>45763</v>
      </c>
      <c r="AN14" s="274" t="s">
        <v>305</v>
      </c>
      <c r="AO14" s="274" t="s">
        <v>312</v>
      </c>
      <c r="AP14" s="273">
        <v>0</v>
      </c>
      <c r="AQ14" s="273">
        <v>0</v>
      </c>
      <c r="AR14" s="273">
        <v>0</v>
      </c>
      <c r="AS14" s="273">
        <v>1</v>
      </c>
    </row>
    <row r="15" spans="1:48" s="272" customFormat="1" x14ac:dyDescent="0.3">
      <c r="A15" s="272" t="s">
        <v>1368</v>
      </c>
      <c r="B15" s="272" t="s">
        <v>1369</v>
      </c>
      <c r="C15" s="272" t="s">
        <v>222</v>
      </c>
      <c r="D15" s="272" t="s">
        <v>1353</v>
      </c>
      <c r="E15" s="272" t="s">
        <v>1354</v>
      </c>
      <c r="F15" s="273" t="s">
        <v>1360</v>
      </c>
      <c r="H15" s="273" t="s">
        <v>229</v>
      </c>
      <c r="I15" s="274" t="s">
        <v>390</v>
      </c>
      <c r="K15" s="274" t="s">
        <v>388</v>
      </c>
      <c r="L15" s="274">
        <v>45104</v>
      </c>
      <c r="M15" s="274">
        <v>46332</v>
      </c>
      <c r="O15" s="273" t="s">
        <v>747</v>
      </c>
      <c r="P15" s="276">
        <v>0</v>
      </c>
      <c r="Q15" s="276">
        <v>150000000</v>
      </c>
      <c r="R15" s="277">
        <v>250000</v>
      </c>
      <c r="T15" s="278">
        <v>102.4</v>
      </c>
      <c r="U15" s="279">
        <v>8.1708199999999995E-2</v>
      </c>
      <c r="V15" s="273" t="s">
        <v>234</v>
      </c>
      <c r="W15" s="274">
        <v>45763</v>
      </c>
      <c r="Y15" s="280"/>
      <c r="Z15" s="281">
        <v>1.6666666666666668E-3</v>
      </c>
      <c r="AA15" s="282">
        <v>4.342876561368355E-2</v>
      </c>
      <c r="AB15" s="273">
        <v>0</v>
      </c>
      <c r="AC15" s="282">
        <v>6.8990380000000004E-2</v>
      </c>
      <c r="AD15" s="273">
        <v>0</v>
      </c>
      <c r="AE15" s="273">
        <v>0</v>
      </c>
      <c r="AF15" s="273">
        <v>0</v>
      </c>
      <c r="AG15" s="273">
        <v>0</v>
      </c>
      <c r="AH15" s="273">
        <v>0</v>
      </c>
      <c r="AI15" s="274">
        <v>45763</v>
      </c>
      <c r="AJ15" s="274">
        <v>45763</v>
      </c>
      <c r="AK15" s="274">
        <v>45763</v>
      </c>
      <c r="AL15" s="274">
        <v>45763</v>
      </c>
      <c r="AM15" s="274">
        <v>45763</v>
      </c>
      <c r="AN15" s="274" t="s">
        <v>367</v>
      </c>
      <c r="AO15" s="274" t="s">
        <v>312</v>
      </c>
      <c r="AP15" s="273">
        <v>0</v>
      </c>
      <c r="AQ15" s="273">
        <v>0</v>
      </c>
      <c r="AR15" s="273">
        <v>0</v>
      </c>
      <c r="AS15" s="273">
        <v>1</v>
      </c>
    </row>
    <row r="16" spans="1:48" s="272" customFormat="1" x14ac:dyDescent="0.3">
      <c r="A16" s="272" t="s">
        <v>1370</v>
      </c>
      <c r="B16" s="272" t="s">
        <v>1371</v>
      </c>
      <c r="C16" s="272" t="s">
        <v>223</v>
      </c>
      <c r="D16" s="272" t="s">
        <v>1353</v>
      </c>
      <c r="E16" s="272" t="s">
        <v>1354</v>
      </c>
      <c r="F16" s="273" t="s">
        <v>1350</v>
      </c>
      <c r="H16" s="273" t="s">
        <v>229</v>
      </c>
      <c r="I16" s="272" t="s">
        <v>395</v>
      </c>
      <c r="K16" s="272" t="s">
        <v>540</v>
      </c>
      <c r="L16" s="274">
        <v>45287</v>
      </c>
      <c r="M16" s="274">
        <v>46395</v>
      </c>
      <c r="O16" s="272" t="s">
        <v>747</v>
      </c>
      <c r="P16" s="276">
        <v>0</v>
      </c>
      <c r="Q16" s="276">
        <v>301000000</v>
      </c>
      <c r="R16" s="283">
        <v>250000</v>
      </c>
      <c r="T16" s="272">
        <v>103.1</v>
      </c>
      <c r="U16" s="284">
        <v>0.1009</v>
      </c>
      <c r="V16" s="272" t="s">
        <v>234</v>
      </c>
      <c r="W16" s="280">
        <v>45770</v>
      </c>
      <c r="Y16" s="280"/>
      <c r="Z16" s="285">
        <v>1.25E-3</v>
      </c>
      <c r="AA16" s="272">
        <v>6.2344141903376588E-2</v>
      </c>
      <c r="AB16" s="272">
        <v>0</v>
      </c>
      <c r="AC16" s="286">
        <v>8.4681469999999995E-2</v>
      </c>
      <c r="AD16" s="273">
        <v>0</v>
      </c>
      <c r="AE16" s="273">
        <v>0</v>
      </c>
      <c r="AF16" s="273">
        <v>0</v>
      </c>
      <c r="AG16" s="273">
        <v>0</v>
      </c>
      <c r="AH16" s="273">
        <v>0</v>
      </c>
      <c r="AI16" s="274">
        <v>45770</v>
      </c>
      <c r="AJ16" s="274">
        <v>45770</v>
      </c>
      <c r="AK16" s="274">
        <v>45770</v>
      </c>
      <c r="AL16" s="274">
        <v>45770</v>
      </c>
      <c r="AM16" s="274">
        <v>45770</v>
      </c>
      <c r="AN16" s="272" t="s">
        <v>305</v>
      </c>
      <c r="AO16" s="272" t="s">
        <v>312</v>
      </c>
      <c r="AP16" s="273">
        <v>0</v>
      </c>
      <c r="AQ16" s="273">
        <v>0</v>
      </c>
      <c r="AR16" s="273">
        <v>0</v>
      </c>
      <c r="AS16" s="273">
        <v>1</v>
      </c>
    </row>
    <row r="17" spans="12:18" x14ac:dyDescent="0.3">
      <c r="L17" s="77"/>
      <c r="M17" s="77"/>
    </row>
    <row r="18" spans="12:18" x14ac:dyDescent="0.3">
      <c r="L18" s="77"/>
      <c r="M18" s="77"/>
    </row>
    <row r="19" spans="12:18" x14ac:dyDescent="0.3">
      <c r="L19" s="77"/>
      <c r="M19" s="77"/>
    </row>
    <row r="20" spans="12:18" x14ac:dyDescent="0.3">
      <c r="L20" s="77"/>
      <c r="M20" s="77"/>
      <c r="R20" s="288"/>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tabSelected="1" zoomScale="85" zoomScaleNormal="85" workbookViewId="0">
      <selection activeCell="J20" sqref="J20"/>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184</v>
      </c>
      <c r="C1" s="8" t="s">
        <v>1</v>
      </c>
      <c r="D1" s="8" t="s">
        <v>97</v>
      </c>
      <c r="E1" s="8" t="s">
        <v>202</v>
      </c>
      <c r="F1" s="8" t="s">
        <v>46</v>
      </c>
      <c r="G1" s="8" t="s">
        <v>78</v>
      </c>
      <c r="H1" s="9" t="s">
        <v>70</v>
      </c>
      <c r="AB1" t="s">
        <v>203</v>
      </c>
    </row>
    <row r="2" spans="1:28" ht="15" thickBot="1" x14ac:dyDescent="0.35">
      <c r="A2" s="6">
        <v>1</v>
      </c>
      <c r="B2" s="12" t="s">
        <v>185</v>
      </c>
      <c r="C2" s="12" t="s">
        <v>1373</v>
      </c>
      <c r="D2" s="71">
        <v>4000000</v>
      </c>
      <c r="E2" s="71">
        <v>3830344</v>
      </c>
      <c r="F2" s="12" t="s">
        <v>28</v>
      </c>
      <c r="G2" s="16">
        <v>46203</v>
      </c>
      <c r="H2" s="13" t="s">
        <v>1374</v>
      </c>
      <c r="AB2" t="s">
        <v>185</v>
      </c>
    </row>
    <row r="3" spans="1:28" x14ac:dyDescent="0.3">
      <c r="D3" s="85"/>
    </row>
    <row r="4" spans="1:28" x14ac:dyDescent="0.3">
      <c r="A4" s="4"/>
      <c r="B4" s="4"/>
      <c r="D4" s="1"/>
      <c r="E4" s="4"/>
    </row>
    <row r="5" spans="1:28" x14ac:dyDescent="0.3">
      <c r="A5" t="s">
        <v>1375</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D4" sqref="D4"/>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208</v>
      </c>
      <c r="K1" s="28" t="s">
        <v>212</v>
      </c>
      <c r="L1" s="28" t="s">
        <v>210</v>
      </c>
      <c r="M1" s="29" t="s">
        <v>211</v>
      </c>
    </row>
    <row r="2" spans="1:13" ht="15" thickBot="1" x14ac:dyDescent="0.35">
      <c r="A2" s="79">
        <v>1.2E-2</v>
      </c>
      <c r="B2" s="23">
        <v>0.01</v>
      </c>
      <c r="C2" s="23">
        <v>0</v>
      </c>
      <c r="D2" s="24">
        <v>0</v>
      </c>
      <c r="E2" s="25">
        <v>0</v>
      </c>
      <c r="F2" s="76">
        <v>0</v>
      </c>
      <c r="G2" s="26">
        <v>0</v>
      </c>
      <c r="H2" s="78">
        <v>3.8E-3</v>
      </c>
      <c r="I2" s="13" t="s">
        <v>166</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16"/>
  <sheetViews>
    <sheetView zoomScaleNormal="100" workbookViewId="0">
      <selection activeCell="C20" sqref="C20"/>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1">
        <v>270132852</v>
      </c>
      <c r="B2" t="s">
        <v>167</v>
      </c>
      <c r="C2" t="s">
        <v>237</v>
      </c>
      <c r="D2" s="44">
        <v>1</v>
      </c>
    </row>
    <row r="3" spans="1:6" x14ac:dyDescent="0.3">
      <c r="A3" s="21">
        <v>270132852</v>
      </c>
      <c r="B3" t="s">
        <v>167</v>
      </c>
      <c r="C3" t="s">
        <v>238</v>
      </c>
      <c r="D3" s="44">
        <v>1</v>
      </c>
    </row>
    <row r="4" spans="1:6" x14ac:dyDescent="0.3">
      <c r="A4" s="21">
        <v>270132852</v>
      </c>
      <c r="B4" t="s">
        <v>167</v>
      </c>
      <c r="C4" t="s">
        <v>236</v>
      </c>
      <c r="D4" s="44">
        <v>1</v>
      </c>
    </row>
    <row r="5" spans="1:6" x14ac:dyDescent="0.3">
      <c r="A5" s="21">
        <v>270132852</v>
      </c>
      <c r="B5" t="s">
        <v>167</v>
      </c>
      <c r="C5" t="s">
        <v>215</v>
      </c>
      <c r="D5" s="44">
        <v>1</v>
      </c>
    </row>
    <row r="6" spans="1:6" x14ac:dyDescent="0.3">
      <c r="A6" s="21">
        <v>270132852</v>
      </c>
      <c r="B6" t="s">
        <v>167</v>
      </c>
      <c r="C6" t="s">
        <v>216</v>
      </c>
      <c r="D6" s="44">
        <v>1</v>
      </c>
    </row>
    <row r="7" spans="1:6" x14ac:dyDescent="0.3">
      <c r="A7" s="21">
        <v>270132852</v>
      </c>
      <c r="B7" t="s">
        <v>167</v>
      </c>
      <c r="C7" t="s">
        <v>217</v>
      </c>
      <c r="D7" s="44">
        <v>1</v>
      </c>
    </row>
    <row r="8" spans="1:6" x14ac:dyDescent="0.3">
      <c r="A8" s="21">
        <v>270132852</v>
      </c>
      <c r="B8" t="s">
        <v>167</v>
      </c>
      <c r="C8" t="s">
        <v>1244</v>
      </c>
      <c r="D8" s="44">
        <v>1</v>
      </c>
    </row>
    <row r="9" spans="1:6" x14ac:dyDescent="0.3">
      <c r="A9" s="21">
        <v>270132852</v>
      </c>
      <c r="B9" t="s">
        <v>167</v>
      </c>
      <c r="C9" t="s">
        <v>218</v>
      </c>
      <c r="D9" s="44">
        <v>1</v>
      </c>
    </row>
    <row r="10" spans="1:6" x14ac:dyDescent="0.3">
      <c r="A10" s="21">
        <v>270132852</v>
      </c>
      <c r="B10" t="s">
        <v>167</v>
      </c>
      <c r="C10" t="s">
        <v>897</v>
      </c>
      <c r="D10" s="44">
        <v>1</v>
      </c>
    </row>
    <row r="11" spans="1:6" x14ac:dyDescent="0.3">
      <c r="A11" s="21">
        <v>270132852</v>
      </c>
      <c r="B11" t="s">
        <v>167</v>
      </c>
      <c r="C11" t="s">
        <v>219</v>
      </c>
      <c r="D11" s="44">
        <v>1</v>
      </c>
    </row>
    <row r="12" spans="1:6" x14ac:dyDescent="0.3">
      <c r="A12" s="21">
        <v>270132852</v>
      </c>
      <c r="B12" t="s">
        <v>167</v>
      </c>
      <c r="C12" s="272" t="s">
        <v>220</v>
      </c>
      <c r="D12" s="44">
        <v>1</v>
      </c>
    </row>
    <row r="13" spans="1:6" x14ac:dyDescent="0.3">
      <c r="A13" s="21">
        <v>270132852</v>
      </c>
      <c r="B13" t="s">
        <v>167</v>
      </c>
      <c r="C13" s="272" t="s">
        <v>1036</v>
      </c>
      <c r="D13" s="44">
        <v>1</v>
      </c>
    </row>
    <row r="14" spans="1:6" x14ac:dyDescent="0.3">
      <c r="A14" s="21">
        <v>270132852</v>
      </c>
      <c r="B14" t="s">
        <v>167</v>
      </c>
      <c r="C14" s="272" t="s">
        <v>221</v>
      </c>
      <c r="D14" s="44">
        <v>1</v>
      </c>
    </row>
    <row r="15" spans="1:6" x14ac:dyDescent="0.3">
      <c r="A15" s="21">
        <v>270132852</v>
      </c>
      <c r="B15" t="s">
        <v>167</v>
      </c>
      <c r="C15" s="272" t="s">
        <v>222</v>
      </c>
      <c r="D15" s="44">
        <v>1</v>
      </c>
    </row>
    <row r="16" spans="1:6" x14ac:dyDescent="0.3">
      <c r="A16" s="21">
        <v>270132852</v>
      </c>
      <c r="B16" t="s">
        <v>167</v>
      </c>
      <c r="C16" s="272" t="s">
        <v>223</v>
      </c>
      <c r="D16"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87"/>
  <sheetViews>
    <sheetView workbookViewId="0">
      <selection activeCell="B4" sqref="B4"/>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1" t="s">
        <v>85</v>
      </c>
      <c r="B1" s="271" t="s">
        <v>91</v>
      </c>
      <c r="C1" s="271" t="s">
        <v>92</v>
      </c>
      <c r="D1" s="271" t="s">
        <v>90</v>
      </c>
      <c r="E1" s="271" t="s">
        <v>86</v>
      </c>
      <c r="F1" s="271" t="s">
        <v>89</v>
      </c>
      <c r="J1" s="38" t="s">
        <v>187</v>
      </c>
      <c r="K1" s="39"/>
      <c r="L1" s="33" t="s">
        <v>188</v>
      </c>
      <c r="M1" s="40" t="s">
        <v>189</v>
      </c>
      <c r="N1" s="41" t="s">
        <v>190</v>
      </c>
      <c r="P1" s="38" t="s">
        <v>191</v>
      </c>
      <c r="Q1" s="39" t="s">
        <v>192</v>
      </c>
      <c r="R1" s="42" t="s">
        <v>188</v>
      </c>
      <c r="S1" s="42" t="s">
        <v>189</v>
      </c>
      <c r="T1" s="43" t="s">
        <v>190</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73" t="s">
        <v>2</v>
      </c>
      <c r="B4" s="287" t="s">
        <v>360</v>
      </c>
      <c r="C4" s="73"/>
      <c r="D4" s="73">
        <v>0.3</v>
      </c>
      <c r="E4" s="73"/>
      <c r="F4" s="73"/>
      <c r="K4" s="5" t="s">
        <v>7</v>
      </c>
      <c r="L4" s="44">
        <v>0.4</v>
      </c>
      <c r="M4" s="45">
        <v>0</v>
      </c>
      <c r="N4" s="46">
        <v>0.7</v>
      </c>
      <c r="Q4" s="5" t="s">
        <v>7</v>
      </c>
      <c r="R4" s="47">
        <v>0.4</v>
      </c>
      <c r="S4" s="47">
        <v>0</v>
      </c>
      <c r="T4" s="48">
        <v>0.7</v>
      </c>
    </row>
    <row r="5" spans="1:20" x14ac:dyDescent="0.3">
      <c r="A5" s="73" t="s">
        <v>2</v>
      </c>
      <c r="B5" s="287" t="s">
        <v>343</v>
      </c>
      <c r="C5" s="73"/>
      <c r="D5" s="73">
        <v>0.3</v>
      </c>
      <c r="E5" s="73"/>
      <c r="F5" s="73"/>
      <c r="K5" s="5" t="s">
        <v>43</v>
      </c>
      <c r="L5" s="44">
        <v>0.4</v>
      </c>
      <c r="M5" s="45">
        <v>0</v>
      </c>
      <c r="N5" s="46">
        <v>0.7</v>
      </c>
      <c r="Q5" s="5" t="s">
        <v>43</v>
      </c>
      <c r="R5" s="47">
        <v>0.4</v>
      </c>
      <c r="S5" s="47">
        <v>0</v>
      </c>
      <c r="T5" s="48">
        <v>0.7</v>
      </c>
    </row>
    <row r="6" spans="1:20" x14ac:dyDescent="0.3">
      <c r="A6" s="73" t="s">
        <v>2</v>
      </c>
      <c r="B6" s="287" t="s">
        <v>331</v>
      </c>
      <c r="C6" s="73"/>
      <c r="D6" s="73">
        <v>0.3</v>
      </c>
      <c r="E6" s="73"/>
      <c r="F6" s="73"/>
      <c r="K6" s="5" t="s">
        <v>42</v>
      </c>
      <c r="L6" s="44">
        <v>0.05</v>
      </c>
      <c r="M6" s="45">
        <v>0</v>
      </c>
      <c r="N6" s="46">
        <v>0.3</v>
      </c>
      <c r="Q6" s="5" t="s">
        <v>42</v>
      </c>
      <c r="R6" s="47">
        <v>0.1</v>
      </c>
      <c r="S6" s="47">
        <v>0</v>
      </c>
      <c r="T6" s="48">
        <v>0.5</v>
      </c>
    </row>
    <row r="7" spans="1:20" x14ac:dyDescent="0.3">
      <c r="A7" s="73" t="s">
        <v>2</v>
      </c>
      <c r="B7" s="287" t="s">
        <v>337</v>
      </c>
      <c r="C7" s="73"/>
      <c r="D7" s="73">
        <v>0.3</v>
      </c>
      <c r="E7" s="73"/>
      <c r="F7" s="73"/>
      <c r="K7" s="5" t="s">
        <v>29</v>
      </c>
      <c r="L7" s="44">
        <v>0.1</v>
      </c>
      <c r="M7" s="45">
        <v>0.1</v>
      </c>
      <c r="N7" s="50">
        <v>0.75</v>
      </c>
      <c r="Q7" s="5" t="s">
        <v>29</v>
      </c>
      <c r="R7" s="47">
        <v>0.1</v>
      </c>
      <c r="S7" s="47">
        <v>0.1</v>
      </c>
      <c r="T7" s="48">
        <v>0.75</v>
      </c>
    </row>
    <row r="8" spans="1:20" x14ac:dyDescent="0.3">
      <c r="A8" s="73" t="s">
        <v>2</v>
      </c>
      <c r="B8" s="287" t="s">
        <v>311</v>
      </c>
      <c r="C8" s="73"/>
      <c r="D8" s="73">
        <v>0.3</v>
      </c>
      <c r="E8" s="73"/>
      <c r="F8" s="73"/>
      <c r="K8" s="5" t="s">
        <v>40</v>
      </c>
      <c r="L8" s="44">
        <v>0.1</v>
      </c>
      <c r="M8" s="45">
        <v>-0.3</v>
      </c>
      <c r="N8" s="51">
        <v>0.15</v>
      </c>
      <c r="Q8" s="5" t="s">
        <v>40</v>
      </c>
      <c r="R8" s="47">
        <v>0.1</v>
      </c>
      <c r="S8" s="47">
        <v>-0.3</v>
      </c>
      <c r="T8" s="48">
        <v>0.15</v>
      </c>
    </row>
    <row r="9" spans="1:20" ht="15" thickBot="1" x14ac:dyDescent="0.35">
      <c r="A9" s="73" t="s">
        <v>2</v>
      </c>
      <c r="B9" s="287" t="s">
        <v>325</v>
      </c>
      <c r="C9" s="73"/>
      <c r="D9" s="73">
        <v>0.3</v>
      </c>
      <c r="E9" s="73"/>
      <c r="F9" s="73"/>
      <c r="K9" s="6" t="s">
        <v>32</v>
      </c>
      <c r="L9" s="12"/>
      <c r="M9" s="52">
        <v>2.5000000000000001E-2</v>
      </c>
      <c r="N9" s="13"/>
      <c r="Q9" s="6" t="s">
        <v>32</v>
      </c>
      <c r="R9" s="52"/>
      <c r="S9" s="52">
        <v>2.5000000000000001E-2</v>
      </c>
      <c r="T9" s="53"/>
    </row>
    <row r="10" spans="1:20" x14ac:dyDescent="0.3">
      <c r="A10" s="73" t="s">
        <v>2</v>
      </c>
      <c r="B10" s="287" t="s">
        <v>319</v>
      </c>
      <c r="C10" s="73"/>
      <c r="D10" s="73">
        <v>0.3</v>
      </c>
      <c r="E10" s="73"/>
      <c r="F10" s="73"/>
      <c r="L10" s="45"/>
      <c r="M10" s="45"/>
      <c r="N10" s="45"/>
      <c r="R10" s="45"/>
      <c r="S10" s="45"/>
      <c r="T10" s="45"/>
    </row>
    <row r="11" spans="1:20" ht="15" thickBot="1" x14ac:dyDescent="0.35">
      <c r="A11" s="73" t="s">
        <v>2</v>
      </c>
      <c r="B11" s="287" t="s">
        <v>366</v>
      </c>
      <c r="C11" s="73"/>
      <c r="D11" s="73">
        <v>0.3</v>
      </c>
      <c r="E11" s="73"/>
      <c r="F11" s="73"/>
      <c r="K11" t="s">
        <v>193</v>
      </c>
      <c r="L11" t="s">
        <v>194</v>
      </c>
      <c r="Q11" t="s">
        <v>195</v>
      </c>
      <c r="R11" s="45" t="s">
        <v>194</v>
      </c>
      <c r="S11" s="45"/>
      <c r="T11" s="45"/>
    </row>
    <row r="12" spans="1:20" x14ac:dyDescent="0.3">
      <c r="A12" s="73" t="s">
        <v>2</v>
      </c>
      <c r="B12" s="287" t="s">
        <v>349</v>
      </c>
      <c r="C12" s="73"/>
      <c r="D12" s="73">
        <v>0.3</v>
      </c>
      <c r="E12" s="73"/>
      <c r="F12" s="73"/>
      <c r="K12" s="18" t="s">
        <v>33</v>
      </c>
      <c r="L12" s="54">
        <v>0.15</v>
      </c>
      <c r="Q12" s="18" t="s">
        <v>33</v>
      </c>
      <c r="R12" s="55">
        <v>0.15</v>
      </c>
      <c r="S12" s="45"/>
      <c r="T12" s="45"/>
    </row>
    <row r="13" spans="1:20" ht="15" thickBot="1" x14ac:dyDescent="0.35">
      <c r="A13" s="73" t="s">
        <v>2</v>
      </c>
      <c r="B13" s="287" t="s">
        <v>303</v>
      </c>
      <c r="C13" s="73"/>
      <c r="D13" s="73">
        <v>0.3</v>
      </c>
      <c r="E13" s="73"/>
      <c r="F13" s="73"/>
      <c r="K13" s="6" t="s">
        <v>34</v>
      </c>
      <c r="L13" s="56">
        <v>0.3</v>
      </c>
      <c r="Q13" s="6" t="s">
        <v>34</v>
      </c>
      <c r="R13" s="53">
        <v>0.3</v>
      </c>
      <c r="S13" s="45"/>
      <c r="T13" s="45"/>
    </row>
    <row r="14" spans="1:20" ht="15" thickBot="1" x14ac:dyDescent="0.35">
      <c r="A14" s="73" t="s">
        <v>2</v>
      </c>
      <c r="B14" s="73" t="s">
        <v>373</v>
      </c>
      <c r="C14" s="73"/>
      <c r="D14" s="73">
        <v>0.3</v>
      </c>
      <c r="E14" s="73"/>
      <c r="F14" s="73"/>
      <c r="L14" s="44"/>
      <c r="R14" s="45"/>
      <c r="S14" s="45"/>
      <c r="T14" s="45"/>
    </row>
    <row r="15" spans="1:20" x14ac:dyDescent="0.3">
      <c r="A15" s="73" t="s">
        <v>2</v>
      </c>
      <c r="B15" s="73" t="s">
        <v>379</v>
      </c>
      <c r="C15" s="73"/>
      <c r="D15" s="73">
        <v>0.3</v>
      </c>
      <c r="E15" s="73"/>
      <c r="F15" s="73"/>
      <c r="K15" s="39" t="s">
        <v>196</v>
      </c>
      <c r="L15" s="54" t="s">
        <v>194</v>
      </c>
      <c r="Q15" s="39" t="s">
        <v>196</v>
      </c>
      <c r="R15" s="43" t="s">
        <v>194</v>
      </c>
      <c r="S15" s="45"/>
      <c r="T15" s="45"/>
    </row>
    <row r="16" spans="1:20" x14ac:dyDescent="0.3">
      <c r="A16" s="73" t="s">
        <v>2</v>
      </c>
      <c r="B16" s="73" t="s">
        <v>385</v>
      </c>
      <c r="C16" s="73"/>
      <c r="D16" s="73">
        <v>0.3</v>
      </c>
      <c r="E16" s="73"/>
      <c r="F16" s="73"/>
      <c r="K16" s="5" t="s">
        <v>8</v>
      </c>
      <c r="L16" s="50">
        <v>0.1</v>
      </c>
      <c r="Q16" s="5" t="s">
        <v>8</v>
      </c>
      <c r="R16" s="48">
        <v>0.15</v>
      </c>
      <c r="S16" s="45"/>
      <c r="T16" s="45"/>
    </row>
    <row r="17" spans="1:20" x14ac:dyDescent="0.3">
      <c r="A17" s="73" t="s">
        <v>2</v>
      </c>
      <c r="B17" s="73" t="s">
        <v>390</v>
      </c>
      <c r="C17" s="73"/>
      <c r="D17" s="73">
        <v>0.3</v>
      </c>
      <c r="E17" s="73"/>
      <c r="F17" s="73"/>
      <c r="K17" s="5" t="s">
        <v>40</v>
      </c>
      <c r="L17" s="50">
        <v>0.3</v>
      </c>
      <c r="Q17" s="5" t="s">
        <v>40</v>
      </c>
      <c r="R17" s="48">
        <v>0.15</v>
      </c>
      <c r="S17" s="45"/>
      <c r="T17" s="45"/>
    </row>
    <row r="18" spans="1:20" x14ac:dyDescent="0.3">
      <c r="A18" s="73" t="s">
        <v>2</v>
      </c>
      <c r="B18" s="73" t="s">
        <v>395</v>
      </c>
      <c r="C18" s="73"/>
      <c r="D18" s="73">
        <v>0.3</v>
      </c>
      <c r="E18" s="73"/>
      <c r="F18" s="73"/>
      <c r="K18" s="5" t="s">
        <v>41</v>
      </c>
      <c r="L18" s="50">
        <v>0.3</v>
      </c>
      <c r="Q18" s="5" t="s">
        <v>41</v>
      </c>
      <c r="R18" s="48">
        <v>0.15</v>
      </c>
      <c r="S18" s="45"/>
      <c r="T18" s="45"/>
    </row>
    <row r="19" spans="1:20" x14ac:dyDescent="0.3">
      <c r="A19" s="73" t="s">
        <v>93</v>
      </c>
      <c r="B19" s="73" t="s">
        <v>8</v>
      </c>
      <c r="C19" s="73"/>
      <c r="D19" s="73">
        <f>IF(BoundPortfolio!$A$2=1,Guidelines!L2,Guidelines!R2)</f>
        <v>0.05</v>
      </c>
      <c r="E19" s="73"/>
      <c r="F19" s="73"/>
      <c r="K19" s="5" t="s">
        <v>7</v>
      </c>
      <c r="L19" s="50">
        <v>0.3</v>
      </c>
      <c r="Q19" s="5" t="s">
        <v>7</v>
      </c>
      <c r="R19" s="48">
        <v>0.3</v>
      </c>
      <c r="S19" s="45"/>
      <c r="T19" s="45"/>
    </row>
    <row r="20" spans="1:20" x14ac:dyDescent="0.3">
      <c r="A20" s="73" t="s">
        <v>93</v>
      </c>
      <c r="B20" s="73" t="s">
        <v>41</v>
      </c>
      <c r="C20" s="73"/>
      <c r="D20" s="73">
        <f>IF(BoundPortfolio!$A$2=1,Guidelines!L3,Guidelines!R3)</f>
        <v>2.5000000000000001E-2</v>
      </c>
      <c r="E20" s="73"/>
      <c r="F20" s="73"/>
      <c r="K20" s="5" t="s">
        <v>42</v>
      </c>
      <c r="L20" s="50">
        <v>0.3</v>
      </c>
      <c r="Q20" s="5" t="s">
        <v>29</v>
      </c>
      <c r="R20" s="48">
        <v>0.3</v>
      </c>
      <c r="S20" s="45"/>
      <c r="T20" s="45"/>
    </row>
    <row r="21" spans="1:20" x14ac:dyDescent="0.3">
      <c r="A21" s="73" t="s">
        <v>93</v>
      </c>
      <c r="B21" s="73" t="s">
        <v>7</v>
      </c>
      <c r="C21" s="73"/>
      <c r="D21" s="73">
        <f>IF(BoundPortfolio!$A$2=1,Guidelines!L4,Guidelines!R4)</f>
        <v>0.4</v>
      </c>
      <c r="E21" s="73"/>
      <c r="F21" s="73"/>
      <c r="K21" s="5" t="s">
        <v>43</v>
      </c>
      <c r="L21" s="50">
        <v>0.3</v>
      </c>
      <c r="Q21" s="5" t="s">
        <v>42</v>
      </c>
      <c r="R21" s="48">
        <v>0.15</v>
      </c>
      <c r="S21" s="45"/>
      <c r="T21" s="45"/>
    </row>
    <row r="22" spans="1:20" x14ac:dyDescent="0.3">
      <c r="A22" s="73" t="s">
        <v>93</v>
      </c>
      <c r="B22" s="73" t="s">
        <v>43</v>
      </c>
      <c r="C22" s="73"/>
      <c r="D22" s="73">
        <f>IF(BoundPortfolio!$A$2=1,Guidelines!L5,Guidelines!R5)</f>
        <v>0.4</v>
      </c>
      <c r="E22" s="73"/>
      <c r="F22" s="73"/>
      <c r="K22" s="5" t="s">
        <v>35</v>
      </c>
      <c r="L22" s="50">
        <v>0.3</v>
      </c>
      <c r="Q22" s="5" t="s">
        <v>35</v>
      </c>
      <c r="R22" s="48">
        <v>0.3</v>
      </c>
      <c r="S22" s="45"/>
      <c r="T22" s="45"/>
    </row>
    <row r="23" spans="1:20" ht="15" thickBot="1" x14ac:dyDescent="0.35">
      <c r="A23" s="73" t="s">
        <v>93</v>
      </c>
      <c r="B23" s="73" t="s">
        <v>42</v>
      </c>
      <c r="C23" s="73"/>
      <c r="D23" s="73">
        <f>IF(BoundPortfolio!$A$2=1,Guidelines!L6,Guidelines!R6)</f>
        <v>0.05</v>
      </c>
      <c r="E23" s="73"/>
      <c r="F23" s="73"/>
      <c r="K23" s="6" t="s">
        <v>29</v>
      </c>
      <c r="L23" s="57">
        <v>0.3</v>
      </c>
      <c r="M23" s="45"/>
      <c r="N23" s="45"/>
      <c r="Q23" s="6" t="s">
        <v>43</v>
      </c>
      <c r="R23" s="53">
        <v>0.3</v>
      </c>
      <c r="S23" s="45"/>
      <c r="T23" s="58"/>
    </row>
    <row r="24" spans="1:20" ht="15" thickBot="1" x14ac:dyDescent="0.35">
      <c r="A24" s="73" t="s">
        <v>93</v>
      </c>
      <c r="B24" s="73" t="s">
        <v>29</v>
      </c>
      <c r="C24" s="73"/>
      <c r="D24" s="73">
        <f>IF(BoundPortfolio!$A$2=1,Guidelines!L7,Guidelines!R7)</f>
        <v>0.1</v>
      </c>
      <c r="E24" s="73"/>
      <c r="F24" s="73"/>
      <c r="L24" s="45"/>
      <c r="M24" s="45"/>
      <c r="N24" s="45"/>
      <c r="R24" s="45"/>
      <c r="S24" s="45"/>
      <c r="T24" s="45"/>
    </row>
    <row r="25" spans="1:20" x14ac:dyDescent="0.3">
      <c r="A25" s="73" t="s">
        <v>93</v>
      </c>
      <c r="B25" s="73" t="s">
        <v>40</v>
      </c>
      <c r="C25" s="73"/>
      <c r="D25" s="73">
        <f>IF(BoundPortfolio!$A$2=1,Guidelines!L8,Guidelines!R8)</f>
        <v>0.1</v>
      </c>
      <c r="E25" s="73"/>
      <c r="F25" s="73"/>
      <c r="K25" s="18"/>
      <c r="L25" s="42" t="s">
        <v>197</v>
      </c>
      <c r="M25" s="43" t="s">
        <v>198</v>
      </c>
      <c r="N25" s="58"/>
      <c r="Q25" s="18"/>
      <c r="R25" s="42" t="s">
        <v>197</v>
      </c>
      <c r="S25" s="43" t="s">
        <v>198</v>
      </c>
      <c r="T25" s="45"/>
    </row>
    <row r="26" spans="1:20" ht="15" thickBot="1" x14ac:dyDescent="0.35">
      <c r="A26" s="73" t="s">
        <v>93</v>
      </c>
      <c r="B26" s="73" t="s">
        <v>32</v>
      </c>
      <c r="C26" s="73"/>
      <c r="D26" s="73">
        <f>IF(BoundPortfolio!$A$2=1,Guidelines!L9,Guidelines!R9)</f>
        <v>0</v>
      </c>
      <c r="E26" s="73"/>
      <c r="F26" s="73"/>
      <c r="K26" s="5"/>
      <c r="L26" s="58" t="s">
        <v>199</v>
      </c>
      <c r="M26" s="59" t="s">
        <v>200</v>
      </c>
      <c r="N26" s="58"/>
      <c r="Q26" s="60" t="s">
        <v>201</v>
      </c>
      <c r="R26" s="58" t="s">
        <v>199</v>
      </c>
      <c r="S26" s="59" t="s">
        <v>200</v>
      </c>
      <c r="T26" s="58"/>
    </row>
    <row r="27" spans="1:20" x14ac:dyDescent="0.3">
      <c r="A27" s="73" t="s">
        <v>84</v>
      </c>
      <c r="B27" s="73" t="s">
        <v>13</v>
      </c>
      <c r="C27" s="73"/>
      <c r="D27" s="73">
        <f>IF(BoundPortfolio!$A$2=1,Guidelines!L27,Guidelines!R27)</f>
        <v>0.35</v>
      </c>
      <c r="E27" s="73" t="s">
        <v>87</v>
      </c>
      <c r="F27" s="73">
        <v>100</v>
      </c>
      <c r="K27" s="61" t="s">
        <v>13</v>
      </c>
      <c r="L27" s="62">
        <v>0.35</v>
      </c>
      <c r="M27" s="63">
        <v>0.5</v>
      </c>
      <c r="N27" s="64"/>
      <c r="Q27" s="61" t="s">
        <v>13</v>
      </c>
      <c r="R27" s="62">
        <v>0.45</v>
      </c>
      <c r="S27" s="63">
        <v>0.75</v>
      </c>
      <c r="T27" s="64"/>
    </row>
    <row r="28" spans="1:20" x14ac:dyDescent="0.3">
      <c r="A28" s="5" t="s">
        <v>84</v>
      </c>
      <c r="B28" t="s">
        <v>16</v>
      </c>
      <c r="D28">
        <f>IF(BoundPortfolio!$A$2=1,Guidelines!L28,Guidelines!R28)</f>
        <v>0.3</v>
      </c>
      <c r="E28" t="s">
        <v>87</v>
      </c>
      <c r="F28" s="11">
        <v>100</v>
      </c>
      <c r="K28" s="65" t="s">
        <v>16</v>
      </c>
      <c r="L28" s="66">
        <v>0.3</v>
      </c>
      <c r="M28" s="67">
        <v>0.5</v>
      </c>
      <c r="N28" s="64"/>
      <c r="Q28" s="65" t="s">
        <v>16</v>
      </c>
      <c r="R28" s="66">
        <v>0.4</v>
      </c>
      <c r="S28" s="67">
        <v>0.65</v>
      </c>
      <c r="T28" s="64"/>
    </row>
    <row r="29" spans="1:20" x14ac:dyDescent="0.3">
      <c r="A29" s="5" t="s">
        <v>84</v>
      </c>
      <c r="B29" t="s">
        <v>12</v>
      </c>
      <c r="D29">
        <f>IF(BoundPortfolio!$A$2=1,Guidelines!L29,Guidelines!R29)</f>
        <v>0.3</v>
      </c>
      <c r="E29" t="s">
        <v>87</v>
      </c>
      <c r="F29" s="11">
        <v>100</v>
      </c>
      <c r="K29" s="65" t="s">
        <v>12</v>
      </c>
      <c r="L29" s="66">
        <v>0.3</v>
      </c>
      <c r="M29" s="67">
        <v>0.5</v>
      </c>
      <c r="N29" s="64"/>
      <c r="Q29" s="65" t="s">
        <v>12</v>
      </c>
      <c r="R29" s="66">
        <v>0.4</v>
      </c>
      <c r="S29" s="67">
        <v>0.65</v>
      </c>
      <c r="T29" s="64"/>
    </row>
    <row r="30" spans="1:20" x14ac:dyDescent="0.3">
      <c r="A30" s="5" t="s">
        <v>84</v>
      </c>
      <c r="B30" t="s">
        <v>18</v>
      </c>
      <c r="D30">
        <f>IF(BoundPortfolio!$A$2=1,Guidelines!L30,Guidelines!R30)</f>
        <v>0.3</v>
      </c>
      <c r="E30" t="s">
        <v>87</v>
      </c>
      <c r="F30" s="11">
        <v>100</v>
      </c>
      <c r="K30" s="65" t="s">
        <v>18</v>
      </c>
      <c r="L30" s="66">
        <v>0.3</v>
      </c>
      <c r="M30" s="67">
        <v>0.5</v>
      </c>
      <c r="N30" s="64"/>
      <c r="Q30" s="65" t="s">
        <v>18</v>
      </c>
      <c r="R30" s="66">
        <v>0.3</v>
      </c>
      <c r="S30" s="67">
        <v>0.5</v>
      </c>
      <c r="T30" s="64"/>
    </row>
    <row r="31" spans="1:20" x14ac:dyDescent="0.3">
      <c r="A31" s="5" t="s">
        <v>84</v>
      </c>
      <c r="B31" t="s">
        <v>19</v>
      </c>
      <c r="D31">
        <f>IF(BoundPortfolio!$A$2=1,Guidelines!L31,Guidelines!R31)</f>
        <v>0.3</v>
      </c>
      <c r="E31" t="s">
        <v>87</v>
      </c>
      <c r="F31" s="11">
        <v>100</v>
      </c>
      <c r="K31" s="65" t="s">
        <v>19</v>
      </c>
      <c r="L31" s="66">
        <v>0.3</v>
      </c>
      <c r="M31" s="67">
        <v>0.5</v>
      </c>
      <c r="N31" s="64"/>
      <c r="Q31" s="65" t="s">
        <v>19</v>
      </c>
      <c r="R31" s="66">
        <v>0.45</v>
      </c>
      <c r="S31" s="67">
        <v>0.65</v>
      </c>
      <c r="T31" s="64"/>
    </row>
    <row r="32" spans="1:20" ht="15" thickBot="1" x14ac:dyDescent="0.35">
      <c r="A32" s="5" t="s">
        <v>84</v>
      </c>
      <c r="B32" t="s">
        <v>17</v>
      </c>
      <c r="D32">
        <f>IF(BoundPortfolio!$A$2=1,Guidelines!L32,Guidelines!R32)</f>
        <v>0.3</v>
      </c>
      <c r="E32" t="s">
        <v>87</v>
      </c>
      <c r="F32" s="11">
        <v>100</v>
      </c>
      <c r="K32" s="65" t="s">
        <v>17</v>
      </c>
      <c r="L32" s="66">
        <v>0.3</v>
      </c>
      <c r="M32" s="67">
        <v>0.5</v>
      </c>
      <c r="N32" s="64"/>
      <c r="Q32" s="65" t="s">
        <v>17</v>
      </c>
      <c r="R32" s="66">
        <v>0.4</v>
      </c>
      <c r="S32" s="67">
        <v>0.65</v>
      </c>
      <c r="T32" s="64"/>
    </row>
    <row r="33" spans="1:20" x14ac:dyDescent="0.3">
      <c r="A33" s="5" t="s">
        <v>84</v>
      </c>
      <c r="B33" t="s">
        <v>15</v>
      </c>
      <c r="D33">
        <f>IF(BoundPortfolio!$A$2=1,Guidelines!L33,Guidelines!R33)</f>
        <v>0.2</v>
      </c>
      <c r="E33" t="s">
        <v>87</v>
      </c>
      <c r="F33" s="11">
        <v>100</v>
      </c>
      <c r="K33" s="61" t="s">
        <v>15</v>
      </c>
      <c r="L33" s="66">
        <v>0.2</v>
      </c>
      <c r="M33" s="67">
        <v>0.35</v>
      </c>
      <c r="N33" s="64"/>
      <c r="Q33" s="61" t="s">
        <v>15</v>
      </c>
      <c r="R33" s="66">
        <v>0.3</v>
      </c>
      <c r="S33" s="67">
        <v>0.5</v>
      </c>
      <c r="T33" s="64"/>
    </row>
    <row r="34" spans="1:20" x14ac:dyDescent="0.3">
      <c r="A34" s="5" t="s">
        <v>84</v>
      </c>
      <c r="B34" t="s">
        <v>14</v>
      </c>
      <c r="D34">
        <f>IF(BoundPortfolio!$A$2=1,Guidelines!L34,Guidelines!R34)</f>
        <v>0.2</v>
      </c>
      <c r="E34" t="s">
        <v>87</v>
      </c>
      <c r="F34" s="11">
        <v>100</v>
      </c>
      <c r="K34" s="65" t="s">
        <v>14</v>
      </c>
      <c r="L34" s="66">
        <v>0.2</v>
      </c>
      <c r="M34" s="67">
        <v>0.3</v>
      </c>
      <c r="N34" s="64"/>
      <c r="Q34" s="65" t="s">
        <v>14</v>
      </c>
      <c r="R34" s="66">
        <v>0.3</v>
      </c>
      <c r="S34" s="67">
        <v>0.45</v>
      </c>
      <c r="T34" s="64"/>
    </row>
    <row r="35" spans="1:20" x14ac:dyDescent="0.3">
      <c r="A35" s="5" t="s">
        <v>84</v>
      </c>
      <c r="B35" t="s">
        <v>36</v>
      </c>
      <c r="D35">
        <f>IF(BoundPortfolio!$A$2=1,Guidelines!L35,Guidelines!R35)</f>
        <v>0.3</v>
      </c>
      <c r="E35" t="s">
        <v>87</v>
      </c>
      <c r="F35" s="11">
        <v>100</v>
      </c>
      <c r="K35" s="5" t="s">
        <v>36</v>
      </c>
      <c r="L35" s="66">
        <v>0.3</v>
      </c>
      <c r="M35" s="67">
        <v>0.5</v>
      </c>
      <c r="N35" s="64"/>
      <c r="Q35" s="5" t="s">
        <v>36</v>
      </c>
      <c r="R35" s="66">
        <v>0.45</v>
      </c>
      <c r="S35" s="67">
        <v>0.65</v>
      </c>
      <c r="T35" s="64"/>
    </row>
    <row r="36" spans="1:20" x14ac:dyDescent="0.3">
      <c r="A36" s="5" t="s">
        <v>84</v>
      </c>
      <c r="B36" t="s">
        <v>37</v>
      </c>
      <c r="D36">
        <f>IF(BoundPortfolio!$A$2=1,Guidelines!L36,Guidelines!R36)</f>
        <v>0.2</v>
      </c>
      <c r="E36" t="s">
        <v>87</v>
      </c>
      <c r="F36" s="11">
        <v>100</v>
      </c>
      <c r="K36" s="5" t="s">
        <v>37</v>
      </c>
      <c r="L36" s="66">
        <v>0.2</v>
      </c>
      <c r="M36" s="67">
        <v>0.3</v>
      </c>
      <c r="N36" s="64"/>
      <c r="Q36" s="5" t="s">
        <v>37</v>
      </c>
      <c r="R36" s="66">
        <v>0.3</v>
      </c>
      <c r="S36" s="67">
        <v>0.45</v>
      </c>
      <c r="T36" s="64"/>
    </row>
    <row r="37" spans="1:20" x14ac:dyDescent="0.3">
      <c r="A37" s="5" t="s">
        <v>84</v>
      </c>
      <c r="B37" t="s">
        <v>9</v>
      </c>
      <c r="D37">
        <f>IF(BoundPortfolio!$A$2=1,Guidelines!L37,Guidelines!R37)</f>
        <v>0.15</v>
      </c>
      <c r="E37" t="s">
        <v>87</v>
      </c>
      <c r="F37" s="11">
        <v>100</v>
      </c>
      <c r="K37" s="65" t="s">
        <v>9</v>
      </c>
      <c r="L37" s="66">
        <v>0.15</v>
      </c>
      <c r="M37" s="67">
        <v>0.25</v>
      </c>
      <c r="N37" s="64"/>
      <c r="Q37" s="65" t="s">
        <v>9</v>
      </c>
      <c r="R37" s="66">
        <v>0.2</v>
      </c>
      <c r="S37" s="67">
        <v>0.35</v>
      </c>
      <c r="T37" s="64"/>
    </row>
    <row r="38" spans="1:20" x14ac:dyDescent="0.3">
      <c r="A38" s="5" t="s">
        <v>84</v>
      </c>
      <c r="B38" t="s">
        <v>10</v>
      </c>
      <c r="D38">
        <f>IF(BoundPortfolio!$A$2=1,Guidelines!L38,Guidelines!R38)</f>
        <v>0.15</v>
      </c>
      <c r="E38" t="s">
        <v>87</v>
      </c>
      <c r="F38" s="11">
        <v>100</v>
      </c>
      <c r="K38" s="65" t="s">
        <v>10</v>
      </c>
      <c r="L38" s="66">
        <v>0.15</v>
      </c>
      <c r="M38" s="67">
        <v>0.25</v>
      </c>
      <c r="N38" s="64"/>
      <c r="Q38" s="65" t="s">
        <v>10</v>
      </c>
      <c r="R38" s="66">
        <v>0.2</v>
      </c>
      <c r="S38" s="67">
        <v>0.35</v>
      </c>
      <c r="T38" s="64"/>
    </row>
    <row r="39" spans="1:20" x14ac:dyDescent="0.3">
      <c r="A39" s="5" t="s">
        <v>84</v>
      </c>
      <c r="B39" t="s">
        <v>11</v>
      </c>
      <c r="D39">
        <f>IF(BoundPortfolio!$A$2=1,Guidelines!L39,Guidelines!R39)</f>
        <v>0.15</v>
      </c>
      <c r="E39" t="s">
        <v>87</v>
      </c>
      <c r="F39" s="11">
        <v>100</v>
      </c>
      <c r="K39" s="65" t="s">
        <v>11</v>
      </c>
      <c r="L39" s="66">
        <v>0.15</v>
      </c>
      <c r="M39" s="67">
        <v>0.25</v>
      </c>
      <c r="N39" s="64"/>
      <c r="Q39" s="65" t="s">
        <v>11</v>
      </c>
      <c r="R39" s="66">
        <v>0.2</v>
      </c>
      <c r="S39" s="67">
        <v>0.35</v>
      </c>
      <c r="T39" s="64"/>
    </row>
    <row r="40" spans="1:20" ht="15" thickBot="1" x14ac:dyDescent="0.35">
      <c r="A40" s="5" t="s">
        <v>84</v>
      </c>
      <c r="B40" t="s">
        <v>38</v>
      </c>
      <c r="D40">
        <f>IF(BoundPortfolio!$A$2=1,Guidelines!L40,Guidelines!R40)</f>
        <v>0.15</v>
      </c>
      <c r="E40" t="s">
        <v>87</v>
      </c>
      <c r="F40" s="11">
        <v>100</v>
      </c>
      <c r="K40" s="6" t="s">
        <v>38</v>
      </c>
      <c r="L40" s="68">
        <v>0.15</v>
      </c>
      <c r="M40" s="69">
        <v>0.25</v>
      </c>
      <c r="N40" s="64"/>
      <c r="Q40" s="6" t="s">
        <v>38</v>
      </c>
      <c r="R40" s="68">
        <v>0.2</v>
      </c>
      <c r="S40" s="69">
        <v>0.35</v>
      </c>
      <c r="T40" s="64"/>
    </row>
    <row r="41" spans="1:20" x14ac:dyDescent="0.3">
      <c r="A41" s="5" t="s">
        <v>84</v>
      </c>
      <c r="B41" t="s">
        <v>13</v>
      </c>
      <c r="D41">
        <f>IF(BoundPortfolio!$A$2=1,Guidelines!M27,Guidelines!S27)</f>
        <v>0.5</v>
      </c>
      <c r="E41" t="s">
        <v>88</v>
      </c>
      <c r="F41" s="11">
        <v>500</v>
      </c>
    </row>
    <row r="42" spans="1:20" x14ac:dyDescent="0.3">
      <c r="A42" s="5" t="s">
        <v>84</v>
      </c>
      <c r="B42" t="s">
        <v>16</v>
      </c>
      <c r="D42">
        <f>IF(BoundPortfolio!$A$2=1,Guidelines!M28,Guidelines!S28)</f>
        <v>0.5</v>
      </c>
      <c r="E42" t="s">
        <v>88</v>
      </c>
      <c r="F42" s="11">
        <v>500</v>
      </c>
    </row>
    <row r="43" spans="1:20" x14ac:dyDescent="0.3">
      <c r="A43" s="5" t="s">
        <v>84</v>
      </c>
      <c r="B43" t="s">
        <v>12</v>
      </c>
      <c r="D43">
        <f>IF(BoundPortfolio!$A$2=1,Guidelines!M29,Guidelines!S29)</f>
        <v>0.5</v>
      </c>
      <c r="E43" t="s">
        <v>88</v>
      </c>
      <c r="F43" s="11">
        <v>500</v>
      </c>
    </row>
    <row r="44" spans="1:20" x14ac:dyDescent="0.3">
      <c r="A44" s="5" t="s">
        <v>84</v>
      </c>
      <c r="B44" t="s">
        <v>18</v>
      </c>
      <c r="D44">
        <f>IF(BoundPortfolio!$A$2=1,Guidelines!M30,Guidelines!S30)</f>
        <v>0.5</v>
      </c>
      <c r="E44" t="s">
        <v>88</v>
      </c>
      <c r="F44" s="11">
        <v>500</v>
      </c>
    </row>
    <row r="45" spans="1:20" x14ac:dyDescent="0.3">
      <c r="A45" s="5" t="s">
        <v>84</v>
      </c>
      <c r="B45" t="s">
        <v>19</v>
      </c>
      <c r="D45">
        <f>IF(BoundPortfolio!$A$2=1,Guidelines!M31,Guidelines!S31)</f>
        <v>0.5</v>
      </c>
      <c r="E45" t="s">
        <v>88</v>
      </c>
      <c r="F45" s="11">
        <v>500</v>
      </c>
    </row>
    <row r="46" spans="1:20" x14ac:dyDescent="0.3">
      <c r="A46" s="5" t="s">
        <v>84</v>
      </c>
      <c r="B46" t="s">
        <v>17</v>
      </c>
      <c r="D46">
        <f>IF(BoundPortfolio!$A$2=1,Guidelines!M32,Guidelines!S32)</f>
        <v>0.5</v>
      </c>
      <c r="E46" t="s">
        <v>88</v>
      </c>
      <c r="F46" s="11">
        <v>500</v>
      </c>
    </row>
    <row r="47" spans="1:20" x14ac:dyDescent="0.3">
      <c r="A47" s="5" t="s">
        <v>84</v>
      </c>
      <c r="B47" t="s">
        <v>15</v>
      </c>
      <c r="D47">
        <f>IF(BoundPortfolio!$A$2=1,Guidelines!M33,Guidelines!S33)</f>
        <v>0.35</v>
      </c>
      <c r="E47" t="s">
        <v>88</v>
      </c>
      <c r="F47" s="11">
        <v>500</v>
      </c>
    </row>
    <row r="48" spans="1:20" x14ac:dyDescent="0.3">
      <c r="A48" s="5" t="s">
        <v>84</v>
      </c>
      <c r="B48" t="s">
        <v>14</v>
      </c>
      <c r="D48">
        <f>IF(BoundPortfolio!$A$2=1,Guidelines!M34,Guidelines!S34)</f>
        <v>0.3</v>
      </c>
      <c r="E48" t="s">
        <v>88</v>
      </c>
      <c r="F48" s="11">
        <v>500</v>
      </c>
    </row>
    <row r="49" spans="1:6" x14ac:dyDescent="0.3">
      <c r="A49" s="5" t="s">
        <v>84</v>
      </c>
      <c r="B49" t="s">
        <v>36</v>
      </c>
      <c r="D49">
        <f>IF(BoundPortfolio!$A$2=1,Guidelines!M35,Guidelines!S35)</f>
        <v>0.5</v>
      </c>
      <c r="E49" t="s">
        <v>88</v>
      </c>
      <c r="F49" s="11">
        <v>500</v>
      </c>
    </row>
    <row r="50" spans="1:6" x14ac:dyDescent="0.3">
      <c r="A50" s="5" t="s">
        <v>84</v>
      </c>
      <c r="B50" t="s">
        <v>37</v>
      </c>
      <c r="D50">
        <f>IF(BoundPortfolio!$A$2=1,Guidelines!M36,Guidelines!S36)</f>
        <v>0.3</v>
      </c>
      <c r="E50" t="s">
        <v>88</v>
      </c>
      <c r="F50" s="11">
        <v>500</v>
      </c>
    </row>
    <row r="51" spans="1:6" x14ac:dyDescent="0.3">
      <c r="A51" s="5" t="s">
        <v>84</v>
      </c>
      <c r="B51" t="s">
        <v>9</v>
      </c>
      <c r="D51">
        <f>IF(BoundPortfolio!$A$2=1,Guidelines!M37,Guidelines!S37)</f>
        <v>0.25</v>
      </c>
      <c r="E51" t="s">
        <v>88</v>
      </c>
      <c r="F51" s="11">
        <v>500</v>
      </c>
    </row>
    <row r="52" spans="1:6" x14ac:dyDescent="0.3">
      <c r="A52" s="5" t="s">
        <v>84</v>
      </c>
      <c r="B52" t="s">
        <v>10</v>
      </c>
      <c r="D52">
        <f>IF(BoundPortfolio!$A$2=1,Guidelines!M38,Guidelines!S38)</f>
        <v>0.25</v>
      </c>
      <c r="E52" t="s">
        <v>88</v>
      </c>
      <c r="F52" s="11">
        <v>500</v>
      </c>
    </row>
    <row r="53" spans="1:6" x14ac:dyDescent="0.3">
      <c r="A53" s="5" t="s">
        <v>84</v>
      </c>
      <c r="B53" t="s">
        <v>11</v>
      </c>
      <c r="D53">
        <f>IF(BoundPortfolio!$A$2=1,Guidelines!M39,Guidelines!S39)</f>
        <v>0.25</v>
      </c>
      <c r="E53" t="s">
        <v>88</v>
      </c>
      <c r="F53" s="11">
        <v>500</v>
      </c>
    </row>
    <row r="54" spans="1:6" x14ac:dyDescent="0.3">
      <c r="A54" s="5" t="s">
        <v>84</v>
      </c>
      <c r="B54" t="s">
        <v>38</v>
      </c>
      <c r="D54">
        <f>IF(BoundPortfolio!$A$2=1,Guidelines!M40,Guidelines!S40)</f>
        <v>0.25</v>
      </c>
      <c r="E54" t="s">
        <v>88</v>
      </c>
      <c r="F54" s="11">
        <v>500</v>
      </c>
    </row>
    <row r="55" spans="1:6" x14ac:dyDescent="0.3">
      <c r="A55" s="5" t="s">
        <v>84</v>
      </c>
      <c r="B55" t="s">
        <v>241</v>
      </c>
      <c r="D55">
        <v>0.4</v>
      </c>
      <c r="E55" t="s">
        <v>87</v>
      </c>
      <c r="F55" s="11">
        <v>100</v>
      </c>
    </row>
    <row r="56" spans="1:6" x14ac:dyDescent="0.3">
      <c r="A56" s="5" t="s">
        <v>84</v>
      </c>
      <c r="B56" t="s">
        <v>241</v>
      </c>
      <c r="D56">
        <v>0.65</v>
      </c>
      <c r="E56" t="s">
        <v>88</v>
      </c>
      <c r="F56" s="11">
        <v>500</v>
      </c>
    </row>
    <row r="57" spans="1:6" x14ac:dyDescent="0.3">
      <c r="A57" s="5" t="s">
        <v>84</v>
      </c>
      <c r="B57" t="s">
        <v>242</v>
      </c>
      <c r="D57">
        <v>0.65</v>
      </c>
      <c r="E57" t="s">
        <v>88</v>
      </c>
      <c r="F57" s="11">
        <v>500</v>
      </c>
    </row>
    <row r="58" spans="1:6" x14ac:dyDescent="0.3">
      <c r="A58" s="5" t="s">
        <v>84</v>
      </c>
      <c r="B58" t="s">
        <v>242</v>
      </c>
      <c r="D58">
        <v>0.4</v>
      </c>
      <c r="E58" t="s">
        <v>87</v>
      </c>
      <c r="F58" s="11">
        <v>100</v>
      </c>
    </row>
    <row r="59" spans="1:6" x14ac:dyDescent="0.3">
      <c r="A59" s="5" t="s">
        <v>84</v>
      </c>
      <c r="B59" t="s">
        <v>243</v>
      </c>
      <c r="D59">
        <v>0.4</v>
      </c>
      <c r="E59" t="s">
        <v>87</v>
      </c>
      <c r="F59" s="11">
        <v>100</v>
      </c>
    </row>
    <row r="60" spans="1:6" x14ac:dyDescent="0.3">
      <c r="A60" s="5" t="s">
        <v>84</v>
      </c>
      <c r="B60" t="s">
        <v>243</v>
      </c>
      <c r="D60">
        <v>0.65</v>
      </c>
      <c r="E60" t="s">
        <v>88</v>
      </c>
      <c r="F60" s="11">
        <v>500</v>
      </c>
    </row>
    <row r="61" spans="1:6" x14ac:dyDescent="0.3">
      <c r="A61" s="5" t="s">
        <v>84</v>
      </c>
      <c r="B61" t="s">
        <v>244</v>
      </c>
      <c r="D61">
        <v>0.65</v>
      </c>
      <c r="E61" t="s">
        <v>88</v>
      </c>
      <c r="F61" s="11">
        <v>500</v>
      </c>
    </row>
    <row r="62" spans="1:6" x14ac:dyDescent="0.3">
      <c r="A62" s="5" t="s">
        <v>84</v>
      </c>
      <c r="B62" t="s">
        <v>244</v>
      </c>
      <c r="D62">
        <v>0.4</v>
      </c>
      <c r="E62" t="s">
        <v>87</v>
      </c>
      <c r="F62" s="11">
        <v>100</v>
      </c>
    </row>
    <row r="63" spans="1:6" x14ac:dyDescent="0.3">
      <c r="A63" s="5" t="s">
        <v>84</v>
      </c>
      <c r="B63" t="s">
        <v>245</v>
      </c>
      <c r="D63">
        <v>0.3</v>
      </c>
      <c r="E63" t="s">
        <v>87</v>
      </c>
      <c r="F63" s="11">
        <v>100</v>
      </c>
    </row>
    <row r="64" spans="1:6" x14ac:dyDescent="0.3">
      <c r="A64" s="5" t="s">
        <v>84</v>
      </c>
      <c r="B64" t="s">
        <v>245</v>
      </c>
      <c r="D64">
        <v>0.45</v>
      </c>
      <c r="E64" t="s">
        <v>88</v>
      </c>
      <c r="F64" s="11">
        <v>500</v>
      </c>
    </row>
    <row r="65" spans="1:6" x14ac:dyDescent="0.3">
      <c r="A65" s="5" t="s">
        <v>84</v>
      </c>
      <c r="B65" t="s">
        <v>246</v>
      </c>
      <c r="D65">
        <v>0.45</v>
      </c>
      <c r="E65" t="s">
        <v>88</v>
      </c>
      <c r="F65" s="11">
        <v>500</v>
      </c>
    </row>
    <row r="66" spans="1:6" x14ac:dyDescent="0.3">
      <c r="A66" s="5" t="s">
        <v>84</v>
      </c>
      <c r="B66" t="s">
        <v>246</v>
      </c>
      <c r="D66">
        <v>0.3</v>
      </c>
      <c r="E66" t="s">
        <v>87</v>
      </c>
      <c r="F66" s="11">
        <v>100</v>
      </c>
    </row>
    <row r="67" spans="1:6" x14ac:dyDescent="0.3">
      <c r="A67" s="5" t="s">
        <v>84</v>
      </c>
      <c r="B67" t="s">
        <v>247</v>
      </c>
      <c r="D67">
        <v>0.3</v>
      </c>
      <c r="E67" t="s">
        <v>87</v>
      </c>
      <c r="F67" s="11">
        <v>100</v>
      </c>
    </row>
    <row r="68" spans="1:6" x14ac:dyDescent="0.3">
      <c r="A68" s="5" t="s">
        <v>84</v>
      </c>
      <c r="B68" t="s">
        <v>247</v>
      </c>
      <c r="D68">
        <v>0.45</v>
      </c>
      <c r="E68" t="s">
        <v>88</v>
      </c>
      <c r="F68" s="11">
        <v>500</v>
      </c>
    </row>
    <row r="69" spans="1:6" x14ac:dyDescent="0.3">
      <c r="A69" s="5" t="s">
        <v>84</v>
      </c>
      <c r="B69" t="s">
        <v>248</v>
      </c>
      <c r="D69">
        <v>0.3</v>
      </c>
      <c r="E69" t="s">
        <v>87</v>
      </c>
      <c r="F69" s="11">
        <v>100</v>
      </c>
    </row>
    <row r="70" spans="1:6" x14ac:dyDescent="0.3">
      <c r="A70" s="5" t="s">
        <v>84</v>
      </c>
      <c r="B70" t="s">
        <v>249</v>
      </c>
      <c r="D70">
        <v>0.2</v>
      </c>
      <c r="E70" t="s">
        <v>87</v>
      </c>
      <c r="F70" s="11">
        <v>100</v>
      </c>
    </row>
    <row r="71" spans="1:6" x14ac:dyDescent="0.3">
      <c r="A71" s="5" t="s">
        <v>84</v>
      </c>
      <c r="B71" t="s">
        <v>250</v>
      </c>
      <c r="D71">
        <v>0.2</v>
      </c>
      <c r="E71" t="s">
        <v>87</v>
      </c>
      <c r="F71" s="11">
        <v>100</v>
      </c>
    </row>
    <row r="72" spans="1:6" x14ac:dyDescent="0.3">
      <c r="A72" s="5" t="s">
        <v>84</v>
      </c>
      <c r="B72" t="s">
        <v>251</v>
      </c>
      <c r="D72">
        <v>0.2</v>
      </c>
      <c r="E72" t="s">
        <v>87</v>
      </c>
      <c r="F72" s="11">
        <v>100</v>
      </c>
    </row>
    <row r="73" spans="1:6" x14ac:dyDescent="0.3">
      <c r="A73" s="5" t="s">
        <v>84</v>
      </c>
      <c r="B73" t="s">
        <v>252</v>
      </c>
      <c r="D73">
        <v>0.2</v>
      </c>
      <c r="E73" t="s">
        <v>87</v>
      </c>
      <c r="F73" s="11">
        <v>100</v>
      </c>
    </row>
    <row r="74" spans="1:6" x14ac:dyDescent="0.3">
      <c r="A74" s="5" t="s">
        <v>84</v>
      </c>
      <c r="B74" t="s">
        <v>248</v>
      </c>
      <c r="D74">
        <v>0.45</v>
      </c>
      <c r="E74" t="s">
        <v>88</v>
      </c>
      <c r="F74" s="11">
        <v>500</v>
      </c>
    </row>
    <row r="75" spans="1:6" x14ac:dyDescent="0.3">
      <c r="A75" s="5" t="s">
        <v>84</v>
      </c>
      <c r="B75" t="s">
        <v>249</v>
      </c>
      <c r="D75">
        <v>0.35</v>
      </c>
      <c r="E75" t="s">
        <v>88</v>
      </c>
      <c r="F75" s="11">
        <v>500</v>
      </c>
    </row>
    <row r="76" spans="1:6" x14ac:dyDescent="0.3">
      <c r="A76" s="5" t="s">
        <v>84</v>
      </c>
      <c r="B76" t="s">
        <v>250</v>
      </c>
      <c r="D76">
        <v>0.35</v>
      </c>
      <c r="E76" t="s">
        <v>88</v>
      </c>
      <c r="F76" s="11">
        <v>500</v>
      </c>
    </row>
    <row r="77" spans="1:6" x14ac:dyDescent="0.3">
      <c r="A77" s="5" t="s">
        <v>84</v>
      </c>
      <c r="B77" t="s">
        <v>251</v>
      </c>
      <c r="D77">
        <v>0.35</v>
      </c>
      <c r="E77" t="s">
        <v>88</v>
      </c>
      <c r="F77" s="11">
        <v>500</v>
      </c>
    </row>
    <row r="78" spans="1:6" x14ac:dyDescent="0.3">
      <c r="A78" s="5" t="s">
        <v>84</v>
      </c>
      <c r="B78" t="s">
        <v>252</v>
      </c>
      <c r="D78">
        <v>0.35</v>
      </c>
      <c r="E78" t="s">
        <v>88</v>
      </c>
      <c r="F78" s="11">
        <v>500</v>
      </c>
    </row>
    <row r="79" spans="1:6" x14ac:dyDescent="0.3">
      <c r="A79" s="5" t="s">
        <v>84</v>
      </c>
      <c r="B79" t="s">
        <v>253</v>
      </c>
      <c r="D79">
        <v>0.45</v>
      </c>
      <c r="E79" t="s">
        <v>87</v>
      </c>
      <c r="F79" s="11">
        <v>100</v>
      </c>
    </row>
    <row r="80" spans="1:6" x14ac:dyDescent="0.3">
      <c r="A80" s="5" t="s">
        <v>84</v>
      </c>
      <c r="B80" t="s">
        <v>253</v>
      </c>
      <c r="D80">
        <v>0.45</v>
      </c>
      <c r="E80" t="s">
        <v>88</v>
      </c>
      <c r="F80" s="11">
        <v>500</v>
      </c>
    </row>
    <row r="81" spans="1:6" x14ac:dyDescent="0.3">
      <c r="A81" s="5" t="s">
        <v>204</v>
      </c>
      <c r="B81" t="s">
        <v>8</v>
      </c>
      <c r="D81">
        <v>0.5</v>
      </c>
      <c r="F81" s="11"/>
    </row>
    <row r="82" spans="1:6" x14ac:dyDescent="0.3">
      <c r="A82" s="5" t="s">
        <v>204</v>
      </c>
      <c r="B82" t="s">
        <v>41</v>
      </c>
      <c r="D82">
        <v>0.3</v>
      </c>
      <c r="F82" s="11"/>
    </row>
    <row r="83" spans="1:6" x14ac:dyDescent="0.3">
      <c r="A83" s="5" t="s">
        <v>204</v>
      </c>
      <c r="B83" t="s">
        <v>7</v>
      </c>
      <c r="D83">
        <v>0.7</v>
      </c>
      <c r="F83" s="11"/>
    </row>
    <row r="84" spans="1:6" x14ac:dyDescent="0.3">
      <c r="A84" s="5" t="s">
        <v>204</v>
      </c>
      <c r="B84" t="s">
        <v>43</v>
      </c>
      <c r="D84">
        <v>0.7</v>
      </c>
      <c r="F84" s="11"/>
    </row>
    <row r="85" spans="1:6" x14ac:dyDescent="0.3">
      <c r="A85" s="5" t="s">
        <v>204</v>
      </c>
      <c r="B85" t="s">
        <v>42</v>
      </c>
      <c r="D85">
        <v>0.3</v>
      </c>
      <c r="F85" s="11"/>
    </row>
    <row r="86" spans="1:6" x14ac:dyDescent="0.3">
      <c r="A86" s="5" t="s">
        <v>204</v>
      </c>
      <c r="B86" t="s">
        <v>29</v>
      </c>
      <c r="D86">
        <v>0.75</v>
      </c>
      <c r="F86" s="11"/>
    </row>
    <row r="87" spans="1:6" ht="15" thickBot="1" x14ac:dyDescent="0.35">
      <c r="A87" s="6" t="s">
        <v>204</v>
      </c>
      <c r="B87" s="12" t="s">
        <v>40</v>
      </c>
      <c r="C87" s="12"/>
      <c r="D87" s="12">
        <v>0.15</v>
      </c>
      <c r="E87" s="12"/>
      <c r="F87"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5" t="s">
        <v>175</v>
      </c>
      <c r="F19" s="14">
        <v>18</v>
      </c>
      <c r="G19" t="s">
        <v>152</v>
      </c>
    </row>
    <row r="20" spans="2:7" x14ac:dyDescent="0.3">
      <c r="B20" s="5" t="s">
        <v>128</v>
      </c>
      <c r="C20" t="s">
        <v>59</v>
      </c>
      <c r="D20">
        <v>10</v>
      </c>
      <c r="E20" t="s">
        <v>128</v>
      </c>
      <c r="F20" s="14">
        <v>19</v>
      </c>
      <c r="G20" t="s">
        <v>153</v>
      </c>
    </row>
    <row r="21" spans="2:7" x14ac:dyDescent="0.3">
      <c r="B21" s="5" t="s">
        <v>72</v>
      </c>
      <c r="C21" t="s">
        <v>69</v>
      </c>
      <c r="E21" s="34" t="s">
        <v>72</v>
      </c>
      <c r="F21" s="14">
        <v>20</v>
      </c>
      <c r="G21" t="s">
        <v>154</v>
      </c>
    </row>
    <row r="22" spans="2:7" x14ac:dyDescent="0.3">
      <c r="B22" s="5" t="s">
        <v>176</v>
      </c>
      <c r="C22" t="s">
        <v>69</v>
      </c>
      <c r="E22" s="36" t="s">
        <v>169</v>
      </c>
      <c r="F22" s="14">
        <v>21</v>
      </c>
      <c r="G22" s="31"/>
    </row>
    <row r="23" spans="2:7" x14ac:dyDescent="0.3">
      <c r="B23" s="5" t="s">
        <v>177</v>
      </c>
      <c r="C23" t="s">
        <v>59</v>
      </c>
      <c r="D23">
        <v>255</v>
      </c>
      <c r="E23" s="36" t="s">
        <v>170</v>
      </c>
      <c r="F23" s="14">
        <v>22</v>
      </c>
    </row>
    <row r="24" spans="2:7" x14ac:dyDescent="0.3">
      <c r="B24" s="5" t="s">
        <v>178</v>
      </c>
      <c r="C24" t="s">
        <v>59</v>
      </c>
      <c r="E24" s="36" t="s">
        <v>171</v>
      </c>
      <c r="F24" s="14">
        <v>23</v>
      </c>
    </row>
    <row r="25" spans="2:7" x14ac:dyDescent="0.3">
      <c r="B25" s="5" t="s">
        <v>179</v>
      </c>
      <c r="C25" t="s">
        <v>69</v>
      </c>
      <c r="E25" s="36" t="s">
        <v>172</v>
      </c>
      <c r="F25" s="14">
        <v>24</v>
      </c>
    </row>
    <row r="26" spans="2:7" ht="15" thickBot="1" x14ac:dyDescent="0.35">
      <c r="B26" s="5" t="s">
        <v>180</v>
      </c>
      <c r="C26" t="s">
        <v>59</v>
      </c>
      <c r="E26" s="35" t="s">
        <v>173</v>
      </c>
      <c r="F26" s="14">
        <v>25</v>
      </c>
    </row>
    <row r="27" spans="2:7" ht="15" thickBot="1" x14ac:dyDescent="0.35">
      <c r="B27" s="32" t="s">
        <v>235</v>
      </c>
      <c r="C27" t="s">
        <v>69</v>
      </c>
      <c r="E27" s="32"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168</v>
      </c>
      <c r="C42" t="s">
        <v>131</v>
      </c>
      <c r="D42">
        <v>255</v>
      </c>
      <c r="E42" s="22" t="s">
        <v>168</v>
      </c>
      <c r="F42" s="14">
        <v>41</v>
      </c>
    </row>
    <row r="43" spans="2:7" x14ac:dyDescent="0.3">
      <c r="B43" s="5" t="s">
        <v>181</v>
      </c>
      <c r="C43" t="s">
        <v>69</v>
      </c>
      <c r="E43" s="37" t="s">
        <v>174</v>
      </c>
      <c r="F43" s="14">
        <v>42</v>
      </c>
    </row>
    <row r="44" spans="2:7" x14ac:dyDescent="0.3">
      <c r="B44" s="5" t="s">
        <v>183</v>
      </c>
      <c r="C44" t="s">
        <v>69</v>
      </c>
      <c r="E44" s="37" t="s">
        <v>182</v>
      </c>
      <c r="F44" s="14">
        <v>43</v>
      </c>
    </row>
    <row r="45" spans="2:7" x14ac:dyDescent="0.3">
      <c r="B45" s="5" t="s">
        <v>205</v>
      </c>
      <c r="C45" t="s">
        <v>59</v>
      </c>
      <c r="E45" s="37"/>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workbookViewId="0">
      <selection activeCell="D9" sqref="D9"/>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4" t="s">
        <v>1347</v>
      </c>
      <c r="G7" t="s">
        <v>131</v>
      </c>
    </row>
    <row r="8" spans="1:7" x14ac:dyDescent="0.3">
      <c r="B8" s="5" t="s">
        <v>50</v>
      </c>
      <c r="D8" s="74" t="s">
        <v>1361</v>
      </c>
      <c r="G8" t="s">
        <v>131</v>
      </c>
    </row>
    <row r="9" spans="1:7" x14ac:dyDescent="0.3">
      <c r="B9" s="5" t="s">
        <v>51</v>
      </c>
      <c r="D9" s="74"/>
      <c r="G9" t="s">
        <v>59</v>
      </c>
    </row>
    <row r="10" spans="1:7" x14ac:dyDescent="0.3">
      <c r="B10" s="5" t="s">
        <v>52</v>
      </c>
      <c r="D10" s="74"/>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2026-06-30T10:05:14Z</dcterms:modified>
</cp:coreProperties>
</file>